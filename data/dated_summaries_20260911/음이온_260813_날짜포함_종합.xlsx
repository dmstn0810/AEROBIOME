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comments/comment9.xml" ContentType="application/vnd.openxmlformats-officedocument.spreadsheetml.comments+xml"/>
  <Override PartName="/xl/worksheets/sheet10.xml" ContentType="application/vnd.openxmlformats-officedocument.spreadsheetml.worksheet+xml"/>
  <Override PartName="/xl/comments/comment10.xml" ContentType="application/vnd.openxmlformats-officedocument.spreadsheetml.comments+xml"/>
  <Override PartName="/xl/worksheets/sheet11.xml" ContentType="application/vnd.openxmlformats-officedocument.spreadsheetml.worksheet+xml"/>
  <Override PartName="/xl/comments/comment11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worksheets/sheet1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종합" sheetId="1" state="visible" r:id="rId1"/>
    <sheet name="1" sheetId="2" state="visible" r:id="rId2"/>
    <sheet name="2" sheetId="3" state="visible" r:id="rId3"/>
    <sheet name="3" sheetId="4" state="visible" r:id="rId4"/>
    <sheet name="4" sheetId="5" state="visible" r:id="rId5"/>
    <sheet name="5" sheetId="6" state="visible" r:id="rId6"/>
    <sheet name="6" sheetId="7" state="visible" r:id="rId7"/>
    <sheet name="7" sheetId="8" state="visible" r:id="rId8"/>
    <sheet name="8" sheetId="9" state="visible" r:id="rId9"/>
    <sheet name="9" sheetId="10" state="visible" r:id="rId10"/>
    <sheet name="10" sheetId="11" state="visible" r:id="rId11"/>
    <sheet name="지점별통계" sheetId="12" state="visible" r:id="rId12"/>
    <sheet name="시간분석" sheetId="13" state="visible" r:id="rId13"/>
    <sheet name="1분평균" sheetId="14" state="visible" r:id="rId14"/>
    <sheet name="분석설명" sheetId="15" state="visible" r:id="rId15"/>
    <sheet name="분석그래프" sheetId="16" state="visible" r:id="rId16"/>
    <sheet name="자료구성" sheetId="17" state="visible" r:id="rId17"/>
  </sheets>
  <definedNames>
    <definedName name="_xlchart.v1.0" hidden="1">종합!$A$1:$A$246</definedName>
    <definedName name="_xlchart.v1.1" hidden="1">종합!$A$247:$A$901</definedName>
    <definedName name="_xlchart.v1.10" hidden="1">종합!$F$1:$F$246</definedName>
    <definedName name="_xlchart.v1.11" hidden="1">종합!$F$247:$F$901</definedName>
    <definedName name="_xlchart.v1.12" hidden="1">종합!$G$1:$G$246</definedName>
    <definedName name="_xlchart.v1.13" hidden="1">종합!$G$247:$G$901</definedName>
    <definedName name="_xlchart.v1.14" hidden="1">종합!$H$1:$H$246</definedName>
    <definedName name="_xlchart.v1.15" hidden="1">종합!$H$247:$H$901</definedName>
    <definedName name="_xlchart.v1.16" hidden="1">종합!$I$1:$I$246</definedName>
    <definedName name="_xlchart.v1.17" hidden="1">종합!$I$247:$I$901</definedName>
    <definedName name="_xlchart.v1.18" hidden="1">종합!$J$1:$J$246</definedName>
    <definedName name="_xlchart.v1.19" hidden="1">종합!$J$247:$J$901</definedName>
    <definedName name="_xlchart.v1.2" hidden="1">종합!$B$1:$B$246</definedName>
    <definedName name="_xlchart.v1.20" hidden="1">종합!$A$1:$A$246</definedName>
    <definedName name="_xlchart.v1.21" hidden="1">종합!$A$247:$A$901</definedName>
    <definedName name="_xlchart.v1.22" hidden="1">종합!$B$1:$B$246</definedName>
    <definedName name="_xlchart.v1.23" hidden="1">종합!$B$247:$B$901</definedName>
    <definedName name="_xlchart.v1.24" hidden="1">종합!$C$1:$C$246</definedName>
    <definedName name="_xlchart.v1.25" hidden="1">종합!$C$247:$C$901</definedName>
    <definedName name="_xlchart.v1.26" hidden="1">종합!$D$1:$D$246</definedName>
    <definedName name="_xlchart.v1.27" hidden="1">종합!$D$247:$D$901</definedName>
    <definedName name="_xlchart.v1.28" hidden="1">종합!$E$1:$E$246</definedName>
    <definedName name="_xlchart.v1.29" hidden="1">종합!$E$247:$E$901</definedName>
    <definedName name="_xlchart.v1.3" hidden="1">종합!$B$247:$B$901</definedName>
    <definedName name="_xlchart.v1.30" hidden="1">종합!$F$1:$F$246</definedName>
    <definedName name="_xlchart.v1.31" hidden="1">종합!$F$247:$F$901</definedName>
    <definedName name="_xlchart.v1.32" hidden="1">종합!$G$1:$G$246</definedName>
    <definedName name="_xlchart.v1.33" hidden="1">종합!$G$247:$G$901</definedName>
    <definedName name="_xlchart.v1.34" hidden="1">종합!$H$1:$H$246</definedName>
    <definedName name="_xlchart.v1.35" hidden="1">종합!$H$247:$H$901</definedName>
    <definedName name="_xlchart.v1.36" hidden="1">종합!$I$1:$I$246</definedName>
    <definedName name="_xlchart.v1.37" hidden="1">종합!$I$247:$I$901</definedName>
    <definedName name="_xlchart.v1.38" hidden="1">종합!$J$1:$J$246</definedName>
    <definedName name="_xlchart.v1.39" hidden="1">종합!$J$247:$J$901</definedName>
    <definedName name="_xlchart.v1.4" hidden="1">종합!$C$1:$C$246</definedName>
    <definedName name="_xlchart.v1.5" hidden="1">종합!$C$247:$C$901</definedName>
    <definedName name="_xlchart.v1.6" hidden="1">종합!$D$1:$D$246</definedName>
    <definedName name="_xlchart.v1.7" hidden="1">종합!$D$247:$D$901</definedName>
    <definedName name="_xlchart.v1.8" hidden="1">종합!$E$1:$E$246</definedName>
    <definedName name="_xlchart.v1.9" hidden="1">종합!$E$247:$E$901</definedName>
    <definedName name="_xlnm._FilterDatabase" localSheetId="11" hidden="1">'지점별통계'!$A$1:$M$11</definedName>
    <definedName name="_xlnm._FilterDatabase" localSheetId="12" hidden="1">'시간분석'!$A$1:$J$11</definedName>
    <definedName name="_xlnm._FilterDatabase" localSheetId="13" hidden="1">'1분평균'!$A$1:$L$16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hh:mm:ss"/>
    <numFmt numFmtId="165" formatCode="#,##0.0"/>
    <numFmt numFmtId="166" formatCode="0.0%"/>
    <numFmt numFmtId="167" formatCode="0.000"/>
    <numFmt numFmtId="168" formatCode="yyyy-mm-dd h:mm:ss"/>
    <numFmt numFmtId="169" formatCode="yyyy-mm-dd"/>
    <numFmt numFmtId="170" formatCode="yyyy-mm-dd hh:mm:ss"/>
  </numFmts>
  <fonts count="5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b val="1"/>
      <color rgb="00FFFFFF"/>
    </font>
    <font>
      <name val="맑은 고딕"/>
      <sz val="11"/>
    </font>
    <font>
      <name val="맑은 고딕"/>
      <b val="1"/>
      <sz val="14"/>
    </font>
  </fonts>
  <fills count="5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rgb="00245A70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 applyAlignment="1">
      <alignment vertical="center"/>
    </xf>
  </cellStyleXfs>
  <cellXfs count="27">
    <xf numFmtId="0" fontId="0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2" applyAlignment="1" pivotButton="0" quotePrefix="0" xfId="0">
      <alignment vertical="center"/>
    </xf>
    <xf numFmtId="0" fontId="0" fillId="2" borderId="3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3" borderId="4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0">
      <alignment vertical="center"/>
    </xf>
    <xf numFmtId="0" fontId="0" fillId="3" borderId="4" applyAlignment="1" pivotButton="0" quotePrefix="0" xfId="0">
      <alignment vertical="center" wrapText="1"/>
    </xf>
    <xf numFmtId="0" fontId="0" fillId="0" borderId="4" applyAlignment="1" pivotButton="0" quotePrefix="0" xfId="0">
      <alignment vertical="center" wrapText="1"/>
    </xf>
    <xf numFmtId="164" fontId="0" fillId="0" borderId="0" pivotButton="0" quotePrefix="0" xfId="0"/>
    <xf numFmtId="0" fontId="2" fillId="4" borderId="0" applyAlignment="1" pivotButton="0" quotePrefix="0" xfId="0">
      <alignment vertical="center" wrapText="1"/>
    </xf>
    <xf numFmtId="0" fontId="3" fillId="0" borderId="0" pivotButton="0" quotePrefix="0" xfId="0"/>
    <xf numFmtId="1" fontId="3" fillId="0" borderId="0" pivotButton="0" quotePrefix="0" xfId="0"/>
    <xf numFmtId="165" fontId="3" fillId="0" borderId="0" pivotButton="0" quotePrefix="0" xfId="0"/>
    <xf numFmtId="166" fontId="3" fillId="0" borderId="0" pivotButton="0" quotePrefix="0" xfId="0"/>
    <xf numFmtId="164" fontId="3" fillId="0" borderId="0" pivotButton="0" quotePrefix="0" xfId="0"/>
    <xf numFmtId="167" fontId="3" fillId="0" borderId="0" pivotButton="0" quotePrefix="0" xfId="0"/>
    <xf numFmtId="0" fontId="3" fillId="0" borderId="0" applyAlignment="1" pivotButton="0" quotePrefix="0" xfId="0">
      <alignment vertical="center" wrapText="1"/>
    </xf>
    <xf numFmtId="0" fontId="4" fillId="0" borderId="0" pivotButton="0" quotePrefix="0" xfId="0"/>
    <xf numFmtId="0" fontId="0" fillId="0" borderId="0" applyAlignment="1" pivotButton="0" quotePrefix="0" xfId="0">
      <alignment vertical="center" wrapText="1"/>
    </xf>
    <xf numFmtId="170" fontId="0" fillId="0" borderId="0" pivotButton="0" quotePrefix="0" xfId="0"/>
    <xf numFmtId="169" fontId="0" fillId="0" borderId="0" pivotButton="0" quotePrefix="0" xfId="0"/>
    <xf numFmtId="170" fontId="0" fillId="0" borderId="0" applyAlignment="1" pivotButton="0" quotePrefix="0" xfId="0">
      <alignment vertical="center"/>
    </xf>
    <xf numFmtId="170" fontId="3" fillId="0" borderId="0" pivotButton="0" quotePrefix="0" xfId="0"/>
    <xf numFmtId="0" fontId="2" fillId="4" borderId="0" applyAlignment="1" pivotButton="0" quotePrefix="0" xfId="0">
      <alignment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지점별 평균 음이온 발생량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'지점별통계'!D1</f>
            </strRef>
          </tx>
          <spPr>
            <a:ln>
              <a:prstDash val="solid"/>
            </a:ln>
          </spPr>
          <cat>
            <numRef>
              <f>'지점별통계'!$B$2:$B$11</f>
            </numRef>
          </cat>
          <val>
            <numRef>
              <f>'지점별통계'!$D$2:$D$11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측정 시작 후 1분 구간 평균</a:t>
            </a:r>
          </a:p>
        </rich>
      </tx>
    </title>
    <plotArea>
      <lineChart>
        <grouping val="standard"/>
        <ser>
          <idx val="0"/>
          <order val="0"/>
          <tx>
            <strRef>
              <f>'1분평균'!C1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'1분평균'!$A$2:$A$16</f>
            </numRef>
          </cat>
          <val>
            <numRef>
              <f>'1분평균'!$C$2:$C$16</f>
            </numRef>
          </val>
        </ser>
        <ser>
          <idx val="1"/>
          <order val="1"/>
          <tx>
            <strRef>
              <f>'1분평균'!D1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'1분평균'!$A$2:$A$16</f>
            </numRef>
          </cat>
          <val>
            <numRef>
              <f>'1분평균'!$D$2:$D$16</f>
            </numRef>
          </val>
        </ser>
        <ser>
          <idx val="2"/>
          <order val="2"/>
          <tx>
            <strRef>
              <f>'1분평균'!E1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'1분평균'!$A$2:$A$16</f>
            </numRef>
          </cat>
          <val>
            <numRef>
              <f>'1분평균'!$E$2:$E$16</f>
            </numRef>
          </val>
        </ser>
        <ser>
          <idx val="3"/>
          <order val="3"/>
          <tx>
            <strRef>
              <f>'1분평균'!F1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'1분평균'!$A$2:$A$16</f>
            </numRef>
          </cat>
          <val>
            <numRef>
              <f>'1분평균'!$F$2:$F$16</f>
            </numRef>
          </val>
        </ser>
        <ser>
          <idx val="4"/>
          <order val="4"/>
          <tx>
            <strRef>
              <f>'1분평균'!G1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'1분평균'!$A$2:$A$16</f>
            </numRef>
          </cat>
          <val>
            <numRef>
              <f>'1분평균'!$G$2:$G$16</f>
            </numRef>
          </val>
        </ser>
        <ser>
          <idx val="5"/>
          <order val="5"/>
          <tx>
            <strRef>
              <f>'1분평균'!H1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'1분평균'!$A$2:$A$16</f>
            </numRef>
          </cat>
          <val>
            <numRef>
              <f>'1분평균'!$H$2:$H$16</f>
            </numRef>
          </val>
        </ser>
        <ser>
          <idx val="6"/>
          <order val="6"/>
          <tx>
            <strRef>
              <f>'1분평균'!I1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'1분평균'!$A$2:$A$16</f>
            </numRef>
          </cat>
          <val>
            <numRef>
              <f>'1분평균'!$I$2:$I$16</f>
            </numRef>
          </val>
        </ser>
        <ser>
          <idx val="7"/>
          <order val="7"/>
          <tx>
            <strRef>
              <f>'1분평균'!J1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'1분평균'!$A$2:$A$16</f>
            </numRef>
          </cat>
          <val>
            <numRef>
              <f>'1분평균'!$J$2:$J$16</f>
            </numRef>
          </val>
        </ser>
        <ser>
          <idx val="8"/>
          <order val="8"/>
          <tx>
            <strRef>
              <f>'1분평균'!K1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'1분평균'!$A$2:$A$16</f>
            </numRef>
          </cat>
          <val>
            <numRef>
              <f>'1분평균'!$K$2:$K$16</f>
            </numRef>
          </val>
        </ser>
        <ser>
          <idx val="9"/>
          <order val="9"/>
          <tx>
            <strRef>
              <f>'1분평균'!L1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'1분평균'!$A$2:$A$16</f>
            </numRef>
          </cat>
          <val>
            <numRef>
              <f>'1분평균'!$L$2:$L$16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측정 시작 후 구간 번호 (1~15)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음이온 발생량 (원본 단위)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User</author>
  </authors>
  <commentList>
    <comment ref="K1" authorId="0" shapeId="0">
      <text>
        <t>K~T열은 A~J열의 지점 1~10과 순서대로 대응하는 측정일시입니다. U열은 적용 조사일자입니다.</t>
      </text>
    </comment>
  </commentList>
</comments>
</file>

<file path=xl/comments/comment2.xml><?xml version="1.0" encoding="utf-8"?>
<comments xmlns="http://schemas.openxmlformats.org/spreadsheetml/2006/main">
  <authors>
    <author>User</author>
  </authors>
  <commentList>
    <comment ref="F2" authorId="0" shapeId="0">
      <text>
        <t>자료구성!B2의 적용 조사일자와 원본 시작시간을 기준으로 1초 간격으로 복원한 Excel 날짜·시간값입니다.</t>
      </text>
    </comment>
  </commentList>
</comments>
</file>

<file path=xl/comments/comment3.xml><?xml version="1.0" encoding="utf-8"?>
<comments xmlns="http://schemas.openxmlformats.org/spreadsheetml/2006/main">
  <authors>
    <author>User</author>
  </authors>
  <commentList>
    <comment ref="F2" authorId="0" shapeId="0">
      <text>
        <t>자료구성!B2의 적용 조사일자와 원본 시작시간을 기준으로 1초 간격으로 복원한 Excel 날짜·시간값입니다.</t>
      </text>
    </comment>
  </commentList>
</comments>
</file>

<file path=xl/comments/comment4.xml><?xml version="1.0" encoding="utf-8"?>
<comments xmlns="http://schemas.openxmlformats.org/spreadsheetml/2006/main">
  <authors>
    <author>User</author>
  </authors>
  <commentList>
    <comment ref="F2" authorId="0" shapeId="0">
      <text>
        <t>자료구성!B2의 적용 조사일자와 원본 시작시간을 기준으로 1초 간격으로 복원한 Excel 날짜·시간값입니다.</t>
      </text>
    </comment>
  </commentList>
</comments>
</file>

<file path=xl/comments/comment5.xml><?xml version="1.0" encoding="utf-8"?>
<comments xmlns="http://schemas.openxmlformats.org/spreadsheetml/2006/main">
  <authors>
    <author>User</author>
  </authors>
  <commentList>
    <comment ref="F2" authorId="0" shapeId="0">
      <text>
        <t>자료구성!B2의 적용 조사일자와 원본 시작시간을 기준으로 1초 간격으로 복원한 Excel 날짜·시간값입니다.</t>
      </text>
    </comment>
  </commentList>
</comments>
</file>

<file path=xl/comments/comment6.xml><?xml version="1.0" encoding="utf-8"?>
<comments xmlns="http://schemas.openxmlformats.org/spreadsheetml/2006/main">
  <authors>
    <author>User</author>
  </authors>
  <commentList>
    <comment ref="F2" authorId="0" shapeId="0">
      <text>
        <t>자료구성!B2의 적용 조사일자와 원본 시작시간을 기준으로 1초 간격으로 복원한 Excel 날짜·시간값입니다.</t>
      </text>
    </comment>
  </commentList>
</comments>
</file>

<file path=xl/comments/comment7.xml><?xml version="1.0" encoding="utf-8"?>
<comments xmlns="http://schemas.openxmlformats.org/spreadsheetml/2006/main">
  <authors>
    <author>User</author>
  </authors>
  <commentList>
    <comment ref="F2" authorId="0" shapeId="0">
      <text>
        <t>자료구성!B2의 적용 조사일자와 원본 시작시간을 기준으로 1초 간격으로 복원한 Excel 날짜·시간값입니다.</t>
      </text>
    </comment>
  </commentList>
</comments>
</file>

<file path=xl/comments/comment8.xml><?xml version="1.0" encoding="utf-8"?>
<comments xmlns="http://schemas.openxmlformats.org/spreadsheetml/2006/main">
  <authors>
    <author>User</author>
  </authors>
  <commentList>
    <comment ref="F2" authorId="0" shapeId="0">
      <text>
        <t>자료구성!B2의 적용 조사일자와 원본 시작시간을 기준으로 1초 간격으로 복원한 Excel 날짜·시간값입니다.</t>
      </text>
    </comment>
  </commentList>
</comments>
</file>

<file path=xl/comments/comment9.xml><?xml version="1.0" encoding="utf-8"?>
<comments xmlns="http://schemas.openxmlformats.org/spreadsheetml/2006/main">
  <authors>
    <author>User</author>
  </authors>
  <commentList>
    <comment ref="F2" authorId="0" shapeId="0">
      <text>
        <t>자료구성!B2의 적용 조사일자와 원본 시작시간을 기준으로 1초 간격으로 복원한 Excel 날짜·시간값입니다.</t>
      </text>
    </comment>
  </commentList>
</comments>
</file>

<file path=xl/comments/comment10.xml><?xml version="1.0" encoding="utf-8"?>
<comments xmlns="http://schemas.openxmlformats.org/spreadsheetml/2006/main">
  <authors>
    <author>User</author>
  </authors>
  <commentList>
    <comment ref="F2" authorId="0" shapeId="0">
      <text>
        <t>자료구성!B2의 적용 조사일자와 원본 시작시간을 기준으로 1초 간격으로 복원한 Excel 날짜·시간값입니다.</t>
      </text>
    </comment>
  </commentList>
</comments>
</file>

<file path=xl/comments/comment11.xml><?xml version="1.0" encoding="utf-8"?>
<comments xmlns="http://schemas.openxmlformats.org/spreadsheetml/2006/main">
  <authors>
    <author>User</author>
  </authors>
  <commentList>
    <comment ref="F2" authorId="0" shapeId="0">
      <text>
        <t>자료구성!B2의 적용 조사일자와 원본 시작시간을 기준으로 1초 간격으로 복원한 Excel 날짜·시간값입니다.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900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29</row>
      <rowOff>0</rowOff>
    </from>
    <ext cx="972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/>
  </s:sheetPr>
  <s:dimension ref="A1:U901"/>
  <s:sheetViews>
    <s:sheetView tabSelected="1" workbookViewId="0">
      <s:selection activeCell="O19" sqref="O19"/>
    </s:sheetView>
  </s:sheetViews>
  <s:sheetFormatPr baseColWidth="8" defaultRowHeight="16.5"/>
  <s:cols>
    <s:col width="15.125" bestFit="1" customWidth="1" style="7" min="1" max="1"/>
    <s:col width="10.625" bestFit="1" customWidth="1" style="7" min="2" max="2"/>
    <s:col width="12.75" bestFit="1" customWidth="1" style="7" min="3" max="3"/>
    <s:col width="10.25" bestFit="1" customWidth="1" style="7" min="4" max="4"/>
    <s:col width="14.375" bestFit="1" customWidth="1" style="7" min="5" max="5"/>
    <s:col width="16.875" bestFit="1" customWidth="1" style="7" min="7" max="7"/>
    <s:col width="12.875" bestFit="1" customWidth="1" style="7" min="8" max="8"/>
    <s:col width="17.125" bestFit="1" customWidth="1" style="7" min="9" max="9"/>
    <s:col width="10.875" bestFit="1" customWidth="1" style="7" min="10" max="10"/>
    <s:col width="27" customWidth="1" style="7" min="11" max="11"/>
    <s:col width="27" customWidth="1" style="7" min="12" max="12"/>
    <s:col width="27" customWidth="1" style="7" min="13" max="13"/>
    <s:col width="27" customWidth="1" style="7" min="14" max="14"/>
    <s:col width="27" customWidth="1" style="7" min="15" max="15"/>
    <s:col width="27" customWidth="1" style="7" min="16" max="16"/>
    <s:col width="27" customWidth="1" style="7" min="17" max="17"/>
    <s:col width="27" customWidth="1" style="7" min="18" max="18"/>
    <s:col width="27" customWidth="1" style="7" min="19" max="19"/>
    <s:col width="27" customWidth="1" style="7" min="20" max="20"/>
    <s:col width="15" customWidth="1" style="7" min="21" max="21"/>
  </s:cols>
  <s:sheetData>
    <s:row r="1" ht="40" customHeight="1" s="7">
      <s:c r="A1" s="9" t="inlineStr">
        <s:is>
          <s:t>리기다소나무림</s:t>
        </s:is>
      </s:c>
      <s:c r="B1" s="10" t="inlineStr">
        <s:is>
          <s:t>잣나무림 a</s:t>
        </s:is>
      </s:c>
      <s:c r="C1" s="9" t="inlineStr">
        <s:is>
          <s:t>버드나무림 a</s:t>
        </s:is>
      </s:c>
      <s:c r="D1" s="10" t="inlineStr">
        <s:is>
          <s:t>밭(대조구)</s:t>
        </s:is>
      </s:c>
      <s:c r="E1" s="9" t="inlineStr">
        <s:is>
          <s:t>주차장(대조구)</s:t>
        </s:is>
      </s:c>
      <s:c r="F1" s="10" t="inlineStr">
        <s:is>
          <s:t>소나무림</s:t>
        </s:is>
      </s:c>
      <s:c r="G1" s="9" t="inlineStr">
        <s:is>
          <s:t>일본잎갈나무림 a</s:t>
        </s:is>
      </s:c>
      <s:c r="H1" s="10" t="inlineStr">
        <s:is>
          <s:t>버드나무림 b</s:t>
        </s:is>
      </s:c>
      <s:c r="I1" s="9" t="inlineStr">
        <s:is>
          <s:t>일본잎갈나무림 b</s:t>
        </s:is>
      </s:c>
      <s:c r="J1" s="10" t="inlineStr">
        <s:is>
          <s:t>잣나무림 b</s:t>
        </s:is>
      </s:c>
      <s:c r="K1" s="9" t="inlineStr">
        <s:is>
          <s:t>1. 리기다소나무림 측정일시</s:t>
        </s:is>
      </s:c>
      <s:c r="L1" s="10" t="inlineStr">
        <s:is>
          <s:t>2. 잣나무림 a 측정일시</s:t>
        </s:is>
      </s:c>
      <s:c r="M1" s="9" t="inlineStr">
        <s:is>
          <s:t>3. 버드나무림 a 측정일시</s:t>
        </s:is>
      </s:c>
      <s:c r="N1" s="10" t="inlineStr">
        <s:is>
          <s:t>4. 밭(대조구) 측정일시</s:t>
        </s:is>
      </s:c>
      <s:c r="O1" s="9" t="inlineStr">
        <s:is>
          <s:t>5. 주차장(대조구) 측정일시</s:t>
        </s:is>
      </s:c>
      <s:c r="P1" s="10" t="inlineStr">
        <s:is>
          <s:t>6. 소나무림 측정일시</s:t>
        </s:is>
      </s:c>
      <s:c r="Q1" s="9" t="inlineStr">
        <s:is>
          <s:t>7. 일본잎갈나무림 a 측정일시</s:t>
        </s:is>
      </s:c>
      <s:c r="R1" s="10" t="inlineStr">
        <s:is>
          <s:t>8. 버드나무림 b 측정일시</s:t>
        </s:is>
      </s:c>
      <s:c r="S1" s="9" t="inlineStr">
        <s:is>
          <s:t>9. 일본잎갈나무림 b 측정일시</s:t>
        </s:is>
      </s:c>
      <s:c r="T1" s="10" t="inlineStr">
        <s:is>
          <s:t>10. 잣나무림 b 측정일시</s:t>
        </s:is>
      </s:c>
      <s:c r="U1" s="21" t="inlineStr">
        <s:is>
          <s:t>조사일자</s:t>
        </s:is>
      </s:c>
    </s:row>
    <s:row r="2">
      <s:c r="A2" s="0" t="n">
        <s:v>1842</s:v>
      </s:c>
      <s:c r="B2" s="0" t="n">
        <s:v>1474</s:v>
      </s:c>
      <s:c r="C2" s="0" t="n">
        <s:v>1020</s:v>
      </s:c>
      <s:c r="D2" s="0" t="n">
        <s:v>876</s:v>
      </s:c>
      <s:c r="E2" s="0" t="n">
        <s:v>1055</s:v>
      </s:c>
      <s:c r="F2" s="0" t="n">
        <s:v>3410</s:v>
      </s:c>
      <s:c r="G2" s="0" t="n">
        <s:v>2483</s:v>
      </s:c>
      <s:c r="H2" s="0" t="n">
        <s:v>2457</s:v>
      </s:c>
      <s:c r="I2" s="0" t="n">
        <s:v>1183</s:v>
      </s:c>
      <s:c r="J2" s="0" t="n">
        <s:v>1715</s:v>
      </s:c>
      <s:c r="K2" s="22">
        <s:f>'1'!F3</s:f>
        <s:v>46247.56017361111</s:v>
      </s:c>
      <s:c r="L2" s="22">
        <s:f>'2'!F3</s:f>
        <s:v>46247.541909722226</s:v>
      </s:c>
      <s:c r="M2" s="22">
        <s:f>'3'!F3</s:f>
        <s:v>46247.524502314816</s:v>
      </s:c>
      <s:c r="N2" s="22">
        <s:f>'4'!F3</s:f>
        <s:v>46247.47861111111</s:v>
      </s:c>
      <s:c r="O2" s="22">
        <s:f>'5'!F3</s:f>
        <s:v>46247.450266203705</s:v>
      </s:c>
      <s:c r="P2" s="22">
        <s:f>'6'!F3</s:f>
        <s:v>46247.430810185186</s:v>
      </s:c>
      <s:c r="Q2" s="22">
        <s:f>'7'!F3</s:f>
        <s:v>46247.408159722225</s:v>
      </s:c>
      <s:c r="R2" s="22">
        <s:f>'8'!F3</s:f>
        <s:v>46247.38396990741</s:v>
      </s:c>
      <s:c r="S2" s="22">
        <s:f>'9'!F3</s:f>
        <s:v>46247.36615740741</s:v>
      </s:c>
      <s:c r="T2" s="22">
        <s:f>'10'!F3</s:f>
        <s:v>46247.33693287037</s:v>
      </s:c>
      <s:c r="U2" s="23">
        <s:f>'자료구성'!$B$2</s:f>
        <s:v>46247.0</s:v>
      </s:c>
    </s:row>
    <s:row r="3">
      <s:c r="A3" s="0" t="n">
        <s:v>1875</s:v>
      </s:c>
      <s:c r="B3" s="0" t="n">
        <s:v>1491</s:v>
      </s:c>
      <s:c r="C3" s="0" t="n">
        <s:v>1042</s:v>
      </s:c>
      <s:c r="D3" s="0" t="n">
        <s:v>850</s:v>
      </s:c>
      <s:c r="E3" s="0" t="n">
        <s:v>1047</s:v>
      </s:c>
      <s:c r="F3" s="0" t="n">
        <s:v>3489</s:v>
      </s:c>
      <s:c r="G3" s="0" t="n">
        <s:v>2553</s:v>
      </s:c>
      <s:c r="H3" s="0" t="n">
        <s:v>2502</s:v>
      </s:c>
      <s:c r="I3" s="0" t="n">
        <s:v>1181</s:v>
      </s:c>
      <s:c r="J3" s="0" t="n">
        <s:v>1730</s:v>
      </s:c>
      <s:c r="K3" s="22">
        <s:f>'1'!F4</s:f>
        <s:v>46247.56018518518</s:v>
      </s:c>
      <s:c r="L3" s="22">
        <s:f>'2'!F4</s:f>
        <s:v>46247.541921296295</s:v>
      </s:c>
      <s:c r="M3" s="22">
        <s:f>'3'!F4</s:f>
        <s:v>46247.524513888886</s:v>
      </s:c>
      <s:c r="N3" s="22">
        <s:f>'4'!F4</s:f>
        <s:v>46247.47862268519</s:v>
      </s:c>
      <s:c r="O3" s="22">
        <s:f>'5'!F4</s:f>
        <s:v>46247.450277777774</s:v>
      </s:c>
      <s:c r="P3" s="22">
        <s:f>'6'!F4</s:f>
        <s:v>46247.43082175926</s:v>
      </s:c>
      <s:c r="Q3" s="22">
        <s:f>'7'!F4</s:f>
        <s:v>46247.408171296294</s:v>
      </s:c>
      <s:c r="R3" s="22">
        <s:f>'8'!F4</s:f>
        <s:v>46247.38398148148</s:v>
      </s:c>
      <s:c r="S3" s="22">
        <s:f>'9'!F4</s:f>
        <s:v>46247.36616898148</s:v>
      </s:c>
      <s:c r="T3" s="22">
        <s:f>'10'!F4</s:f>
        <s:v>46247.33694444445</s:v>
      </s:c>
      <s:c r="U3" s="23">
        <s:f>'자료구성'!$B$2</s:f>
        <s:v>46247.0</s:v>
      </s:c>
    </s:row>
    <s:row r="4">
      <s:c r="A4" s="0" t="n">
        <s:v>1903</s:v>
      </s:c>
      <s:c r="B4" s="0" t="n">
        <s:v>1486</s:v>
      </s:c>
      <s:c r="C4" s="0" t="n">
        <s:v>1085</s:v>
      </s:c>
      <s:c r="D4" s="0" t="n">
        <s:v>826</s:v>
      </s:c>
      <s:c r="E4" s="0" t="n">
        <s:v>1038</s:v>
      </s:c>
      <s:c r="F4" s="0" t="n">
        <s:v>3527</s:v>
      </s:c>
      <s:c r="G4" s="0" t="n">
        <s:v>2621</s:v>
      </s:c>
      <s:c r="H4" s="0" t="n">
        <s:v>2552</s:v>
      </s:c>
      <s:c r="I4" s="0" t="n">
        <s:v>1192</s:v>
      </s:c>
      <s:c r="J4" s="0" t="n">
        <s:v>1712</s:v>
      </s:c>
      <s:c r="K4" s="22">
        <s:f>'1'!F5</s:f>
        <s:v>46247.56019675926</s:v>
      </s:c>
      <s:c r="L4" s="22">
        <s:f>'2'!F5</s:f>
        <s:v>46247.54193287037</s:v>
      </s:c>
      <s:c r="M4" s="22">
        <s:f>'3'!F5</s:f>
        <s:v>46247.52452546296</s:v>
      </s:c>
      <s:c r="N4" s="22">
        <s:f>'4'!F5</s:f>
        <s:v>46247.478634259256</s:v>
      </s:c>
      <s:c r="O4" s="22">
        <s:f>'5'!F5</s:f>
        <s:v>46247.45028935185</s:v>
      </s:c>
      <s:c r="P4" s="22">
        <s:f>'6'!F5</s:f>
        <s:v>46247.43083333333</s:v>
      </s:c>
      <s:c r="Q4" s="22">
        <s:f>'7'!F5</s:f>
        <s:v>46247.40818287037</s:v>
      </s:c>
      <s:c r="R4" s="22">
        <s:f>'8'!F5</s:f>
        <s:v>46247.383993055555</s:v>
      </s:c>
      <s:c r="S4" s="22">
        <s:f>'9'!F5</s:f>
        <s:v>46247.36618055555</s:v>
      </s:c>
      <s:c r="T4" s="22">
        <s:f>'10'!F5</s:f>
        <s:v>46247.33695601852</s:v>
      </s:c>
      <s:c r="U4" s="23">
        <s:f>'자료구성'!$B$2</s:f>
        <s:v>46247.0</s:v>
      </s:c>
    </s:row>
    <s:row r="5">
      <s:c r="A5" s="0" t="n">
        <s:v>1910</s:v>
      </s:c>
      <s:c r="B5" s="0" t="n">
        <s:v>1506</s:v>
      </s:c>
      <s:c r="C5" s="0" t="n">
        <s:v>1107</s:v>
      </s:c>
      <s:c r="D5" s="0" t="n">
        <s:v>816</s:v>
      </s:c>
      <s:c r="E5" s="0" t="n">
        <s:v>1041</s:v>
      </s:c>
      <s:c r="F5" s="0" t="n">
        <s:v>3589</s:v>
      </s:c>
      <s:c r="G5" s="0" t="n">
        <s:v>2732</s:v>
      </s:c>
      <s:c r="H5" s="0" t="n">
        <s:v>2471</s:v>
      </s:c>
      <s:c r="I5" s="0" t="n">
        <s:v>1214</s:v>
      </s:c>
      <s:c r="J5" s="0" t="n">
        <s:v>1676</s:v>
      </s:c>
      <s:c r="K5" s="22">
        <s:f>'1'!F6</s:f>
        <s:v>46247.560208333336</s:v>
      </s:c>
      <s:c r="L5" s="22">
        <s:f>'2'!F6</s:f>
        <s:v>46247.54194444444</s:v>
      </s:c>
      <s:c r="M5" s="22">
        <s:f>'3'!F6</s:f>
        <s:v>46247.52453703704</s:v>
      </s:c>
      <s:c r="N5" s="22">
        <s:f>'4'!F6</s:f>
        <s:v>46247.47864583333</s:v>
      </s:c>
      <s:c r="O5" s="22">
        <s:f>'5'!F6</s:f>
        <s:v>46247.45030092593</s:v>
      </s:c>
      <s:c r="P5" s="22">
        <s:f>'6'!F6</s:f>
        <s:v>46247.43084490741</s:v>
      </s:c>
      <s:c r="Q5" s="22">
        <s:f>'7'!F6</s:f>
        <s:v>46247.40819444445</s:v>
      </s:c>
      <s:c r="R5" s="22">
        <s:f>'8'!F6</s:f>
        <s:v>46247.38400462963</s:v>
      </s:c>
      <s:c r="S5" s="22">
        <s:f>'9'!F6</s:f>
        <s:v>46247.36619212963</s:v>
      </s:c>
      <s:c r="T5" s="22">
        <s:f>'10'!F6</s:f>
        <s:v>46247.33696759259</s:v>
      </s:c>
      <s:c r="U5" s="23">
        <s:f>'자료구성'!$B$2</s:f>
        <s:v>46247.0</s:v>
      </s:c>
    </s:row>
    <s:row r="6">
      <s:c r="A6" s="0" t="n">
        <s:v>1932</s:v>
      </s:c>
      <s:c r="B6" s="0" t="n">
        <s:v>1520</s:v>
      </s:c>
      <s:c r="C6" s="0" t="n">
        <s:v>1153</s:v>
      </s:c>
      <s:c r="D6" s="0" t="n">
        <s:v>811</s:v>
      </s:c>
      <s:c r="E6" s="0" t="n">
        <s:v>1026</s:v>
      </s:c>
      <s:c r="F6" s="0" t="n">
        <s:v>3639</s:v>
      </s:c>
      <s:c r="G6" s="0" t="n">
        <s:v>2867</s:v>
      </s:c>
      <s:c r="H6" s="0" t="n">
        <s:v>2358</s:v>
      </s:c>
      <s:c r="I6" s="0" t="n">
        <s:v>1236</s:v>
      </s:c>
      <s:c r="J6" s="0" t="n">
        <s:v>1669</s:v>
      </s:c>
      <s:c r="K6" s="22">
        <s:f>'1'!F7</s:f>
        <s:v>46247.560219907406</s:v>
      </s:c>
      <s:c r="L6" s="22">
        <s:f>'2'!F7</s:f>
        <s:v>46247.54195601852</s:v>
      </s:c>
      <s:c r="M6" s="22">
        <s:f>'3'!F7</s:f>
        <s:v>46247.52454861111</s:v>
      </s:c>
      <s:c r="N6" s="22">
        <s:f>'4'!F7</s:f>
        <s:v>46247.47865740741</s:v>
      </s:c>
      <s:c r="O6" s="22">
        <s:f>'5'!F7</s:f>
        <s:v>46247.4503125</s:v>
      </s:c>
      <s:c r="P6" s="22">
        <s:f>'6'!F7</s:f>
        <s:v>46247.43085648148</s:v>
      </s:c>
      <s:c r="Q6" s="22">
        <s:f>'7'!F7</s:f>
        <s:v>46247.40820601852</s:v>
      </s:c>
      <s:c r="R6" s="22">
        <s:f>'8'!F7</s:f>
        <s:v>46247.3840162037</s:v>
      </s:c>
      <s:c r="S6" s="22">
        <s:f>'9'!F7</s:f>
        <s:v>46247.36620370371</s:v>
      </s:c>
      <s:c r="T6" s="22">
        <s:f>'10'!F7</s:f>
        <s:v>46247.33697916667</s:v>
      </s:c>
      <s:c r="U6" s="23">
        <s:f>'자료구성'!$B$2</s:f>
        <s:v>46247.0</s:v>
      </s:c>
    </s:row>
    <s:row r="7">
      <s:c r="A7" s="0" t="n">
        <s:v>1940</s:v>
      </s:c>
      <s:c r="B7" s="0" t="n">
        <s:v>1511</s:v>
      </s:c>
      <s:c r="C7" s="0" t="n">
        <s:v>1172</s:v>
      </s:c>
      <s:c r="D7" s="0" t="n">
        <s:v>793</s:v>
      </s:c>
      <s:c r="E7" s="0" t="n">
        <s:v>1020</s:v>
      </s:c>
      <s:c r="F7" s="0" t="n">
        <s:v>3679</s:v>
      </s:c>
      <s:c r="G7" s="0" t="n">
        <s:v>2987</s:v>
      </s:c>
      <s:c r="H7" s="0" t="n">
        <s:v>2289</s:v>
      </s:c>
      <s:c r="I7" s="0" t="n">
        <s:v>1246</s:v>
      </s:c>
      <s:c r="J7" s="0" t="n">
        <s:v>1671</s:v>
      </s:c>
      <s:c r="K7" s="22">
        <s:f>'1'!F8</s:f>
        <s:v>46247.56023148148</s:v>
      </s:c>
      <s:c r="L7" s="22">
        <s:f>'2'!F8</s:f>
        <s:v>46247.541967592595</s:v>
      </s:c>
      <s:c r="M7" s="22">
        <s:f>'3'!F8</s:f>
        <s:v>46247.524560185186</s:v>
      </s:c>
      <s:c r="N7" s="22">
        <s:f>'4'!F8</s:f>
        <s:v>46247.47866898148</s:v>
      </s:c>
      <s:c r="O7" s="22">
        <s:f>'5'!F8</s:f>
        <s:v>46247.450324074074</s:v>
      </s:c>
      <s:c r="P7" s="22">
        <s:f>'6'!F8</s:f>
        <s:v>46247.430868055555</s:v>
      </s:c>
      <s:c r="Q7" s="22">
        <s:f>'7'!F8</s:f>
        <s:v>46247.408217592594</s:v>
      </s:c>
      <s:c r="R7" s="22">
        <s:f>'8'!F8</s:f>
        <s:v>46247.38402777778</s:v>
      </s:c>
      <s:c r="S7" s="22">
        <s:f>'9'!F8</s:f>
        <s:v>46247.366215277776</s:v>
      </s:c>
      <s:c r="T7" s="22">
        <s:f>'10'!F8</s:f>
        <s:v>46247.33699074074</s:v>
      </s:c>
      <s:c r="U7" s="23">
        <s:f>'자료구성'!$B$2</s:f>
        <s:v>46247.0</s:v>
      </s:c>
    </s:row>
    <s:row r="8">
      <s:c r="A8" s="0" t="n">
        <s:v>1963</s:v>
      </s:c>
      <s:c r="B8" s="0" t="n">
        <s:v>1546</s:v>
      </s:c>
      <s:c r="C8" s="0" t="n">
        <s:v>1215</s:v>
      </s:c>
      <s:c r="D8" s="0" t="n">
        <s:v>781</s:v>
      </s:c>
      <s:c r="E8" s="0" t="n">
        <s:v>1014</s:v>
      </s:c>
      <s:c r="F8" s="0" t="n">
        <s:v>3705</s:v>
      </s:c>
      <s:c r="G8" s="0" t="n">
        <s:v>3073</s:v>
      </s:c>
      <s:c r="H8" s="0" t="n">
        <s:v>2214</s:v>
      </s:c>
      <s:c r="I8" s="0" t="n">
        <s:v>1240</s:v>
      </s:c>
      <s:c r="J8" s="0" t="n">
        <s:v>1723</s:v>
      </s:c>
      <s:c r="K8" s="22">
        <s:f>'1'!F9</s:f>
        <s:v>46247.56024305556</s:v>
      </s:c>
      <s:c r="L8" s="22">
        <s:f>'2'!F9</s:f>
        <s:v>46247.541979166665</s:v>
      </s:c>
      <s:c r="M8" s="22">
        <s:f>'3'!F9</s:f>
        <s:v>46247.52457175926</s:v>
      </s:c>
      <s:c r="N8" s="22">
        <s:f>'4'!F9</s:f>
        <s:v>46247.478680555556</s:v>
      </s:c>
      <s:c r="O8" s="22">
        <s:f>'5'!F9</s:f>
        <s:v>46247.45033564815</s:v>
      </s:c>
      <s:c r="P8" s="22">
        <s:f>'6'!F9</s:f>
        <s:v>46247.43087962963</s:v>
      </s:c>
      <s:c r="Q8" s="22">
        <s:f>'7'!F9</s:f>
        <s:v>46247.408229166664</s:v>
      </s:c>
      <s:c r="R8" s="22">
        <s:f>'8'!F9</s:f>
        <s:v>46247.384039351855</s:v>
      </s:c>
      <s:c r="S8" s="22">
        <s:f>'9'!F9</s:f>
        <s:v>46247.36622685185</s:v>
      </s:c>
      <s:c r="T8" s="22">
        <s:f>'10'!F9</s:f>
        <s:v>46247.337002314816</s:v>
      </s:c>
      <s:c r="U8" s="23">
        <s:f>'자료구성'!$B$2</s:f>
        <s:v>46247.0</s:v>
      </s:c>
    </s:row>
    <s:row r="9">
      <s:c r="A9" s="0" t="n">
        <s:v>1968</s:v>
      </s:c>
      <s:c r="B9" s="0" t="n">
        <s:v>1655</s:v>
      </s:c>
      <s:c r="C9" s="0" t="n">
        <s:v>1254</s:v>
      </s:c>
      <s:c r="D9" s="0" t="n">
        <s:v>760</s:v>
      </s:c>
      <s:c r="E9" s="0" t="n">
        <s:v>1013</s:v>
      </s:c>
      <s:c r="F9" s="0" t="n">
        <s:v>3712</s:v>
      </s:c>
      <s:c r="G9" s="0" t="n">
        <s:v>3101</s:v>
      </s:c>
      <s:c r="H9" s="0" t="n">
        <s:v>2167</s:v>
      </s:c>
      <s:c r="I9" s="0" t="n">
        <s:v>1222</s:v>
      </s:c>
      <s:c r="J9" s="0" t="n">
        <s:v>1742</s:v>
      </s:c>
      <s:c r="K9" s="22">
        <s:f>'1'!F10</s:f>
        <s:v>46247.56025462963</s:v>
      </s:c>
      <s:c r="L9" s="22">
        <s:f>'2'!F10</s:f>
        <s:v>46247.54199074074</s:v>
      </s:c>
      <s:c r="M9" s="22">
        <s:f>'3'!F10</s:f>
        <s:v>46247.52458333333</s:v>
      </s:c>
      <s:c r="N9" s="22">
        <s:f>'4'!F10</s:f>
        <s:v>46247.47869212963</s:v>
      </s:c>
      <s:c r="O9" s="22">
        <s:f>'5'!F10</s:f>
        <s:v>46247.45034722222</s:v>
      </s:c>
      <s:c r="P9" s="22">
        <s:f>'6'!F10</s:f>
        <s:v>46247.4308912037</s:v>
      </s:c>
      <s:c r="Q9" s="22">
        <s:f>'7'!F10</s:f>
        <s:v>46247.40824074074</s:v>
      </s:c>
      <s:c r="R9" s="22">
        <s:f>'8'!F10</s:f>
        <s:v>46247.384050925924</s:v>
      </s:c>
      <s:c r="S9" s="22">
        <s:f>'9'!F10</s:f>
        <s:v>46247.36623842592</s:v>
      </s:c>
      <s:c r="T9" s="22">
        <s:f>'10'!F10</s:f>
        <s:v>46247.337013888886</s:v>
      </s:c>
      <s:c r="U9" s="23">
        <s:f>'자료구성'!$B$2</s:f>
        <s:v>46247.0</s:v>
      </s:c>
    </s:row>
    <s:row r="10">
      <s:c r="A10" s="0" t="n">
        <s:v>2008</s:v>
      </s:c>
      <s:c r="B10" s="0" t="n">
        <s:v>1718</s:v>
      </s:c>
      <s:c r="C10" s="0" t="n">
        <s:v>1299</s:v>
      </s:c>
      <s:c r="D10" s="0" t="n">
        <s:v>736</s:v>
      </s:c>
      <s:c r="E10" s="0" t="n">
        <s:v>1018</s:v>
      </s:c>
      <s:c r="F10" s="0" t="n">
        <s:v>3680</s:v>
      </s:c>
      <s:c r="G10" s="0" t="n">
        <s:v>3139</s:v>
      </s:c>
      <s:c r="H10" s="0" t="n">
        <s:v>2200</s:v>
      </s:c>
      <s:c r="I10" s="0" t="n">
        <s:v>1212</s:v>
      </s:c>
      <s:c r="J10" s="0" t="n">
        <s:v>1731</s:v>
      </s:c>
      <s:c r="K10" s="22">
        <s:f>'1'!F11</s:f>
        <s:v>46247.560266203705</s:v>
      </s:c>
      <s:c r="L10" s="22">
        <s:f>'2'!F11</s:f>
        <s:v>46247.54200231482</s:v>
      </s:c>
      <s:c r="M10" s="22">
        <s:f>'3'!F11</s:f>
        <s:v>46247.52459490741</s:v>
      </s:c>
      <s:c r="N10" s="22">
        <s:f>'4'!F11</s:f>
        <s:v>46247.4787037037</s:v>
      </s:c>
      <s:c r="O10" s="22">
        <s:f>'5'!F11</s:f>
        <s:v>46247.4503587963</s:v>
      </s:c>
      <s:c r="P10" s="22">
        <s:f>'6'!F11</s:f>
        <s:v>46247.43090277778</s:v>
      </s:c>
      <s:c r="Q10" s="22">
        <s:f>'7'!F11</s:f>
        <s:v>46247.40825231482</s:v>
      </s:c>
      <s:c r="R10" s="22">
        <s:f>'8'!F11</s:f>
        <s:v>46247.3840625</s:v>
      </s:c>
      <s:c r="S10" s="22">
        <s:f>'9'!F11</s:f>
        <s:v>46247.36625</s:v>
      </s:c>
      <s:c r="T10" s="22">
        <s:f>'10'!F11</s:f>
        <s:v>46247.33702546296</s:v>
      </s:c>
      <s:c r="U10" s="23">
        <s:f>'자료구성'!$B$2</s:f>
        <s:v>46247.0</s:v>
      </s:c>
    </s:row>
    <s:row r="11">
      <s:c r="A11" s="0" t="n">
        <s:v>2011</s:v>
      </s:c>
      <s:c r="B11" s="0" t="n">
        <s:v>1757</s:v>
      </s:c>
      <s:c r="C11" s="0" t="n">
        <s:v>1323</s:v>
      </s:c>
      <s:c r="D11" s="0" t="n">
        <s:v>708</s:v>
      </s:c>
      <s:c r="E11" s="0" t="n">
        <s:v>1037</s:v>
      </s:c>
      <s:c r="F11" s="0" t="n">
        <s:v>3585</s:v>
      </s:c>
      <s:c r="G11" s="0" t="n">
        <s:v>3154</s:v>
      </s:c>
      <s:c r="H11" s="0" t="n">
        <s:v>2229</s:v>
      </s:c>
      <s:c r="I11" s="0" t="n">
        <s:v>1209</s:v>
      </s:c>
      <s:c r="J11" s="0" t="n">
        <s:v>1721</s:v>
      </s:c>
      <s:c r="K11" s="22">
        <s:f>'1'!F12</s:f>
        <s:v>46247.560277777775</s:v>
      </s:c>
      <s:c r="L11" s="22">
        <s:f>'2'!F12</s:f>
        <s:v>46247.54201388889</s:v>
      </s:c>
      <s:c r="M11" s="22">
        <s:f>'3'!F12</s:f>
        <s:v>46247.52460648148</s:v>
      </s:c>
      <s:c r="N11" s="22">
        <s:f>'4'!F12</s:f>
        <s:v>46247.47871527778</s:v>
      </s:c>
      <s:c r="O11" s="22">
        <s:f>'5'!F12</s:f>
        <s:v>46247.450370370374</s:v>
      </s:c>
      <s:c r="P11" s="22">
        <s:f>'6'!F12</s:f>
        <s:v>46247.430914351855</s:v>
      </s:c>
      <s:c r="Q11" s="22">
        <s:f>'7'!F12</s:f>
        <s:v>46247.40826388889</s:v>
      </s:c>
      <s:c r="R11" s="22">
        <s:f>'8'!F12</s:f>
        <s:v>46247.38407407407</s:v>
      </s:c>
      <s:c r="S11" s="22">
        <s:f>'9'!F12</s:f>
        <s:v>46247.366261574076</s:v>
      </s:c>
      <s:c r="T11" s="22">
        <s:f>'10'!F12</s:f>
        <s:v>46247.33703703704</s:v>
      </s:c>
      <s:c r="U11" s="23">
        <s:f>'자료구성'!$B$2</s:f>
        <s:v>46247.0</s:v>
      </s:c>
    </s:row>
    <s:row r="12">
      <s:c r="A12" s="0" t="n">
        <s:v>2030</s:v>
      </s:c>
      <s:c r="B12" s="0" t="n">
        <s:v>1788</s:v>
      </s:c>
      <s:c r="C12" s="0" t="n">
        <s:v>1317</s:v>
      </s:c>
      <s:c r="D12" s="0" t="n">
        <s:v>686</s:v>
      </s:c>
      <s:c r="E12" s="0" t="n">
        <s:v>1044</s:v>
      </s:c>
      <s:c r="F12" s="0" t="n">
        <s:v>3518</s:v>
      </s:c>
      <s:c r="G12" s="0" t="n">
        <s:v>3111</s:v>
      </s:c>
      <s:c r="H12" s="0" t="n">
        <s:v>2425</s:v>
      </s:c>
      <s:c r="I12" s="0" t="n">
        <s:v>1211</s:v>
      </s:c>
      <s:c r="J12" s="0" t="n">
        <s:v>1712</s:v>
      </s:c>
      <s:c r="K12" s="22">
        <s:f>'1'!F13</s:f>
        <s:v>46247.56028935185</s:v>
      </s:c>
      <s:c r="L12" s="22">
        <s:f>'2'!F13</s:f>
        <s:v>46247.542025462964</s:v>
      </s:c>
      <s:c r="M12" s="22">
        <s:f>'3'!F13</s:f>
        <s:v>46247.524618055555</s:v>
      </s:c>
      <s:c r="N12" s="22">
        <s:f>'4'!F13</s:f>
        <s:v>46247.47872685185</s:v>
      </s:c>
      <s:c r="O12" s="22">
        <s:f>'5'!F13</s:f>
        <s:v>46247.45038194444</s:v>
      </s:c>
      <s:c r="P12" s="22">
        <s:f>'6'!F13</s:f>
        <s:v>46247.430925925924</s:v>
      </s:c>
      <s:c r="Q12" s="22">
        <s:f>'7'!F13</s:f>
        <s:v>46247.40827546296</s:v>
      </s:c>
      <s:c r="R12" s="22">
        <s:f>'8'!F13</s:f>
        <s:v>46247.38408564815</s:v>
      </s:c>
      <s:c r="S12" s="22">
        <s:f>'9'!F13</s:f>
        <s:v>46247.366273148145</s:v>
      </s:c>
      <s:c r="T12" s="22">
        <s:f>'10'!F13</s:f>
        <s:v>46247.33704861111</s:v>
      </s:c>
      <s:c r="U12" s="23">
        <s:f>'자료구성'!$B$2</s:f>
        <s:v>46247.0</s:v>
      </s:c>
    </s:row>
    <s:row r="13">
      <s:c r="A13" s="0" t="n">
        <s:v>2052</s:v>
      </s:c>
      <s:c r="B13" s="0" t="n">
        <s:v>1796</s:v>
      </s:c>
      <s:c r="C13" s="0" t="n">
        <s:v>1299</s:v>
      </s:c>
      <s:c r="D13" s="0" t="n">
        <s:v>653</s:v>
      </s:c>
      <s:c r="E13" s="0" t="n">
        <s:v>1036</s:v>
      </s:c>
      <s:c r="F13" s="0" t="n">
        <s:v>3446</s:v>
      </s:c>
      <s:c r="G13" s="0" t="n">
        <s:v>3040</s:v>
      </s:c>
      <s:c r="H13" s="0" t="n">
        <s:v>2551</s:v>
      </s:c>
      <s:c r="I13" s="0" t="n">
        <s:v>1212</s:v>
      </s:c>
      <s:c r="J13" s="0" t="n">
        <s:v>1704</s:v>
      </s:c>
      <s:c r="K13" s="22">
        <s:f>'1'!F14</s:f>
        <s:v>46247.56030092593</s:v>
      </s:c>
      <s:c r="L13" s="22">
        <s:f>'2'!F14</s:f>
        <s:v>46247.542037037034</s:v>
      </s:c>
      <s:c r="M13" s="22">
        <s:f>'3'!F14</s:f>
        <s:v>46247.52462962963</s:v>
      </s:c>
      <s:c r="N13" s="22">
        <s:f>'4'!F14</s:f>
        <s:v>46247.478738425925</s:v>
      </s:c>
      <s:c r="O13" s="22">
        <s:f>'5'!F14</s:f>
        <s:v>46247.45039351852</s:v>
      </s:c>
      <s:c r="P13" s="22">
        <s:f>'6'!F14</s:f>
        <s:v>46247.4309375</s:v>
      </s:c>
      <s:c r="Q13" s="22">
        <s:f>'7'!F14</s:f>
        <s:v>46247.40828703704</s:v>
      </s:c>
      <s:c r="R13" s="22">
        <s:f>'8'!F14</s:f>
        <s:v>46247.384097222224</s:v>
      </s:c>
      <s:c r="S13" s="22">
        <s:f>'9'!F14</s:f>
        <s:v>46247.36628472222</s:v>
      </s:c>
      <s:c r="T13" s="22">
        <s:f>'10'!F14</s:f>
        <s:v>46247.337060185186</s:v>
      </s:c>
      <s:c r="U13" s="23">
        <s:f>'자료구성'!$B$2</s:f>
        <s:v>46247.0</s:v>
      </s:c>
    </s:row>
    <s:row r="14">
      <s:c r="A14" s="0" t="n">
        <s:v>2062</s:v>
      </s:c>
      <s:c r="B14" s="0" t="n">
        <s:v>1791</s:v>
      </s:c>
      <s:c r="C14" s="0" t="n">
        <s:v>1297</s:v>
      </s:c>
      <s:c r="D14" s="0" t="n">
        <s:v>630</s:v>
      </s:c>
      <s:c r="E14" s="0" t="n">
        <s:v>1014</s:v>
      </s:c>
      <s:c r="F14" s="0" t="n">
        <s:v>3413</s:v>
      </s:c>
      <s:c r="G14" s="0" t="n">
        <s:v>2940</s:v>
      </s:c>
      <s:c r="H14" s="0" t="n">
        <s:v>2775</s:v>
      </s:c>
      <s:c r="I14" s="0" t="n">
        <s:v>1210</s:v>
      </s:c>
      <s:c r="J14" s="0" t="n">
        <s:v>1693</s:v>
      </s:c>
      <s:c r="K14" s="22">
        <s:f>'1'!F15</s:f>
        <s:v>46247.5603125</s:v>
      </s:c>
      <s:c r="L14" s="22">
        <s:f>'2'!F15</s:f>
        <s:v>46247.54204861111</s:v>
      </s:c>
      <s:c r="M14" s="22">
        <s:f>'3'!F15</s:f>
        <s:v>46247.5246412037</s:v>
      </s:c>
      <s:c r="N14" s="22">
        <s:f>'4'!F15</s:f>
        <s:v>46247.47875</s:v>
      </s:c>
      <s:c r="O14" s="22">
        <s:f>'5'!F15</s:f>
        <s:v>46247.45040509259</s:v>
      </s:c>
      <s:c r="P14" s="22">
        <s:f>'6'!F15</s:f>
        <s:v>46247.43094907407</s:v>
      </s:c>
      <s:c r="Q14" s="22">
        <s:f>'7'!F15</s:f>
        <s:v>46247.40829861111</s:v>
      </s:c>
      <s:c r="R14" s="22">
        <s:f>'8'!F15</s:f>
        <s:v>46247.384108796294</s:v>
      </s:c>
      <s:c r="S14" s="22">
        <s:f>'9'!F15</s:f>
        <s:v>46247.3662962963</s:v>
      </s:c>
      <s:c r="T14" s="22">
        <s:f>'10'!F15</s:f>
        <s:v>46247.33707175926</s:v>
      </s:c>
      <s:c r="U14" s="23">
        <s:f>'자료구성'!$B$2</s:f>
        <s:v>46247.0</s:v>
      </s:c>
    </s:row>
    <s:row r="15">
      <s:c r="A15" s="0" t="n">
        <s:v>2021</s:v>
      </s:c>
      <s:c r="B15" s="0" t="n">
        <s:v>1797</s:v>
      </s:c>
      <s:c r="C15" s="0" t="n">
        <s:v>1300</s:v>
      </s:c>
      <s:c r="D15" s="0" t="n">
        <s:v>613</s:v>
      </s:c>
      <s:c r="E15" s="0" t="n">
        <s:v>1016</s:v>
      </s:c>
      <s:c r="F15" s="0" t="n">
        <s:v>3456</s:v>
      </s:c>
      <s:c r="G15" s="0" t="n">
        <s:v>2885</s:v>
      </s:c>
      <s:c r="H15" s="0" t="n">
        <s:v>3094</s:v>
      </s:c>
      <s:c r="I15" s="0" t="n">
        <s:v>1211</s:v>
      </s:c>
      <s:c r="J15" s="0" t="n">
        <s:v>1703</s:v>
      </s:c>
      <s:c r="K15" s="22">
        <s:f>'1'!F16</s:f>
        <s:v>46247.560324074075</s:v>
      </s:c>
      <s:c r="L15" s="22">
        <s:f>'2'!F16</s:f>
        <s:v>46247.54206018519</s:v>
      </s:c>
      <s:c r="M15" s="22">
        <s:f>'3'!F16</s:f>
        <s:v>46247.52465277778</s:v>
      </s:c>
      <s:c r="N15" s="22">
        <s:f>'4'!F16</s:f>
        <s:v>46247.47876157407</s:v>
      </s:c>
      <s:c r="O15" s="22">
        <s:f>'5'!F16</s:f>
        <s:v>46247.45041666667</s:v>
      </s:c>
      <s:c r="P15" s="22">
        <s:f>'6'!F16</s:f>
        <s:v>46247.43096064815</s:v>
      </s:c>
      <s:c r="Q15" s="22">
        <s:f>'7'!F16</s:f>
        <s:v>46247.40831018519</s:v>
      </s:c>
      <s:c r="R15" s="22">
        <s:f>'8'!F16</s:f>
        <s:v>46247.38412037037</s:v>
      </s:c>
      <s:c r="S15" s="22">
        <s:f>'9'!F16</s:f>
        <s:v>46247.36630787037</s:v>
      </s:c>
      <s:c r="T15" s="22">
        <s:f>'10'!F16</s:f>
        <s:v>46247.33708333333</s:v>
      </s:c>
      <s:c r="U15" s="23">
        <s:f>'자료구성'!$B$2</s:f>
        <s:v>46247.0</s:v>
      </s:c>
    </s:row>
    <s:row r="16">
      <s:c r="A16" s="0" t="n">
        <s:v>1950</s:v>
      </s:c>
      <s:c r="B16" s="0" t="n">
        <s:v>1820</s:v>
      </s:c>
      <s:c r="C16" s="0" t="n">
        <s:v>1337</s:v>
      </s:c>
      <s:c r="D16" s="0" t="n">
        <s:v>603</s:v>
      </s:c>
      <s:c r="E16" s="0" t="n">
        <s:v>1021</s:v>
      </s:c>
      <s:c r="F16" s="0" t="n">
        <s:v>3573</s:v>
      </s:c>
      <s:c r="G16" s="0" t="n">
        <s:v>2877</s:v>
      </s:c>
      <s:c r="H16" s="0" t="n">
        <s:v>3094</s:v>
      </s:c>
      <s:c r="I16" s="0" t="n">
        <s:v>1211</s:v>
      </s:c>
      <s:c r="J16" s="0" t="n">
        <s:v>1707</s:v>
      </s:c>
      <s:c r="K16" s="22">
        <s:f>'1'!F17</s:f>
        <s:v>46247.56033564815</s:v>
      </s:c>
      <s:c r="L16" s="22">
        <s:f>'2'!F17</s:f>
        <s:v>46247.54207175926</s:v>
      </s:c>
      <s:c r="M16" s="22">
        <s:f>'3'!F17</s:f>
        <s:v>46247.524664351855</s:v>
      </s:c>
      <s:c r="N16" s="22">
        <s:f>'4'!F17</s:f>
        <s:v>46247.47877314815</s:v>
      </s:c>
      <s:c r="O16" s="22">
        <s:f>'5'!F17</s:f>
        <s:v>46247.45042824074</s:v>
      </s:c>
      <s:c r="P16" s="22">
        <s:f>'6'!F17</s:f>
        <s:v>46247.430972222224</s:v>
      </s:c>
      <s:c r="Q16" s="22">
        <s:f>'7'!F17</s:f>
        <s:v>46247.408321759256</s:v>
      </s:c>
      <s:c r="R16" s="22">
        <s:f>'8'!F17</s:f>
        <s:v>46247.38413194445</s:v>
      </s:c>
      <s:c r="S16" s="22">
        <s:f>'9'!F17</s:f>
        <s:v>46247.366319444445</s:v>
      </s:c>
      <s:c r="T16" s="22">
        <s:f>'10'!F17</s:f>
        <s:v>46247.33709490741</s:v>
      </s:c>
      <s:c r="U16" s="23">
        <s:f>'자료구성'!$B$2</s:f>
        <s:v>46247.0</s:v>
      </s:c>
    </s:row>
    <s:row r="17">
      <s:c r="A17" s="0" t="n">
        <s:v>1888</s:v>
      </s:c>
      <s:c r="B17" s="0" t="n">
        <s:v>1809</s:v>
      </s:c>
      <s:c r="C17" s="0" t="n">
        <s:v>1383</s:v>
      </s:c>
      <s:c r="D17" s="0" t="n">
        <s:v>582</s:v>
      </s:c>
      <s:c r="E17" s="0" t="n">
        <s:v>1025</s:v>
      </s:c>
      <s:c r="F17" s="0" t="n">
        <s:v>3676</s:v>
      </s:c>
      <s:c r="G17" s="0" t="n">
        <s:v>2841</s:v>
      </s:c>
      <s:c r="H17" s="0" t="n">
        <s:v>3366</s:v>
      </s:c>
      <s:c r="I17" s="0" t="n">
        <s:v>1216</s:v>
      </s:c>
      <s:c r="J17" s="0" t="n">
        <s:v>1730</s:v>
      </s:c>
      <s:c r="K17" s="22">
        <s:f>'1'!F18</s:f>
        <s:v>46247.56034722222</s:v>
      </s:c>
      <s:c r="L17" s="22">
        <s:f>'2'!F18</s:f>
        <s:v>46247.542083333334</s:v>
      </s:c>
      <s:c r="M17" s="22">
        <s:f>'3'!F18</s:f>
        <s:v>46247.524675925924</s:v>
      </s:c>
      <s:c r="N17" s="22">
        <s:f>'4'!F18</s:f>
        <s:v>46247.478784722225</s:v>
      </s:c>
      <s:c r="O17" s="22">
        <s:f>'5'!F18</s:f>
        <s:v>46247.45043981481</s:v>
      </s:c>
      <s:c r="P17" s="22">
        <s:f>'6'!F18</s:f>
        <s:v>46247.430983796294</s:v>
      </s:c>
      <s:c r="Q17" s="22">
        <s:f>'7'!F18</s:f>
        <s:v>46247.40833333333</s:v>
      </s:c>
      <s:c r="R17" s="22">
        <s:f>'8'!F18</s:f>
        <s:v>46247.38414351852</s:v>
      </s:c>
      <s:c r="S17" s="22">
        <s:f>'9'!F18</s:f>
        <s:v>46247.36633101852</s:v>
      </s:c>
      <s:c r="T17" s="22">
        <s:f>'10'!F18</s:f>
        <s:v>46247.33710648148</s:v>
      </s:c>
      <s:c r="U17" s="23">
        <s:f>'자료구성'!$B$2</s:f>
        <s:v>46247.0</s:v>
      </s:c>
    </s:row>
    <s:row r="18">
      <s:c r="A18" s="0" t="n">
        <s:v>1878</s:v>
      </s:c>
      <s:c r="B18" s="0" t="n">
        <s:v>1751</s:v>
      </s:c>
      <s:c r="C18" s="0" t="n">
        <s:v>1404</s:v>
      </s:c>
      <s:c r="D18" s="0" t="n">
        <s:v>551</s:v>
      </s:c>
      <s:c r="E18" s="0" t="n">
        <s:v>1027</s:v>
      </s:c>
      <s:c r="F18" s="0" t="n">
        <s:v>3674</s:v>
      </s:c>
      <s:c r="G18" s="0" t="n">
        <s:v>2869</s:v>
      </s:c>
      <s:c r="H18" s="0" t="n">
        <s:v>3593</s:v>
      </s:c>
      <s:c r="I18" s="0" t="n">
        <s:v>1221</s:v>
      </s:c>
      <s:c r="J18" s="0" t="n">
        <s:v>1729</s:v>
      </s:c>
      <s:c r="K18" s="22">
        <s:f>'1'!F19</s:f>
        <s:v>46247.5603587963</s:v>
      </s:c>
      <s:c r="L18" s="22">
        <s:f>'2'!F19</s:f>
        <s:v>46247.54209490741</s:v>
      </s:c>
      <s:c r="M18" s="22">
        <s:f>'3'!F19</s:f>
        <s:v>46247.5246875</s:v>
      </s:c>
      <s:c r="N18" s="22">
        <s:f>'4'!F19</s:f>
        <s:v>46247.478796296295</s:v>
      </s:c>
      <s:c r="O18" s="22">
        <s:f>'5'!F19</s:f>
        <s:v>46247.45045138889</s:v>
      </s:c>
      <s:c r="P18" s="22">
        <s:f>'6'!F19</s:f>
        <s:v>46247.43099537037</s:v>
      </s:c>
      <s:c r="Q18" s="22">
        <s:f>'7'!F19</s:f>
        <s:v>46247.40834490741</s:v>
      </s:c>
      <s:c r="R18" s="22">
        <s:f>'8'!F19</s:f>
        <s:v>46247.38415509259</s:v>
      </s:c>
      <s:c r="S18" s="22">
        <s:f>'9'!F19</s:f>
        <s:v>46247.36634259259</s:v>
      </s:c>
      <s:c r="T18" s="22">
        <s:f>'10'!F19</s:f>
        <s:v>46247.337118055555</s:v>
      </s:c>
      <s:c r="U18" s="23">
        <s:f>'자료구성'!$B$2</s:f>
        <s:v>46247.0</s:v>
      </s:c>
    </s:row>
    <s:row r="19">
      <s:c r="A19" s="0" t="n">
        <s:v>1826</s:v>
      </s:c>
      <s:c r="B19" s="0" t="n">
        <s:v>1688</s:v>
      </s:c>
      <s:c r="C19" s="0" t="n">
        <s:v>1420</s:v>
      </s:c>
      <s:c r="D19" s="0" t="n">
        <s:v>539</s:v>
      </s:c>
      <s:c r="E19" s="0" t="n">
        <s:v>1018</s:v>
      </s:c>
      <s:c r="F19" s="0" t="n">
        <s:v>3684</s:v>
      </s:c>
      <s:c r="G19" s="0" t="n">
        <s:v>2948</s:v>
      </s:c>
      <s:c r="H19" s="0" t="n">
        <s:v>3801</s:v>
      </s:c>
      <s:c r="I19" s="0" t="n">
        <s:v>1230</s:v>
      </s:c>
      <s:c r="J19" s="0" t="n">
        <s:v>1729</s:v>
      </s:c>
      <s:c r="K19" s="22">
        <s:f>'1'!F20</s:f>
        <s:v>46247.56037037037</s:v>
      </s:c>
      <s:c r="L19" s="22">
        <s:f>'2'!F20</s:f>
        <s:v>46247.54210648148</s:v>
      </s:c>
      <s:c r="M19" s="22">
        <s:f>'3'!F20</s:f>
        <s:v>46247.52469907407</s:v>
      </s:c>
      <s:c r="N19" s="22">
        <s:f>'4'!F20</s:f>
        <s:v>46247.47880787037</s:v>
      </s:c>
      <s:c r="O19" s="22">
        <s:f>'5'!F20</s:f>
        <s:v>46247.45046296297</s:v>
      </s:c>
      <s:c r="P19" s="22">
        <s:f>'6'!F20</s:f>
        <s:v>46247.43100694445</s:v>
      </s:c>
      <s:c r="Q19" s="22">
        <s:f>'7'!F20</s:f>
        <s:v>46247.40835648148</s:v>
      </s:c>
      <s:c r="R19" s="22">
        <s:f>'8'!F20</s:f>
        <s:v>46247.38416666666</s:v>
      </s:c>
      <s:c r="S19" s="22">
        <s:f>'9'!F20</s:f>
        <s:v>46247.36635416667</s:v>
      </s:c>
      <s:c r="T19" s="22">
        <s:f>'10'!F20</s:f>
        <s:v>46247.33712962963</s:v>
      </s:c>
      <s:c r="U19" s="23">
        <s:f>'자료구성'!$B$2</s:f>
        <s:v>46247.0</s:v>
      </s:c>
    </s:row>
    <s:row r="20">
      <s:c r="A20" s="0" t="n">
        <s:v>1787</s:v>
      </s:c>
      <s:c r="B20" s="0" t="n">
        <s:v>1640</s:v>
      </s:c>
      <s:c r="C20" s="0" t="n">
        <s:v>1426</s:v>
      </s:c>
      <s:c r="D20" s="0" t="n">
        <s:v>525</s:v>
      </s:c>
      <s:c r="E20" s="0" t="n">
        <s:v>1018</s:v>
      </s:c>
      <s:c r="F20" s="0" t="n">
        <s:v>3644</s:v>
      </s:c>
      <s:c r="G20" s="0" t="n">
        <s:v>3007</s:v>
      </s:c>
      <s:c r="H20" s="0" t="n">
        <s:v>4115</s:v>
      </s:c>
      <s:c r="I20" s="0" t="n">
        <s:v>1247</s:v>
      </s:c>
      <s:c r="J20" s="0" t="n">
        <s:v>1754</s:v>
      </s:c>
      <s:c r="K20" s="22">
        <s:f>'1'!F21</s:f>
        <s:v>46247.560381944444</s:v>
      </s:c>
      <s:c r="L20" s="22">
        <s:f>'2'!F21</s:f>
        <s:v>46247.54211805556</s:v>
      </s:c>
      <s:c r="M20" s="22">
        <s:f>'3'!F21</s:f>
        <s:v>46247.52471064815</s:v>
      </s:c>
      <s:c r="N20" s="22">
        <s:f>'4'!F21</s:f>
        <s:v>46247.47881944444</s:v>
      </s:c>
      <s:c r="O20" s="22">
        <s:f>'5'!F21</s:f>
        <s:v>46247.450474537036</s:v>
      </s:c>
      <s:c r="P20" s="22">
        <s:f>'6'!F21</s:f>
        <s:v>46247.43101851852</s:v>
      </s:c>
      <s:c r="Q20" s="22">
        <s:f>'7'!F21</s:f>
        <s:v>46247.408368055556</s:v>
      </s:c>
      <s:c r="R20" s="22">
        <s:f>'8'!F21</s:f>
        <s:v>46247.38417824074</s:v>
      </s:c>
      <s:c r="S20" s="22">
        <s:f>'9'!F21</s:f>
        <s:v>46247.36636574074</s:v>
      </s:c>
      <s:c r="T20" s="22">
        <s:f>'10'!F21</s:f>
        <s:v>46247.3371412037</s:v>
      </s:c>
      <s:c r="U20" s="23">
        <s:f>'자료구성'!$B$2</s:f>
        <s:v>46247.0</s:v>
      </s:c>
    </s:row>
    <s:row r="21">
      <s:c r="A21" s="0" t="n">
        <s:v>1761</s:v>
      </s:c>
      <s:c r="B21" s="0" t="n">
        <s:v>1598</s:v>
      </s:c>
      <s:c r="C21" s="0" t="n">
        <s:v>1434</s:v>
      </s:c>
      <s:c r="D21" s="0" t="n">
        <s:v>511</s:v>
      </s:c>
      <s:c r="E21" s="0" t="n">
        <s:v>1013</s:v>
      </s:c>
      <s:c r="F21" s="0" t="n">
        <s:v>3608</s:v>
      </s:c>
      <s:c r="G21" s="0" t="n">
        <s:v>3098</s:v>
      </s:c>
      <s:c r="H21" s="0" t="n">
        <s:v>4115</s:v>
      </s:c>
      <s:c r="I21" s="0" t="n">
        <s:v>1259</s:v>
      </s:c>
      <s:c r="J21" s="0" t="n">
        <s:v>1761</s:v>
      </s:c>
      <s:c r="K21" s="22">
        <s:f>'1'!F22</s:f>
        <s:v>46247.56039351852</s:v>
      </s:c>
      <s:c r="L21" s="22">
        <s:f>'2'!F22</s:f>
        <s:v>46247.542129629626</s:v>
      </s:c>
      <s:c r="M21" s="22">
        <s:f>'3'!F22</s:f>
        <s:v>46247.524722222224</s:v>
      </s:c>
      <s:c r="N21" s="22">
        <s:f>'4'!F22</s:f>
        <s:v>46247.47883101852</s:v>
      </s:c>
      <s:c r="O21" s="22">
        <s:f>'5'!F22</s:f>
        <s:v>46247.45048611111</s:v>
      </s:c>
      <s:c r="P21" s="22">
        <s:f>'6'!F22</s:f>
        <s:v>46247.43103009259</s:v>
      </s:c>
      <s:c r="Q21" s="22">
        <s:f>'7'!F22</s:f>
        <s:v>46247.40837962963</s:v>
      </s:c>
      <s:c r="R21" s="22">
        <s:f>'8'!F22</s:f>
        <s:v>46247.38418981482</s:v>
      </s:c>
      <s:c r="S21" s="22">
        <s:f>'9'!F22</s:f>
        <s:v>46247.366377314815</s:v>
      </s:c>
      <s:c r="T21" s="22">
        <s:f>'10'!F22</s:f>
        <s:v>46247.33715277778</s:v>
      </s:c>
      <s:c r="U21" s="23">
        <s:f>'자료구성'!$B$2</s:f>
        <s:v>46247.0</s:v>
      </s:c>
    </s:row>
    <s:row r="22">
      <s:c r="A22" s="0" t="n">
        <s:v>1779</s:v>
      </s:c>
      <s:c r="B22" s="0" t="n">
        <s:v>1597</s:v>
      </s:c>
      <s:c r="C22" s="0" t="n">
        <s:v>1475</s:v>
      </s:c>
      <s:c r="D22" s="0" t="n">
        <s:v>483</s:v>
      </s:c>
      <s:c r="E22" s="0" t="n">
        <s:v>1039</s:v>
      </s:c>
      <s:c r="F22" s="0" t="n">
        <s:v>3550</s:v>
      </s:c>
      <s:c r="G22" s="0" t="n">
        <s:v>3166</s:v>
      </s:c>
      <s:c r="H22" s="0" t="n">
        <s:v>4588</s:v>
      </s:c>
      <s:c r="I22" s="0" t="n">
        <s:v>1251</s:v>
      </s:c>
      <s:c r="J22" s="0" t="n">
        <s:v>1776</s:v>
      </s:c>
      <s:c r="K22" s="22">
        <s:f>'1'!F23</s:f>
        <s:v>46247.56040509259</s:v>
      </s:c>
      <s:c r="L22" s="22">
        <s:f>'2'!F23</s:f>
        <s:v>46247.5421412037</s:v>
      </s:c>
      <s:c r="M22" s="22">
        <s:f>'3'!F23</s:f>
        <s:v>46247.524733796294</s:v>
      </s:c>
      <s:c r="N22" s="22">
        <s:f>'4'!F23</s:f>
        <s:v>46247.478842592594</s:v>
      </s:c>
      <s:c r="O22" s="22">
        <s:f>'5'!F23</s:f>
        <s:v>46247.45049768518</s:v>
      </s:c>
      <s:c r="P22" s="22">
        <s:f>'6'!F23</s:f>
        <s:v>46247.43104166666</s:v>
      </s:c>
      <s:c r="Q22" s="22">
        <s:f>'7'!F23</s:f>
        <s:v>46247.4083912037</s:v>
      </s:c>
      <s:c r="R22" s="22">
        <s:f>'8'!F23</s:f>
        <s:v>46247.384201388886</s:v>
      </s:c>
      <s:c r="S22" s="22">
        <s:f>'9'!F23</s:f>
        <s:v>46247.36638888889</s:v>
      </s:c>
      <s:c r="T22" s="22">
        <s:f>'10'!F23</s:f>
        <s:v>46247.337164351855</s:v>
      </s:c>
      <s:c r="U22" s="23">
        <s:f>'자료구성'!$B$2</s:f>
        <s:v>46247.0</s:v>
      </s:c>
    </s:row>
    <s:row r="23">
      <s:c r="A23" s="0" t="n">
        <s:v>1747</s:v>
      </s:c>
      <s:c r="B23" s="0" t="n">
        <s:v>1608</s:v>
      </s:c>
      <s:c r="C23" s="0" t="n">
        <s:v>1553</s:v>
      </s:c>
      <s:c r="D23" s="0" t="n">
        <s:v>464</s:v>
      </s:c>
      <s:c r="E23" s="0" t="n">
        <s:v>1037</s:v>
      </s:c>
      <s:c r="F23" s="0" t="n">
        <s:v>3510</s:v>
      </s:c>
      <s:c r="G23" s="0" t="n">
        <s:v>3221</s:v>
      </s:c>
      <s:c r="H23" s="0" t="n">
        <s:v>4822</s:v>
      </s:c>
      <s:c r="I23" s="0" t="n">
        <s:v>1253</s:v>
      </s:c>
      <s:c r="J23" s="0" t="n">
        <s:v>1798</s:v>
      </s:c>
      <s:c r="K23" s="22">
        <s:f>'1'!F24</s:f>
        <s:v>46247.56041666667</s:v>
      </s:c>
      <s:c r="L23" s="22">
        <s:f>'2'!F24</s:f>
        <s:v>46247.54215277778</s:v>
      </s:c>
      <s:c r="M23" s="22">
        <s:f>'3'!F24</s:f>
        <s:v>46247.52474537037</s:v>
      </s:c>
      <s:c r="N23" s="22">
        <s:f>'4'!F24</s:f>
        <s:v>46247.478854166664</s:v>
      </s:c>
      <s:c r="O23" s="22">
        <s:f>'5'!F24</s:f>
        <s:v>46247.45050925926</s:v>
      </s:c>
      <s:c r="P23" s="22">
        <s:f>'6'!F24</s:f>
        <s:v>46247.43105324074</s:v>
      </s:c>
      <s:c r="Q23" s="22">
        <s:f>'7'!F24</s:f>
        <s:v>46247.40840277778</s:v>
      </s:c>
      <s:c r="R23" s="22">
        <s:f>'8'!F24</s:f>
        <s:v>46247.38421296296</s:v>
      </s:c>
      <s:c r="S23" s="22">
        <s:f>'9'!F24</s:f>
        <s:v>46247.36640046296</s:v>
      </s:c>
      <s:c r="T23" s="22">
        <s:f>'10'!F24</s:f>
        <s:v>46247.337175925924</s:v>
      </s:c>
      <s:c r="U23" s="23">
        <s:f>'자료구성'!$B$2</s:f>
        <s:v>46247.0</s:v>
      </s:c>
    </s:row>
    <s:row r="24">
      <s:c r="A24" s="0" t="n">
        <s:v>1726</s:v>
      </s:c>
      <s:c r="B24" s="0" t="n">
        <s:v>1586</s:v>
      </s:c>
      <s:c r="C24" s="0" t="n">
        <s:v>1660</s:v>
      </s:c>
      <s:c r="D24" s="0" t="n">
        <s:v>450</s:v>
      </s:c>
      <s:c r="E24" s="0" t="n">
        <s:v>1030</s:v>
      </s:c>
      <s:c r="F24" s="0" t="n">
        <s:v>3408</s:v>
      </s:c>
      <s:c r="G24" s="0" t="n">
        <s:v>3322</s:v>
      </s:c>
      <s:c r="H24" s="0" t="n">
        <s:v>5095</s:v>
      </s:c>
      <s:c r="I24" s="0" t="n">
        <s:v>1264</s:v>
      </s:c>
      <s:c r="J24" s="0" t="n">
        <s:v>1782</s:v>
      </s:c>
      <s:c r="K24" s="22">
        <s:f>'1'!F25</s:f>
        <s:v>46247.560428240744</s:v>
      </s:c>
      <s:c r="L24" s="22">
        <s:f>'2'!F25</s:f>
        <s:v>46247.54216435185</s:v>
      </s:c>
      <s:c r="M24" s="22">
        <s:f>'3'!F25</s:f>
        <s:v>46247.52475694445</s:v>
      </s:c>
      <s:c r="N24" s="22">
        <s:f>'4'!F25</s:f>
        <s:v>46247.47886574074</s:v>
      </s:c>
      <s:c r="O24" s="22">
        <s:f>'5'!F25</s:f>
        <s:v>46247.450520833336</s:v>
      </s:c>
      <s:c r="P24" s="22">
        <s:f>'6'!F25</s:f>
        <s:v>46247.43106481482</s:v>
      </s:c>
      <s:c r="Q24" s="22">
        <s:f>'7'!F25</s:f>
        <s:v>46247.40841435185</s:v>
      </s:c>
      <s:c r="R24" s="22">
        <s:f>'8'!F25</s:f>
        <s:v>46247.38422453704</s:v>
      </s:c>
      <s:c r="S24" s="22">
        <s:f>'9'!F25</s:f>
        <s:v>46247.36641203704</s:v>
      </s:c>
      <s:c r="T24" s="22">
        <s:f>'10'!F25</s:f>
        <s:v>46247.3371875</s:v>
      </s:c>
      <s:c r="U24" s="23">
        <s:f>'자료구성'!$B$2</s:f>
        <s:v>46247.0</s:v>
      </s:c>
    </s:row>
    <s:row r="25">
      <s:c r="A25" s="0" t="n">
        <s:v>1727</s:v>
      </s:c>
      <s:c r="B25" s="0" t="n">
        <s:v>1581</s:v>
      </s:c>
      <s:c r="C25" s="0" t="n">
        <s:v>1733</s:v>
      </s:c>
      <s:c r="D25" s="0" t="n">
        <s:v>443</s:v>
      </s:c>
      <s:c r="E25" s="0" t="n">
        <s:v>1025</s:v>
      </s:c>
      <s:c r="F25" s="0" t="n">
        <s:v>3385</s:v>
      </s:c>
      <s:c r="G25" s="0" t="n">
        <s:v>3398</s:v>
      </s:c>
      <s:c r="H25" s="0" t="n">
        <s:v>5240</s:v>
      </s:c>
      <s:c r="I25" s="0" t="n">
        <s:v>1267</s:v>
      </s:c>
      <s:c r="J25" s="0" t="n">
        <s:v>1782</s:v>
      </s:c>
      <s:c r="K25" s="22">
        <s:f>'1'!F26</s:f>
        <s:v>46247.56043981481</s:v>
      </s:c>
      <s:c r="L25" s="22">
        <s:f>'2'!F26</s:f>
        <s:v>46247.542175925926</s:v>
      </s:c>
      <s:c r="M25" s="22">
        <s:f>'3'!F26</s:f>
        <s:v>46247.52476851852</s:v>
      </s:c>
      <s:c r="N25" s="22">
        <s:f>'4'!F26</s:f>
        <s:v>46247.47887731482</s:v>
      </s:c>
      <s:c r="O25" s="22">
        <s:f>'5'!F26</s:f>
        <s:v>46247.450532407405</s:v>
      </s:c>
      <s:c r="P25" s="22">
        <s:f>'6'!F26</s:f>
        <s:v>46247.431076388886</s:v>
      </s:c>
      <s:c r="Q25" s="22">
        <s:f>'7'!F26</s:f>
        <s:v>46247.408425925925</s:v>
      </s:c>
      <s:c r="R25" s="22">
        <s:f>'8'!F26</s:f>
        <s:v>46247.38423611111</s:v>
      </s:c>
      <s:c r="S25" s="22">
        <s:f>'9'!F26</s:f>
        <s:v>46247.366423611114</s:v>
      </s:c>
      <s:c r="T25" s="22">
        <s:f>'10'!F26</s:f>
        <s:v>46247.33719907407</s:v>
      </s:c>
      <s:c r="U25" s="23">
        <s:f>'자료구성'!$B$2</s:f>
        <s:v>46247.0</s:v>
      </s:c>
    </s:row>
    <s:row r="26">
      <s:c r="A26" s="0" t="n">
        <s:v>1732</s:v>
      </s:c>
      <s:c r="B26" s="0" t="n">
        <s:v>1632</s:v>
      </s:c>
      <s:c r="C26" s="0" t="n">
        <s:v>1819</s:v>
      </s:c>
      <s:c r="D26" s="0" t="n">
        <s:v>448</s:v>
      </s:c>
      <s:c r="E26" s="0" t="n">
        <s:v>1021</s:v>
      </s:c>
      <s:c r="F26" s="0" t="n">
        <s:v>3361</s:v>
      </s:c>
      <s:c r="G26" s="0" t="n">
        <s:v>3296</s:v>
      </s:c>
      <s:c r="H26" s="0" t="n">
        <s:v>5322</s:v>
      </s:c>
      <s:c r="I26" s="0" t="n">
        <s:v>1264</s:v>
      </s:c>
      <s:c r="J26" s="0" t="n">
        <s:v>1814</s:v>
      </s:c>
      <s:c r="K26" s="22">
        <s:f>'1'!F27</s:f>
        <s:v>46247.56045138889</s:v>
      </s:c>
      <s:c r="L26" s="22">
        <s:f>'2'!F27</s:f>
        <s:v>46247.5421875</s:v>
      </s:c>
      <s:c r="M26" s="22">
        <s:f>'3'!F27</s:f>
        <s:v>46247.52478009259</s:v>
      </s:c>
      <s:c r="N26" s="22">
        <s:f>'4'!F27</s:f>
        <s:v>46247.47888888889</s:v>
      </s:c>
      <s:c r="O26" s="22">
        <s:f>'5'!F27</s:f>
        <s:v>46247.45054398148</s:v>
      </s:c>
      <s:c r="P26" s="22">
        <s:f>'6'!F27</s:f>
        <s:v>46247.43108796296</s:v>
      </s:c>
      <s:c r="Q26" s="22">
        <s:f>'7'!F27</s:f>
        <s:v>46247.4084375</s:v>
      </s:c>
      <s:c r="R26" s="22">
        <s:f>'8'!F27</s:f>
        <s:v>46247.384247685186</s:v>
      </s:c>
      <s:c r="S26" s="22">
        <s:f>'9'!F27</s:f>
        <s:v>46247.366435185184</s:v>
      </s:c>
      <s:c r="T26" s="22">
        <s:f>'10'!F27</s:f>
        <s:v>46247.33721064815</s:v>
      </s:c>
      <s:c r="U26" s="23">
        <s:f>'자료구성'!$B$2</s:f>
        <s:v>46247.0</s:v>
      </s:c>
    </s:row>
    <s:row r="27">
      <s:c r="A27" s="0" t="n">
        <s:v>1757</s:v>
      </s:c>
      <s:c r="B27" s="0" t="n">
        <s:v>1641</s:v>
      </s:c>
      <s:c r="C27" s="0" t="n">
        <s:v>1841</s:v>
      </s:c>
      <s:c r="D27" s="0" t="n">
        <s:v>451</s:v>
      </s:c>
      <s:c r="E27" s="0" t="n">
        <s:v>1031</s:v>
      </s:c>
      <s:c r="F27" s="0" t="n">
        <s:v>3284</s:v>
      </s:c>
      <s:c r="G27" s="0" t="n">
        <s:v>3144</s:v>
      </s:c>
      <s:c r="H27" s="0" t="n">
        <s:v>5465</s:v>
      </s:c>
      <s:c r="I27" s="0" t="n">
        <s:v>1254</s:v>
      </s:c>
      <s:c r="J27" s="0" t="n">
        <s:v>1787</s:v>
      </s:c>
      <s:c r="K27" s="22">
        <s:f>'1'!F28</s:f>
        <s:v>46247.56046296296</s:v>
      </s:c>
      <s:c r="L27" s="22">
        <s:f>'2'!F28</s:f>
        <s:v>46247.54219907407</s:v>
      </s:c>
      <s:c r="M27" s="22">
        <s:f>'3'!F28</s:f>
        <s:v>46247.52479166666</s:v>
      </s:c>
      <s:c r="N27" s="22">
        <s:f>'4'!F28</s:f>
        <s:v>46247.478900462964</s:v>
      </s:c>
      <s:c r="O27" s="22">
        <s:f>'5'!F28</s:f>
        <s:v>46247.45055555556</s:v>
      </s:c>
      <s:c r="P27" s="22">
        <s:f>'6'!F28</s:f>
        <s:v>46247.43109953704</s:v>
      </s:c>
      <s:c r="Q27" s="22">
        <s:f>'7'!F28</s:f>
        <s:v>46247.40844907407</s:v>
      </s:c>
      <s:c r="R27" s="22">
        <s:f>'8'!F28</s:f>
        <s:v>46247.38425925926</s:v>
      </s:c>
      <s:c r="S27" s="22">
        <s:f>'9'!F28</s:f>
        <s:v>46247.36644675926</s:v>
      </s:c>
      <s:c r="T27" s="22">
        <s:f>'10'!F28</s:f>
        <s:v>46247.337222222224</s:v>
      </s:c>
      <s:c r="U27" s="23">
        <s:f>'자료구성'!$B$2</s:f>
        <s:v>46247.0</s:v>
      </s:c>
    </s:row>
    <s:row r="28">
      <s:c r="A28" s="0" t="n">
        <s:v>1760</s:v>
      </s:c>
      <s:c r="B28" s="0" t="n">
        <s:v>1664</s:v>
      </s:c>
      <s:c r="C28" s="0" t="n">
        <s:v>1845</s:v>
      </s:c>
      <s:c r="D28" s="0" t="n">
        <s:v>456</s:v>
      </s:c>
      <s:c r="E28" s="0" t="n">
        <s:v>1021</s:v>
      </s:c>
      <s:c r="F28" s="0" t="n">
        <s:v>3227</s:v>
      </s:c>
      <s:c r="G28" s="0" t="n">
        <s:v>2975</s:v>
      </s:c>
      <s:c r="H28" s="0" t="n">
        <s:v>5701</s:v>
      </s:c>
      <s:c r="I28" s="0" t="n">
        <s:v>1259</s:v>
      </s:c>
      <s:c r="J28" s="0" t="n">
        <s:v>1764</s:v>
      </s:c>
      <s:c r="K28" s="22">
        <s:f>'1'!F29</s:f>
        <s:v>46247.56047453704</s:v>
      </s:c>
      <s:c r="L28" s="22">
        <s:f>'2'!F29</s:f>
        <s:v>46247.54221064815</s:v>
      </s:c>
      <s:c r="M28" s="22">
        <s:f>'3'!F29</s:f>
        <s:v>46247.52480324074</s:v>
      </s:c>
      <s:c r="N28" s="22">
        <s:f>'4'!F29</s:f>
        <s:v>46247.47891203704</s:v>
      </s:c>
      <s:c r="O28" s="22">
        <s:f>'5'!F29</s:f>
        <s:v>46247.45056712963</s:v>
      </s:c>
      <s:c r="P28" s="22">
        <s:f>'6'!F29</s:f>
        <s:v>46247.43111111111</s:v>
      </s:c>
      <s:c r="Q28" s="22">
        <s:f>'7'!F29</s:f>
        <s:v>46247.40846064815</s:v>
      </s:c>
      <s:c r="R28" s="22">
        <s:f>'8'!F29</s:f>
        <s:v>46247.38427083333</s:v>
      </s:c>
      <s:c r="S28" s="22">
        <s:f>'9'!F29</s:f>
        <s:v>46247.36645833333</s:v>
      </s:c>
      <s:c r="T28" s="22">
        <s:f>'10'!F29</s:f>
        <s:v>46247.337233796294</s:v>
      </s:c>
      <s:c r="U28" s="23">
        <s:f>'자료구성'!$B$2</s:f>
        <s:v>46247.0</s:v>
      </s:c>
    </s:row>
    <s:row r="29">
      <s:c r="A29" s="0" t="n">
        <s:v>1775</s:v>
      </s:c>
      <s:c r="B29" s="0" t="n">
        <s:v>1669</s:v>
      </s:c>
      <s:c r="C29" s="0" t="n">
        <s:v>1870</s:v>
      </s:c>
      <s:c r="D29" s="0" t="n">
        <s:v>456</s:v>
      </s:c>
      <s:c r="E29" s="0" t="n">
        <s:v>1011</s:v>
      </s:c>
      <s:c r="F29" s="0" t="n">
        <s:v>3157</s:v>
      </s:c>
      <s:c r="G29" s="0" t="n">
        <s:v>2842</s:v>
      </s:c>
      <s:c r="H29" s="0" t="n">
        <s:v>5927</s:v>
      </s:c>
      <s:c r="I29" s="0" t="n">
        <s:v>1258</s:v>
      </s:c>
      <s:c r="J29" s="0" t="n">
        <s:v>1756</s:v>
      </s:c>
      <s:c r="K29" s="22">
        <s:f>'1'!F30</s:f>
        <s:v>46247.56048611111</s:v>
      </s:c>
      <s:c r="L29" s="22">
        <s:f>'2'!F30</s:f>
        <s:v>46247.54222222222</s:v>
      </s:c>
      <s:c r="M29" s="22">
        <s:f>'3'!F30</s:f>
        <s:v>46247.52481481482</s:v>
      </s:c>
      <s:c r="N29" s="22">
        <s:f>'4'!F30</s:f>
        <s:v>46247.47892361111</s:v>
      </s:c>
      <s:c r="O29" s="22">
        <s:f>'5'!F30</s:f>
        <s:v>46247.450578703705</s:v>
      </s:c>
      <s:c r="P29" s="22">
        <s:f>'6'!F30</s:f>
        <s:v>46247.431122685186</s:v>
      </s:c>
      <s:c r="Q29" s="22">
        <s:f>'7'!F30</s:f>
        <s:v>46247.408472222225</s:v>
      </s:c>
      <s:c r="R29" s="22">
        <s:f>'8'!F30</s:f>
        <s:v>46247.38428240741</s:v>
      </s:c>
      <s:c r="S29" s="22">
        <s:f>'9'!F30</s:f>
        <s:v>46247.36646990741</s:v>
      </s:c>
      <s:c r="T29" s="22">
        <s:f>'10'!F30</s:f>
        <s:v>46247.33724537037</s:v>
      </s:c>
      <s:c r="U29" s="23">
        <s:f>'자료구성'!$B$2</s:f>
        <s:v>46247.0</s:v>
      </s:c>
    </s:row>
    <s:row r="30">
      <s:c r="A30" s="0" t="n">
        <s:v>1759</s:v>
      </s:c>
      <s:c r="B30" s="0" t="n">
        <s:v>1673</s:v>
      </s:c>
      <s:c r="C30" s="0" t="n">
        <s:v>1960</s:v>
      </s:c>
      <s:c r="D30" s="0" t="n">
        <s:v>457</s:v>
      </s:c>
      <s:c r="E30" s="0" t="n">
        <s:v>987</s:v>
      </s:c>
      <s:c r="F30" s="0" t="n">
        <s:v>3070</s:v>
      </s:c>
      <s:c r="G30" s="0" t="n">
        <s:v>2726</s:v>
      </s:c>
      <s:c r="H30" s="0" t="n">
        <s:v>6236</s:v>
      </s:c>
      <s:c r="I30" s="0" t="n">
        <s:v>1265</s:v>
      </s:c>
      <s:c r="J30" s="0" t="n">
        <s:v>1780</s:v>
      </s:c>
      <s:c r="K30" s="22">
        <s:f>'1'!F31</s:f>
        <s:v>46247.56049768518</s:v>
      </s:c>
      <s:c r="L30" s="22">
        <s:f>'2'!F31</s:f>
        <s:v>46247.542233796295</s:v>
      </s:c>
      <s:c r="M30" s="22">
        <s:f>'3'!F31</s:f>
        <s:v>46247.524826388886</s:v>
      </s:c>
      <s:c r="N30" s="22">
        <s:f>'4'!F31</s:f>
        <s:v>46247.47893518519</s:v>
      </s:c>
      <s:c r="O30" s="22">
        <s:f>'5'!F31</s:f>
        <s:v>46247.450590277775</s:v>
      </s:c>
      <s:c r="P30" s="22">
        <s:f>'6'!F31</s:f>
        <s:v>46247.43113425926</s:v>
      </s:c>
      <s:c r="Q30" s="22">
        <s:f>'7'!F31</s:f>
        <s:v>46247.408483796295</s:v>
      </s:c>
      <s:c r="R30" s="22">
        <s:f>'8'!F31</s:f>
        <s:v>46247.38429398148</s:v>
      </s:c>
      <s:c r="S30" s="22">
        <s:f>'9'!F31</s:f>
        <s:v>46247.366481481484</s:v>
      </s:c>
      <s:c r="T30" s="22">
        <s:f>'10'!F31</s:f>
        <s:v>46247.33725694445</s:v>
      </s:c>
      <s:c r="U30" s="23">
        <s:f>'자료구성'!$B$2</s:f>
        <s:v>46247.0</s:v>
      </s:c>
    </s:row>
    <s:row r="31">
      <s:c r="A31" s="0" t="n">
        <s:v>1723</s:v>
      </s:c>
      <s:c r="B31" s="0" t="n">
        <s:v>1657</s:v>
      </s:c>
      <s:c r="C31" s="0" t="n">
        <s:v>1989</s:v>
      </s:c>
      <s:c r="D31" s="0" t="n">
        <s:v>464</s:v>
      </s:c>
      <s:c r="E31" s="0" t="n">
        <s:v>994</s:v>
      </s:c>
      <s:c r="F31" s="0" t="n">
        <s:v>3032</s:v>
      </s:c>
      <s:c r="G31" s="0" t="n">
        <s:v>2612</s:v>
      </s:c>
      <s:c r="H31" s="0" t="n">
        <s:v>6453</s:v>
      </s:c>
      <s:c r="I31" s="0" t="n">
        <s:v>1267</s:v>
      </s:c>
      <s:c r="J31" s="0" t="n">
        <s:v>1769</s:v>
      </s:c>
      <s:c r="K31" s="22">
        <s:f>'1'!F32</s:f>
        <s:v>46247.56050925926</s:v>
      </s:c>
      <s:c r="L31" s="22">
        <s:f>'2'!F32</s:f>
        <s:v>46247.54224537037</s:v>
      </s:c>
      <s:c r="M31" s="22">
        <s:f>'3'!F32</s:f>
        <s:v>46247.52483796296</s:v>
      </s:c>
      <s:c r="N31" s="22">
        <s:f>'4'!F32</s:f>
        <s:v>46247.478946759256</s:v>
      </s:c>
      <s:c r="O31" s="22">
        <s:f>'5'!F32</s:f>
        <s:v>46247.45060185185</s:v>
      </s:c>
      <s:c r="P31" s="22">
        <s:f>'6'!F32</s:f>
        <s:v>46247.43114583333</s:v>
      </s:c>
      <s:c r="Q31" s="22">
        <s:f>'7'!F32</s:f>
        <s:v>46247.40849537037</s:v>
      </s:c>
      <s:c r="R31" s="22">
        <s:f>'8'!F32</s:f>
        <s:v>46247.384305555555</s:v>
      </s:c>
      <s:c r="S31" s="22">
        <s:f>'9'!F32</s:f>
        <s:v>46247.36649305555</s:v>
      </s:c>
      <s:c r="T31" s="22">
        <s:f>'10'!F32</s:f>
        <s:v>46247.33726851852</s:v>
      </s:c>
      <s:c r="U31" s="23">
        <s:f>'자료구성'!$B$2</s:f>
        <s:v>46247.0</s:v>
      </s:c>
    </s:row>
    <s:row r="32">
      <s:c r="A32" s="0" t="n">
        <s:v>1690</s:v>
      </s:c>
      <s:c r="B32" s="0" t="n">
        <s:v>1690</s:v>
      </s:c>
      <s:c r="C32" s="0" t="n">
        <s:v>2004</s:v>
      </s:c>
      <s:c r="D32" s="0" t="n">
        <s:v>480</s:v>
      </s:c>
      <s:c r="E32" s="0" t="n">
        <s:v>997</s:v>
      </s:c>
      <s:c r="F32" s="0" t="n">
        <s:v>2988</s:v>
      </s:c>
      <s:c r="G32" s="0" t="n">
        <s:v>2541</s:v>
      </s:c>
      <s:c r="H32" s="0" t="n">
        <s:v>6420</s:v>
      </s:c>
      <s:c r="I32" s="0" t="n">
        <s:v>1263</s:v>
      </s:c>
      <s:c r="J32" s="0" t="n">
        <s:v>1758</s:v>
      </s:c>
      <s:c r="K32" s="22">
        <s:f>'1'!F33</s:f>
        <s:v>46247.560520833336</s:v>
      </s:c>
      <s:c r="L32" s="22">
        <s:f>'2'!F33</s:f>
        <s:v>46247.54225694444</s:v>
      </s:c>
      <s:c r="M32" s="22">
        <s:f>'3'!F33</s:f>
        <s:v>46247.52484953704</s:v>
      </s:c>
      <s:c r="N32" s="22">
        <s:f>'4'!F33</s:f>
        <s:v>46247.47895833333</s:v>
      </s:c>
      <s:c r="O32" s="22">
        <s:f>'5'!F33</s:f>
        <s:v>46247.45061342593</s:v>
      </s:c>
      <s:c r="P32" s="22">
        <s:f>'6'!F33</s:f>
        <s:v>46247.43115740741</s:v>
      </s:c>
      <s:c r="Q32" s="22">
        <s:f>'7'!F33</s:f>
        <s:v>46247.40850694444</s:v>
      </s:c>
      <s:c r="R32" s="22">
        <s:f>'8'!F33</s:f>
        <s:v>46247.38431712963</s:v>
      </s:c>
      <s:c r="S32" s="22">
        <s:f>'9'!F33</s:f>
        <s:v>46247.36650462963</s:v>
      </s:c>
      <s:c r="T32" s="22">
        <s:f>'10'!F33</s:f>
        <s:v>46247.33728009259</s:v>
      </s:c>
      <s:c r="U32" s="23">
        <s:f>'자료구성'!$B$2</s:f>
        <s:v>46247.0</s:v>
      </s:c>
    </s:row>
    <s:row r="33">
      <s:c r="A33" s="0" t="n">
        <s:v>1681</s:v>
      </s:c>
      <s:c r="B33" s="0" t="n">
        <s:v>1658</s:v>
      </s:c>
      <s:c r="C33" s="0" t="n">
        <s:v>2024</s:v>
      </s:c>
      <s:c r="D33" s="0" t="n">
        <s:v>500</s:v>
      </s:c>
      <s:c r="E33" s="0" t="n">
        <s:v>988</s:v>
      </s:c>
      <s:c r="F33" s="0" t="n">
        <s:v>2962</s:v>
      </s:c>
      <s:c r="G33" s="0" t="n">
        <s:v>2556</s:v>
      </s:c>
      <s:c r="H33" s="0" t="n">
        <s:v>6421</s:v>
      </s:c>
      <s:c r="I33" s="0" t="n">
        <s:v>1258</s:v>
      </s:c>
      <s:c r="J33" s="0" t="n">
        <s:v>1731</s:v>
      </s:c>
      <s:c r="K33" s="22">
        <s:f>'1'!F34</s:f>
        <s:v>46247.560532407406</s:v>
      </s:c>
      <s:c r="L33" s="22">
        <s:f>'2'!F34</s:f>
        <s:v>46247.54226851852</s:v>
      </s:c>
      <s:c r="M33" s="22">
        <s:f>'3'!F34</s:f>
        <s:v>46247.52486111111</s:v>
      </s:c>
      <s:c r="N33" s="22">
        <s:f>'4'!F34</s:f>
        <s:v>46247.47896990741</s:v>
      </s:c>
      <s:c r="O33" s="22">
        <s:f>'5'!F34</s:f>
        <s:v>46247.450625</s:v>
      </s:c>
      <s:c r="P33" s="22">
        <s:f>'6'!F34</s:f>
        <s:v>46247.43116898148</s:v>
      </s:c>
      <s:c r="Q33" s="22">
        <s:f>'7'!F34</s:f>
        <s:v>46247.40851851852</s:v>
      </s:c>
      <s:c r="R33" s="22">
        <s:f>'8'!F34</s:f>
        <s:v>46247.3843287037</s:v>
      </s:c>
      <s:c r="S33" s="22">
        <s:f>'9'!F34</s:f>
        <s:v>46247.36651620371</s:v>
      </s:c>
      <s:c r="T33" s="22">
        <s:f>'10'!F34</s:f>
        <s:v>46247.33729166666</s:v>
      </s:c>
      <s:c r="U33" s="23">
        <s:f>'자료구성'!$B$2</s:f>
        <s:v>46247.0</s:v>
      </s:c>
    </s:row>
    <s:row r="34">
      <s:c r="A34" s="0" t="n">
        <s:v>1665</s:v>
      </s:c>
      <s:c r="B34" s="0" t="n">
        <s:v>1617</s:v>
      </s:c>
      <s:c r="C34" s="0" t="n">
        <s:v>2041</s:v>
      </s:c>
      <s:c r="D34" s="0" t="n">
        <s:v>527</s:v>
      </s:c>
      <s:c r="E34" s="0" t="n">
        <s:v>977</s:v>
      </s:c>
      <s:c r="F34" s="0" t="n">
        <s:v>2972</s:v>
      </s:c>
      <s:c r="G34" s="0" t="n">
        <s:v>2579</s:v>
      </s:c>
      <s:c r="H34" s="0" t="n">
        <s:v>6596</s:v>
      </s:c>
      <s:c r="I34" s="0" t="n">
        <s:v>1259</s:v>
      </s:c>
      <s:c r="J34" s="0" t="n">
        <s:v>1692</s:v>
      </s:c>
      <s:c r="K34" s="22">
        <s:f>'1'!F35</s:f>
        <s:v>46247.56054398148</s:v>
      </s:c>
      <s:c r="L34" s="22">
        <s:f>'2'!F35</s:f>
        <s:v>46247.542280092595</s:v>
      </s:c>
      <s:c r="M34" s="22">
        <s:f>'3'!F35</s:f>
        <s:v>46247.524872685186</s:v>
      </s:c>
      <s:c r="N34" s="22">
        <s:f>'4'!F35</s:f>
        <s:v>46247.47898148148</s:v>
      </s:c>
      <s:c r="O34" s="22">
        <s:f>'5'!F35</s:f>
        <s:v>46247.450636574074</s:v>
      </s:c>
      <s:c r="P34" s="22">
        <s:f>'6'!F35</s:f>
        <s:v>46247.431180555555</s:v>
      </s:c>
      <s:c r="Q34" s="22">
        <s:f>'7'!F35</s:f>
        <s:v>46247.408530092594</s:v>
      </s:c>
      <s:c r="R34" s="22">
        <s:f>'8'!F35</s:f>
        <s:v>46247.38434027778</s:v>
      </s:c>
      <s:c r="S34" s="22">
        <s:f>'9'!F35</s:f>
        <s:v>46247.366527777776</s:v>
      </s:c>
      <s:c r="T34" s="22">
        <s:f>'10'!F35</s:f>
        <s:v>46247.33730324074</s:v>
      </s:c>
      <s:c r="U34" s="23">
        <s:f>'자료구성'!$B$2</s:f>
        <s:v>46247.0</s:v>
      </s:c>
    </s:row>
    <s:row r="35">
      <s:c r="A35" s="0" t="n">
        <s:v>1654</s:v>
      </s:c>
      <s:c r="B35" s="0" t="n">
        <s:v>1597</s:v>
      </s:c>
      <s:c r="C35" s="0" t="n">
        <s:v>2043</s:v>
      </s:c>
      <s:c r="D35" s="0" t="n">
        <s:v>562</s:v>
      </s:c>
      <s:c r="E35" s="0" t="n">
        <s:v>984</s:v>
      </s:c>
      <s:c r="F35" s="0" t="n">
        <s:v>2951</s:v>
      </s:c>
      <s:c r="G35" s="0" t="n">
        <s:v>2504</s:v>
      </s:c>
      <s:c r="H35" s="0" t="n">
        <s:v>6795</s:v>
      </s:c>
      <s:c r="I35" s="0" t="n">
        <s:v>1277</s:v>
      </s:c>
      <s:c r="J35" s="0" t="n">
        <s:v>1671</s:v>
      </s:c>
      <s:c r="K35" s="22">
        <s:f>'1'!F36</s:f>
        <s:v>46247.56055555555</s:v>
      </s:c>
      <s:c r="L35" s="22">
        <s:f>'2'!F36</s:f>
        <s:v>46247.542291666665</s:v>
      </s:c>
      <s:c r="M35" s="22">
        <s:f>'3'!F36</s:f>
        <s:v>46247.52488425926</s:v>
      </s:c>
      <s:c r="N35" s="22">
        <s:f>'4'!F36</s:f>
        <s:v>46247.478993055556</s:v>
      </s:c>
      <s:c r="O35" s="22">
        <s:f>'5'!F36</s:f>
        <s:v>46247.45064814815</s:v>
      </s:c>
      <s:c r="P35" s="22">
        <s:f>'6'!F36</s:f>
        <s:v>46247.43119212963</s:v>
      </s:c>
      <s:c r="Q35" s="22">
        <s:f>'7'!F36</s:f>
        <s:v>46247.408541666664</s:v>
      </s:c>
      <s:c r="R35" s="22">
        <s:f>'8'!F36</s:f>
        <s:v>46247.384351851855</s:v>
      </s:c>
      <s:c r="S35" s="22">
        <s:f>'9'!F36</s:f>
        <s:v>46247.36653935185</s:v>
      </s:c>
      <s:c r="T35" s="22">
        <s:f>'10'!F36</s:f>
        <s:v>46247.33731481482</s:v>
      </s:c>
      <s:c r="U35" s="23">
        <s:f>'자료구성'!$B$2</s:f>
        <s:v>46247.0</s:v>
      </s:c>
    </s:row>
    <s:row r="36">
      <s:c r="A36" s="0" t="n">
        <s:v>1637</s:v>
      </s:c>
      <s:c r="B36" s="0" t="n">
        <s:v>1596</s:v>
      </s:c>
      <s:c r="C36" s="0" t="n">
        <s:v>2050</s:v>
      </s:c>
      <s:c r="D36" s="0" t="n">
        <s:v>573</s:v>
      </s:c>
      <s:c r="E36" s="0" t="n">
        <s:v>1000</s:v>
      </s:c>
      <s:c r="F36" s="0" t="n">
        <s:v>2931</s:v>
      </s:c>
      <s:c r="G36" s="0" t="n">
        <s:v>2467</s:v>
      </s:c>
      <s:c r="H36" s="0" t="n">
        <s:v>6861</s:v>
      </s:c>
      <s:c r="I36" s="0" t="n">
        <s:v>1278</s:v>
      </s:c>
      <s:c r="J36" s="0" t="n">
        <s:v>1643</s:v>
      </s:c>
      <s:c r="K36" s="22">
        <s:f>'1'!F37</s:f>
        <s:v>46247.56056712963</s:v>
      </s:c>
      <s:c r="L36" s="22">
        <s:f>'2'!F37</s:f>
        <s:v>46247.54230324074</s:v>
      </s:c>
      <s:c r="M36" s="22">
        <s:f>'3'!F37</s:f>
        <s:v>46247.52489583333</s:v>
      </s:c>
      <s:c r="N36" s="22">
        <s:f>'4'!F37</s:f>
        <s:v>46247.47900462963</s:v>
      </s:c>
      <s:c r="O36" s="22">
        <s:f>'5'!F37</s:f>
        <s:v>46247.45065972222</s:v>
      </s:c>
      <s:c r="P36" s="22">
        <s:f>'6'!F37</s:f>
        <s:v>46247.4312037037</s:v>
      </s:c>
      <s:c r="Q36" s="22">
        <s:f>'7'!F37</s:f>
        <s:v>46247.40855324074</s:v>
      </s:c>
      <s:c r="R36" s="22">
        <s:f>'8'!F37</s:f>
        <s:v>46247.384363425925</s:v>
      </s:c>
      <s:c r="S36" s="22">
        <s:f>'9'!F37</s:f>
        <s:v>46247.36655092592</s:v>
      </s:c>
      <s:c r="T36" s="22">
        <s:f>'10'!F37</s:f>
        <s:v>46247.337326388886</s:v>
      </s:c>
      <s:c r="U36" s="23">
        <s:f>'자료구성'!$B$2</s:f>
        <s:v>46247.0</s:v>
      </s:c>
    </s:row>
    <s:row r="37">
      <s:c r="A37" s="0" t="n">
        <s:v>1629</s:v>
      </s:c>
      <s:c r="B37" s="0" t="n">
        <s:v>1630</s:v>
      </s:c>
      <s:c r="C37" s="0" t="n">
        <s:v>2069</s:v>
      </s:c>
      <s:c r="D37" s="0" t="n">
        <s:v>587</s:v>
      </s:c>
      <s:c r="E37" s="0" t="n">
        <s:v>1025</s:v>
      </s:c>
      <s:c r="F37" s="0" t="n">
        <s:v>2919</s:v>
      </s:c>
      <s:c r="G37" s="0" t="n">
        <s:v>2468</s:v>
      </s:c>
      <s:c r="H37" s="0" t="n">
        <s:v>6851</s:v>
      </s:c>
      <s:c r="I37" s="0" t="n">
        <s:v>1269</s:v>
      </s:c>
      <s:c r="J37" s="0" t="n">
        <s:v>1653</s:v>
      </s:c>
      <s:c r="K37" s="22">
        <s:f>'1'!F38</s:f>
        <s:v>46247.560578703706</s:v>
      </s:c>
      <s:c r="L37" s="22">
        <s:f>'2'!F38</s:f>
        <s:v>46247.54231481482</s:v>
      </s:c>
      <s:c r="M37" s="22">
        <s:f>'3'!F38</s:f>
        <s:v>46247.52490740741</s:v>
      </s:c>
      <s:c r="N37" s="22">
        <s:f>'4'!F38</s:f>
        <s:v>46247.4790162037</s:v>
      </s:c>
      <s:c r="O37" s="22">
        <s:f>'5'!F38</s:f>
        <s:v>46247.4506712963</s:v>
      </s:c>
      <s:c r="P37" s="22">
        <s:f>'6'!F38</s:f>
        <s:v>46247.43121527778</s:v>
      </s:c>
      <s:c r="Q37" s="22">
        <s:f>'7'!F38</s:f>
        <s:v>46247.40856481482</s:v>
      </s:c>
      <s:c r="R37" s="22">
        <s:f>'8'!F38</s:f>
        <s:v>46247.384375</s:v>
      </s:c>
      <s:c r="S37" s="22">
        <s:f>'9'!F38</s:f>
        <s:v>46247.3665625</s:v>
      </s:c>
      <s:c r="T37" s="22">
        <s:f>'10'!F38</s:f>
        <s:v>46247.33733796296</s:v>
      </s:c>
      <s:c r="U37" s="23">
        <s:f>'자료구성'!$B$2</s:f>
        <s:v>46247.0</s:v>
      </s:c>
    </s:row>
    <s:row r="38">
      <s:c r="A38" s="0" t="n">
        <s:v>1629</s:v>
      </s:c>
      <s:c r="B38" s="0" t="n">
        <s:v>1674</s:v>
      </s:c>
      <s:c r="C38" s="0" t="n">
        <s:v>2056</s:v>
      </s:c>
      <s:c r="D38" s="0" t="n">
        <s:v>590</s:v>
      </s:c>
      <s:c r="E38" s="0" t="n">
        <s:v>1048</s:v>
      </s:c>
      <s:c r="F38" s="0" t="n">
        <s:v>2924</s:v>
      </s:c>
      <s:c r="G38" s="0" t="n">
        <s:v>2530</s:v>
      </s:c>
      <s:c r="H38" s="0" t="n">
        <s:v>6800</s:v>
      </s:c>
      <s:c r="I38" s="0" t="n">
        <s:v>1284</s:v>
      </s:c>
      <s:c r="J38" s="0" t="n">
        <s:v>1685</s:v>
      </s:c>
      <s:c r="K38" s="22">
        <s:f>'1'!F39</s:f>
        <s:v>46247.560590277775</s:v>
      </s:c>
      <s:c r="L38" s="22">
        <s:f>'2'!F39</s:f>
        <s:v>46247.54232638889</s:v>
      </s:c>
      <s:c r="M38" s="22">
        <s:f>'3'!F39</s:f>
        <s:v>46247.52491898148</s:v>
      </s:c>
      <s:c r="N38" s="22">
        <s:f>'4'!F39</s:f>
        <s:v>46247.47902777778</s:v>
      </s:c>
      <s:c r="O38" s="22">
        <s:f>'5'!F39</s:f>
        <s:v>46247.45068287037</s:v>
      </s:c>
      <s:c r="P38" s="22">
        <s:f>'6'!F39</s:f>
        <s:v>46247.431226851855</s:v>
      </s:c>
      <s:c r="Q38" s="22">
        <s:f>'7'!F39</s:f>
        <s:v>46247.40857638889</s:v>
      </s:c>
      <s:c r="R38" s="22">
        <s:f>'8'!F39</s:f>
        <s:v>46247.38438657407</s:v>
      </s:c>
      <s:c r="S38" s="22">
        <s:f>'9'!F39</s:f>
        <s:v>46247.366574074076</s:v>
      </s:c>
      <s:c r="T38" s="22">
        <s:f>'10'!F39</s:f>
        <s:v>46247.33734953704</s:v>
      </s:c>
      <s:c r="U38" s="23">
        <s:f>'자료구성'!$B$2</s:f>
        <s:v>46247.0</s:v>
      </s:c>
    </s:row>
    <s:row r="39">
      <s:c r="A39" s="0" t="n">
        <s:v>1634</s:v>
      </s:c>
      <s:c r="B39" s="0" t="n">
        <s:v>1706</s:v>
      </s:c>
      <s:c r="C39" s="0" t="n">
        <s:v>2058</s:v>
      </s:c>
      <s:c r="D39" s="0" t="n">
        <s:v>585</s:v>
      </s:c>
      <s:c r="E39" s="0" t="n">
        <s:v>1066</s:v>
      </s:c>
      <s:c r="F39" s="0" t="n">
        <s:v>2947</s:v>
      </s:c>
      <s:c r="G39" s="0" t="n">
        <s:v>2562</s:v>
      </s:c>
      <s:c r="H39" s="0" t="n">
        <s:v>6949</s:v>
      </s:c>
      <s:c r="I39" s="0" t="n">
        <s:v>1274</s:v>
      </s:c>
      <s:c r="J39" s="0" t="n">
        <s:v>1685</s:v>
      </s:c>
      <s:c r="K39" s="22">
        <s:f>'1'!F40</s:f>
        <s:v>46247.56060185185</s:v>
      </s:c>
      <s:c r="L39" s="22">
        <s:f>'2'!F40</s:f>
        <s:v>46247.542337962965</s:v>
      </s:c>
      <s:c r="M39" s="22">
        <s:f>'3'!F40</s:f>
        <s:v>46247.524930555555</s:v>
      </s:c>
      <s:c r="N39" s="22">
        <s:f>'4'!F40</s:f>
        <s:v>46247.47903935185</s:v>
      </s:c>
      <s:c r="O39" s="22">
        <s:f>'5'!F40</s:f>
        <s:v>46247.450694444444</s:v>
      </s:c>
      <s:c r="P39" s="22">
        <s:f>'6'!F40</s:f>
        <s:v>46247.431238425925</s:v>
      </s:c>
      <s:c r="Q39" s="22">
        <s:f>'7'!F40</s:f>
        <s:v>46247.408587962964</s:v>
      </s:c>
      <s:c r="R39" s="22">
        <s:f>'8'!F40</s:f>
        <s:v>46247.38439814815</s:v>
      </s:c>
      <s:c r="S39" s="22">
        <s:f>'9'!F40</s:f>
        <s:v>46247.366585648146</s:v>
      </s:c>
      <s:c r="T39" s="22">
        <s:f>'10'!F40</s:f>
        <s:v>46247.33736111111</s:v>
      </s:c>
      <s:c r="U39" s="23">
        <s:f>'자료구성'!$B$2</s:f>
        <s:v>46247.0</s:v>
      </s:c>
    </s:row>
    <s:row r="40">
      <s:c r="A40" s="0" t="n">
        <s:v>1630</s:v>
      </s:c>
      <s:c r="B40" s="0" t="n">
        <s:v>1753</s:v>
      </s:c>
      <s:c r="C40" s="0" t="n">
        <s:v>2070</s:v>
      </s:c>
      <s:c r="D40" s="0" t="n">
        <s:v>587</s:v>
      </s:c>
      <s:c r="E40" s="0" t="n">
        <s:v>1071</s:v>
      </s:c>
      <s:c r="F40" s="0" t="n">
        <s:v>2975</s:v>
      </s:c>
      <s:c r="G40" s="0" t="n">
        <s:v>2637</s:v>
      </s:c>
      <s:c r="H40" s="0" t="n">
        <s:v>7086</s:v>
      </s:c>
      <s:c r="I40" s="0" t="n">
        <s:v>1254</s:v>
      </s:c>
      <s:c r="J40" s="0" t="n">
        <s:v>1718</s:v>
      </s:c>
      <s:c r="K40" s="22">
        <s:f>'1'!F41</s:f>
        <s:v>46247.56061342593</s:v>
      </s:c>
      <s:c r="L40" s="22">
        <s:f>'2'!F41</s:f>
        <s:v>46247.542349537034</s:v>
      </s:c>
      <s:c r="M40" s="22">
        <s:f>'3'!F41</s:f>
        <s:v>46247.52494212963</s:v>
      </s:c>
      <s:c r="N40" s="22">
        <s:f>'4'!F41</s:f>
        <s:v>46247.479050925926</s:v>
      </s:c>
      <s:c r="O40" s="22">
        <s:f>'5'!F41</s:f>
        <s:v>46247.45070601852</s:v>
      </s:c>
      <s:c r="P40" s="22">
        <s:f>'6'!F41</s:f>
        <s:v>46247.43125</s:v>
      </s:c>
      <s:c r="Q40" s="22">
        <s:f>'7'!F41</s:f>
        <s:v>46247.40859953704</s:v>
      </s:c>
      <s:c r="R40" s="22">
        <s:f>'8'!F41</s:f>
        <s:v>46247.384409722225</s:v>
      </s:c>
      <s:c r="S40" s="22">
        <s:f>'9'!F41</s:f>
        <s:v>46247.36659722222</s:v>
      </s:c>
      <s:c r="T40" s="22">
        <s:f>'10'!F41</s:f>
        <s:v>46247.337372685186</s:v>
      </s:c>
      <s:c r="U40" s="23">
        <s:f>'자료구성'!$B$2</s:f>
        <s:v>46247.0</s:v>
      </s:c>
    </s:row>
    <s:row r="41">
      <s:c r="A41" s="0" t="n">
        <s:v>1604</s:v>
      </s:c>
      <s:c r="B41" s="0" t="n">
        <s:v>1712</s:v>
      </s:c>
      <s:c r="C41" s="0" t="n">
        <s:v>2054</s:v>
      </s:c>
      <s:c r="D41" s="0" t="n">
        <s:v>580</s:v>
      </s:c>
      <s:c r="E41" s="0" t="n">
        <s:v>1061</s:v>
      </s:c>
      <s:c r="F41" s="0" t="n">
        <s:v>2987</s:v>
      </s:c>
      <s:c r="G41" s="0" t="n">
        <s:v>2601</s:v>
      </s:c>
      <s:c r="H41" s="0" t="n">
        <s:v>7201</s:v>
      </s:c>
      <s:c r="I41" s="0" t="n">
        <s:v>1243</s:v>
      </s:c>
      <s:c r="J41" s="0" t="n">
        <s:v>1717</s:v>
      </s:c>
      <s:c r="K41" s="22">
        <s:f>'1'!F42</s:f>
        <s:v>46247.560625</s:v>
      </s:c>
      <s:c r="L41" s="22">
        <s:f>'2'!F42</s:f>
        <s:v>46247.54236111111</s:v>
      </s:c>
      <s:c r="M41" s="22">
        <s:f>'3'!F42</s:f>
        <s:v>46247.5249537037</s:v>
      </s:c>
      <s:c r="N41" s="22">
        <s:f>'4'!F42</s:f>
        <s:v>46247.4790625</s:v>
      </s:c>
      <s:c r="O41" s="22">
        <s:f>'5'!F42</s:f>
        <s:v>46247.45071759259</s:v>
      </s:c>
      <s:c r="P41" s="22">
        <s:f>'6'!F42</s:f>
        <s:v>46247.43126157407</s:v>
      </s:c>
      <s:c r="Q41" s="22">
        <s:f>'7'!F42</s:f>
        <s:v>46247.40861111111</s:v>
      </s:c>
      <s:c r="R41" s="22">
        <s:f>'8'!F42</s:f>
        <s:v>46247.384421296294</s:v>
      </s:c>
      <s:c r="S41" s="22">
        <s:f>'9'!F42</s:f>
        <s:v>46247.3666087963</s:v>
      </s:c>
      <s:c r="T41" s="22">
        <s:f>'10'!F42</s:f>
        <s:v>46247.33738425926</s:v>
      </s:c>
      <s:c r="U41" s="23">
        <s:f>'자료구성'!$B$2</s:f>
        <s:v>46247.0</s:v>
      </s:c>
    </s:row>
    <s:row r="42">
      <s:c r="A42" s="0" t="n">
        <s:v>1592</s:v>
      </s:c>
      <s:c r="B42" s="0" t="n">
        <s:v>1674</s:v>
      </s:c>
      <s:c r="C42" s="0" t="n">
        <s:v>2026</s:v>
      </s:c>
      <s:c r="D42" s="0" t="n">
        <s:v>594</s:v>
      </s:c>
      <s:c r="E42" s="0" t="n">
        <s:v>1048</s:v>
      </s:c>
      <s:c r="F42" s="0" t="n">
        <s:v>3034</s:v>
      </s:c>
      <s:c r="G42" s="0" t="n">
        <s:v>2548</s:v>
      </s:c>
      <s:c r="H42" s="0" t="n">
        <s:v>7245</s:v>
      </s:c>
      <s:c r="I42" s="0" t="n">
        <s:v>1220</s:v>
      </s:c>
      <s:c r="J42" s="0" t="n">
        <s:v>1724</s:v>
      </s:c>
      <s:c r="K42" s="22">
        <s:f>'1'!F43</s:f>
        <s:v>46247.560636574075</s:v>
      </s:c>
      <s:c r="L42" s="22">
        <s:f>'2'!F43</s:f>
        <s:v>46247.54237268519</s:v>
      </s:c>
      <s:c r="M42" s="22">
        <s:f>'3'!F43</s:f>
        <s:v>46247.52496527778</s:v>
      </s:c>
      <s:c r="N42" s="22">
        <s:f>'4'!F43</s:f>
        <s:v>46247.47907407407</s:v>
      </s:c>
      <s:c r="O42" s="22">
        <s:f>'5'!F43</s:f>
        <s:v>46247.45072916667</s:v>
      </s:c>
      <s:c r="P42" s="22">
        <s:f>'6'!F43</s:f>
        <s:v>46247.43127314815</s:v>
      </s:c>
      <s:c r="Q42" s="22">
        <s:f>'7'!F43</s:f>
        <s:v>46247.40862268519</s:v>
      </s:c>
      <s:c r="R42" s="22">
        <s:f>'8'!F43</s:f>
        <s:v>46247.38443287037</s:v>
      </s:c>
      <s:c r="S42" s="22">
        <s:f>'9'!F43</s:f>
        <s:v>46247.36662037037</s:v>
      </s:c>
      <s:c r="T42" s="22">
        <s:f>'10'!F43</s:f>
        <s:v>46247.33739583333</s:v>
      </s:c>
      <s:c r="U42" s="23">
        <s:f>'자료구성'!$B$2</s:f>
        <s:v>46247.0</s:v>
      </s:c>
    </s:row>
    <s:row r="43">
      <s:c r="A43" s="0" t="n">
        <s:v>1602</s:v>
      </s:c>
      <s:c r="B43" s="0" t="n">
        <s:v>1630</s:v>
      </s:c>
      <s:c r="C43" s="0" t="n">
        <s:v>1958</s:v>
      </s:c>
      <s:c r="D43" s="0" t="n">
        <s:v>596</s:v>
      </s:c>
      <s:c r="E43" s="0" t="n">
        <s:v>1030</s:v>
      </s:c>
      <s:c r="F43" s="0" t="n">
        <s:v>3093</s:v>
      </s:c>
      <s:c r="G43" s="0" t="n">
        <s:v>2491</s:v>
      </s:c>
      <s:c r="H43" s="0" t="n">
        <s:v>7196</s:v>
      </s:c>
      <s:c r="I43" s="0" t="n">
        <s:v>1205</s:v>
      </s:c>
      <s:c r="J43" s="0" t="n">
        <s:v>1707</s:v>
      </s:c>
      <s:c r="K43" s="22">
        <s:f>'1'!F44</s:f>
        <s:v>46247.560648148145</s:v>
      </s:c>
      <s:c r="L43" s="22">
        <s:f>'2'!F44</s:f>
        <s:v>46247.54238425926</s:v>
      </s:c>
      <s:c r="M43" s="22">
        <s:f>'3'!F44</s:f>
        <s:v>46247.524976851855</s:v>
      </s:c>
      <s:c r="N43" s="22">
        <s:f>'4'!F44</s:f>
        <s:v>46247.47908564815</s:v>
      </s:c>
      <s:c r="O43" s="22">
        <s:f>'5'!F44</s:f>
        <s:v>46247.450740740744</s:v>
      </s:c>
      <s:c r="P43" s="22">
        <s:f>'6'!F44</s:f>
        <s:v>46247.431284722225</s:v>
      </s:c>
      <s:c r="Q43" s="22">
        <s:f>'7'!F44</s:f>
        <s:v>46247.408634259256</s:v>
      </s:c>
      <s:c r="R43" s="22">
        <s:f>'8'!F44</s:f>
        <s:v>46247.38444444445</s:v>
      </s:c>
      <s:c r="S43" s="22">
        <s:f>'9'!F44</s:f>
        <s:v>46247.366631944446</s:v>
      </s:c>
      <s:c r="T43" s="22">
        <s:f>'10'!F44</s:f>
        <s:v>46247.33740740741</s:v>
      </s:c>
      <s:c r="U43" s="23">
        <s:f>'자료구성'!$B$2</s:f>
        <s:v>46247.0</s:v>
      </s:c>
    </s:row>
    <s:row r="44">
      <s:c r="A44" s="0" t="n">
        <s:v>1601</s:v>
      </s:c>
      <s:c r="B44" s="0" t="n">
        <s:v>1551</s:v>
      </s:c>
      <s:c r="C44" s="0" t="n">
        <s:v>1871</s:v>
      </s:c>
      <s:c r="D44" s="0" t="n">
        <s:v>600</s:v>
      </s:c>
      <s:c r="E44" s="0" t="n">
        <s:v>1048</s:v>
      </s:c>
      <s:c r="F44" s="0" t="n">
        <s:v>3138</s:v>
      </s:c>
      <s:c r="G44" s="0" t="n">
        <s:v>2410</s:v>
      </s:c>
      <s:c r="H44" s="0" t="n">
        <s:v>7295</s:v>
      </s:c>
      <s:c r="I44" s="0" t="n">
        <s:v>1188</s:v>
      </s:c>
      <s:c r="J44" s="0" t="n">
        <s:v>1683</s:v>
      </s:c>
      <s:c r="K44" s="22">
        <s:f>'1'!F45</s:f>
        <s:v>46247.56065972222</s:v>
      </s:c>
      <s:c r="L44" s="22">
        <s:f>'2'!F45</s:f>
        <s:v>46247.542395833334</s:v>
      </s:c>
      <s:c r="M44" s="22">
        <s:f>'3'!F45</s:f>
        <s:v>46247.524988425925</s:v>
      </s:c>
      <s:c r="N44" s="22">
        <s:f>'4'!F45</s:f>
        <s:v>46247.479097222225</s:v>
      </s:c>
      <s:c r="O44" s="22">
        <s:f>'5'!F45</s:f>
        <s:v>46247.45075231481</s:v>
      </s:c>
      <s:c r="P44" s="22">
        <s:f>'6'!F45</s:f>
        <s:v>46247.431296296294</s:v>
      </s:c>
      <s:c r="Q44" s="22">
        <s:f>'7'!F45</s:f>
        <s:v>46247.40864583333</s:v>
      </s:c>
      <s:c r="R44" s="22">
        <s:f>'8'!F45</s:f>
        <s:v>46247.38445601852</s:v>
      </s:c>
      <s:c r="S44" s="22">
        <s:f>'9'!F45</s:f>
        <s:v>46247.366643518515</s:v>
      </s:c>
      <s:c r="T44" s="22">
        <s:f>'10'!F45</s:f>
        <s:v>46247.33741898148</s:v>
      </s:c>
      <s:c r="U44" s="23">
        <s:f>'자료구성'!$B$2</s:f>
        <s:v>46247.0</s:v>
      </s:c>
    </s:row>
    <s:row r="45">
      <s:c r="A45" s="0" t="n">
        <s:v>1645</s:v>
      </s:c>
      <s:c r="B45" s="0" t="n">
        <s:v>1507</s:v>
      </s:c>
      <s:c r="C45" s="0" t="n">
        <s:v>1802</s:v>
      </s:c>
      <s:c r="D45" s="0" t="n">
        <s:v>659</s:v>
      </s:c>
      <s:c r="E45" s="0" t="n">
        <s:v>1068</s:v>
      </s:c>
      <s:c r="F45" s="0" t="n">
        <s:v>3174</s:v>
      </s:c>
      <s:c r="G45" s="0" t="n">
        <s:v>2309</s:v>
      </s:c>
      <s:c r="H45" s="0" t="n">
        <s:v>7285</s:v>
      </s:c>
      <s:c r="I45" s="0" t="n">
        <s:v>1172</s:v>
      </s:c>
      <s:c r="J45" s="0" t="n">
        <s:v>1665</s:v>
      </s:c>
      <s:c r="K45" s="22">
        <s:f>'1'!F46</s:f>
        <s:v>46247.5606712963</s:v>
      </s:c>
      <s:c r="L45" s="22">
        <s:f>'2'!F46</s:f>
        <s:v>46247.54240740741</s:v>
      </s:c>
      <s:c r="M45" s="22">
        <s:f>'3'!F46</s:f>
        <s:v>46247.525</s:v>
      </s:c>
      <s:c r="N45" s="22">
        <s:f>'4'!F46</s:f>
        <s:v>46247.479108796295</s:v>
      </s:c>
      <s:c r="O45" s="22">
        <s:f>'5'!F46</s:f>
        <s:v>46247.45076388889</s:v>
      </s:c>
      <s:c r="P45" s="22">
        <s:f>'6'!F46</s:f>
        <s:v>46247.43130787037</s:v>
      </s:c>
      <s:c r="Q45" s="22">
        <s:f>'7'!F46</s:f>
        <s:v>46247.40865740741</s:v>
      </s:c>
      <s:c r="R45" s="22">
        <s:f>'8'!F46</s:f>
        <s:v>46247.384467592594</s:v>
      </s:c>
      <s:c r="S45" s="22">
        <s:f>'9'!F46</s:f>
        <s:v>46247.36665509259</s:v>
      </s:c>
      <s:c r="T45" s="22">
        <s:f>'10'!F46</s:f>
        <s:v>46247.337430555555</s:v>
      </s:c>
      <s:c r="U45" s="23">
        <s:f>'자료구성'!$B$2</s:f>
        <s:v>46247.0</s:v>
      </s:c>
    </s:row>
    <s:row r="46">
      <s:c r="A46" s="0" t="n">
        <s:v>1713</s:v>
      </s:c>
      <s:c r="B46" s="0" t="n">
        <s:v>1463</s:v>
      </s:c>
      <s:c r="C46" s="0" t="n">
        <s:v>1735</s:v>
      </s:c>
      <s:c r="D46" s="0" t="n">
        <s:v>704</s:v>
      </s:c>
      <s:c r="E46" s="0" t="n">
        <s:v>1087</s:v>
      </s:c>
      <s:c r="F46" s="0" t="n">
        <s:v>3173</s:v>
      </s:c>
      <s:c r="G46" s="0" t="n">
        <s:v>2229</s:v>
      </s:c>
      <s:c r="H46" s="0" t="n">
        <s:v>7301</s:v>
      </s:c>
      <s:c r="I46" s="0" t="n">
        <s:v>1175</s:v>
      </s:c>
      <s:c r="J46" s="0" t="n">
        <s:v>1682</s:v>
      </s:c>
      <s:c r="K46" s="22">
        <s:f>'1'!F47</s:f>
        <s:v>46247.56068287037</s:v>
      </s:c>
      <s:c r="L46" s="22">
        <s:f>'2'!F47</s:f>
        <s:v>46247.54241898148</s:v>
      </s:c>
      <s:c r="M46" s="22">
        <s:f>'3'!F47</s:f>
        <s:v>46247.52501157407</s:v>
      </s:c>
      <s:c r="N46" s="22">
        <s:f>'4'!F47</s:f>
        <s:v>46247.47912037037</s:v>
      </s:c>
      <s:c r="O46" s="22">
        <s:f>'5'!F47</s:f>
        <s:v>46247.45077546296</s:v>
      </s:c>
      <s:c r="P46" s="22">
        <s:f>'6'!F47</s:f>
        <s:v>46247.43131944445</s:v>
      </s:c>
      <s:c r="Q46" s="22">
        <s:f>'7'!F47</s:f>
        <s:v>46247.40866898148</s:v>
      </s:c>
      <s:c r="R46" s="22">
        <s:f>'8'!F47</s:f>
        <s:v>46247.38447916666</s:v>
      </s:c>
      <s:c r="S46" s="22">
        <s:f>'9'!F47</s:f>
        <s:v>46247.36666666667</s:v>
      </s:c>
      <s:c r="T46" s="22">
        <s:f>'10'!F47</s:f>
        <s:v>46247.33744212963</s:v>
      </s:c>
      <s:c r="U46" s="23">
        <s:f>'자료구성'!$B$2</s:f>
        <s:v>46247.0</s:v>
      </s:c>
    </s:row>
    <s:row r="47">
      <s:c r="A47" s="0" t="n">
        <s:v>1815</s:v>
      </s:c>
      <s:c r="B47" s="0" t="n">
        <s:v>1448</s:v>
      </s:c>
      <s:c r="C47" s="0" t="n">
        <s:v>1668</s:v>
      </s:c>
      <s:c r="D47" s="0" t="n">
        <s:v>707</s:v>
      </s:c>
      <s:c r="E47" s="0" t="n">
        <s:v>1142</s:v>
      </s:c>
      <s:c r="F47" s="0" t="n">
        <s:v>3173</s:v>
      </s:c>
      <s:c r="G47" s="0" t="n">
        <s:v>2140</s:v>
      </s:c>
      <s:c r="H47" s="0" t="n">
        <s:v>7354</s:v>
      </s:c>
      <s:c r="I47" s="0" t="n">
        <s:v>1180</s:v>
      </s:c>
      <s:c r="J47" s="0" t="n">
        <s:v>1679</s:v>
      </s:c>
      <s:c r="K47" s="22">
        <s:f>'1'!F48</s:f>
        <s:v>46247.560694444444</s:v>
      </s:c>
      <s:c r="L47" s="22">
        <s:f>'2'!F48</s:f>
        <s:v>46247.54243055556</s:v>
      </s:c>
      <s:c r="M47" s="22">
        <s:f>'3'!F48</s:f>
        <s:v>46247.52502314815</s:v>
      </s:c>
      <s:c r="N47" s="22">
        <s:f>'4'!F48</s:f>
        <s:v>46247.47913194444</s:v>
      </s:c>
      <s:c r="O47" s="22">
        <s:f>'5'!F48</s:f>
        <s:v>46247.450787037036</s:v>
      </s:c>
      <s:c r="P47" s="22">
        <s:f>'6'!F48</s:f>
        <s:v>46247.43133101852</s:v>
      </s:c>
      <s:c r="Q47" s="22">
        <s:f>'7'!F48</s:f>
        <s:v>46247.408680555556</s:v>
      </s:c>
      <s:c r="R47" s="22">
        <s:f>'8'!F48</s:f>
        <s:v>46247.38449074074</s:v>
      </s:c>
      <s:c r="S47" s="22">
        <s:f>'9'!F48</s:f>
        <s:v>46247.36667824074</s:v>
      </s:c>
      <s:c r="T47" s="22">
        <s:f>'10'!F48</s:f>
        <s:v>46247.3374537037</s:v>
      </s:c>
      <s:c r="U47" s="23">
        <s:f>'자료구성'!$B$2</s:f>
        <s:v>46247.0</s:v>
      </s:c>
    </s:row>
    <s:row r="48">
      <s:c r="A48" s="0" t="n">
        <s:v>1908</s:v>
      </s:c>
      <s:c r="B48" s="0" t="n">
        <s:v>1446</s:v>
      </s:c>
      <s:c r="C48" s="0" t="n">
        <s:v>1615</s:v>
      </s:c>
      <s:c r="D48" s="0" t="n">
        <s:v>718</s:v>
      </s:c>
      <s:c r="E48" s="0" t="n">
        <s:v>1168</s:v>
      </s:c>
      <s:c r="F48" s="0" t="n">
        <s:v>3163</s:v>
      </s:c>
      <s:c r="G48" s="0" t="n">
        <s:v>2082</s:v>
      </s:c>
      <s:c r="H48" s="0" t="n">
        <s:v>7377</s:v>
      </s:c>
      <s:c r="I48" s="0" t="n">
        <s:v>1177</s:v>
      </s:c>
      <s:c r="J48" s="0" t="n">
        <s:v>1678</s:v>
      </s:c>
      <s:c r="K48" s="22">
        <s:f>'1'!F49</s:f>
        <s:v>46247.56070601852</s:v>
      </s:c>
      <s:c r="L48" s="22">
        <s:f>'2'!F49</s:f>
        <s:v>46247.54244212963</s:v>
      </s:c>
      <s:c r="M48" s="22">
        <s:f>'3'!F49</s:f>
        <s:v>46247.525034722225</s:v>
      </s:c>
      <s:c r="N48" s="22">
        <s:f>'4'!F49</s:f>
        <s:v>46247.47914351852</s:v>
      </s:c>
      <s:c r="O48" s="22">
        <s:f>'5'!F49</s:f>
        <s:v>46247.45079861111</s:v>
      </s:c>
      <s:c r="P48" s="22">
        <s:f>'6'!F49</s:f>
        <s:v>46247.431342592594</s:v>
      </s:c>
      <s:c r="Q48" s="22">
        <s:f>'7'!F49</s:f>
        <s:v>46247.40869212963</s:v>
      </s:c>
      <s:c r="R48" s="22">
        <s:f>'8'!F49</s:f>
        <s:v>46247.38450231482</s:v>
      </s:c>
      <s:c r="S48" s="22">
        <s:f>'9'!F49</s:f>
        <s:v>46247.366689814815</s:v>
      </s:c>
      <s:c r="T48" s="22">
        <s:f>'10'!F49</s:f>
        <s:v>46247.33746527778</s:v>
      </s:c>
      <s:c r="U48" s="23">
        <s:f>'자료구성'!$B$2</s:f>
        <s:v>46247.0</s:v>
      </s:c>
    </s:row>
    <s:row r="49">
      <s:c r="A49" s="0" t="n">
        <s:v>1988</s:v>
      </s:c>
      <s:c r="B49" s="0" t="n">
        <s:v>1466</s:v>
      </s:c>
      <s:c r="C49" s="0" t="n">
        <s:v>1551</s:v>
      </s:c>
      <s:c r="D49" s="0" t="n">
        <s:v>729</s:v>
      </s:c>
      <s:c r="E49" s="0" t="n">
        <s:v>1196</s:v>
      </s:c>
      <s:c r="F49" s="0" t="n">
        <s:v>3139</s:v>
      </s:c>
      <s:c r="G49" s="0" t="n">
        <s:v>1998</s:v>
      </s:c>
      <s:c r="H49" s="0" t="n">
        <s:v>7335</s:v>
      </s:c>
      <s:c r="I49" s="0" t="n">
        <s:v>1176</s:v>
      </s:c>
      <s:c r="J49" s="0" t="n">
        <s:v>1693</s:v>
      </s:c>
      <s:c r="K49" s="22">
        <s:f>'1'!F50</s:f>
        <s:v>46247.56071759259</s:v>
      </s:c>
      <s:c r="L49" s="22">
        <s:f>'2'!F50</s:f>
        <s:v>46247.5424537037</s:v>
      </s:c>
      <s:c r="M49" s="22">
        <s:f>'3'!F50</s:f>
        <s:v>46247.525046296294</s:v>
      </s:c>
      <s:c r="N49" s="22">
        <s:f>'4'!F50</s:f>
        <s:v>46247.479155092595</s:v>
      </s:c>
      <s:c r="O49" s="22">
        <s:f>'5'!F50</s:f>
        <s:v>46247.45081018518</s:v>
      </s:c>
      <s:c r="P49" s="22">
        <s:f>'6'!F50</s:f>
        <s:v>46247.43135416666</s:v>
      </s:c>
      <s:c r="Q49" s="22">
        <s:f>'7'!F50</s:f>
        <s:v>46247.4087037037</s:v>
      </s:c>
      <s:c r="R49" s="22">
        <s:f>'8'!F50</s:f>
        <s:v>46247.38451388889</s:v>
      </s:c>
      <s:c r="S49" s="22">
        <s:f>'9'!F50</s:f>
        <s:v>46247.36670138889</s:v>
      </s:c>
      <s:c r="T49" s="22">
        <s:f>'10'!F50</s:f>
        <s:v>46247.337476851855</s:v>
      </s:c>
      <s:c r="U49" s="23">
        <s:f>'자료구성'!$B$2</s:f>
        <s:v>46247.0</s:v>
      </s:c>
    </s:row>
    <s:row r="50">
      <s:c r="A50" s="0" t="n">
        <s:v>2056</s:v>
      </s:c>
      <s:c r="B50" s="0" t="n">
        <s:v>1465</s:v>
      </s:c>
      <s:c r="C50" s="0" t="n">
        <s:v>1525</s:v>
      </s:c>
      <s:c r="D50" s="0" t="n">
        <s:v>766</s:v>
      </s:c>
      <s:c r="E50" s="0" t="n">
        <s:v>1261</s:v>
      </s:c>
      <s:c r="F50" s="0" t="n">
        <s:v>3120</s:v>
      </s:c>
      <s:c r="G50" s="0" t="n">
        <s:v>1923</s:v>
      </s:c>
      <s:c r="H50" s="0" t="n">
        <s:v>7216</s:v>
      </s:c>
      <s:c r="I50" s="0" t="n">
        <s:v>1161</s:v>
      </s:c>
      <s:c r="J50" s="0" t="n">
        <s:v>1762</s:v>
      </s:c>
      <s:c r="K50" s="22">
        <s:f>'1'!F51</s:f>
        <s:v>46247.56072916667</s:v>
      </s:c>
      <s:c r="L50" s="22">
        <s:f>'2'!F51</s:f>
        <s:v>46247.54246527778</s:v>
      </s:c>
      <s:c r="M50" s="22">
        <s:f>'3'!F51</s:f>
        <s:v>46247.52505787037</s:v>
      </s:c>
      <s:c r="N50" s="22">
        <s:f>'4'!F51</s:f>
        <s:v>46247.479166666664</s:v>
      </s:c>
      <s:c r="O50" s="22">
        <s:f>'5'!F51</s:f>
        <s:v>46247.45082175926</s:v>
      </s:c>
      <s:c r="P50" s="22">
        <s:f>'6'!F51</s:f>
        <s:v>46247.43136574074</s:v>
      </s:c>
      <s:c r="Q50" s="22">
        <s:f>'7'!F51</s:f>
        <s:v>46247.40871527778</s:v>
      </s:c>
      <s:c r="R50" s="22">
        <s:f>'8'!F51</s:f>
        <s:v>46247.38452546296</s:v>
      </s:c>
      <s:c r="S50" s="22">
        <s:f>'9'!F51</s:f>
        <s:v>46247.36671296296</s:v>
      </s:c>
      <s:c r="T50" s="22">
        <s:f>'10'!F51</s:f>
        <s:v>46247.337488425925</s:v>
      </s:c>
      <s:c r="U50" s="23">
        <s:f>'자료구성'!$B$2</s:f>
        <s:v>46247.0</s:v>
      </s:c>
    </s:row>
    <s:row r="51">
      <s:c r="A51" s="0" t="n">
        <s:v>2083</s:v>
      </s:c>
      <s:c r="B51" s="0" t="n">
        <s:v>1464</s:v>
      </s:c>
      <s:c r="C51" s="0" t="n">
        <s:v>1592</s:v>
      </s:c>
      <s:c r="D51" s="0" t="n">
        <s:v>836</s:v>
      </s:c>
      <s:c r="E51" s="0" t="n">
        <s:v>1324</s:v>
      </s:c>
      <s:c r="F51" s="0" t="n">
        <s:v>3065</s:v>
      </s:c>
      <s:c r="G51" s="0" t="n">
        <s:v>1898</s:v>
      </s:c>
      <s:c r="H51" s="0" t="n">
        <s:v>7001</s:v>
      </s:c>
      <s:c r="I51" s="0" t="n">
        <s:v>1172</s:v>
      </s:c>
      <s:c r="J51" s="0" t="n">
        <s:v>1820</s:v>
      </s:c>
      <s:c r="K51" s="22">
        <s:f>'1'!F52</s:f>
        <s:v>46247.560740740744</s:v>
      </s:c>
      <s:c r="L51" s="22">
        <s:f>'2'!F52</s:f>
        <s:v>46247.54247685185</s:v>
      </s:c>
      <s:c r="M51" s="22">
        <s:f>'3'!F52</s:f>
        <s:v>46247.52506944445</s:v>
      </s:c>
      <s:c r="N51" s="22">
        <s:f>'4'!F52</s:f>
        <s:v>46247.47917824074</s:v>
      </s:c>
      <s:c r="O51" s="22">
        <s:f>'5'!F52</s:f>
        <s:v>46247.450833333336</s:v>
      </s:c>
      <s:c r="P51" s="22">
        <s:f>'6'!F52</s:f>
        <s:v>46247.43137731482</s:v>
      </s:c>
      <s:c r="Q51" s="22">
        <s:f>'7'!F52</s:f>
        <s:v>46247.40872685185</s:v>
      </s:c>
      <s:c r="R51" s="22">
        <s:f>'8'!F52</s:f>
        <s:v>46247.38453703704</s:v>
      </s:c>
      <s:c r="S51" s="22">
        <s:f>'9'!F52</s:f>
        <s:v>46247.36672453704</s:v>
      </s:c>
      <s:c r="T51" s="22">
        <s:f>'10'!F52</s:f>
        <s:v>46247.3375</s:v>
      </s:c>
      <s:c r="U51" s="23">
        <s:f>'자료구성'!$B$2</s:f>
        <s:v>46247.0</s:v>
      </s:c>
    </s:row>
    <s:row r="52">
      <s:c r="A52" s="0" t="n">
        <s:v>2148</s:v>
      </s:c>
      <s:c r="B52" s="0" t="n">
        <s:v>1453</s:v>
      </s:c>
      <s:c r="C52" s="0" t="n">
        <s:v>1636</s:v>
      </s:c>
      <s:c r="D52" s="0" t="n">
        <s:v>908</s:v>
      </s:c>
      <s:c r="E52" s="0" t="n">
        <s:v>1333</s:v>
      </s:c>
      <s:c r="F52" s="0" t="n">
        <s:v>3041</s:v>
      </s:c>
      <s:c r="G52" s="0" t="n">
        <s:v>1906</s:v>
      </s:c>
      <s:c r="H52" s="0" t="n">
        <s:v>6950</s:v>
      </s:c>
      <s:c r="I52" s="0" t="n">
        <s:v>1175</s:v>
      </s:c>
      <s:c r="J52" s="0" t="n">
        <s:v>1849</s:v>
      </s:c>
      <s:c r="K52" s="22">
        <s:f>'1'!F53</s:f>
        <s:v>46247.560752314814</s:v>
      </s:c>
      <s:c r="L52" s="22">
        <s:f>'2'!F53</s:f>
        <s:v>46247.54248842593</s:v>
      </s:c>
      <s:c r="M52" s="22">
        <s:f>'3'!F53</s:f>
        <s:v>46247.52508101852</s:v>
      </s:c>
      <s:c r="N52" s="22">
        <s:f>'4'!F53</s:f>
        <s:v>46247.47918981482</s:v>
      </s:c>
      <s:c r="O52" s="22">
        <s:f>'5'!F53</s:f>
        <s:v>46247.450844907406</s:v>
      </s:c>
      <s:c r="P52" s="22">
        <s:f>'6'!F53</s:f>
        <s:v>46247.43138888889</s:v>
      </s:c>
      <s:c r="Q52" s="22">
        <s:f>'7'!F53</s:f>
        <s:v>46247.408738425926</s:v>
      </s:c>
      <s:c r="R52" s="22">
        <s:f>'8'!F53</s:f>
        <s:v>46247.38454861111</s:v>
      </s:c>
      <s:c r="S52" s="22">
        <s:f>'9'!F53</s:f>
        <s:v>46247.366736111115</s:v>
      </s:c>
      <s:c r="T52" s="22">
        <s:f>'10'!F53</s:f>
        <s:v>46247.33751157407</s:v>
      </s:c>
      <s:c r="U52" s="23">
        <s:f>'자료구성'!$B$2</s:f>
        <s:v>46247.0</s:v>
      </s:c>
    </s:row>
    <s:row r="53">
      <s:c r="A53" s="0" t="n">
        <s:v>2190</s:v>
      </s:c>
      <s:c r="B53" s="0" t="n">
        <s:v>1444</s:v>
      </s:c>
      <s:c r="C53" s="0" t="n">
        <s:v>1680</s:v>
      </s:c>
      <s:c r="D53" s="0" t="n">
        <s:v>939</s:v>
      </s:c>
      <s:c r="E53" s="0" t="n">
        <s:v>1353</s:v>
      </s:c>
      <s:c r="F53" s="0" t="n">
        <s:v>2997</s:v>
      </s:c>
      <s:c r="G53" s="0" t="n">
        <s:v>1913</s:v>
      </s:c>
      <s:c r="H53" s="0" t="n">
        <s:v>6971</s:v>
      </s:c>
      <s:c r="I53" s="0" t="n">
        <s:v>1187</s:v>
      </s:c>
      <s:c r="J53" s="0" t="n">
        <s:v>1864</s:v>
      </s:c>
      <s:c r="K53" s="22">
        <s:f>'1'!F54</s:f>
        <s:v>46247.56076388889</s:v>
      </s:c>
      <s:c r="L53" s="22">
        <s:f>'2'!F54</s:f>
        <s:v>46247.5425</s:v>
      </s:c>
      <s:c r="M53" s="22">
        <s:f>'3'!F54</s:f>
        <s:v>46247.525092592594</s:v>
      </s:c>
      <s:c r="N53" s="22">
        <s:f>'4'!F54</s:f>
        <s:v>46247.47920138889</s:v>
      </s:c>
      <s:c r="O53" s="22">
        <s:f>'5'!F54</s:f>
        <s:v>46247.45085648148</s:v>
      </s:c>
      <s:c r="P53" s="22">
        <s:f>'6'!F54</s:f>
        <s:v>46247.43140046296</s:v>
      </s:c>
      <s:c r="Q53" s="22">
        <s:f>'7'!F54</s:f>
        <s:v>46247.40875</s:v>
      </s:c>
      <s:c r="R53" s="22">
        <s:f>'8'!F54</s:f>
        <s:v>46247.384560185186</s:v>
      </s:c>
      <s:c r="S53" s="22">
        <s:f>'9'!F54</s:f>
        <s:v>46247.366747685184</s:v>
      </s:c>
      <s:c r="T53" s="22">
        <s:f>'10'!F54</s:f>
        <s:v>46247.33752314815</s:v>
      </s:c>
      <s:c r="U53" s="23">
        <s:f>'자료구성'!$B$2</s:f>
        <s:v>46247.0</s:v>
      </s:c>
    </s:row>
    <s:row r="54">
      <s:c r="A54" s="0" t="n">
        <s:v>2230</s:v>
      </s:c>
      <s:c r="B54" s="0" t="n">
        <s:v>1450</s:v>
      </s:c>
      <s:c r="C54" s="0" t="n">
        <s:v>1714</s:v>
      </s:c>
      <s:c r="D54" s="0" t="n">
        <s:v>935</s:v>
      </s:c>
      <s:c r="E54" s="0" t="n">
        <s:v>1345</s:v>
      </s:c>
      <s:c r="F54" s="0" t="n">
        <s:v>2968</s:v>
      </s:c>
      <s:c r="G54" s="0" t="n">
        <s:v>1911</s:v>
      </s:c>
      <s:c r="H54" s="0" t="n">
        <s:v>7066</s:v>
      </s:c>
      <s:c r="I54" s="0" t="n">
        <s:v>1188</s:v>
      </s:c>
      <s:c r="J54" s="0" t="n">
        <s:v>1896</s:v>
      </s:c>
      <s:c r="K54" s="22">
        <s:f>'1'!F55</s:f>
        <s:v>46247.56077546296</s:v>
      </s:c>
      <s:c r="L54" s="22">
        <s:f>'2'!F55</s:f>
        <s:v>46247.54251157407</s:v>
      </s:c>
      <s:c r="M54" s="22">
        <s:f>'3'!F55</s:f>
        <s:v>46247.52510416666</s:v>
      </s:c>
      <s:c r="N54" s="22">
        <s:f>'4'!F55</s:f>
        <s:v>46247.479212962964</s:v>
      </s:c>
      <s:c r="O54" s="22">
        <s:f>'5'!F55</s:f>
        <s:v>46247.45086805556</s:v>
      </s:c>
      <s:c r="P54" s="22">
        <s:f>'6'!F55</s:f>
        <s:v>46247.43141203704</s:v>
      </s:c>
      <s:c r="Q54" s="22">
        <s:f>'7'!F55</s:f>
        <s:v>46247.40876157407</s:v>
      </s:c>
      <s:c r="R54" s="22">
        <s:f>'8'!F55</s:f>
        <s:v>46247.384571759256</s:v>
      </s:c>
      <s:c r="S54" s="22">
        <s:f>'9'!F55</s:f>
        <s:v>46247.36675925926</s:v>
      </s:c>
      <s:c r="T54" s="22">
        <s:f>'10'!F55</s:f>
        <s:v>46247.337534722225</s:v>
      </s:c>
      <s:c r="U54" s="23">
        <s:f>'자료구성'!$B$2</s:f>
        <s:v>46247.0</s:v>
      </s:c>
    </s:row>
    <s:row r="55">
      <s:c r="A55" s="0" t="n">
        <s:v>2276</s:v>
      </s:c>
      <s:c r="B55" s="0" t="n">
        <s:v>1492</s:v>
      </s:c>
      <s:c r="C55" s="0" t="n">
        <s:v>1723</s:v>
      </s:c>
      <s:c r="D55" s="0" t="n">
        <s:v>936</s:v>
      </s:c>
      <s:c r="E55" s="0" t="n">
        <s:v>1334</s:v>
      </s:c>
      <s:c r="F55" s="0" t="n">
        <s:v>2986</s:v>
      </s:c>
      <s:c r="G55" s="0" t="n">
        <s:v>1893</s:v>
      </s:c>
      <s:c r="H55" s="0" t="n">
        <s:v>7172</s:v>
      </s:c>
      <s:c r="I55" s="0" t="n">
        <s:v>1156</s:v>
      </s:c>
      <s:c r="J55" s="0" t="n">
        <s:v>1947</s:v>
      </s:c>
      <s:c r="K55" s="22">
        <s:f>'1'!F56</s:f>
        <s:v>46247.56078703704</s:v>
      </s:c>
      <s:c r="L55" s="22">
        <s:f>'2'!F56</s:f>
        <s:v>46247.54252314815</s:v>
      </s:c>
      <s:c r="M55" s="22">
        <s:f>'3'!F56</s:f>
        <s:v>46247.52511574074</s:v>
      </s:c>
      <s:c r="N55" s="22">
        <s:f>'4'!F56</s:f>
        <s:v>46247.47922453703</s:v>
      </s:c>
      <s:c r="O55" s="22">
        <s:f>'5'!F56</s:f>
        <s:v>46247.45087962963</s:v>
      </s:c>
      <s:c r="P55" s="22">
        <s:f>'6'!F56</s:f>
        <s:v>46247.43142361111</s:v>
      </s:c>
      <s:c r="Q55" s="22">
        <s:f>'7'!F56</s:f>
        <s:v>46247.40877314815</s:v>
      </s:c>
      <s:c r="R55" s="22">
        <s:f>'8'!F56</s:f>
        <s:v>46247.38458333333</s:v>
      </s:c>
      <s:c r="S55" s="22">
        <s:f>'9'!F56</s:f>
        <s:v>46247.36677083333</s:v>
      </s:c>
      <s:c r="T55" s="22">
        <s:f>'10'!F56</s:f>
        <s:v>46247.337546296294</s:v>
      </s:c>
      <s:c r="U55" s="23">
        <s:f>'자료구성'!$B$2</s:f>
        <s:v>46247.0</s:v>
      </s:c>
    </s:row>
    <s:row r="56">
      <s:c r="A56" s="0" t="n">
        <s:v>2308</s:v>
      </s:c>
      <s:c r="B56" s="0" t="n">
        <s:v>1541</s:v>
      </s:c>
      <s:c r="C56" s="0" t="n">
        <s:v>1723</s:v>
      </s:c>
      <s:c r="D56" s="0" t="n">
        <s:v>945</s:v>
      </s:c>
      <s:c r="E56" s="0" t="n">
        <s:v>1299</s:v>
      </s:c>
      <s:c r="F56" s="0" t="n">
        <s:v>3045</s:v>
      </s:c>
      <s:c r="G56" s="0" t="n">
        <s:v>1899</s:v>
      </s:c>
      <s:c r="H56" s="0" t="n">
        <s:v>7172</s:v>
      </s:c>
      <s:c r="I56" s="0" t="n">
        <s:v>1151</s:v>
      </s:c>
      <s:c r="J56" s="0" t="n">
        <s:v>1997</s:v>
      </s:c>
      <s:c r="K56" s="22">
        <s:f>'1'!F57</s:f>
        <s:v>46247.56079861111</s:v>
      </s:c>
      <s:c r="L56" s="22">
        <s:f>'2'!F57</s:f>
        <s:v>46247.54253472222</s:v>
      </s:c>
      <s:c r="M56" s="22">
        <s:f>'3'!F57</s:f>
        <s:v>46247.52512731482</s:v>
      </s:c>
      <s:c r="N56" s="22">
        <s:f>'4'!F57</s:f>
        <s:v>46247.47923611111</s:v>
      </s:c>
      <s:c r="O56" s="22">
        <s:f>'5'!F57</s:f>
        <s:v>46247.450891203705</s:v>
      </s:c>
      <s:c r="P56" s="22">
        <s:f>'6'!F57</s:f>
        <s:v>46247.431435185186</s:v>
      </s:c>
      <s:c r="Q56" s="22">
        <s:f>'7'!F57</s:f>
        <s:v>46247.408784722225</s:v>
      </s:c>
      <s:c r="R56" s="22">
        <s:f>'8'!F57</s:f>
        <s:v>46247.38459490741</s:v>
      </s:c>
      <s:c r="S56" s="22">
        <s:f>'9'!F57</s:f>
        <s:v>46247.36678240741</s:v>
      </s:c>
      <s:c r="T56" s="22">
        <s:f>'10'!F57</s:f>
        <s:v>46247.33755787037</s:v>
      </s:c>
      <s:c r="U56" s="23">
        <s:f>'자료구성'!$B$2</s:f>
        <s:v>46247.0</s:v>
      </s:c>
    </s:row>
    <s:row r="57">
      <s:c r="A57" s="0" t="n">
        <s:v>2339</s:v>
      </s:c>
      <s:c r="B57" s="0" t="n">
        <s:v>1546</s:v>
      </s:c>
      <s:c r="C57" s="0" t="n">
        <s:v>1762</s:v>
      </s:c>
      <s:c r="D57" s="0" t="n">
        <s:v>982</s:v>
      </s:c>
      <s:c r="E57" s="0" t="n">
        <s:v>1299</s:v>
      </s:c>
      <s:c r="F57" s="0" t="n">
        <s:v>3084</s:v>
      </s:c>
      <s:c r="G57" s="0" t="n">
        <s:v>1916</s:v>
      </s:c>
      <s:c r="H57" s="0" t="n">
        <s:v>7199</s:v>
      </s:c>
      <s:c r="I57" s="0" t="n">
        <s:v>1158</s:v>
      </s:c>
      <s:c r="J57" s="0" t="n">
        <s:v>2030</s:v>
      </s:c>
      <s:c r="K57" s="22">
        <s:f>'1'!F58</s:f>
        <s:v>46247.56081018518</s:v>
      </s:c>
      <s:c r="L57" s="22">
        <s:f>'2'!F58</s:f>
        <s:v>46247.542546296296</s:v>
      </s:c>
      <s:c r="M57" s="22">
        <s:f>'3'!F58</s:f>
        <s:v>46247.52513888889</s:v>
      </s:c>
      <s:c r="N57" s="22">
        <s:f>'4'!F58</s:f>
        <s:v>46247.47924768519</s:v>
      </s:c>
      <s:c r="O57" s="22">
        <s:f>'5'!F58</s:f>
        <s:v>46247.450902777775</s:v>
      </s:c>
      <s:c r="P57" s="22">
        <s:f>'6'!F58</s:f>
        <s:v>46247.431446759256</s:v>
      </s:c>
      <s:c r="Q57" s="22">
        <s:f>'7'!F58</s:f>
        <s:v>46247.408796296295</s:v>
      </s:c>
      <s:c r="R57" s="22">
        <s:f>'8'!F58</s:f>
        <s:v>46247.38460648148</s:v>
      </s:c>
      <s:c r="S57" s="22">
        <s:f>'9'!F58</s:f>
        <s:v>46247.366793981484</s:v>
      </s:c>
      <s:c r="T57" s="22">
        <s:f>'10'!F58</s:f>
        <s:v>46247.33756944445</s:v>
      </s:c>
      <s:c r="U57" s="23">
        <s:f>'자료구성'!$B$2</s:f>
        <s:v>46247.0</s:v>
      </s:c>
    </s:row>
    <s:row r="58">
      <s:c r="A58" s="0" t="n">
        <s:v>2392</s:v>
      </s:c>
      <s:c r="B58" s="0" t="n">
        <s:v>1499</s:v>
      </s:c>
      <s:c r="C58" s="0" t="n">
        <s:v>1759</s:v>
      </s:c>
      <s:c r="D58" s="0" t="n">
        <s:v>19</s:v>
      </s:c>
      <s:c r="E58" s="0" t="n">
        <s:v>1345</s:v>
      </s:c>
      <s:c r="F58" s="0" t="n">
        <s:v>3171</s:v>
      </s:c>
      <s:c r="G58" s="0" t="n">
        <s:v>1932</s:v>
      </s:c>
      <s:c r="H58" s="0" t="n">
        <s:v>7264</s:v>
      </s:c>
      <s:c r="I58" s="0" t="n">
        <s:v>1140</s:v>
      </s:c>
      <s:c r="J58" s="0" t="n">
        <s:v>2078</s:v>
      </s:c>
      <s:c r="K58" s="22">
        <s:f>'1'!F59</s:f>
        <s:v>46247.56082175926</s:v>
      </s:c>
      <s:c r="L58" s="22">
        <s:f>'2'!F59</s:f>
        <s:v>46247.54255787037</s:v>
      </s:c>
      <s:c r="M58" s="22">
        <s:f>'3'!F59</s:f>
        <s:v>46247.52515046296</s:v>
      </s:c>
      <s:c r="N58" s="22">
        <s:f>'4'!F59</s:f>
        <s:v>46247.47925925926</s:v>
      </s:c>
      <s:c r="O58" s="22">
        <s:f>'5'!F59</s:f>
        <s:v>46247.45091435185</s:v>
      </s:c>
      <s:c r="P58" s="22">
        <s:f>'6'!F59</s:f>
        <s:v>46247.43145833333</s:v>
      </s:c>
      <s:c r="Q58" s="22">
        <s:f>'7'!F59</s:f>
        <s:v>46247.40880787037</s:v>
      </s:c>
      <s:c r="R58" s="22">
        <s:f>'8'!F59</s:f>
        <s:v>46247.384618055556</s:v>
      </s:c>
      <s:c r="S58" s="22">
        <s:f>'9'!F59</s:f>
        <s:v>46247.36680555555</s:v>
      </s:c>
      <s:c r="T58" s="22">
        <s:f>'10'!F59</s:f>
        <s:v>46247.33758101852</s:v>
      </s:c>
      <s:c r="U58" s="23">
        <s:f>'자료구성'!$B$2</s:f>
        <s:v>46247.0</s:v>
      </s:c>
    </s:row>
    <s:row r="59">
      <s:c r="A59" s="0" t="n">
        <s:v>2388</s:v>
      </s:c>
      <s:c r="B59" s="0" t="n">
        <s:v>1423</s:v>
      </s:c>
      <s:c r="C59" s="0" t="n">
        <s:v>1753</s:v>
      </s:c>
      <s:c r="D59" s="0" t="n">
        <s:v>24</s:v>
      </s:c>
      <s:c r="E59" s="0" t="n">
        <s:v>1330</s:v>
      </s:c>
      <s:c r="F59" s="0" t="n">
        <s:v>3266</s:v>
      </s:c>
      <s:c r="G59" s="0" t="n">
        <s:v>1974</s:v>
      </s:c>
      <s:c r="H59" s="0" t="n">
        <s:v>7385</s:v>
      </s:c>
      <s:c r="I59" s="0" t="n">
        <s:v>1137</s:v>
      </s:c>
      <s:c r="J59" s="0" t="n">
        <s:v>2095</s:v>
      </s:c>
      <s:c r="K59" s="22">
        <s:f>'1'!F60</s:f>
        <s:v>46247.56083333334</s:v>
      </s:c>
      <s:c r="L59" s="22">
        <s:f>'2'!F60</s:f>
        <s:v>46247.54256944444</s:v>
      </s:c>
      <s:c r="M59" s="22">
        <s:f>'3'!F60</s:f>
        <s:v>46247.52516203704</s:v>
      </s:c>
      <s:c r="N59" s="22">
        <s:f>'4'!F60</s:f>
        <s:v>46247.47927083333</s:v>
      </s:c>
      <s:c r="O59" s="22">
        <s:f>'5'!F60</s:f>
        <s:v>46247.45092592593</s:v>
      </s:c>
      <s:c r="P59" s="22">
        <s:f>'6'!F60</s:f>
        <s:v>46247.43146990741</s:v>
      </s:c>
      <s:c r="Q59" s="22">
        <s:f>'7'!F60</s:f>
        <s:v>46247.40881944444</s:v>
      </s:c>
      <s:c r="R59" s="22">
        <s:f>'8'!F60</s:f>
        <s:v>46247.38462962963</s:v>
      </s:c>
      <s:c r="S59" s="22">
        <s:f>'9'!F60</s:f>
        <s:v>46247.36681712963</s:v>
      </s:c>
      <s:c r="T59" s="22">
        <s:f>'10'!F60</s:f>
        <s:v>46247.337592592594</s:v>
      </s:c>
      <s:c r="U59" s="23">
        <s:f>'자료구성'!$B$2</s:f>
        <s:v>46247.0</s:v>
      </s:c>
    </s:row>
    <s:row r="60">
      <s:c r="A60" s="0" t="n">
        <s:v>2294</s:v>
      </s:c>
      <s:c r="B60" s="0" t="n">
        <s:v>1358</s:v>
      </s:c>
      <s:c r="C60" s="0" t="n">
        <s:v>1774</s:v>
      </s:c>
      <s:c r="D60" s="0" t="n">
        <s:v>99</s:v>
      </s:c>
      <s:c r="E60" s="0" t="n">
        <s:v>1313</s:v>
      </s:c>
      <s:c r="F60" s="0" t="n">
        <s:v>3408</s:v>
      </s:c>
      <s:c r="G60" s="0" t="n">
        <s:v>2045</s:v>
      </s:c>
      <s:c r="H60" s="0" t="n">
        <s:v>7324</s:v>
      </s:c>
      <s:c r="I60" s="0" t="n">
        <s:v>1136</s:v>
      </s:c>
      <s:c r="J60" s="0" t="n">
        <s:v>2150</s:v>
      </s:c>
      <s:c r="K60" s="22">
        <s:f>'1'!F61</s:f>
        <s:v>46247.560844907406</s:v>
      </s:c>
      <s:c r="L60" s="22">
        <s:f>'2'!F61</s:f>
        <s:v>46247.54258101852</s:v>
      </s:c>
      <s:c r="M60" s="22">
        <s:f>'3'!F61</s:f>
        <s:v>46247.52517361111</s:v>
      </s:c>
      <s:c r="N60" s="22">
        <s:f>'4'!F61</s:f>
        <s:v>46247.47928240741</s:v>
      </s:c>
      <s:c r="O60" s="22">
        <s:f>'5'!F61</s:f>
        <s:v>46247.4509375</s:v>
      </s:c>
      <s:c r="P60" s="22">
        <s:f>'6'!F61</s:f>
        <s:v>46247.43148148148</s:v>
      </s:c>
      <s:c r="Q60" s="22">
        <s:f>'7'!F61</s:f>
        <s:v>46247.40883101852</s:v>
      </s:c>
      <s:c r="R60" s="22">
        <s:f>'8'!F61</s:f>
        <s:v>46247.3846412037</s:v>
      </s:c>
      <s:c r="S60" s="22">
        <s:f>'9'!F61</s:f>
        <s:v>46247.36682870371</s:v>
      </s:c>
      <s:c r="T60" s="22">
        <s:f>'10'!F61</s:f>
        <s:v>46247.33760416666</s:v>
      </s:c>
      <s:c r="U60" s="23">
        <s:f>'자료구성'!$B$2</s:f>
        <s:v>46247.0</s:v>
      </s:c>
    </s:row>
    <s:row r="61">
      <s:c r="A61" s="0" t="n">
        <s:v>2210</s:v>
      </s:c>
      <s:c r="B61" s="0" t="n">
        <s:v>1288</s:v>
      </s:c>
      <s:c r="C61" s="0" t="n">
        <s:v>1879</s:v>
      </s:c>
      <s:c r="D61" s="0" t="n">
        <s:v>120</s:v>
      </s:c>
      <s:c r="E61" s="0" t="n">
        <s:v>1312</s:v>
      </s:c>
      <s:c r="F61" s="0" t="n">
        <s:v>3479</s:v>
      </s:c>
      <s:c r="G61" s="0" t="n">
        <s:v>2106</s:v>
      </s:c>
      <s:c r="H61" s="0" t="n">
        <s:v>7061</s:v>
      </s:c>
      <s:c r="I61" s="0" t="n">
        <s:v>1134</s:v>
      </s:c>
      <s:c r="J61" s="0" t="n">
        <s:v>2180</s:v>
      </s:c>
      <s:c r="K61" s="22">
        <s:f>'1'!F62</s:f>
        <s:v>46247.56085648148</s:v>
      </s:c>
      <s:c r="L61" s="22">
        <s:f>'2'!F62</s:f>
        <s:v>46247.542592592596</s:v>
      </s:c>
      <s:c r="M61" s="22">
        <s:f>'3'!F62</s:f>
        <s:v>46247.525185185186</s:v>
      </s:c>
      <s:c r="N61" s="22">
        <s:f>'4'!F62</s:f>
        <s:v>46247.47929398148</s:v>
      </s:c>
      <s:c r="O61" s="22">
        <s:f>'5'!F62</s:f>
        <s:v>46247.450949074075</s:v>
      </s:c>
      <s:c r="P61" s="22">
        <s:f>'6'!F62</s:f>
        <s:v>46247.431493055556</s:v>
      </s:c>
      <s:c r="Q61" s="22">
        <s:f>'7'!F62</s:f>
        <s:v>46247.408842592595</s:v>
      </s:c>
      <s:c r="R61" s="22">
        <s:f>'8'!F62</s:f>
        <s:v>46247.38465277778</s:v>
      </s:c>
      <s:c r="S61" s="22">
        <s:f>'9'!F62</s:f>
        <s:v>46247.36684027778</s:v>
      </s:c>
      <s:c r="T61" s="22">
        <s:f>'10'!F62</s:f>
        <s:v>46247.33761574074</s:v>
      </s:c>
      <s:c r="U61" s="23">
        <s:f>'자료구성'!$B$2</s:f>
        <s:v>46247.0</s:v>
      </s:c>
    </s:row>
    <s:row r="62">
      <s:c r="A62" s="0" t="n">
        <s:v>2163</s:v>
      </s:c>
      <s:c r="B62" s="0" t="n">
        <s:v>1236</s:v>
      </s:c>
      <s:c r="C62" s="0" t="n">
        <s:v>1929</s:v>
      </s:c>
      <s:c r="D62" s="0" t="n">
        <s:v>137</s:v>
      </s:c>
      <s:c r="E62" s="0" t="n">
        <s:v>1314</s:v>
      </s:c>
      <s:c r="F62" s="0" t="n">
        <s:v>3537</s:v>
      </s:c>
      <s:c r="G62" s="0" t="n">
        <s:v>2134</s:v>
      </s:c>
      <s:c r="H62" s="0" t="n">
        <s:v>6612</s:v>
      </s:c>
      <s:c r="I62" s="0" t="n">
        <s:v>1123</s:v>
      </s:c>
      <s:c r="J62" s="0" t="n">
        <s:v>2198</s:v>
      </s:c>
      <s:c r="K62" s="22">
        <s:f>'1'!F63</s:f>
        <s:v>46247.56086805555</s:v>
      </s:c>
      <s:c r="L62" s="22">
        <s:f>'2'!F63</s:f>
        <s:v>46247.542604166665</s:v>
      </s:c>
      <s:c r="M62" s="22">
        <s:f>'3'!F63</s:f>
        <s:v>46247.525196759256</s:v>
      </s:c>
      <s:c r="N62" s="22">
        <s:f>'4'!F63</s:f>
        <s:v>46247.47930555556</s:v>
      </s:c>
      <s:c r="O62" s="22">
        <s:f>'5'!F63</s:f>
        <s:v>46247.45096064815</s:v>
      </s:c>
      <s:c r="P62" s="22">
        <s:f>'6'!F63</s:f>
        <s:v>46247.43150462963</s:v>
      </s:c>
      <s:c r="Q62" s="22">
        <s:f>'7'!F63</s:f>
        <s:v>46247.408854166664</s:v>
      </s:c>
      <s:c r="R62" s="22">
        <s:f>'8'!F63</s:f>
        <s:v>46247.384664351855</s:v>
      </s:c>
      <s:c r="S62" s="22">
        <s:f>'9'!F63</s:f>
        <s:v>46247.36685185185</s:v>
      </s:c>
      <s:c r="T62" s="22">
        <s:f>'10'!F63</s:f>
        <s:v>46247.33762731482</s:v>
      </s:c>
      <s:c r="U62" s="23">
        <s:f>'자료구성'!$B$2</s:f>
        <s:v>46247.0</s:v>
      </s:c>
    </s:row>
    <s:row r="63">
      <s:c r="A63" s="0" t="n">
        <s:v>2008</s:v>
      </s:c>
      <s:c r="B63" s="0" t="n">
        <s:v>1201</s:v>
      </s:c>
      <s:c r="C63" s="0" t="n">
        <s:v>1951</s:v>
      </s:c>
      <s:c r="D63" s="0" t="n">
        <s:v>115</s:v>
      </s:c>
      <s:c r="E63" s="0" t="n">
        <s:v>1313</s:v>
      </s:c>
      <s:c r="F63" s="0" t="n">
        <s:v>3607</s:v>
      </s:c>
      <s:c r="G63" s="0" t="n">
        <s:v>2176</s:v>
      </s:c>
      <s:c r="H63" s="0" t="n">
        <s:v>6233</s:v>
      </s:c>
      <s:c r="I63" s="0" t="n">
        <s:v>1123</s:v>
      </s:c>
      <s:c r="J63" s="0" t="n">
        <s:v>2195</s:v>
      </s:c>
      <s:c r="K63" s="22">
        <s:f>'1'!F64</s:f>
        <s:v>46247.56087962963</s:v>
      </s:c>
      <s:c r="L63" s="22">
        <s:f>'2'!F64</s:f>
        <s:v>46247.54261574074</s:v>
      </s:c>
      <s:c r="M63" s="22">
        <s:f>'3'!F64</s:f>
        <s:v>46247.52520833333</s:v>
      </s:c>
      <s:c r="N63" s="22">
        <s:f>'4'!F64</s:f>
        <s:v>46247.479317129626</s:v>
      </s:c>
      <s:c r="O63" s="22">
        <s:f>'5'!F64</s:f>
        <s:v>46247.45097222222</s:v>
      </s:c>
      <s:c r="P63" s="22">
        <s:f>'6'!F64</s:f>
        <s:v>46247.4315162037</s:v>
      </s:c>
      <s:c r="Q63" s="22">
        <s:f>'7'!F64</s:f>
        <s:v>46247.40886574074</s:v>
      </s:c>
      <s:c r="R63" s="22">
        <s:f>'8'!F64</s:f>
        <s:v>46247.384675925925</s:v>
      </s:c>
      <s:c r="S63" s="22">
        <s:f>'9'!F64</s:f>
        <s:v>46247.36686342592</s:v>
      </s:c>
      <s:c r="T63" s="22">
        <s:f>'10'!F64</s:f>
        <s:v>46247.33763888889</s:v>
      </s:c>
      <s:c r="U63" s="23">
        <s:f>'자료구성'!$B$2</s:f>
        <s:v>46247.0</s:v>
      </s:c>
    </s:row>
    <s:row r="64">
      <s:c r="A64" s="0" t="n">
        <s:v>1962</s:v>
      </s:c>
      <s:c r="B64" s="0" t="n">
        <s:v>1163</s:v>
      </s:c>
      <s:c r="C64" s="0" t="n">
        <s:v>1975</s:v>
      </s:c>
      <s:c r="D64" s="0" t="n">
        <s:v>37</s:v>
      </s:c>
      <s:c r="E64" s="0" t="n">
        <s:v>1314</s:v>
      </s:c>
      <s:c r="F64" s="0" t="n">
        <s:v>3685</s:v>
      </s:c>
      <s:c r="G64" s="0" t="n">
        <s:v>2226</s:v>
      </s:c>
      <s:c r="H64" s="0" t="n">
        <s:v>5836</s:v>
      </s:c>
      <s:c r="I64" s="0" t="n">
        <s:v>1114</s:v>
      </s:c>
      <s:c r="J64" s="0" t="n">
        <s:v>2176</s:v>
      </s:c>
      <s:c r="K64" s="22">
        <s:f>'1'!F65</s:f>
        <s:v>46247.560891203706</s:v>
      </s:c>
      <s:c r="L64" s="22">
        <s:f>'2'!F65</s:f>
        <s:v>46247.54262731481</s:v>
      </s:c>
      <s:c r="M64" s="22">
        <s:f>'3'!F65</s:f>
        <s:v>46247.52521990741</s:v>
      </s:c>
      <s:c r="N64" s="22">
        <s:f>'4'!F65</s:f>
        <s:v>46247.4793287037</s:v>
      </s:c>
      <s:c r="O64" s="22">
        <s:f>'5'!F65</s:f>
        <s:v>46247.4509837963</s:v>
      </s:c>
      <s:c r="P64" s="22">
        <s:f>'6'!F65</s:f>
        <s:v>46247.43152777778</s:v>
      </s:c>
      <s:c r="Q64" s="22">
        <s:f>'7'!F65</s:f>
        <s:v>46247.40887731482</s:v>
      </s:c>
      <s:c r="R64" s="22">
        <s:f>'8'!F65</s:f>
        <s:v>46247.3846875</s:v>
      </s:c>
      <s:c r="S64" s="22">
        <s:f>'9'!F65</s:f>
        <s:v>46247.366875</s:v>
      </s:c>
      <s:c r="T64" s="22">
        <s:f>'10'!F65</s:f>
        <s:v>46247.33765046296</s:v>
      </s:c>
      <s:c r="U64" s="23">
        <s:f>'자료구성'!$B$2</s:f>
        <s:v>46247.0</s:v>
      </s:c>
    </s:row>
    <s:row r="65">
      <s:c r="A65" s="0" t="n">
        <s:v>1990</s:v>
      </s:c>
      <s:c r="B65" s="0" t="n">
        <s:v>1136</s:v>
      </s:c>
      <s:c r="C65" s="0" t="n">
        <s:v>1960</s:v>
      </s:c>
      <s:c r="D65" s="0" t="n">
        <s:v>986</s:v>
      </s:c>
      <s:c r="E65" s="0" t="n">
        <s:v>1322</s:v>
      </s:c>
      <s:c r="F65" s="0" t="n">
        <s:v>3694</s:v>
      </s:c>
      <s:c r="G65" s="0" t="n">
        <s:v>2267</s:v>
      </s:c>
      <s:c r="H65" s="0" t="n">
        <s:v>5498</s:v>
      </s:c>
      <s:c r="I65" s="0" t="n">
        <s:v>1118</s:v>
      </s:c>
      <s:c r="J65" s="0" t="n">
        <s:v>2171</s:v>
      </s:c>
      <s:c r="K65" s="22">
        <s:f>'1'!F66</s:f>
        <s:v>46247.560902777775</s:v>
      </s:c>
      <s:c r="L65" s="22">
        <s:f>'2'!F66</s:f>
        <s:v>46247.54263888889</s:v>
      </s:c>
      <s:c r="M65" s="22">
        <s:f>'3'!F66</s:f>
        <s:v>46247.52523148148</s:v>
      </s:c>
      <s:c r="N65" s="22">
        <s:f>'4'!F66</s:f>
        <s:v>46247.47934027778</s:v>
      </s:c>
      <s:c r="O65" s="22">
        <s:f>'5'!F66</s:f>
        <s:v>46247.45099537037</s:v>
      </s:c>
      <s:c r="P65" s="22">
        <s:f>'6'!F66</s:f>
        <s:v>46247.431539351855</s:v>
      </s:c>
      <s:c r="Q65" s="22">
        <s:f>'7'!F66</s:f>
        <s:v>46247.40888888889</s:v>
      </s:c>
      <s:c r="R65" s="22">
        <s:f>'8'!F66</s:f>
        <s:v>46247.38469907407</s:v>
      </s:c>
      <s:c r="S65" s="22">
        <s:f>'9'!F66</s:f>
        <s:v>46247.36688657408</s:v>
      </s:c>
      <s:c r="T65" s="22">
        <s:f>'10'!F66</s:f>
        <s:v>46247.33766203704</s:v>
      </s:c>
      <s:c r="U65" s="23">
        <s:f>'자료구성'!$B$2</s:f>
        <s:v>46247.0</s:v>
      </s:c>
    </s:row>
    <s:row r="66">
      <s:c r="A66" s="0" t="n">
        <s:v>2052</s:v>
      </s:c>
      <s:c r="B66" s="0" t="n">
        <s:v>1122</s:v>
      </s:c>
      <s:c r="C66" s="0" t="n">
        <s:v>1930</s:v>
      </s:c>
      <s:c r="D66" s="0" t="n">
        <s:v>955</s:v>
      </s:c>
      <s:c r="E66" s="0" t="n">
        <s:v>1356</s:v>
      </s:c>
      <s:c r="F66" s="0" t="n">
        <s:v>3723</s:v>
      </s:c>
      <s:c r="G66" s="0" t="n">
        <s:v>2303</s:v>
      </s:c>
      <s:c r="H66" s="0" t="n">
        <s:v>5292</s:v>
      </s:c>
      <s:c r="I66" s="0" t="n">
        <s:v>1131</s:v>
      </s:c>
      <s:c r="J66" s="0" t="n">
        <s:v>2164</s:v>
      </s:c>
      <s:c r="K66" s="22">
        <s:f>'1'!F67</s:f>
        <s:v>46247.56091435185</s:v>
      </s:c>
      <s:c r="L66" s="22">
        <s:f>'2'!F67</s:f>
        <s:v>46247.542650462965</s:v>
      </s:c>
      <s:c r="M66" s="22">
        <s:f>'3'!F67</s:f>
        <s:v>46247.525243055556</s:v>
      </s:c>
      <s:c r="N66" s="22">
        <s:f>'4'!F67</s:f>
        <s:v>46247.47935185185</s:v>
      </s:c>
      <s:c r="O66" s="22">
        <s:f>'5'!F67</s:f>
        <s:v>46247.451006944444</s:v>
      </s:c>
      <s:c r="P66" s="22">
        <s:f>'6'!F67</s:f>
        <s:v>46247.431550925925</s:v>
      </s:c>
      <s:c r="Q66" s="22">
        <s:f>'7'!F67</s:f>
        <s:v>46247.408900462964</s:v>
      </s:c>
      <s:c r="R66" s="22">
        <s:f>'8'!F67</s:f>
        <s:v>46247.38471064815</s:v>
      </s:c>
      <s:c r="S66" s="22">
        <s:f>'9'!F67</s:f>
        <s:v>46247.366898148146</s:v>
      </s:c>
      <s:c r="T66" s="22">
        <s:f>'10'!F67</s:f>
        <s:v>46247.33767361111</s:v>
      </s:c>
      <s:c r="U66" s="23">
        <s:f>'자료구성'!$B$2</s:f>
        <s:v>46247.0</s:v>
      </s:c>
    </s:row>
    <s:row r="67">
      <s:c r="A67" s="0" t="n">
        <s:v>2013</s:v>
      </s:c>
      <s:c r="B67" s="0" t="n">
        <s:v>1104</s:v>
      </s:c>
      <s:c r="C67" s="0" t="n">
        <s:v>1931</s:v>
      </s:c>
      <s:c r="D67" s="0" t="n">
        <s:v>915</s:v>
      </s:c>
      <s:c r="E67" s="0" t="n">
        <s:v>1345</s:v>
      </s:c>
      <s:c r="F67" s="0" t="n">
        <s:v>3772</s:v>
      </s:c>
      <s:c r="G67" s="0" t="n">
        <s:v>2312</s:v>
      </s:c>
      <s:c r="H67" s="0" t="n">
        <s:v>5085</s:v>
      </s:c>
      <s:c r="I67" s="0" t="n">
        <s:v>1124</s:v>
      </s:c>
      <s:c r="J67" s="0" t="n">
        <s:v>2161</s:v>
      </s:c>
      <s:c r="K67" s="22">
        <s:f>'1'!F68</s:f>
        <s:v>46247.56092592593</s:v>
      </s:c>
      <s:c r="L67" s="22">
        <s:f>'2'!F68</s:f>
        <s:v>46247.542662037034</s:v>
      </s:c>
      <s:c r="M67" s="22">
        <s:f>'3'!F68</s:f>
        <s:v>46247.52525462963</s:v>
      </s:c>
      <s:c r="N67" s="22">
        <s:f>'4'!F68</s:f>
        <s:v>46247.479363425926</s:v>
      </s:c>
      <s:c r="O67" s="22">
        <s:f>'5'!F68</s:f>
        <s:v>46247.45101851852</s:v>
      </s:c>
      <s:c r="P67" s="22">
        <s:f>'6'!F68</s:f>
        <s:v>46247.4315625</s:v>
      </s:c>
      <s:c r="Q67" s="22">
        <s:f>'7'!F68</s:f>
        <s:v>46247.40891203703</s:v>
      </s:c>
      <s:c r="R67" s="22">
        <s:f>'8'!F68</s:f>
        <s:v>46247.384722222225</s:v>
      </s:c>
      <s:c r="S67" s="22">
        <s:f>'9'!F68</s:f>
        <s:v>46247.36690972222</s:v>
      </s:c>
      <s:c r="T67" s="22">
        <s:f>'10'!F68</s:f>
        <s:v>46247.337685185186</s:v>
      </s:c>
      <s:c r="U67" s="23">
        <s:f>'자료구성'!$B$2</s:f>
        <s:v>46247.0</s:v>
      </s:c>
    </s:row>
    <s:row r="68">
      <s:c r="A68" s="0" t="n">
        <s:v>1974</s:v>
      </s:c>
      <s:c r="B68" s="0" t="n">
        <s:v>1084</s:v>
      </s:c>
      <s:c r="C68" s="0" t="n">
        <s:v>1935</s:v>
      </s:c>
      <s:c r="D68" s="0" t="n">
        <s:v>874</s:v>
      </s:c>
      <s:c r="E68" s="0" t="n">
        <s:v>1333</s:v>
      </s:c>
      <s:c r="F68" s="0" t="n">
        <s:v>3865</s:v>
      </s:c>
      <s:c r="G68" s="0" t="n">
        <s:v>2345</s:v>
      </s:c>
      <s:c r="H68" s="0" t="n">
        <s:v>4858</s:v>
      </s:c>
      <s:c r="I68" s="0" t="n">
        <s:v>1118</s:v>
      </s:c>
      <s:c r="J68" s="0" t="n">
        <s:v>2112</s:v>
      </s:c>
      <s:c r="K68" s="22">
        <s:f>'1'!F69</s:f>
        <s:v>46247.5609375</s:v>
      </s:c>
      <s:c r="L68" s="22">
        <s:f>'2'!F69</s:f>
        <s:v>46247.54267361111</s:v>
      </s:c>
      <s:c r="M68" s="22">
        <s:f>'3'!F69</s:f>
        <s:v>46247.5252662037</s:v>
      </s:c>
      <s:c r="N68" s="22">
        <s:f>'4'!F69</s:f>
        <s:v>46247.479375</s:v>
      </s:c>
      <s:c r="O68" s="22">
        <s:f>'5'!F69</s:f>
        <s:v>46247.45103009259</s:v>
      </s:c>
      <s:c r="P68" s="22">
        <s:f>'6'!F69</s:f>
        <s:v>46247.43157407407</s:v>
      </s:c>
      <s:c r="Q68" s="22">
        <s:f>'7'!F69</s:f>
        <s:v>46247.40892361111</s:v>
      </s:c>
      <s:c r="R68" s="22">
        <s:f>'8'!F69</s:f>
        <s:v>46247.384733796294</s:v>
      </s:c>
      <s:c r="S68" s="22">
        <s:f>'9'!F69</s:f>
        <s:v>46247.3669212963</s:v>
      </s:c>
      <s:c r="T68" s="22">
        <s:f>'10'!F69</s:f>
        <s:v>46247.337696759256</s:v>
      </s:c>
      <s:c r="U68" s="23">
        <s:f>'자료구성'!$B$2</s:f>
        <s:v>46247.0</s:v>
      </s:c>
    </s:row>
    <s:row r="69">
      <s:c r="A69" s="0" t="n">
        <s:v>1963</s:v>
      </s:c>
      <s:c r="B69" s="0" t="n">
        <s:v>1099</s:v>
      </s:c>
      <s:c r="C69" s="0" t="n">
        <s:v>1931</s:v>
      </s:c>
      <s:c r="D69" s="0" t="n">
        <s:v>846</s:v>
      </s:c>
      <s:c r="E69" s="0" t="n">
        <s:v>1310</s:v>
      </s:c>
      <s:c r="F69" s="0" t="n">
        <s:v>3891</s:v>
      </s:c>
      <s:c r="G69" s="0" t="n">
        <s:v>2373</s:v>
      </s:c>
      <s:c r="H69" s="0" t="n">
        <s:v>4662</s:v>
      </s:c>
      <s:c r="I69" s="0" t="n">
        <s:v>1098</s:v>
      </s:c>
      <s:c r="J69" s="0" t="n">
        <s:v>2067</s:v>
      </s:c>
      <s:c r="K69" s="22">
        <s:f>'1'!F70</s:f>
        <s:v>46247.560949074075</s:v>
      </s:c>
      <s:c r="L69" s="22">
        <s:f>'2'!F70</s:f>
        <s:v>46247.54268518519</s:v>
      </s:c>
      <s:c r="M69" s="22">
        <s:f>'3'!F70</s:f>
        <s:v>46247.52527777778</s:v>
      </s:c>
      <s:c r="N69" s="22">
        <s:f>'4'!F70</s:f>
        <s:v>46247.47938657407</s:v>
      </s:c>
      <s:c r="O69" s="22">
        <s:f>'5'!F70</s:f>
        <s:v>46247.45104166667</s:v>
      </s:c>
      <s:c r="P69" s="22">
        <s:f>'6'!F70</s:f>
        <s:v>46247.43158564815</s:v>
      </s:c>
      <s:c r="Q69" s="22">
        <s:f>'7'!F70</s:f>
        <s:v>46247.40893518519</s:v>
      </s:c>
      <s:c r="R69" s="22">
        <s:f>'8'!F70</s:f>
        <s:v>46247.38474537037</s:v>
      </s:c>
      <s:c r="S69" s="22">
        <s:f>'9'!F70</s:f>
        <s:v>46247.36693287037</s:v>
      </s:c>
      <s:c r="T69" s="22">
        <s:f>'10'!F70</s:f>
        <s:v>46247.33770833333</s:v>
      </s:c>
      <s:c r="U69" s="23">
        <s:f>'자료구성'!$B$2</s:f>
        <s:v>46247.0</s:v>
      </s:c>
    </s:row>
    <s:row r="70">
      <s:c r="A70" s="0" t="n">
        <s:v>1870</s:v>
      </s:c>
      <s:c r="B70" s="0" t="n">
        <s:v>1118</s:v>
      </s:c>
      <s:c r="C70" s="0" t="n">
        <s:v>1936</s:v>
      </s:c>
      <s:c r="D70" s="0" t="n">
        <s:v>854</s:v>
      </s:c>
      <s:c r="E70" s="0" t="n">
        <s:v>1324</s:v>
      </s:c>
      <s:c r="F70" s="0" t="n">
        <s:v>3845</s:v>
      </s:c>
      <s:c r="G70" s="0" t="n">
        <s:v>2436</s:v>
      </s:c>
      <s:c r="H70" s="0" t="n">
        <s:v>4455</s:v>
      </s:c>
      <s:c r="I70" s="0" t="n">
        <s:v>1081</s:v>
      </s:c>
      <s:c r="J70" s="0" t="n">
        <s:v>2037</s:v>
      </s:c>
      <s:c r="K70" s="22">
        <s:f>'1'!F71</s:f>
        <s:v>46247.560960648145</s:v>
      </s:c>
      <s:c r="L70" s="22">
        <s:f>'2'!F71</s:f>
        <s:v>46247.54269675926</s:v>
      </s:c>
      <s:c r="M70" s="22">
        <s:f>'3'!F71</s:f>
        <s:v>46247.525289351855</s:v>
      </s:c>
      <s:c r="N70" s="22">
        <s:f>'4'!F71</s:f>
        <s:v>46247.47939814815</s:v>
      </s:c>
      <s:c r="O70" s="22">
        <s:f>'5'!F71</s:f>
        <s:v>46247.451053240744</s:v>
      </s:c>
      <s:c r="P70" s="22">
        <s:f>'6'!F71</s:f>
        <s:v>46247.431597222225</s:v>
      </s:c>
      <s:c r="Q70" s="22">
        <s:f>'7'!F71</s:f>
        <s:v>46247.40894675926</s:v>
      </s:c>
      <s:c r="R70" s="22">
        <s:f>'8'!F71</s:f>
        <s:v>46247.38475694445</s:v>
      </s:c>
      <s:c r="S70" s="22">
        <s:f>'9'!F71</s:f>
        <s:v>46247.366944444446</s:v>
      </s:c>
      <s:c r="T70" s="22">
        <s:f>'10'!F71</s:f>
        <s:v>46247.33771990741</s:v>
      </s:c>
      <s:c r="U70" s="23">
        <s:f>'자료구성'!$B$2</s:f>
        <s:v>46247.0</s:v>
      </s:c>
    </s:row>
    <s:row r="71">
      <s:c r="A71" s="0" t="n">
        <s:v>1808</s:v>
      </s:c>
      <s:c r="B71" s="0" t="n">
        <s:v>1117</s:v>
      </s:c>
      <s:c r="C71" s="0" t="n">
        <s:v>1929</s:v>
      </s:c>
      <s:c r="D71" s="0" t="n">
        <s:v>845</s:v>
      </s:c>
      <s:c r="E71" s="0" t="n">
        <s:v>1332</s:v>
      </s:c>
      <s:c r="F71" s="0" t="n">
        <s:v>3790</s:v>
      </s:c>
      <s:c r="G71" s="0" t="n">
        <s:v>2458</s:v>
      </s:c>
      <s:c r="H71" s="0" t="n">
        <s:v>4270</s:v>
      </s:c>
      <s:c r="I71" s="0" t="n">
        <s:v>1081</s:v>
      </s:c>
      <s:c r="J71" s="0" t="n">
        <s:v>2070</s:v>
      </s:c>
      <s:c r="K71" s="22">
        <s:f>'1'!F72</s:f>
        <s:v>46247.56097222222</s:v>
      </s:c>
      <s:c r="L71" s="22">
        <s:f>'2'!F72</s:f>
        <s:v>46247.542708333334</s:v>
      </s:c>
      <s:c r="M71" s="22">
        <s:f>'3'!F72</s:f>
        <s:v>46247.525300925925</s:v>
      </s:c>
      <s:c r="N71" s="22">
        <s:f>'4'!F72</s:f>
        <s:v>46247.479409722226</s:v>
      </s:c>
      <s:c r="O71" s="22">
        <s:f>'5'!F72</s:f>
        <s:v>46247.45106481481</s:v>
      </s:c>
      <s:c r="P71" s="22">
        <s:f>'6'!F72</s:f>
        <s:v>46247.431608796294</s:v>
      </s:c>
      <s:c r="Q71" s="22">
        <s:f>'7'!F72</s:f>
        <s:v>46247.40895833333</s:v>
      </s:c>
      <s:c r="R71" s="22">
        <s:f>'8'!F72</s:f>
        <s:v>46247.38476851852</s:v>
      </s:c>
      <s:c r="S71" s="22">
        <s:f>'9'!F72</s:f>
        <s:v>46247.366956018515</s:v>
      </s:c>
      <s:c r="T71" s="22">
        <s:f>'10'!F72</s:f>
        <s:v>46247.33773148148</s:v>
      </s:c>
      <s:c r="U71" s="23">
        <s:f>'자료구성'!$B$2</s:f>
        <s:v>46247.0</s:v>
      </s:c>
    </s:row>
    <s:row r="72">
      <s:c r="A72" s="0" t="n">
        <s:v>1870</s:v>
      </s:c>
      <s:c r="B72" s="0" t="n">
        <s:v>1136</s:v>
      </s:c>
      <s:c r="C72" s="0" t="n">
        <s:v>1915</s:v>
      </s:c>
      <s:c r="D72" s="0" t="n">
        <s:v>828</s:v>
      </s:c>
      <s:c r="E72" s="0" t="n">
        <s:v>1338</s:v>
      </s:c>
      <s:c r="F72" s="0" t="n">
        <s:v>3646</s:v>
      </s:c>
      <s:c r="G72" s="0" t="n">
        <s:v>2440</s:v>
      </s:c>
      <s:c r="H72" s="0" t="n">
        <s:v>4088</s:v>
      </s:c>
      <s:c r="I72" s="0" t="n">
        <s:v>1084</s:v>
      </s:c>
      <s:c r="J72" s="0" t="n">
        <s:v>2116</s:v>
      </s:c>
      <s:c r="K72" s="22">
        <s:f>'1'!F73</s:f>
        <s:v>46247.5609837963</s:v>
      </s:c>
      <s:c r="L72" s="22">
        <s:f>'2'!F73</s:f>
        <s:v>46247.542719907404</s:v>
      </s:c>
      <s:c r="M72" s="22">
        <s:f>'3'!F73</s:f>
        <s:v>46247.5253125</s:v>
      </s:c>
      <s:c r="N72" s="22">
        <s:f>'4'!F73</s:f>
        <s:v>46247.479421296295</s:v>
      </s:c>
      <s:c r="O72" s="22">
        <s:f>'5'!F73</s:f>
        <s:v>46247.45107638889</s:v>
      </s:c>
      <s:c r="P72" s="22">
        <s:f>'6'!F73</s:f>
        <s:v>46247.43162037037</s:v>
      </s:c>
      <s:c r="Q72" s="22">
        <s:f>'7'!F73</s:f>
        <s:v>46247.40896990741</s:v>
      </s:c>
      <s:c r="R72" s="22">
        <s:f>'8'!F73</s:f>
        <s:v>46247.384780092594</s:v>
      </s:c>
      <s:c r="S72" s="22">
        <s:f>'9'!F73</s:f>
        <s:v>46247.36696759259</s:v>
      </s:c>
      <s:c r="T72" s="22">
        <s:f>'10'!F73</s:f>
        <s:v>46247.337743055556</s:v>
      </s:c>
      <s:c r="U72" s="23">
        <s:f>'자료구성'!$B$2</s:f>
        <s:v>46247.0</s:v>
      </s:c>
    </s:row>
    <s:row r="73">
      <s:c r="A73" s="0" t="n">
        <s:v>1891</s:v>
      </s:c>
      <s:c r="B73" s="0" t="n">
        <s:v>1193</s:v>
      </s:c>
      <s:c r="C73" s="0" t="n">
        <s:v>1931</s:v>
      </s:c>
      <s:c r="D73" s="0" t="n">
        <s:v>791</s:v>
      </s:c>
      <s:c r="E73" s="0" t="n">
        <s:v>1332</s:v>
      </s:c>
      <s:c r="F73" s="0" t="n">
        <s:v>3486</s:v>
      </s:c>
      <s:c r="G73" s="0" t="n">
        <s:v>2409</s:v>
      </s:c>
      <s:c r="H73" s="0" t="n">
        <s:v>3953</s:v>
      </s:c>
      <s:c r="I73" s="0" t="n">
        <s:v>1083</s:v>
      </s:c>
      <s:c r="J73" s="0" t="n">
        <s:v>2152</s:v>
      </s:c>
      <s:c r="K73" s="22">
        <s:f>'1'!F74</s:f>
        <s:v>46247.56099537037</s:v>
      </s:c>
      <s:c r="L73" s="22">
        <s:f>'2'!F74</s:f>
        <s:v>46247.54273148148</s:v>
      </s:c>
      <s:c r="M73" s="22">
        <s:f>'3'!F74</s:f>
        <s:v>46247.52532407407</s:v>
      </s:c>
      <s:c r="N73" s="22">
        <s:f>'4'!F74</s:f>
        <s:v>46247.47943287037</s:v>
      </s:c>
      <s:c r="O73" s="22">
        <s:f>'5'!F74</s:f>
        <s:v>46247.45108796296</s:v>
      </s:c>
      <s:c r="P73" s="22">
        <s:f>'6'!F74</s:f>
        <s:v>46247.43163194445</s:v>
      </s:c>
      <s:c r="Q73" s="22">
        <s:f>'7'!F74</s:f>
        <s:v>46247.40898148148</s:v>
      </s:c>
      <s:c r="R73" s="22">
        <s:f>'8'!F74</s:f>
        <s:v>46247.384791666664</s:v>
      </s:c>
      <s:c r="S73" s="22">
        <s:f>'9'!F74</s:f>
        <s:v>46247.36697916667</s:v>
      </s:c>
      <s:c r="T73" s="22">
        <s:f>'10'!F74</s:f>
        <s:v>46247.33775462963</s:v>
      </s:c>
      <s:c r="U73" s="23">
        <s:f>'자료구성'!$B$2</s:f>
        <s:v>46247.0</s:v>
      </s:c>
    </s:row>
    <s:row r="74">
      <s:c r="A74" s="0" t="n">
        <s:v>1809</s:v>
      </s:c>
      <s:c r="B74" s="0" t="n">
        <s:v>1264</s:v>
      </s:c>
      <s:c r="C74" s="0" t="n">
        <s:v>1947</s:v>
      </s:c>
      <s:c r="D74" s="0" t="n">
        <s:v>762</s:v>
      </s:c>
      <s:c r="E74" s="0" t="n">
        <s:v>1325</s:v>
      </s:c>
      <s:c r="F74" s="0" t="n">
        <s:v>3393</s:v>
      </s:c>
      <s:c r="G74" s="0" t="n">
        <s:v>2400</s:v>
      </s:c>
      <s:c r="H74" s="0" t="n">
        <s:v>3852</s:v>
      </s:c>
      <s:c r="I74" s="0" t="n">
        <s:v>1108</s:v>
      </s:c>
      <s:c r="J74" s="0" t="n">
        <s:v>2145</s:v>
      </s:c>
      <s:c r="K74" s="22">
        <s:f>'1'!F75</s:f>
        <s:v>46247.561006944445</s:v>
      </s:c>
      <s:c r="L74" s="22">
        <s:f>'2'!F75</s:f>
        <s:v>46247.54274305556</s:v>
      </s:c>
      <s:c r="M74" s="22">
        <s:f>'3'!F75</s:f>
        <s:v>46247.52533564815</s:v>
      </s:c>
      <s:c r="N74" s="22">
        <s:f>'4'!F75</s:f>
        <s:v>46247.47944444444</s:v>
      </s:c>
      <s:c r="O74" s="22">
        <s:f>'5'!F75</s:f>
        <s:v>46247.45109953704</s:v>
      </s:c>
      <s:c r="P74" s="22">
        <s:f>'6'!F75</s:f>
        <s:v>46247.43164351852</s:v>
      </s:c>
      <s:c r="Q74" s="22">
        <s:f>'7'!F75</s:f>
        <s:v>46247.40899305556</s:v>
      </s:c>
      <s:c r="R74" s="22">
        <s:f>'8'!F75</s:f>
        <s:v>46247.38480324074</s:v>
      </s:c>
      <s:c r="S74" s="22">
        <s:f>'9'!F75</s:f>
        <s:v>46247.36699074074</s:v>
      </s:c>
      <s:c r="T74" s="22">
        <s:f>'10'!F75</s:f>
        <s:v>46247.3377662037</s:v>
      </s:c>
      <s:c r="U74" s="23">
        <s:f>'자료구성'!$B$2</s:f>
        <s:v>46247.0</s:v>
      </s:c>
    </s:row>
    <s:row r="75">
      <s:c r="A75" s="0" t="n">
        <s:v>1800</s:v>
      </s:c>
      <s:c r="B75" s="0" t="n">
        <s:v>1269</s:v>
      </s:c>
      <s:c r="C75" s="0" t="n">
        <s:v>1925</s:v>
      </s:c>
      <s:c r="D75" s="0" t="n">
        <s:v>737</s:v>
      </s:c>
      <s:c r="E75" s="0" t="n">
        <s:v>1330</s:v>
      </s:c>
      <s:c r="F75" s="0" t="n">
        <s:v>3349</s:v>
      </s:c>
      <s:c r="G75" s="0" t="n">
        <s:v>2398</s:v>
      </s:c>
      <s:c r="H75" s="0" t="n">
        <s:v>3856</s:v>
      </s:c>
      <s:c r="I75" s="0" t="n">
        <s:v>1137</s:v>
      </s:c>
      <s:c r="J75" s="0" t="n">
        <s:v>2180</s:v>
      </s:c>
      <s:c r="K75" s="22">
        <s:f>'1'!F76</s:f>
        <s:v>46247.56101851852</s:v>
      </s:c>
      <s:c r="L75" s="22">
        <s:f>'2'!F76</s:f>
        <s:v>46247.54275462963</s:v>
      </s:c>
      <s:c r="M75" s="22">
        <s:f>'3'!F76</s:f>
        <s:v>46247.525347222225</s:v>
      </s:c>
      <s:c r="N75" s="22">
        <s:f>'4'!F76</s:f>
        <s:v>46247.47945601852</s:v>
      </s:c>
      <s:c r="O75" s="22">
        <s:f>'5'!F76</s:f>
        <s:v>46247.45111111111</s:v>
      </s:c>
      <s:c r="P75" s="22">
        <s:f>'6'!F76</s:f>
        <s:v>46247.431655092594</s:v>
      </s:c>
      <s:c r="Q75" s="22">
        <s:f>'7'!F76</s:f>
        <s:v>46247.409004629626</s:v>
      </s:c>
      <s:c r="R75" s="22">
        <s:f>'8'!F76</s:f>
        <s:v>46247.38481481482</s:v>
      </s:c>
      <s:c r="S75" s="22">
        <s:f>'9'!F76</s:f>
        <s:v>46247.367002314815</s:v>
      </s:c>
      <s:c r="T75" s="22">
        <s:f>'10'!F76</s:f>
        <s:v>46247.33777777778</s:v>
      </s:c>
      <s:c r="U75" s="23">
        <s:f>'자료구성'!$B$2</s:f>
        <s:v>46247.0</s:v>
      </s:c>
    </s:row>
    <s:row r="76">
      <s:c r="A76" s="0" t="n">
        <s:v>1743</s:v>
      </s:c>
      <s:c r="B76" s="0" t="n">
        <s:v>1300</s:v>
      </s:c>
      <s:c r="C76" s="0" t="n">
        <s:v>1902</s:v>
      </s:c>
      <s:c r="D76" s="0" t="n">
        <s:v>761</s:v>
      </s:c>
      <s:c r="E76" s="0" t="n">
        <s:v>1328</s:v>
      </s:c>
      <s:c r="F76" s="0" t="n">
        <s:v>3364</s:v>
      </s:c>
      <s:c r="G76" s="0" t="n">
        <s:v>2417</s:v>
      </s:c>
      <s:c r="H76" s="0" t="n">
        <s:v>3889</s:v>
      </s:c>
      <s:c r="I76" s="0" t="n">
        <s:v>1152</s:v>
      </s:c>
      <s:c r="J76" s="0" t="n">
        <s:v>2225</s:v>
      </s:c>
      <s:c r="K76" s="22">
        <s:f>'1'!F77</s:f>
        <s:v>46247.56103009259</s:v>
      </s:c>
      <s:c r="L76" s="22">
        <s:f>'2'!F77</s:f>
        <s:v>46247.542766203704</s:v>
      </s:c>
      <s:c r="M76" s="22">
        <s:f>'3'!F77</s:f>
        <s:v>46247.525358796294</s:v>
      </s:c>
      <s:c r="N76" s="22">
        <s:f>'4'!F77</s:f>
        <s:v>46247.479467592595</s:v>
      </s:c>
      <s:c r="O76" s="22">
        <s:f>'5'!F77</s:f>
        <s:v>46247.45112268518</s:v>
      </s:c>
      <s:c r="P76" s="22">
        <s:f>'6'!F77</s:f>
        <s:v>46247.431666666664</s:v>
      </s:c>
      <s:c r="Q76" s="22">
        <s:f>'7'!F77</s:f>
        <s:v>46247.4090162037</s:v>
      </s:c>
      <s:c r="R76" s="22">
        <s:f>'8'!F77</s:f>
        <s:v>46247.38482638889</s:v>
      </s:c>
      <s:c r="S76" s="22">
        <s:f>'9'!F77</s:f>
        <s:v>46247.36701388889</s:v>
      </s:c>
      <s:c r="T76" s="22">
        <s:f>'10'!F77</s:f>
        <s:v>46247.337789351855</s:v>
      </s:c>
      <s:c r="U76" s="23">
        <s:f>'자료구성'!$B$2</s:f>
        <s:v>46247.0</s:v>
      </s:c>
    </s:row>
    <s:row r="77">
      <s:c r="A77" s="0" t="n">
        <s:v>1715</s:v>
      </s:c>
      <s:c r="B77" s="0" t="n">
        <s:v>1299</s:v>
      </s:c>
      <s:c r="C77" s="0" t="n">
        <s:v>1873</s:v>
      </s:c>
      <s:c r="D77" s="0" t="n">
        <s:v>777</s:v>
      </s:c>
      <s:c r="E77" s="0" t="n">
        <s:v>1320</s:v>
      </s:c>
      <s:c r="F77" s="0" t="n">
        <s:v>3325</s:v>
      </s:c>
      <s:c r="G77" s="0" t="n">
        <s:v>2459</s:v>
      </s:c>
      <s:c r="H77" s="0" t="n">
        <s:v>3937</s:v>
      </s:c>
      <s:c r="I77" s="0" t="n">
        <s:v>1168</s:v>
      </s:c>
      <s:c r="J77" s="0" t="n">
        <s:v>2256</s:v>
      </s:c>
      <s:c r="K77" s="22">
        <s:f>'1'!F78</s:f>
        <s:v>46247.56104166667</s:v>
      </s:c>
      <s:c r="L77" s="22">
        <s:f>'2'!F78</s:f>
        <s:v>46247.54277777778</s:v>
      </s:c>
      <s:c r="M77" s="22">
        <s:f>'3'!F78</s:f>
        <s:v>46247.52537037037</s:v>
      </s:c>
      <s:c r="N77" s="22">
        <s:f>'4'!F78</s:f>
        <s:v>46247.479479166665</s:v>
      </s:c>
      <s:c r="O77" s="22">
        <s:f>'5'!F78</s:f>
        <s:v>46247.45113425926</s:v>
      </s:c>
      <s:c r="P77" s="22">
        <s:f>'6'!F78</s:f>
        <s:v>46247.43167824074</s:v>
      </s:c>
      <s:c r="Q77" s="22">
        <s:f>'7'!F78</s:f>
        <s:v>46247.40902777778</s:v>
      </s:c>
      <s:c r="R77" s="22">
        <s:f>'8'!F78</s:f>
        <s:v>46247.38483796296</s:v>
      </s:c>
      <s:c r="S77" s="22">
        <s:f>'9'!F78</s:f>
        <s:v>46247.36702546296</s:v>
      </s:c>
      <s:c r="T77" s="22">
        <s:f>'10'!F78</s:f>
        <s:v>46247.337800925925</s:v>
      </s:c>
      <s:c r="U77" s="23">
        <s:f>'자료구성'!$B$2</s:f>
        <s:v>46247.0</s:v>
      </s:c>
    </s:row>
    <s:row r="78">
      <s:c r="A78" s="0" t="n">
        <s:v>1705</s:v>
      </s:c>
      <s:c r="B78" s="0" t="n">
        <s:v>1299</s:v>
      </s:c>
      <s:c r="C78" s="0" t="n">
        <s:v>1867</s:v>
      </s:c>
      <s:c r="D78" s="0" t="n">
        <s:v>778</s:v>
      </s:c>
      <s:c r="E78" s="0" t="n">
        <s:v>1322</s:v>
      </s:c>
      <s:c r="F78" s="0" t="n">
        <s:v>3261</s:v>
      </s:c>
      <s:c r="G78" s="0" t="n">
        <s:v>2444</s:v>
      </s:c>
      <s:c r="H78" s="0" t="n">
        <s:v>4035</s:v>
      </s:c>
      <s:c r="I78" s="0" t="n">
        <s:v>1175</s:v>
      </s:c>
      <s:c r="J78" s="0" t="n">
        <s:v>2266</s:v>
      </s:c>
      <s:c r="K78" s="22">
        <s:f>'1'!F79</s:f>
        <s:v>46247.56105324074</s:v>
      </s:c>
      <s:c r="L78" s="22">
        <s:f>'2'!F79</s:f>
        <s:v>46247.54278935185</s:v>
      </s:c>
      <s:c r="M78" s="22">
        <s:f>'3'!F79</s:f>
        <s:v>46247.52538194445</s:v>
      </s:c>
      <s:c r="N78" s="22">
        <s:f>'4'!F79</s:f>
        <s:v>46247.47949074074</s:v>
      </s:c>
      <s:c r="O78" s="22">
        <s:f>'5'!F79</s:f>
        <s:v>46247.451145833336</s:v>
      </s:c>
      <s:c r="P78" s="22">
        <s:f>'6'!F79</s:f>
        <s:v>46247.43168981482</s:v>
      </s:c>
      <s:c r="Q78" s="22">
        <s:f>'7'!F79</s:f>
        <s:v>46247.40903935185</s:v>
      </s:c>
      <s:c r="R78" s="22">
        <s:f>'8'!F79</s:f>
        <s:v>46247.38484953704</s:v>
      </s:c>
      <s:c r="S78" s="22">
        <s:f>'9'!F79</s:f>
        <s:v>46247.36703703704</s:v>
      </s:c>
      <s:c r="T78" s="22">
        <s:f>'10'!F79</s:f>
        <s:v>46247.3378125</s:v>
      </s:c>
      <s:c r="U78" s="23">
        <s:f>'자료구성'!$B$2</s:f>
        <s:v>46247.0</s:v>
      </s:c>
    </s:row>
    <s:row r="79">
      <s:c r="A79" s="0" t="n">
        <s:v>1683</s:v>
      </s:c>
      <s:c r="B79" s="0" t="n">
        <s:v>1312</s:v>
      </s:c>
      <s:c r="C79" s="0" t="n">
        <s:v>1874</s:v>
      </s:c>
      <s:c r="D79" s="0" t="n">
        <s:v>780</s:v>
      </s:c>
      <s:c r="E79" s="0" t="n">
        <s:v>1322</s:v>
      </s:c>
      <s:c r="F79" s="0" t="n">
        <s:v>3250</s:v>
      </s:c>
      <s:c r="G79" s="0" t="n">
        <s:v>2435</s:v>
      </s:c>
      <s:c r="H79" s="0" t="n">
        <s:v>4410</s:v>
      </s:c>
      <s:c r="I79" s="0" t="n">
        <s:v>1181</s:v>
      </s:c>
      <s:c r="J79" s="0" t="n">
        <s:v>2254</s:v>
      </s:c>
      <s:c r="K79" s="22">
        <s:f>'1'!F80</s:f>
        <s:v>46247.561064814814</s:v>
      </s:c>
      <s:c r="L79" s="22">
        <s:f>'2'!F80</s:f>
        <s:v>46247.54280092593</s:v>
      </s:c>
      <s:c r="M79" s="22">
        <s:f>'3'!F80</s:f>
        <s:v>46247.52539351852</s:v>
      </s:c>
      <s:c r="N79" s="22">
        <s:f>'4'!F80</s:f>
        <s:v>46247.47950231482</s:v>
      </s:c>
      <s:c r="O79" s="22">
        <s:f>'5'!F80</s:f>
        <s:v>46247.451157407406</s:v>
      </s:c>
      <s:c r="P79" s="22">
        <s:f>'6'!F80</s:f>
        <s:v>46247.43170138889</s:v>
      </s:c>
      <s:c r="Q79" s="22">
        <s:f>'7'!F80</s:f>
        <s:v>46247.409050925926</s:v>
      </s:c>
      <s:c r="R79" s="22">
        <s:f>'8'!F80</s:f>
        <s:v>46247.38486111111</s:v>
      </s:c>
      <s:c r="S79" s="22">
        <s:f>'9'!F80</s:f>
        <s:v>46247.36704861111</s:v>
      </s:c>
      <s:c r="T79" s="22">
        <s:f>'10'!F80</s:f>
        <s:v>46247.33782407407</s:v>
      </s:c>
      <s:c r="U79" s="23">
        <s:f>'자료구성'!$B$2</s:f>
        <s:v>46247.0</s:v>
      </s:c>
    </s:row>
    <s:row r="80">
      <s:c r="A80" s="0" t="n">
        <s:v>1659</s:v>
      </s:c>
      <s:c r="B80" s="0" t="n">
        <s:v>1290</s:v>
      </s:c>
      <s:c r="C80" s="0" t="n">
        <s:v>1871</s:v>
      </s:c>
      <s:c r="D80" s="0" t="n">
        <s:v>746</s:v>
      </s:c>
      <s:c r="E80" s="0" t="n">
        <s:v>1341</s:v>
      </s:c>
      <s:c r="F80" s="0" t="n">
        <s:v>3252</s:v>
      </s:c>
      <s:c r="G80" s="0" t="n">
        <s:v>2429</s:v>
      </s:c>
      <s:c r="H80" s="0" t="n">
        <s:v>4821</s:v>
      </s:c>
      <s:c r="I80" s="0" t="n">
        <s:v>1188</s:v>
      </s:c>
      <s:c r="J80" s="0" t="n">
        <s:v>2231</s:v>
      </s:c>
      <s:c r="K80" s="22">
        <s:f>'1'!F81</s:f>
        <s:v>46247.56107638889</s:v>
      </s:c>
      <s:c r="L80" s="22">
        <s:f>'2'!F81</s:f>
        <s:v>46247.5428125</s:v>
      </s:c>
      <s:c r="M80" s="22">
        <s:f>'3'!F81</s:f>
        <s:v>46247.525405092594</s:v>
      </s:c>
      <s:c r="N80" s="22">
        <s:f>'4'!F81</s:f>
        <s:v>46247.47951388889</s:v>
      </s:c>
      <s:c r="O80" s="22">
        <s:f>'5'!F81</s:f>
        <s:v>46247.45116898148</s:v>
      </s:c>
      <s:c r="P80" s="22">
        <s:f>'6'!F81</s:f>
        <s:v>46247.43171296296</s:v>
      </s:c>
      <s:c r="Q80" s="22">
        <s:f>'7'!F81</s:f>
        <s:v>46247.4090625</s:v>
      </s:c>
      <s:c r="R80" s="22">
        <s:f>'8'!F81</s:f>
        <s:v>46247.38487268519</s:v>
      </s:c>
      <s:c r="S80" s="22">
        <s:f>'9'!F81</s:f>
        <s:v>46247.367060185185</s:v>
      </s:c>
      <s:c r="T80" s="22">
        <s:f>'10'!F81</s:f>
        <s:v>46247.33783564815</s:v>
      </s:c>
      <s:c r="U80" s="23">
        <s:f>'자료구성'!$B$2</s:f>
        <s:v>46247.0</s:v>
      </s:c>
    </s:row>
    <s:row r="81">
      <s:c r="A81" s="0" t="n">
        <s:v>1628</s:v>
      </s:c>
      <s:c r="B81" s="0" t="n">
        <s:v>1267</s:v>
      </s:c>
      <s:c r="C81" s="0" t="n">
        <s:v>1871</s:v>
      </s:c>
      <s:c r="D81" s="0" t="n">
        <s:v>697</s:v>
      </s:c>
      <s:c r="E81" s="0" t="n">
        <s:v>1359</s:v>
      </s:c>
      <s:c r="F81" s="0" t="n">
        <s:v>3220</s:v>
      </s:c>
      <s:c r="G81" s="0" t="n">
        <s:v>2427</s:v>
      </s:c>
      <s:c r="H81" s="0" t="n">
        <s:v>4986</s:v>
      </s:c>
      <s:c r="I81" s="0" t="n">
        <s:v>1195</s:v>
      </s:c>
      <s:c r="J81" s="0" t="n">
        <s:v>2226</s:v>
      </s:c>
      <s:c r="K81" s="22">
        <s:f>'1'!F82</s:f>
        <s:v>46247.56108796296</s:v>
      </s:c>
      <s:c r="L81" s="22">
        <s:f>'2'!F82</s:f>
        <s:v>46247.54282407407</s:v>
      </s:c>
      <s:c r="M81" s="22">
        <s:f>'3'!F82</s:f>
        <s:v>46247.525416666664</s:v>
      </s:c>
      <s:c r="N81" s="22">
        <s:f>'4'!F82</s:f>
        <s:v>46247.479525462964</s:v>
      </s:c>
      <s:c r="O81" s="22">
        <s:f>'5'!F82</s:f>
        <s:v>46247.45118055555</s:v>
      </s:c>
      <s:c r="P81" s="22">
        <s:f>'6'!F82</s:f>
        <s:v>46247.43172453704</s:v>
      </s:c>
      <s:c r="Q81" s="22">
        <s:f>'7'!F82</s:f>
        <s:v>46247.40907407407</s:v>
      </s:c>
      <s:c r="R81" s="22">
        <s:f>'8'!F82</s:f>
        <s:v>46247.384884259256</s:v>
      </s:c>
      <s:c r="S81" s="22">
        <s:f>'9'!F82</s:f>
        <s:v>46247.36707175926</s:v>
      </s:c>
      <s:c r="T81" s="22">
        <s:f>'10'!F82</s:f>
        <s:v>46247.337847222225</s:v>
      </s:c>
      <s:c r="U81" s="23">
        <s:f>'자료구성'!$B$2</s:f>
        <s:v>46247.0</s:v>
      </s:c>
    </s:row>
    <s:row r="82">
      <s:c r="A82" s="0" t="n">
        <s:v>1606</s:v>
      </s:c>
      <s:c r="B82" s="0" t="n">
        <s:v>1252</s:v>
      </s:c>
      <s:c r="C82" s="0" t="n">
        <s:v>1888</s:v>
      </s:c>
      <s:c r="D82" s="0" t="n">
        <s:v>680</s:v>
      </s:c>
      <s:c r="E82" s="0" t="n">
        <s:v>1364</s:v>
      </s:c>
      <s:c r="F82" s="0" t="n">
        <s:v>3139</s:v>
      </s:c>
      <s:c r="G82" s="0" t="n">
        <s:v>2455</s:v>
      </s:c>
      <s:c r="H82" s="0" t="n">
        <s:v>4743</s:v>
      </s:c>
      <s:c r="I82" s="0" t="n">
        <s:v>1181</s:v>
      </s:c>
      <s:c r="J82" s="0" t="n">
        <s:v>2185</s:v>
      </s:c>
      <s:c r="K82" s="22">
        <s:f>'1'!F83</s:f>
        <s:v>46247.56109953704</s:v>
      </s:c>
      <s:c r="L82" s="22">
        <s:f>'2'!F83</s:f>
        <s:v>46247.54283564815</s:v>
      </s:c>
      <s:c r="M82" s="22">
        <s:f>'3'!F83</s:f>
        <s:v>46247.52542824074</s:v>
      </s:c>
      <s:c r="N82" s="22">
        <s:f>'4'!F83</s:f>
        <s:v>46247.479537037034</s:v>
      </s:c>
      <s:c r="O82" s="22">
        <s:f>'5'!F83</s:f>
        <s:v>46247.45119212963</s:v>
      </s:c>
      <s:c r="P82" s="22">
        <s:f>'6'!F83</s:f>
        <s:v>46247.43173611111</s:v>
      </s:c>
      <s:c r="Q82" s="22">
        <s:f>'7'!F83</s:f>
        <s:v>46247.40908564815</s:v>
      </s:c>
      <s:c r="R82" s="22">
        <s:f>'8'!F83</s:f>
        <s:v>46247.38489583333</s:v>
      </s:c>
      <s:c r="S82" s="22">
        <s:f>'9'!F83</s:f>
        <s:v>46247.36708333333</s:v>
      </s:c>
      <s:c r="T82" s="22">
        <s:f>'10'!F83</s:f>
        <s:v>46247.337858796294</s:v>
      </s:c>
      <s:c r="U82" s="23">
        <s:f>'자료구성'!$B$2</s:f>
        <s:v>46247.0</s:v>
      </s:c>
    </s:row>
    <s:row r="83">
      <s:c r="A83" s="0" t="n">
        <s:v>1590</s:v>
      </s:c>
      <s:c r="B83" s="0" t="n">
        <s:v>1237</s:v>
      </s:c>
      <s:c r="C83" s="0" t="n">
        <s:v>1941</s:v>
      </s:c>
      <s:c r="D83" s="0" t="n">
        <s:v>683</s:v>
      </s:c>
      <s:c r="E83" s="0" t="n">
        <s:v>1350</s:v>
      </s:c>
      <s:c r="F83" s="0" t="n">
        <s:v>3086</s:v>
      </s:c>
      <s:c r="G83" s="0" t="n">
        <s:v>2466</s:v>
      </s:c>
      <s:c r="H83" s="0" t="n">
        <s:v>4507</s:v>
      </s:c>
      <s:c r="I83" s="0" t="n">
        <s:v>1173</s:v>
      </s:c>
      <s:c r="J83" s="0" t="n">
        <s:v>2129</s:v>
      </s:c>
      <s:c r="K83" s="22">
        <s:f>'1'!F84</s:f>
        <s:v>46247.561111111114</s:v>
      </s:c>
      <s:c r="L83" s="22">
        <s:f>'2'!F84</s:f>
        <s:v>46247.54284722222</s:v>
      </s:c>
      <s:c r="M83" s="22">
        <s:f>'3'!F84</s:f>
        <s:v>46247.52543981482</s:v>
      </s:c>
      <s:c r="N83" s="22">
        <s:f>'4'!F84</s:f>
        <s:v>46247.47954861111</s:v>
      </s:c>
      <s:c r="O83" s="22">
        <s:f>'5'!F84</s:f>
        <s:v>46247.451203703706</s:v>
      </s:c>
      <s:c r="P83" s="22">
        <s:f>'6'!F84</s:f>
        <s:v>46247.43174768519</s:v>
      </s:c>
      <s:c r="Q83" s="22">
        <s:f>'7'!F84</s:f>
        <s:v>46247.409097222226</s:v>
      </s:c>
      <s:c r="R83" s="22">
        <s:f>'8'!F84</s:f>
        <s:v>46247.38490740741</s:v>
      </s:c>
      <s:c r="S83" s="22">
        <s:f>'9'!F84</s:f>
        <s:v>46247.36709490741</s:v>
      </s:c>
      <s:c r="T83" s="22">
        <s:f>'10'!F84</s:f>
        <s:v>46247.33787037037</s:v>
      </s:c>
      <s:c r="U83" s="23">
        <s:f>'자료구성'!$B$2</s:f>
        <s:v>46247.0</s:v>
      </s:c>
    </s:row>
    <s:row r="84">
      <s:c r="A84" s="0" t="n">
        <s:v>1603</s:v>
      </s:c>
      <s:c r="B84" s="0" t="n">
        <s:v>1231</s:v>
      </s:c>
      <s:c r="C84" s="0" t="n">
        <s:v>1997</s:v>
      </s:c>
      <s:c r="D84" s="0" t="n">
        <s:v>670</s:v>
      </s:c>
      <s:c r="E84" s="0" t="n">
        <s:v>1340</s:v>
      </s:c>
      <s:c r="F84" s="0" t="n">
        <s:v>3053</s:v>
      </s:c>
      <s:c r="G84" s="0" t="n">
        <s:v>2474</s:v>
      </s:c>
      <s:c r="H84" s="0" t="n">
        <s:v>4270</s:v>
      </s:c>
      <s:c r="I84" s="0" t="n">
        <s:v>1197</s:v>
      </s:c>
      <s:c r="J84" s="0" t="n">
        <s:v>2141</s:v>
      </s:c>
      <s:c r="K84" s="22">
        <s:f>'1'!F85</s:f>
        <s:v>46247.56112268518</s:v>
      </s:c>
      <s:c r="L84" s="22">
        <s:f>'2'!F85</s:f>
        <s:v>46247.542858796296</s:v>
      </s:c>
      <s:c r="M84" s="22">
        <s:f>'3'!F85</s:f>
        <s:v>46247.52545138889</s:v>
      </s:c>
      <s:c r="N84" s="22">
        <s:f>'4'!F85</s:f>
        <s:v>46247.47956018519</s:v>
      </s:c>
      <s:c r="O84" s="22">
        <s:f>'5'!F85</s:f>
        <s:v>46247.451215277775</s:v>
      </s:c>
      <s:c r="P84" s="22">
        <s:f>'6'!F85</s:f>
        <s:v>46247.431759259256</s:v>
      </s:c>
      <s:c r="Q84" s="22">
        <s:f>'7'!F85</s:f>
        <s:v>46247.409108796295</s:v>
      </s:c>
      <s:c r="R84" s="22">
        <s:f>'8'!F85</s:f>
        <s:v>46247.38491898148</s:v>
      </s:c>
      <s:c r="S84" s="22">
        <s:f>'9'!F85</s:f>
        <s:v>46247.367106481484</s:v>
      </s:c>
      <s:c r="T84" s="22">
        <s:f>'10'!F85</s:f>
        <s:v>46247.33788194445</s:v>
      </s:c>
      <s:c r="U84" s="23">
        <s:f>'자료구성'!$B$2</s:f>
        <s:v>46247.0</s:v>
      </s:c>
    </s:row>
    <s:row r="85">
      <s:c r="A85" s="0" t="n">
        <s:v>1614</s:v>
      </s:c>
      <s:c r="B85" s="0" t="n">
        <s:v>1203</s:v>
      </s:c>
      <s:c r="C85" s="0" t="n">
        <s:v>2011</s:v>
      </s:c>
      <s:c r="D85" s="0" t="n">
        <s:v>657</s:v>
      </s:c>
      <s:c r="E85" s="0" t="n">
        <s:v>1350</s:v>
      </s:c>
      <s:c r="F85" s="0" t="n">
        <s:v>3054</s:v>
      </s:c>
      <s:c r="G85" s="0" t="n">
        <s:v>2472</s:v>
      </s:c>
      <s:c r="H85" s="0" t="n">
        <s:v>4057</s:v>
      </s:c>
      <s:c r="I85" s="0" t="n">
        <s:v>1189</s:v>
      </s:c>
      <s:c r="J85" s="0" t="n">
        <s:v>2178</s:v>
      </s:c>
      <s:c r="K85" s="22">
        <s:f>'1'!F86</s:f>
        <s:v>46247.56113425926</s:v>
      </s:c>
      <s:c r="L85" s="22">
        <s:f>'2'!F86</s:f>
        <s:v>46247.54287037037</s:v>
      </s:c>
      <s:c r="M85" s="22">
        <s:f>'3'!F86</s:f>
        <s:v>46247.52546296296</s:v>
      </s:c>
      <s:c r="N85" s="22">
        <s:f>'4'!F86</s:f>
        <s:v>46247.47957175926</s:v>
      </s:c>
      <s:c r="O85" s="22">
        <s:f>'5'!F86</s:f>
        <s:v>46247.45122685185</s:v>
      </s:c>
      <s:c r="P85" s="22">
        <s:f>'6'!F86</s:f>
        <s:v>46247.43177083333</s:v>
      </s:c>
      <s:c r="Q85" s="22">
        <s:f>'7'!F86</s:f>
        <s:v>46247.40912037037</s:v>
      </s:c>
      <s:c r="R85" s="22">
        <s:f>'8'!F86</s:f>
        <s:v>46247.384930555556</s:v>
      </s:c>
      <s:c r="S85" s="22">
        <s:f>'9'!F86</s:f>
        <s:v>46247.367118055554</s:v>
      </s:c>
      <s:c r="T85" s="22">
        <s:f>'10'!F86</s:f>
        <s:v>46247.33789351852</s:v>
      </s:c>
      <s:c r="U85" s="23">
        <s:f>'자료구성'!$B$2</s:f>
        <s:v>46247.0</s:v>
      </s:c>
    </s:row>
    <s:row r="86">
      <s:c r="A86" s="0" t="n">
        <s:v>1617</s:v>
      </s:c>
      <s:c r="B86" s="0" t="n">
        <s:v>1162</s:v>
      </s:c>
      <s:c r="C86" s="0" t="n">
        <s:v>2015</s:v>
      </s:c>
      <s:c r="D86" s="0" t="n">
        <s:v>653</s:v>
      </s:c>
      <s:c r="E86" s="0" t="n">
        <s:v>1356</s:v>
      </s:c>
      <s:c r="F86" s="0" t="n">
        <s:v>3058</s:v>
      </s:c>
      <s:c r="G86" s="0" t="n">
        <s:v>2461</s:v>
      </s:c>
      <s:c r="H86" s="0" t="n">
        <s:v>3832</s:v>
      </s:c>
      <s:c r="I86" s="0" t="n">
        <s:v>1190</s:v>
      </s:c>
      <s:c r="J86" s="0" t="n">
        <s:v>2163</s:v>
      </s:c>
      <s:c r="K86" s="22">
        <s:f>'1'!F87</s:f>
        <s:v>46247.56114583334</s:v>
      </s:c>
      <s:c r="L86" s="22">
        <s:f>'2'!F87</s:f>
        <s:v>46247.54288194444</s:v>
      </s:c>
      <s:c r="M86" s="22">
        <s:f>'3'!F87</s:f>
        <s:v>46247.52547453704</s:v>
      </s:c>
      <s:c r="N86" s="22">
        <s:f>'4'!F87</s:f>
        <s:v>46247.479583333334</s:v>
      </s:c>
      <s:c r="O86" s="22">
        <s:f>'5'!F87</s:f>
        <s:v>46247.45123842593</s:v>
      </s:c>
      <s:c r="P86" s="22">
        <s:f>'6'!F87</s:f>
        <s:v>46247.43178240741</s:v>
      </s:c>
      <s:c r="Q86" s="22">
        <s:f>'7'!F87</s:f>
        <s:v>46247.40913194444</s:v>
      </s:c>
      <s:c r="R86" s="22">
        <s:f>'8'!F87</s:f>
        <s:v>46247.38494212963</s:v>
      </s:c>
      <s:c r="S86" s="22">
        <s:f>'9'!F87</s:f>
        <s:v>46247.36712962963</s:v>
      </s:c>
      <s:c r="T86" s="22">
        <s:f>'10'!F87</s:f>
        <s:v>46247.337905092594</s:v>
      </s:c>
      <s:c r="U86" s="23">
        <s:f>'자료구성'!$B$2</s:f>
        <s:v>46247.0</s:v>
      </s:c>
    </s:row>
    <s:row r="87">
      <s:c r="A87" s="0" t="n">
        <s:v>1613</s:v>
      </s:c>
      <s:c r="B87" s="0" t="n">
        <s:v>1163</s:v>
      </s:c>
      <s:c r="C87" s="0" t="n">
        <s:v>2032</s:v>
      </s:c>
      <s:c r="D87" s="0" t="n">
        <s:v>658</s:v>
      </s:c>
      <s:c r="E87" s="0" t="n">
        <s:v>1363</s:v>
      </s:c>
      <s:c r="F87" s="0" t="n">
        <s:v>3071</s:v>
      </s:c>
      <s:c r="G87" s="0" t="n">
        <s:v>2487</s:v>
      </s:c>
      <s:c r="H87" s="0" t="n">
        <s:v>3652</s:v>
      </s:c>
      <s:c r="I87" s="0" t="n">
        <s:v>1189</s:v>
      </s:c>
      <s:c r="J87" s="0" t="n">
        <s:v>2136</s:v>
      </s:c>
      <s:c r="K87" s="22">
        <s:f>'1'!F88</s:f>
        <s:v>46247.56115740741</s:v>
      </s:c>
      <s:c r="L87" s="22">
        <s:f>'2'!F88</s:f>
        <s:v>46247.54289351852</s:v>
      </s:c>
      <s:c r="M87" s="22">
        <s:f>'3'!F88</s:f>
        <s:v>46247.52548611111</s:v>
      </s:c>
      <s:c r="N87" s="22">
        <s:f>'4'!F88</s:f>
        <s:v>46247.47959490741</s:v>
      </s:c>
      <s:c r="O87" s="22">
        <s:f>'5'!F88</s:f>
        <s:v>46247.45125</s:v>
      </s:c>
      <s:c r="P87" s="22">
        <s:f>'6'!F88</s:f>
        <s:v>46247.43179398148</s:v>
      </s:c>
      <s:c r="Q87" s="22">
        <s:f>'7'!F88</s:f>
        <s:v>46247.40914351852</s:v>
      </s:c>
      <s:c r="R87" s="22">
        <s:f>'8'!F88</s:f>
        <s:v>46247.3849537037</s:v>
      </s:c>
      <s:c r="S87" s="22">
        <s:f>'9'!F88</s:f>
        <s:v>46247.3671412037</s:v>
      </s:c>
      <s:c r="T87" s="22">
        <s:f>'10'!F88</s:f>
        <s:v>46247.337916666664</s:v>
      </s:c>
      <s:c r="U87" s="23">
        <s:f>'자료구성'!$B$2</s:f>
        <s:v>46247.0</s:v>
      </s:c>
    </s:row>
    <s:row r="88">
      <s:c r="A88" s="0" t="n">
        <s:v>1605</s:v>
      </s:c>
      <s:c r="B88" s="0" t="n">
        <s:v>1139</s:v>
      </s:c>
      <s:c r="C88" s="0" t="n">
        <s:v>2060</s:v>
      </s:c>
      <s:c r="D88" s="0" t="n">
        <s:v>648</s:v>
      </s:c>
      <s:c r="E88" s="0" t="n">
        <s:v>1398</s:v>
      </s:c>
      <s:c r="F88" s="0" t="n">
        <s:v>3160</s:v>
      </s:c>
      <s:c r="G88" s="0" t="n">
        <s:v>2557</s:v>
      </s:c>
      <s:c r="H88" s="0" t="n">
        <s:v>3496</s:v>
      </s:c>
      <s:c r="I88" s="0" t="n">
        <s:v>1176</s:v>
      </s:c>
      <s:c r="J88" s="0" t="n">
        <s:v>2106</s:v>
      </s:c>
      <s:c r="K88" s="22">
        <s:f>'1'!F89</s:f>
        <s:v>46247.56116898148</s:v>
      </s:c>
      <s:c r="L88" s="22">
        <s:f>'2'!F89</s:f>
        <s:v>46247.542905092596</s:v>
      </s:c>
      <s:c r="M88" s="22">
        <s:f>'3'!F89</s:f>
        <s:v>46247.52549768519</s:v>
      </s:c>
      <s:c r="N88" s="22">
        <s:f>'4'!F89</s:f>
        <s:v>46247.47960648148</s:v>
      </s:c>
      <s:c r="O88" s="22">
        <s:f>'5'!F89</s:f>
        <s:v>46247.451261574075</s:v>
      </s:c>
      <s:c r="P88" s="22">
        <s:f>'6'!F89</s:f>
        <s:v>46247.431805555556</s:v>
      </s:c>
      <s:c r="Q88" s="22">
        <s:f>'7'!F89</s:f>
        <s:v>46247.409155092595</s:v>
      </s:c>
      <s:c r="R88" s="22">
        <s:f>'8'!F89</s:f>
        <s:v>46247.38496527778</s:v>
      </s:c>
      <s:c r="S88" s="22">
        <s:f>'9'!F89</s:f>
        <s:v>46247.36715277778</s:v>
      </s:c>
      <s:c r="T88" s="22">
        <s:f>'10'!F89</s:f>
        <s:v>46247.33792824074</s:v>
      </s:c>
      <s:c r="U88" s="23">
        <s:f>'자료구성'!$B$2</s:f>
        <s:v>46247.0</s:v>
      </s:c>
    </s:row>
    <s:row r="89">
      <s:c r="A89" s="0" t="n">
        <s:v>1584</s:v>
      </s:c>
      <s:c r="B89" s="0" t="n">
        <s:v>1121</s:v>
      </s:c>
      <s:c r="C89" s="0" t="n">
        <s:v>2067</s:v>
      </s:c>
      <s:c r="D89" s="0" t="n">
        <s:v>649</s:v>
      </s:c>
      <s:c r="E89" s="0" t="n">
        <s:v>1395</s:v>
      </s:c>
      <s:c r="F89" s="0" t="n">
        <s:v>3295</s:v>
      </s:c>
      <s:c r="G89" s="0" t="n">
        <s:v>2643</s:v>
      </s:c>
      <s:c r="H89" s="0" t="n">
        <s:v>3352</s:v>
      </s:c>
      <s:c r="I89" s="0" t="n">
        <s:v>1171</s:v>
      </s:c>
      <s:c r="J89" s="0" t="n">
        <s:v>2072</s:v>
      </s:c>
      <s:c r="K89" s="22">
        <s:f>'1'!F90</s:f>
        <s:v>46247.56118055555</s:v>
      </s:c>
      <s:c r="L89" s="22">
        <s:f>'2'!F90</s:f>
        <s:v>46247.542916666665</s:v>
      </s:c>
      <s:c r="M89" s="22">
        <s:f>'3'!F90</s:f>
        <s:v>46247.525509259256</s:v>
      </s:c>
      <s:c r="N89" s="22">
        <s:f>'4'!F90</s:f>
        <s:v>46247.47961805556</s:v>
      </s:c>
      <s:c r="O89" s="22">
        <s:f>'5'!F90</s:f>
        <s:v>46247.451273148145</s:v>
      </s:c>
      <s:c r="P89" s="22">
        <s:f>'6'!F90</s:f>
        <s:v>46247.43181712963</s:v>
      </s:c>
      <s:c r="Q89" s="22">
        <s:f>'7'!F90</s:f>
        <s:v>46247.409166666665</s:v>
      </s:c>
      <s:c r="R89" s="22">
        <s:f>'8'!F90</s:f>
        <s:v>46247.38497685185</s:v>
      </s:c>
      <s:c r="S89" s="22">
        <s:f>'9'!F90</s:f>
        <s:v>46247.367164351854</s:v>
      </s:c>
      <s:c r="T89" s="22">
        <s:f>'10'!F90</s:f>
        <s:v>46247.33793981482</s:v>
      </s:c>
      <s:c r="U89" s="23">
        <s:f>'자료구성'!$B$2</s:f>
        <s:v>46247.0</s:v>
      </s:c>
    </s:row>
    <s:row r="90">
      <s:c r="A90" s="0" t="n">
        <s:v>1547</s:v>
      </s:c>
      <s:c r="B90" s="0" t="n">
        <s:v>1101</s:v>
      </s:c>
      <s:c r="C90" s="0" t="n">
        <s:v>2058</s:v>
      </s:c>
      <s:c r="D90" s="0" t="n">
        <s:v>643</s:v>
      </s:c>
      <s:c r="E90" s="0" t="n">
        <s:v>1405</s:v>
      </s:c>
      <s:c r="F90" s="0" t="n">
        <s:v>3435</s:v>
      </s:c>
      <s:c r="G90" s="0" t="n">
        <s:v>2775</s:v>
      </s:c>
      <s:c r="H90" s="0" t="n">
        <s:v>3261</s:v>
      </s:c>
      <s:c r="I90" s="0" t="n">
        <s:v>1167</s:v>
      </s:c>
      <s:c r="J90" s="0" t="n">
        <s:v>2012</s:v>
      </s:c>
      <s:c r="K90" s="22">
        <s:f>'1'!F91</s:f>
        <s:v>46247.56119212963</s:v>
      </s:c>
      <s:c r="L90" s="22">
        <s:f>'2'!F91</s:f>
        <s:v>46247.54292824074</s:v>
      </s:c>
      <s:c r="M90" s="22">
        <s:f>'3'!F91</s:f>
        <s:v>46247.52552083333</s:v>
      </s:c>
      <s:c r="N90" s="22">
        <s:f>'4'!F91</s:f>
        <s:v>46247.479629629626</s:v>
      </s:c>
      <s:c r="O90" s="22">
        <s:f>'5'!F91</s:f>
        <s:v>46247.45128472222</s:v>
      </s:c>
      <s:c r="P90" s="22">
        <s:f>'6'!F91</s:f>
        <s:v>46247.4318287037</s:v>
      </s:c>
      <s:c r="Q90" s="22">
        <s:f>'7'!F91</s:f>
        <s:v>46247.40917824074</s:v>
      </s:c>
      <s:c r="R90" s="22">
        <s:f>'8'!F91</s:f>
        <s:v>46247.384988425925</s:v>
      </s:c>
      <s:c r="S90" s="22">
        <s:f>'9'!F91</s:f>
        <s:v>46247.36717592592</s:v>
      </s:c>
      <s:c r="T90" s="22">
        <s:f>'10'!F91</s:f>
        <s:v>46247.33795138889</s:v>
      </s:c>
      <s:c r="U90" s="23">
        <s:f>'자료구성'!$B$2</s:f>
        <s:v>46247.0</s:v>
      </s:c>
    </s:row>
    <s:row r="91">
      <s:c r="A91" s="0" t="n">
        <s:v>1510</s:v>
      </s:c>
      <s:c r="B91" s="0" t="n">
        <s:v>1073</s:v>
      </s:c>
      <s:c r="C91" s="0" t="n">
        <s:v>2042</s:v>
      </s:c>
      <s:c r="D91" s="0" t="n">
        <s:v>634</s:v>
      </s:c>
      <s:c r="E91" s="0" t="n">
        <s:v>1370</s:v>
      </s:c>
      <s:c r="F91" s="0" t="n">
        <s:v>3564</s:v>
      </s:c>
      <s:c r="G91" s="0" t="n">
        <s:v>2886</s:v>
      </s:c>
      <s:c r="H91" s="0" t="n">
        <s:v>3196</s:v>
      </s:c>
      <s:c r="I91" s="0" t="n">
        <s:v>1168</s:v>
      </s:c>
      <s:c r="J91" s="0" t="n">
        <s:v>1967</s:v>
      </s:c>
      <s:c r="K91" s="22">
        <s:f>'1'!F92</s:f>
        <s:v>46247.561203703706</s:v>
      </s:c>
      <s:c r="L91" s="22">
        <s:f>'2'!F92</s:f>
        <s:v>46247.54293981481</s:v>
      </s:c>
      <s:c r="M91" s="22">
        <s:f>'3'!F92</s:f>
        <s:v>46247.52553240741</s:v>
      </s:c>
      <s:c r="N91" s="22">
        <s:f>'4'!F92</s:f>
        <s:v>46247.4796412037</s:v>
      </s:c>
      <s:c r="O91" s="22">
        <s:f>'5'!F92</s:f>
        <s:v>46247.4512962963</s:v>
      </s:c>
      <s:c r="P91" s="22">
        <s:f>'6'!F92</s:f>
        <s:v>46247.43184027778</s:v>
      </s:c>
      <s:c r="Q91" s="22">
        <s:f>'7'!F92</s:f>
        <s:v>46247.40918981482</s:v>
      </s:c>
      <s:c r="R91" s="22">
        <s:f>'8'!F92</s:f>
        <s:v>46247.385</s:v>
      </s:c>
      <s:c r="S91" s="22">
        <s:f>'9'!F92</s:f>
        <s:v>46247.3671875</s:v>
      </s:c>
      <s:c r="T91" s="22">
        <s:f>'10'!F92</s:f>
        <s:v>46247.33796296296</s:v>
      </s:c>
      <s:c r="U91" s="23">
        <s:f>'자료구성'!$B$2</s:f>
        <s:v>46247.0</s:v>
      </s:c>
    </s:row>
    <s:row r="92">
      <s:c r="A92" s="0" t="n">
        <s:v>1470</s:v>
      </s:c>
      <s:c r="B92" s="0" t="n">
        <s:v>1086</s:v>
      </s:c>
      <s:c r="C92" s="0" t="n">
        <s:v>2022</s:v>
      </s:c>
      <s:c r="D92" s="0" t="n">
        <s:v>647</s:v>
      </s:c>
      <s:c r="E92" s="0" t="n">
        <s:v>1381</s:v>
      </s:c>
      <s:c r="F92" s="0" t="n">
        <s:v>3691</s:v>
      </s:c>
      <s:c r="G92" s="0" t="n">
        <s:v>3005</s:v>
      </s:c>
      <s:c r="H92" s="0" t="n">
        <s:v>3114</s:v>
      </s:c>
      <s:c r="I92" s="0" t="n">
        <s:v>1134</s:v>
      </s:c>
      <s:c r="J92" s="0" t="n">
        <s:v>1961</s:v>
      </s:c>
      <s:c r="K92" s="22">
        <s:f>'1'!F93</s:f>
        <s:v>46247.561215277776</s:v>
      </s:c>
      <s:c r="L92" s="22">
        <s:f>'2'!F93</s:f>
        <s:v>46247.54295138889</s:v>
      </s:c>
      <s:c r="M92" s="22">
        <s:f>'3'!F93</s:f>
        <s:v>46247.52554398148</s:v>
      </s:c>
      <s:c r="N92" s="22">
        <s:f>'4'!F93</s:f>
        <s:v>46247.47965277778</s:v>
      </s:c>
      <s:c r="O92" s="22">
        <s:f>'5'!F93</s:f>
        <s:v>46247.45130787037</s:v>
      </s:c>
      <s:c r="P92" s="22">
        <s:f>'6'!F93</s:f>
        <s:v>46247.43185185185</s:v>
      </s:c>
      <s:c r="Q92" s="22">
        <s:f>'7'!F93</s:f>
        <s:v>46247.40920138889</s:v>
      </s:c>
      <s:c r="R92" s="22">
        <s:f>'8'!F93</s:f>
        <s:v>46247.38501157407</s:v>
      </s:c>
      <s:c r="S92" s="22">
        <s:f>'9'!F93</s:f>
        <s:v>46247.36719907408</s:v>
      </s:c>
      <s:c r="T92" s="22">
        <s:f>'10'!F93</s:f>
        <s:v>46247.33797453704</s:v>
      </s:c>
      <s:c r="U92" s="23">
        <s:f>'자료구성'!$B$2</s:f>
        <s:v>46247.0</s:v>
      </s:c>
    </s:row>
    <s:row r="93">
      <s:c r="A93" s="0" t="n">
        <s:v>1440</s:v>
      </s:c>
      <s:c r="B93" s="0" t="n">
        <s:v>1106</s:v>
      </s:c>
      <s:c r="C93" s="0" t="n">
        <s:v>2056</s:v>
      </s:c>
      <s:c r="D93" s="0" t="n">
        <s:v>632</s:v>
      </s:c>
      <s:c r="E93" s="0" t="n">
        <s:v>1412</s:v>
      </s:c>
      <s:c r="F93" s="0" t="n">
        <s:v>3848</s:v>
      </s:c>
      <s:c r="G93" s="0" t="n">
        <s:v>3115</s:v>
      </s:c>
      <s:c r="H93" s="0" t="n">
        <s:v>3021</s:v>
      </s:c>
      <s:c r="I93" s="0" t="n">
        <s:v>1137</s:v>
      </s:c>
      <s:c r="J93" s="0" t="n">
        <s:v>1917</s:v>
      </s:c>
      <s:c r="K93" s="22">
        <s:f>'1'!F94</s:f>
        <s:v>46247.56122685185</s:v>
      </s:c>
      <s:c r="L93" s="22">
        <s:f>'2'!F94</s:f>
        <s:v>46247.542962962965</s:v>
      </s:c>
      <s:c r="M93" s="22">
        <s:f>'3'!F94</s:f>
        <s:v>46247.525555555556</s:v>
      </s:c>
      <s:c r="N93" s="22">
        <s:f>'4'!F94</s:f>
        <s:v>46247.47966435185</s:v>
      </s:c>
      <s:c r="O93" s="22">
        <s:f>'5'!F94</s:f>
        <s:v>46247.451319444444</s:v>
      </s:c>
      <s:c r="P93" s="22">
        <s:f>'6'!F94</s:f>
        <s:v>46247.431863425925</s:v>
      </s:c>
      <s:c r="Q93" s="22">
        <s:f>'7'!F94</s:f>
        <s:v>46247.409212962964</s:v>
      </s:c>
      <s:c r="R93" s="22">
        <s:f>'8'!F94</s:f>
        <s:v>46247.38502314815</s:v>
      </s:c>
      <s:c r="S93" s="22">
        <s:f>'9'!F94</s:f>
        <s:v>46247.367210648146</s:v>
      </s:c>
      <s:c r="T93" s="22">
        <s:f>'10'!F94</s:f>
        <s:v>46247.33798611111</s:v>
      </s:c>
      <s:c r="U93" s="23">
        <s:f>'자료구성'!$B$2</s:f>
        <s:v>46247.0</s:v>
      </s:c>
    </s:row>
    <s:row r="94">
      <s:c r="A94" s="0" t="n">
        <s:v>1451</s:v>
      </s:c>
      <s:c r="B94" s="0" t="n">
        <s:v>1114</s:v>
      </s:c>
      <s:c r="C94" s="0" t="n">
        <s:v>2109</s:v>
      </s:c>
      <s:c r="D94" s="0" t="n">
        <s:v>608</s:v>
      </s:c>
      <s:c r="E94" s="0" t="n">
        <s:v>1427</s:v>
      </s:c>
      <s:c r="F94" s="0" t="n">
        <s:v>3960</s:v>
      </s:c>
      <s:c r="G94" s="0" t="n">
        <s:v>3205</s:v>
      </s:c>
      <s:c r="H94" s="0" t="n">
        <s:v>2962</s:v>
      </s:c>
      <s:c r="I94" s="0" t="n">
        <s:v>1137</s:v>
      </s:c>
      <s:c r="J94" s="0" t="n">
        <s:v>1888</s:v>
      </s:c>
      <s:c r="K94" s="22">
        <s:f>'1'!F95</s:f>
        <s:v>46247.56123842593</s:v>
      </s:c>
      <s:c r="L94" s="22">
        <s:f>'2'!F95</s:f>
        <s:v>46247.542974537035</s:v>
      </s:c>
      <s:c r="M94" s="22">
        <s:f>'3'!F95</s:f>
        <s:v>46247.52556712963</s:v>
      </s:c>
      <s:c r="N94" s="22">
        <s:f>'4'!F95</s:f>
        <s:v>46247.479675925926</s:v>
      </s:c>
      <s:c r="O94" s="22">
        <s:f>'5'!F95</s:f>
        <s:v>46247.45133101852</s:v>
      </s:c>
      <s:c r="P94" s="22">
        <s:f>'6'!F95</s:f>
        <s:v>46247.431875</s:v>
      </s:c>
      <s:c r="Q94" s="22">
        <s:f>'7'!F95</s:f>
        <s:v>46247.409224537034</s:v>
      </s:c>
      <s:c r="R94" s="22">
        <s:f>'8'!F95</s:f>
        <s:v>46247.385034722225</s:v>
      </s:c>
      <s:c r="S94" s="22">
        <s:f>'9'!F95</s:f>
        <s:v>46247.36722222222</s:v>
      </s:c>
      <s:c r="T94" s="22">
        <s:f>'10'!F95</s:f>
        <s:v>46247.33799768519</s:v>
      </s:c>
      <s:c r="U94" s="23">
        <s:f>'자료구성'!$B$2</s:f>
        <s:v>46247.0</s:v>
      </s:c>
    </s:row>
    <s:row r="95">
      <s:c r="A95" s="0" t="n">
        <s:v>1472</s:v>
      </s:c>
      <s:c r="B95" s="0" t="n">
        <s:v>1116</s:v>
      </s:c>
      <s:c r="C95" s="0" t="n">
        <s:v>2149</s:v>
      </s:c>
      <s:c r="D95" s="0" t="n">
        <s:v>598</s:v>
      </s:c>
      <s:c r="E95" s="0" t="n">
        <s:v>1447</s:v>
      </s:c>
      <s:c r="F95" s="0" t="n">
        <s:v>4057</s:v>
      </s:c>
      <s:c r="G95" s="0" t="n">
        <s:v>3249</s:v>
      </s:c>
      <s:c r="H95" s="0" t="n">
        <s:v>2958</s:v>
      </s:c>
      <s:c r="I95" s="0" t="n">
        <s:v>1177</s:v>
      </s:c>
      <s:c r="J95" s="0" t="n">
        <s:v>1871</s:v>
      </s:c>
      <s:c r="K95" s="22">
        <s:f>'1'!F96</s:f>
        <s:v>46247.56125</s:v>
      </s:c>
      <s:c r="L95" s="22">
        <s:f>'2'!F96</s:f>
        <s:v>46247.54298611111</s:v>
      </s:c>
      <s:c r="M95" s="22">
        <s:f>'3'!F96</s:f>
        <s:v>46247.5255787037</s:v>
      </s:c>
      <s:c r="N95" s="22">
        <s:f>'4'!F96</s:f>
        <s:v>46247.4796875</s:v>
      </s:c>
      <s:c r="O95" s="22">
        <s:f>'5'!F96</s:f>
        <s:v>46247.45134259259</s:v>
      </s:c>
      <s:c r="P95" s="22">
        <s:f>'6'!F96</s:f>
        <s:v>46247.43188657407</s:v>
      </s:c>
      <s:c r="Q95" s="22">
        <s:f>'7'!F96</s:f>
        <s:v>46247.40923611111</s:v>
      </s:c>
      <s:c r="R95" s="22">
        <s:f>'8'!F96</s:f>
        <s:v>46247.385046296295</s:v>
      </s:c>
      <s:c r="S95" s="22">
        <s:f>'9'!F96</s:f>
        <s:v>46247.3672337963</s:v>
      </s:c>
      <s:c r="T95" s="22">
        <s:f>'10'!F96</s:f>
        <s:v>46247.338009259256</s:v>
      </s:c>
      <s:c r="U95" s="23">
        <s:f>'자료구성'!$B$2</s:f>
        <s:v>46247.0</s:v>
      </s:c>
    </s:row>
    <s:row r="96">
      <s:c r="A96" s="0" t="n">
        <s:v>1470</s:v>
      </s:c>
      <s:c r="B96" s="0" t="n">
        <s:v>1153</s:v>
      </s:c>
      <s:c r="C96" s="0" t="n">
        <s:v>2159</s:v>
      </s:c>
      <s:c r="D96" s="0" t="n">
        <s:v>590</s:v>
      </s:c>
      <s:c r="E96" s="0" t="n">
        <s:v>1469</s:v>
      </s:c>
      <s:c r="F96" s="0" t="n">
        <s:v>4144</s:v>
      </s:c>
      <s:c r="G96" s="0" t="n">
        <s:v>3238</s:v>
      </s:c>
      <s:c r="H96" s="0" t="n">
        <s:v>2954</s:v>
      </s:c>
      <s:c r="I96" s="0" t="n">
        <s:v>1203</s:v>
      </s:c>
      <s:c r="J96" s="0" t="n">
        <s:v>1880</s:v>
      </s:c>
      <s:c r="K96" s="22">
        <s:f>'1'!F97</s:f>
        <s:v>46247.561261574076</s:v>
      </s:c>
      <s:c r="L96" s="22">
        <s:f>'2'!F97</s:f>
        <s:v>46247.54299768519</s:v>
      </s:c>
      <s:c r="M96" s="22">
        <s:f>'3'!F97</s:f>
        <s:v>46247.52559027778</s:v>
      </s:c>
      <s:c r="N96" s="22">
        <s:f>'4'!F97</s:f>
        <s:v>46247.47969907407</s:v>
      </s:c>
      <s:c r="O96" s="22">
        <s:f>'5'!F97</s:f>
        <s:v>46247.45135416667</s:v>
      </s:c>
      <s:c r="P96" s="22">
        <s:f>'6'!F97</s:f>
        <s:v>46247.43189814815</s:v>
      </s:c>
      <s:c r="Q96" s="22">
        <s:f>'7'!F97</s:f>
        <s:v>46247.40924768519</s:v>
      </s:c>
      <s:c r="R96" s="22">
        <s:f>'8'!F97</s:f>
        <s:v>46247.38505787037</s:v>
      </s:c>
      <s:c r="S96" s="22">
        <s:f>'9'!F97</s:f>
        <s:v>46247.36724537037</s:v>
      </s:c>
      <s:c r="T96" s="22">
        <s:f>'10'!F97</s:f>
        <s:v>46247.33802083333</s:v>
      </s:c>
      <s:c r="U96" s="23">
        <s:f>'자료구성'!$B$2</s:f>
        <s:v>46247.0</s:v>
      </s:c>
    </s:row>
    <s:row r="97">
      <s:c r="A97" s="0" t="n">
        <s:v>1462</s:v>
      </s:c>
      <s:c r="B97" s="0" t="n">
        <s:v>1151</s:v>
      </s:c>
      <s:c r="C97" s="0" t="n">
        <s:v>2196</s:v>
      </s:c>
      <s:c r="D97" s="0" t="n">
        <s:v>576</s:v>
      </s:c>
      <s:c r="E97" s="0" t="n">
        <s:v>1484</s:v>
      </s:c>
      <s:c r="F97" s="0" t="n">
        <s:v>4201</s:v>
      </s:c>
      <s:c r="G97" s="0" t="n">
        <s:v>3275</s:v>
      </s:c>
      <s:c r="H97" s="0" t="n">
        <s:v>2944</s:v>
      </s:c>
      <s:c r="I97" s="0" t="n">
        <s:v>1193</s:v>
      </s:c>
      <s:c r="J97" s="0" t="n">
        <s:v>1840</s:v>
      </s:c>
      <s:c r="K97" s="22">
        <s:f>'1'!F98</s:f>
        <s:v>46247.561273148145</s:v>
      </s:c>
      <s:c r="L97" s="22">
        <s:f>'2'!F98</s:f>
        <s:v>46247.54300925926</s:v>
      </s:c>
      <s:c r="M97" s="22">
        <s:f>'3'!F98</s:f>
        <s:v>46247.52560185185</s:v>
      </s:c>
      <s:c r="N97" s="22">
        <s:f>'4'!F98</s:f>
        <s:v>46247.47971064815</s:v>
      </s:c>
      <s:c r="O97" s="22">
        <s:f>'5'!F98</s:f>
        <s:v>46247.451365740744</s:v>
      </s:c>
      <s:c r="P97" s="22">
        <s:f>'6'!F98</s:f>
        <s:v>46247.431909722225</s:v>
      </s:c>
      <s:c r="Q97" s="22">
        <s:f>'7'!F98</s:f>
        <s:v>46247.40925925926</s:v>
      </s:c>
      <s:c r="R97" s="22">
        <s:f>'8'!F98</s:f>
        <s:v>46247.38506944444</s:v>
      </s:c>
      <s:c r="S97" s="22">
        <s:f>'9'!F98</s:f>
        <s:v>46247.367256944446</s:v>
      </s:c>
      <s:c r="T97" s="22">
        <s:f>'10'!F98</s:f>
        <s:v>46247.33803240741</s:v>
      </s:c>
      <s:c r="U97" s="23">
        <s:f>'자료구성'!$B$2</s:f>
        <s:v>46247.0</s:v>
      </s:c>
    </s:row>
    <s:row r="98">
      <s:c r="A98" s="0" t="n">
        <s:v>1415</s:v>
      </s:c>
      <s:c r="B98" s="0" t="n">
        <s:v>1148</s:v>
      </s:c>
      <s:c r="C98" s="0" t="n">
        <s:v>2211</s:v>
      </s:c>
      <s:c r="D98" s="0" t="n">
        <s:v>563</s:v>
      </s:c>
      <s:c r="E98" s="0" t="n">
        <s:v>1485</s:v>
      </s:c>
      <s:c r="F98" s="0" t="n">
        <s:v>4226</s:v>
      </s:c>
      <s:c r="G98" s="0" t="n">
        <s:v>3265</s:v>
      </s:c>
      <s:c r="H98" s="0" t="n">
        <s:v>2932</s:v>
      </s:c>
      <s:c r="I98" s="0" t="n">
        <s:v>1200</s:v>
      </s:c>
      <s:c r="J98" s="0" t="n">
        <s:v>1773</s:v>
      </s:c>
      <s:c r="K98" s="22">
        <s:f>'1'!F99</s:f>
        <s:v>46247.56128472222</s:v>
      </s:c>
      <s:c r="L98" s="22">
        <s:f>'2'!F99</s:f>
        <s:v>46247.543020833335</s:v>
      </s:c>
      <s:c r="M98" s="22">
        <s:f>'3'!F99</s:f>
        <s:v>46247.525613425925</s:v>
      </s:c>
      <s:c r="N98" s="22">
        <s:f>'4'!F99</s:f>
        <s:v>46247.47972222222</s:v>
      </s:c>
      <s:c r="O98" s="22">
        <s:f>'5'!F99</s:f>
        <s:v>46247.451377314814</s:v>
      </s:c>
      <s:c r="P98" s="22">
        <s:f>'6'!F99</s:f>
        <s:v>46247.431921296295</s:v>
      </s:c>
      <s:c r="Q98" s="22">
        <s:f>'7'!F99</s:f>
        <s:v>46247.409270833334</s:v>
      </s:c>
      <s:c r="R98" s="22">
        <s:f>'8'!F99</s:f>
        <s:v>46247.38508101852</s:v>
      </s:c>
      <s:c r="S98" s="22">
        <s:f>'9'!F99</s:f>
        <s:v>46247.367268518516</s:v>
      </s:c>
      <s:c r="T98" s="22">
        <s:f>'10'!F99</s:f>
        <s:v>46247.33804398148</s:v>
      </s:c>
      <s:c r="U98" s="23">
        <s:f>'자료구성'!$B$2</s:f>
        <s:v>46247.0</s:v>
      </s:c>
    </s:row>
    <s:row r="99">
      <s:c r="A99" s="0" t="n">
        <s:v>1381</s:v>
      </s:c>
      <s:c r="B99" s="0" t="n">
        <s:v>1137</s:v>
      </s:c>
      <s:c r="C99" s="0" t="n">
        <s:v>2222</s:v>
      </s:c>
      <s:c r="D99" s="0" t="n">
        <s:v>560</s:v>
      </s:c>
      <s:c r="E99" s="0" t="n">
        <s:v>1453</s:v>
      </s:c>
      <s:c r="F99" s="0" t="n">
        <s:v>4291</s:v>
      </s:c>
      <s:c r="G99" s="0" t="n">
        <s:v>3268</s:v>
      </s:c>
      <s:c r="H99" s="0" t="n">
        <s:v>2933</s:v>
      </s:c>
      <s:c r="I99" s="0" t="n">
        <s:v>1199</s:v>
      </s:c>
      <s:c r="J99" s="0" t="n">
        <s:v>1734</s:v>
      </s:c>
      <s:c r="K99" s="22">
        <s:f>'1'!F100</s:f>
        <s:v>46247.5612962963</s:v>
      </s:c>
      <s:c r="L99" s="22">
        <s:f>'2'!F100</s:f>
        <s:v>46247.543032407404</s:v>
      </s:c>
      <s:c r="M99" s="22">
        <s:f>'3'!F100</s:f>
        <s:v>46247.525625</s:v>
      </s:c>
      <s:c r="N99" s="22">
        <s:f>'4'!F100</s:f>
        <s:v>46247.479733796295</s:v>
      </s:c>
      <s:c r="O99" s="22">
        <s:f>'5'!F100</s:f>
        <s:v>46247.45138888889</s:v>
      </s:c>
      <s:c r="P99" s="22">
        <s:f>'6'!F100</s:f>
        <s:v>46247.43193287037</s:v>
      </s:c>
      <s:c r="Q99" s="22">
        <s:f>'7'!F100</s:f>
        <s:v>46247.40928240741</s:v>
      </s:c>
      <s:c r="R99" s="22">
        <s:f>'8'!F100</s:f>
        <s:v>46247.385092592594</s:v>
      </s:c>
      <s:c r="S99" s="22">
        <s:f>'9'!F100</s:f>
        <s:v>46247.36728009259</s:v>
      </s:c>
      <s:c r="T99" s="22">
        <s:f>'10'!F100</s:f>
        <s:v>46247.338055555556</s:v>
      </s:c>
      <s:c r="U99" s="23">
        <s:f>'자료구성'!$B$2</s:f>
        <s:v>46247.0</s:v>
      </s:c>
    </s:row>
    <s:row r="100">
      <s:c r="A100" s="0" t="n">
        <s:v>1356</s:v>
      </s:c>
      <s:c r="B100" s="0" t="n">
        <s:v>1115</s:v>
      </s:c>
      <s:c r="C100" s="0" t="n">
        <s:v>2210</s:v>
      </s:c>
      <s:c r="D100" s="0" t="n">
        <s:v>561</s:v>
      </s:c>
      <s:c r="E100" s="0" t="n">
        <s:v>1450</s:v>
      </s:c>
      <s:c r="F100" s="0" t="n">
        <s:v>4314</s:v>
      </s:c>
      <s:c r="G100" s="0" t="n">
        <s:v>3332</s:v>
      </s:c>
      <s:c r="H100" s="0" t="n">
        <s:v>3005</s:v>
      </s:c>
      <s:c r="I100" s="0" t="n">
        <s:v>1197</s:v>
      </s:c>
      <s:c r="J100" s="0" t="n">
        <s:v>1688</s:v>
      </s:c>
      <s:c r="K100" s="22">
        <s:f>'1'!F101</s:f>
        <s:v>46247.56130787037</s:v>
      </s:c>
      <s:c r="L100" s="22">
        <s:f>'2'!F101</s:f>
        <s:v>46247.54304398148</s:v>
      </s:c>
      <s:c r="M100" s="22">
        <s:f>'3'!F101</s:f>
        <s:v>46247.52563657407</s:v>
      </s:c>
      <s:c r="N100" s="22">
        <s:f>'4'!F101</s:f>
        <s:v>46247.47974537037</s:v>
      </s:c>
      <s:c r="O100" s="22">
        <s:f>'5'!F101</s:f>
        <s:v>46247.45140046296</s:v>
      </s:c>
      <s:c r="P100" s="22">
        <s:f>'6'!F101</s:f>
        <s:v>46247.43194444444</s:v>
      </s:c>
      <s:c r="Q100" s="22">
        <s:f>'7'!F101</s:f>
        <s:v>46247.40929398148</s:v>
      </s:c>
      <s:c r="R100" s="22">
        <s:f>'8'!F101</s:f>
        <s:v>46247.385104166664</s:v>
      </s:c>
      <s:c r="S100" s="22">
        <s:f>'9'!F101</s:f>
        <s:v>46247.36729166667</s:v>
      </s:c>
      <s:c r="T100" s="22">
        <s:f>'10'!F101</s:f>
        <s:v>46247.33806712963</s:v>
      </s:c>
      <s:c r="U100" s="23">
        <s:f>'자료구성'!$B$2</s:f>
        <s:v>46247.0</s:v>
      </s:c>
    </s:row>
    <s:row r="101">
      <s:c r="A101" s="0" t="n">
        <s:v>1333</s:v>
      </s:c>
      <s:c r="B101" s="0" t="n">
        <s:v>1128</s:v>
      </s:c>
      <s:c r="C101" s="0" t="n">
        <s:v>2173</s:v>
      </s:c>
      <s:c r="D101" s="0" t="n">
        <s:v>558</s:v>
      </s:c>
      <s:c r="E101" s="0" t="n">
        <s:v>1446</s:v>
      </s:c>
      <s:c r="F101" s="0" t="n">
        <s:v>4486</s:v>
      </s:c>
      <s:c r="G101" s="0" t="n">
        <s:v>3320</s:v>
      </s:c>
      <s:c r="H101" s="0" t="n">
        <s:v>3094</s:v>
      </s:c>
      <s:c r="I101" s="0" t="n">
        <s:v>1210</s:v>
      </s:c>
      <s:c r="J101" s="0" t="n">
        <s:v>1655</s:v>
      </s:c>
      <s:c r="K101" s="22">
        <s:f>'1'!F102</s:f>
        <s:v>46247.561319444445</s:v>
      </s:c>
      <s:c r="L101" s="22">
        <s:f>'2'!F102</s:f>
        <s:v>46247.54305555556</s:v>
      </s:c>
      <s:c r="M101" s="22">
        <s:f>'3'!F102</s:f>
        <s:v>46247.52564814815</s:v>
      </s:c>
      <s:c r="N101" s="22">
        <s:f>'4'!F102</s:f>
        <s:v>46247.47975694444</s:v>
      </s:c>
      <s:c r="O101" s="22">
        <s:f>'5'!F102</s:f>
        <s:v>46247.45141203704</s:v>
      </s:c>
      <s:c r="P101" s="22">
        <s:f>'6'!F102</s:f>
        <s:v>46247.43195601852</s:v>
      </s:c>
      <s:c r="Q101" s="22">
        <s:f>'7'!F102</s:f>
        <s:v>46247.40930555556</s:v>
      </s:c>
      <s:c r="R101" s="22">
        <s:f>'8'!F102</s:f>
        <s:v>46247.38511574074</s:v>
      </s:c>
      <s:c r="S101" s="22">
        <s:f>'9'!F102</s:f>
        <s:v>46247.36730324074</s:v>
      </s:c>
      <s:c r="T101" s="22">
        <s:f>'10'!F102</s:f>
        <s:v>46247.3380787037</s:v>
      </s:c>
      <s:c r="U101" s="23">
        <s:f>'자료구성'!$B$2</s:f>
        <s:v>46247.0</s:v>
      </s:c>
    </s:row>
    <s:row r="102">
      <s:c r="A102" s="0" t="n">
        <s:v>1288</s:v>
      </s:c>
      <s:c r="B102" s="0" t="n">
        <s:v>1150</s:v>
      </s:c>
      <s:c r="C102" s="0" t="n">
        <s:v>2132</s:v>
      </s:c>
      <s:c r="D102" s="0" t="n">
        <s:v>554</s:v>
      </s:c>
      <s:c r="E102" s="0" t="n">
        <s:v>1435</s:v>
      </s:c>
      <s:c r="F102" s="0" t="n">
        <s:v>4527</s:v>
      </s:c>
      <s:c r="G102" s="0" t="n">
        <s:v>3289</s:v>
      </s:c>
      <s:c r="H102" s="0" t="n">
        <s:v>3136</s:v>
      </s:c>
      <s:c r="I102" s="0" t="n">
        <s:v>1230</s:v>
      </s:c>
      <s:c r="J102" s="0" t="n">
        <s:v>1645</s:v>
      </s:c>
      <s:c r="K102" s="22">
        <s:f>'1'!F103</s:f>
        <s:v>46247.56133101852</s:v>
      </s:c>
      <s:c r="L102" s="22">
        <s:f>'2'!F103</s:f>
        <s:v>46247.54306712963</s:v>
      </s:c>
      <s:c r="M102" s="22">
        <s:f>'3'!F103</s:f>
        <s:v>46247.525659722225</s:v>
      </s:c>
      <s:c r="N102" s="22">
        <s:f>'4'!F103</s:f>
        <s:v>46247.47976851852</s:v>
      </s:c>
      <s:c r="O102" s="22">
        <s:f>'5'!F103</s:f>
        <s:v>46247.45142361111</s:v>
      </s:c>
      <s:c r="P102" s="22">
        <s:f>'6'!F103</s:f>
        <s:v>46247.431967592594</s:v>
      </s:c>
      <s:c r="Q102" s="22">
        <s:f>'7'!F103</s:f>
        <s:v>46247.409317129626</s:v>
      </s:c>
      <s:c r="R102" s="22">
        <s:f>'8'!F103</s:f>
        <s:v>46247.38512731482</s:v>
      </s:c>
      <s:c r="S102" s="22">
        <s:f>'9'!F103</s:f>
        <s:v>46247.367314814815</s:v>
      </s:c>
      <s:c r="T102" s="22">
        <s:f>'10'!F103</s:f>
        <s:v>46247.33809027778</s:v>
      </s:c>
      <s:c r="U102" s="23">
        <s:f>'자료구성'!$B$2</s:f>
        <s:v>46247.0</s:v>
      </s:c>
    </s:row>
    <s:row r="103">
      <s:c r="A103" s="0" t="n">
        <s:v>1261</s:v>
      </s:c>
      <s:c r="B103" s="0" t="n">
        <s:v>1132</s:v>
      </s:c>
      <s:c r="C103" s="0" t="n">
        <s:v>2131</s:v>
      </s:c>
      <s:c r="D103" s="0" t="n">
        <s:v>564</s:v>
      </s:c>
      <s:c r="E103" s="0" t="n">
        <s:v>1435</s:v>
      </s:c>
      <s:c r="F103" s="0" t="n">
        <s:v>4562</s:v>
      </s:c>
      <s:c r="G103" s="0" t="n">
        <s:v>3299</s:v>
      </s:c>
      <s:c r="H103" s="0" t="n">
        <s:v>3182</s:v>
      </s:c>
      <s:c r="I103" s="0" t="n">
        <s:v>1242</s:v>
      </s:c>
      <s:c r="J103" s="0" t="n">
        <s:v>1633</s:v>
      </s:c>
      <s:c r="K103" s="22">
        <s:f>'1'!F104</s:f>
        <s:v>46247.56134259259</s:v>
      </s:c>
      <s:c r="L103" s="22">
        <s:f>'2'!F104</s:f>
        <s:v>46247.543078703704</s:v>
      </s:c>
      <s:c r="M103" s="22">
        <s:f>'3'!F104</s:f>
        <s:v>46247.525671296295</s:v>
      </s:c>
      <s:c r="N103" s="22">
        <s:f>'4'!F104</s:f>
        <s:v>46247.479780092595</s:v>
      </s:c>
      <s:c r="O103" s="22">
        <s:f>'5'!F104</s:f>
        <s:v>46247.45143518518</s:v>
      </s:c>
      <s:c r="P103" s="22">
        <s:f>'6'!F104</s:f>
        <s:v>46247.431979166664</s:v>
      </s:c>
      <s:c r="Q103" s="22">
        <s:f>'7'!F104</s:f>
        <s:v>46247.4093287037</s:v>
      </s:c>
      <s:c r="R103" s="22">
        <s:f>'8'!F104</s:f>
        <s:v>46247.38513888889</s:v>
      </s:c>
      <s:c r="S103" s="22">
        <s:f>'9'!F104</s:f>
        <s:v>46247.36732638889</s:v>
      </s:c>
      <s:c r="T103" s="22">
        <s:f>'10'!F104</s:f>
        <s:v>46247.33810185185</s:v>
      </s:c>
      <s:c r="U103" s="23">
        <s:f>'자료구성'!$B$2</s:f>
        <s:v>46247.0</s:v>
      </s:c>
    </s:row>
    <s:row r="104">
      <s:c r="A104" s="0" t="n">
        <s:v>1270</s:v>
      </s:c>
      <s:c r="B104" s="0" t="n">
        <s:v>1103</s:v>
      </s:c>
      <s:c r="C104" s="0" t="n">
        <s:v>2109</s:v>
      </s:c>
      <s:c r="D104" s="0" t="n">
        <s:v>612</s:v>
      </s:c>
      <s:c r="E104" s="0" t="n">
        <s:v>1420</s:v>
      </s:c>
      <s:c r="F104" s="0" t="n">
        <s:v>4580</s:v>
      </s:c>
      <s:c r="G104" s="0" t="n">
        <s:v>3304</s:v>
      </s:c>
      <s:c r="H104" s="0" t="n">
        <s:v>3256</s:v>
      </s:c>
      <s:c r="I104" s="0" t="n">
        <s:v>1265</s:v>
      </s:c>
      <s:c r="J104" s="0" t="n">
        <s:v>1626</s:v>
      </s:c>
      <s:c r="K104" s="22">
        <s:f>'1'!F105</s:f>
        <s:v>46247.56135416667</s:v>
      </s:c>
      <s:c r="L104" s="22">
        <s:f>'2'!F105</s:f>
        <s:v>46247.54309027778</s:v>
      </s:c>
      <s:c r="M104" s="22">
        <s:f>'3'!F105</s:f>
        <s:v>46247.52568287037</s:v>
      </s:c>
      <s:c r="N104" s="22">
        <s:f>'4'!F105</s:f>
        <s:v>46247.479791666665</s:v>
      </s:c>
      <s:c r="O104" s="22">
        <s:f>'5'!F105</s:f>
        <s:v>46247.45144675926</s:v>
      </s:c>
      <s:c r="P104" s="22">
        <s:f>'6'!F105</s:f>
        <s:v>46247.43199074074</s:v>
      </s:c>
      <s:c r="Q104" s="22">
        <s:f>'7'!F105</s:f>
        <s:v>46247.40934027778</s:v>
      </s:c>
      <s:c r="R104" s="22">
        <s:f>'8'!F105</s:f>
        <s:v>46247.385150462964</s:v>
      </s:c>
      <s:c r="S104" s="22">
        <s:f>'9'!F105</s:f>
        <s:v>46247.36733796296</s:v>
      </s:c>
      <s:c r="T104" s="22">
        <s:f>'10'!F105</s:f>
        <s:v>46247.338113425925</s:v>
      </s:c>
      <s:c r="U104" s="23">
        <s:f>'자료구성'!$B$2</s:f>
        <s:v>46247.0</s:v>
      </s:c>
    </s:row>
    <s:row r="105">
      <s:c r="A105" s="0" t="n">
        <s:v>1293</s:v>
      </s:c>
      <s:c r="B105" s="0" t="n">
        <s:v>1099</s:v>
      </s:c>
      <s:c r="C105" s="0" t="n">
        <s:v>2125</s:v>
      </s:c>
      <s:c r="D105" s="0" t="n">
        <s:v>700</s:v>
      </s:c>
      <s:c r="E105" s="0" t="n">
        <s:v>1358</s:v>
      </s:c>
      <s:c r="F105" s="0" t="n">
        <s:v>4592</s:v>
      </s:c>
      <s:c r="G105" s="0" t="n">
        <s:v>3343</s:v>
      </s:c>
      <s:c r="H105" s="0" t="n">
        <s:v>3334</s:v>
      </s:c>
      <s:c r="I105" s="0" t="n">
        <s:v>1292</s:v>
      </s:c>
      <s:c r="J105" s="0" t="n">
        <s:v>1597</s:v>
      </s:c>
      <s:c r="K105" s="22">
        <s:f>'1'!F106</s:f>
        <s:v>46247.56136574074</s:v>
      </s:c>
      <s:c r="L105" s="22">
        <s:f>'2'!F106</s:f>
        <s:v>46247.54310185185</s:v>
      </s:c>
      <s:c r="M105" s="22">
        <s:f>'3'!F106</s:f>
        <s:v>46247.52569444444</s:v>
      </s:c>
      <s:c r="N105" s="22">
        <s:f>'4'!F106</s:f>
        <s:v>46247.47980324074</s:v>
      </s:c>
      <s:c r="O105" s="22">
        <s:f>'5'!F106</s:f>
        <s:v>46247.45145833334</s:v>
      </s:c>
      <s:c r="P105" s="22">
        <s:f>'6'!F106</s:f>
        <s:v>46247.43200231482</s:v>
      </s:c>
      <s:c r="Q105" s="22">
        <s:f>'7'!F106</s:f>
        <s:v>46247.40935185185</s:v>
      </s:c>
      <s:c r="R105" s="22">
        <s:f>'8'!F106</s:f>
        <s:v>46247.38516203704</s:v>
      </s:c>
      <s:c r="S105" s="22">
        <s:f>'9'!F106</s:f>
        <s:v>46247.36734953704</s:v>
      </s:c>
      <s:c r="T105" s="22">
        <s:f>'10'!F106</s:f>
        <s:v>46247.338125</s:v>
      </s:c>
      <s:c r="U105" s="23">
        <s:f>'자료구성'!$B$2</s:f>
        <s:v>46247.0</s:v>
      </s:c>
    </s:row>
    <s:row r="106">
      <s:c r="A106" s="0" t="n">
        <s:v>1322</s:v>
      </s:c>
      <s:c r="B106" s="0" t="n">
        <s:v>1108</s:v>
      </s:c>
      <s:c r="C106" s="0" t="n">
        <s:v>2170</s:v>
      </s:c>
      <s:c r="D106" s="0" t="n">
        <s:v>807</s:v>
      </s:c>
      <s:c r="E106" s="0" t="n">
        <s:v>1337</s:v>
      </s:c>
      <s:c r="F106" s="0" t="n">
        <s:v>4588</s:v>
      </s:c>
      <s:c r="G106" s="0" t="n">
        <s:v>3392</s:v>
      </s:c>
      <s:c r="H106" s="0" t="n">
        <s:v>3391</s:v>
      </s:c>
      <s:c r="I106" s="0" t="n">
        <s:v>1298</s:v>
      </s:c>
      <s:c r="J106" s="0" t="n">
        <s:v>1575</s:v>
      </s:c>
      <s:c r="K106" s="22">
        <s:f>'1'!F107</s:f>
        <s:v>46247.561377314814</s:v>
      </s:c>
      <s:c r="L106" s="22">
        <s:f>'2'!F107</s:f>
        <s:v>46247.54311342593</s:v>
      </s:c>
      <s:c r="M106" s="22">
        <s:f>'3'!F107</s:f>
        <s:v>46247.52570601852</s:v>
      </s:c>
      <s:c r="N106" s="22">
        <s:f>'4'!F107</s:f>
        <s:v>46247.47981481482</s:v>
      </s:c>
      <s:c r="O106" s="22">
        <s:f>'5'!F107</s:f>
        <s:v>46247.451469907406</s:v>
      </s:c>
      <s:c r="P106" s="22">
        <s:f>'6'!F107</s:f>
        <s:v>46247.43201388889</s:v>
      </s:c>
      <s:c r="Q106" s="22">
        <s:f>'7'!F107</s:f>
        <s:v>46247.409363425926</s:v>
      </s:c>
      <s:c r="R106" s="22">
        <s:f>'8'!F107</s:f>
        <s:v>46247.38517361111</s:v>
      </s:c>
      <s:c r="S106" s="22">
        <s:f>'9'!F107</s:f>
        <s:v>46247.36736111111</s:v>
      </s:c>
      <s:c r="T106" s="22">
        <s:f>'10'!F107</s:f>
        <s:v>46247.33813657407</s:v>
      </s:c>
      <s:c r="U106" s="23">
        <s:f>'자료구성'!$B$2</s:f>
        <s:v>46247.0</s:v>
      </s:c>
    </s:row>
    <s:row r="107">
      <s:c r="A107" s="0" t="n">
        <s:v>1376</s:v>
      </s:c>
      <s:c r="B107" s="0" t="n">
        <s:v>1101</s:v>
      </s:c>
      <s:c r="C107" s="0" t="n">
        <s:v>2202</s:v>
      </s:c>
      <s:c r="D107" s="0" t="n">
        <s:v>898</s:v>
      </s:c>
      <s:c r="E107" s="0" t="n">
        <s:v>1345</s:v>
      </s:c>
      <s:c r="F107" s="0" t="n">
        <s:v>4584</s:v>
      </s:c>
      <s:c r="G107" s="0" t="n">
        <s:v>3445</s:v>
      </s:c>
      <s:c r="H107" s="0" t="n">
        <s:v>3401</s:v>
      </s:c>
      <s:c r="I107" s="0" t="n">
        <s:v>1300</s:v>
      </s:c>
      <s:c r="J107" s="0" t="n">
        <s:v>1569</s:v>
      </s:c>
      <s:c r="K107" s="22">
        <s:f>'1'!F108</s:f>
        <s:v>46247.56138888889</s:v>
      </s:c>
      <s:c r="L107" s="22">
        <s:f>'2'!F108</s:f>
        <s:v>46247.543125</s:v>
      </s:c>
      <s:c r="M107" s="22">
        <s:f>'3'!F108</s:f>
        <s:v>46247.525717592594</s:v>
      </s:c>
      <s:c r="N107" s="22">
        <s:f>'4'!F108</s:f>
        <s:v>46247.47982638889</s:v>
      </s:c>
      <s:c r="O107" s="22">
        <s:f>'5'!F108</s:f>
        <s:v>46247.45148148148</s:v>
      </s:c>
      <s:c r="P107" s="22">
        <s:f>'6'!F108</s:f>
        <s:v>46247.432025462964</s:v>
      </s:c>
      <s:c r="Q107" s="22">
        <s:f>'7'!F108</s:f>
        <s:v>46247.409375</s:v>
      </s:c>
      <s:c r="R107" s="22">
        <s:f>'8'!F108</s:f>
        <s:v>46247.38518518519</s:v>
      </s:c>
      <s:c r="S107" s="22">
        <s:f>'9'!F108</s:f>
        <s:v>46247.367372685185</s:v>
      </s:c>
      <s:c r="T107" s="22">
        <s:f>'10'!F108</s:f>
        <s:v>46247.33814814815</s:v>
      </s:c>
      <s:c r="U107" s="23">
        <s:f>'자료구성'!$B$2</s:f>
        <s:v>46247.0</s:v>
      </s:c>
    </s:row>
    <s:row r="108">
      <s:c r="A108" s="0" t="n">
        <s:v>1424</s:v>
      </s:c>
      <s:c r="B108" s="0" t="n">
        <s:v>1089</s:v>
      </s:c>
      <s:c r="C108" s="0" t="n">
        <s:v>2254</s:v>
      </s:c>
      <s:c r="D108" s="0" t="n">
        <s:v>952</s:v>
      </s:c>
      <s:c r="E108" s="0" t="n">
        <s:v>1334</s:v>
      </s:c>
      <s:c r="F108" s="0" t="n">
        <s:v>4655</s:v>
      </s:c>
      <s:c r="G108" s="0" t="n">
        <s:v>3499</s:v>
      </s:c>
      <s:c r="H108" s="0" t="n">
        <s:v>3450</s:v>
      </s:c>
      <s:c r="I108" s="0" t="n">
        <s:v>1307</s:v>
      </s:c>
      <s:c r="J108" s="0" t="n">
        <s:v>1608</s:v>
      </s:c>
      <s:c r="K108" s="22">
        <s:f>'1'!F109</s:f>
        <s:v>46247.56140046296</s:v>
      </s:c>
      <s:c r="L108" s="22">
        <s:f>'2'!F109</s:f>
        <s:v>46247.54313657407</s:v>
      </s:c>
      <s:c r="M108" s="22">
        <s:f>'3'!F109</s:f>
        <s:v>46247.525729166664</s:v>
      </s:c>
      <s:c r="N108" s="22">
        <s:f>'4'!F109</s:f>
        <s:v>46247.479837962965</s:v>
      </s:c>
      <s:c r="O108" s="22">
        <s:f>'5'!F109</s:f>
        <s:v>46247.45149305555</s:v>
      </s:c>
      <s:c r="P108" s="22">
        <s:f>'6'!F109</s:f>
        <s:v>46247.43203703704</s:v>
      </s:c>
      <s:c r="Q108" s="22">
        <s:f>'7'!F109</s:f>
        <s:v>46247.40938657407</s:v>
      </s:c>
      <s:c r="R108" s="22">
        <s:f>'8'!F109</s:f>
        <s:v>46247.385196759256</s:v>
      </s:c>
      <s:c r="S108" s="22">
        <s:f>'9'!F109</s:f>
        <s:v>46247.36738425926</s:v>
      </s:c>
      <s:c r="T108" s="22">
        <s:f>'10'!F109</s:f>
        <s:v>46247.338159722225</s:v>
      </s:c>
      <s:c r="U108" s="23">
        <s:f>'자료구성'!$B$2</s:f>
        <s:v>46247.0</s:v>
      </s:c>
    </s:row>
    <s:row r="109">
      <s:c r="A109" s="0" t="n">
        <s:v>1404</s:v>
      </s:c>
      <s:c r="B109" s="0" t="n">
        <s:v>1081</s:v>
      </s:c>
      <s:c r="C109" s="0" t="n">
        <s:v>2322</s:v>
      </s:c>
      <s:c r="D109" s="0" t="n">
        <s:v>18</s:v>
      </s:c>
      <s:c r="E109" s="0" t="n">
        <s:v>1325</s:v>
      </s:c>
      <s:c r="F109" s="0" t="n">
        <s:v>4755</s:v>
      </s:c>
      <s:c r="G109" s="0" t="n">
        <s:v>3562</s:v>
      </s:c>
      <s:c r="H109" s="0" t="n">
        <s:v>3526</s:v>
      </s:c>
      <s:c r="I109" s="0" t="n">
        <s:v>1313</s:v>
      </s:c>
      <s:c r="J109" s="0" t="n">
        <s:v>1670</s:v>
      </s:c>
      <s:c r="K109" s="22">
        <s:f>'1'!F110</s:f>
        <s:v>46247.56141203704</s:v>
      </s:c>
      <s:c r="L109" s="22">
        <s:f>'2'!F110</s:f>
        <s:v>46247.54314814815</s:v>
      </s:c>
      <s:c r="M109" s="22">
        <s:f>'3'!F110</s:f>
        <s:v>46247.52574074074</s:v>
      </s:c>
      <s:c r="N109" s="22">
        <s:f>'4'!F110</s:f>
        <s:v>46247.479849537034</s:v>
      </s:c>
      <s:c r="O109" s="22">
        <s:f>'5'!F110</s:f>
        <s:v>46247.45150462963</s:v>
      </s:c>
      <s:c r="P109" s="22">
        <s:f>'6'!F110</s:f>
        <s:v>46247.43204861111</s:v>
      </s:c>
      <s:c r="Q109" s="22">
        <s:f>'7'!F110</s:f>
        <s:v>46247.40939814815</s:v>
      </s:c>
      <s:c r="R109" s="22">
        <s:f>'8'!F110</s:f>
        <s:v>46247.38520833333</s:v>
      </s:c>
      <s:c r="S109" s="22">
        <s:f>'9'!F110</s:f>
        <s:v>46247.36739583333</s:v>
      </s:c>
      <s:c r="T109" s="22">
        <s:f>'10'!F110</s:f>
        <s:v>46247.338171296295</s:v>
      </s:c>
      <s:c r="U109" s="23">
        <s:f>'자료구성'!$B$2</s:f>
        <s:v>46247.0</s:v>
      </s:c>
    </s:row>
    <s:row r="110">
      <s:c r="A110" s="0" t="n">
        <s:v>1368</s:v>
      </s:c>
      <s:c r="B110" s="0" t="n">
        <s:v>1081</s:v>
      </s:c>
      <s:c r="C110" s="0" t="n">
        <s:v>2332</s:v>
      </s:c>
      <s:c r="D110" s="0" t="n">
        <s:v>77</s:v>
      </s:c>
      <s:c r="E110" s="0" t="n">
        <s:v>1311</s:v>
      </s:c>
      <s:c r="F110" s="0" t="n">
        <s:v>4791</s:v>
      </s:c>
      <s:c r="G110" s="0" t="n">
        <s:v>3662</s:v>
      </s:c>
      <s:c r="H110" s="0" t="n">
        <s:v>3665</s:v>
      </s:c>
      <s:c r="I110" s="0" t="n">
        <s:v>1326</s:v>
      </s:c>
      <s:c r="J110" s="0" t="n">
        <s:v>1725</s:v>
      </s:c>
      <s:c r="K110" s="22">
        <s:f>'1'!F111</s:f>
        <s:v>46247.561423611114</s:v>
      </s:c>
      <s:c r="L110" s="22">
        <s:f>'2'!F111</s:f>
        <s:v>46247.54315972222</s:v>
      </s:c>
      <s:c r="M110" s="22">
        <s:f>'3'!F111</s:f>
        <s:v>46247.52575231482</s:v>
      </s:c>
      <s:c r="N110" s="22">
        <s:f>'4'!F111</s:f>
        <s:v>46247.47986111111</s:v>
      </s:c>
      <s:c r="O110" s="22">
        <s:f>'5'!F111</s:f>
        <s:v>46247.451516203706</s:v>
      </s:c>
      <s:c r="P110" s="22">
        <s:f>'6'!F111</s:f>
        <s:v>46247.43206018519</s:v>
      </s:c>
      <s:c r="Q110" s="22">
        <s:f>'7'!F111</s:f>
        <s:v>46247.40940972222</s:v>
      </s:c>
      <s:c r="R110" s="22">
        <s:f>'8'!F111</s:f>
        <s:v>46247.38521990741</s:v>
      </s:c>
      <s:c r="S110" s="22">
        <s:f>'9'!F111</s:f>
        <s:v>46247.36740740741</s:v>
      </s:c>
      <s:c r="T110" s="22">
        <s:f>'10'!F111</s:f>
        <s:v>46247.33818287037</s:v>
      </s:c>
      <s:c r="U110" s="23">
        <s:f>'자료구성'!$B$2</s:f>
        <s:v>46247.0</s:v>
      </s:c>
    </s:row>
    <s:row r="111">
      <s:c r="A111" s="0" t="n">
        <s:v>1332</s:v>
      </s:c>
      <s:c r="B111" s="0" t="n">
        <s:v>1059</s:v>
      </s:c>
      <s:c r="C111" s="0" t="n">
        <s:v>2345</s:v>
      </s:c>
      <s:c r="D111" s="0" t="n">
        <s:v>126</s:v>
      </s:c>
      <s:c r="E111" s="0" t="n">
        <s:v>1290</s:v>
      </s:c>
      <s:c r="F111" s="0" t="n">
        <s:v>4747</s:v>
      </s:c>
      <s:c r="G111" s="0" t="n">
        <s:v>3807</s:v>
      </s:c>
      <s:c r="H111" s="0" t="n">
        <s:v>3760</s:v>
      </s:c>
      <s:c r="I111" s="0" t="n">
        <s:v>1352</s:v>
      </s:c>
      <s:c r="J111" s="0" t="n">
        <s:v>1818</s:v>
      </s:c>
      <s:c r="K111" s="22">
        <s:f>'1'!F112</s:f>
        <s:v>46247.561435185184</s:v>
      </s:c>
      <s:c r="L111" s="22">
        <s:f>'2'!F112</s:f>
        <s:v>46247.543171296296</s:v>
      </s:c>
      <s:c r="M111" s="22">
        <s:f>'3'!F112</s:f>
        <s:v>46247.52576388889</s:v>
      </s:c>
      <s:c r="N111" s="22">
        <s:f>'4'!F112</s:f>
        <s:v>46247.47987268519</s:v>
      </s:c>
      <s:c r="O111" s="22">
        <s:f>'5'!F112</s:f>
        <s:v>46247.451527777775</s:v>
      </s:c>
      <s:c r="P111" s="22">
        <s:f>'6'!F112</s:f>
        <s:v>46247.432071759256</s:v>
      </s:c>
      <s:c r="Q111" s="22">
        <s:f>'7'!F112</s:f>
        <s:v>46247.409421296295</s:v>
      </s:c>
      <s:c r="R111" s="22">
        <s:f>'8'!F112</s:f>
        <s:v>46247.38523148148</s:v>
      </s:c>
      <s:c r="S111" s="22">
        <s:f>'9'!F112</s:f>
        <s:v>46247.367418981485</s:v>
      </s:c>
      <s:c r="T111" s="22">
        <s:f>'10'!F112</s:f>
        <s:v>46247.33819444444</s:v>
      </s:c>
      <s:c r="U111" s="23">
        <s:f>'자료구성'!$B$2</s:f>
        <s:v>46247.0</s:v>
      </s:c>
    </s:row>
    <s:row r="112">
      <s:c r="A112" s="0" t="n">
        <s:v>1313</s:v>
      </s:c>
      <s:c r="B112" s="0" t="n">
        <s:v>1050</s:v>
      </s:c>
      <s:c r="C112" s="0" t="n">
        <s:v>2341</s:v>
      </s:c>
      <s:c r="D112" s="0" t="n">
        <s:v>173</s:v>
      </s:c>
      <s:c r="E112" s="0" t="n">
        <s:v>1251</s:v>
      </s:c>
      <s:c r="F112" s="0" t="n">
        <s:v>4693</s:v>
      </s:c>
      <s:c r="G112" s="0" t="n">
        <s:v>4023</s:v>
      </s:c>
      <s:c r="H112" s="0" t="n">
        <s:v>3790</s:v>
      </s:c>
      <s:c r="I112" s="0" t="n">
        <s:v>1346</s:v>
      </s:c>
      <s:c r="J112" s="0" t="n">
        <s:v>1940</s:v>
      </s:c>
      <s:c r="K112" s="22">
        <s:f>'1'!F113</s:f>
        <s:v>46247.56144675926</s:v>
      </s:c>
      <s:c r="L112" s="22">
        <s:f>'2'!F113</s:f>
        <s:v>46247.54318287037</s:v>
      </s:c>
      <s:c r="M112" s="22">
        <s:f>'3'!F113</s:f>
        <s:v>46247.525775462964</s:v>
      </s:c>
      <s:c r="N112" s="22">
        <s:f>'4'!F113</s:f>
        <s:v>46247.47988425926</s:v>
      </s:c>
      <s:c r="O112" s="22">
        <s:f>'5'!F113</s:f>
        <s:v>46247.45153935185</s:v>
      </s:c>
      <s:c r="P112" s="22">
        <s:f>'6'!F113</s:f>
        <s:v>46247.43208333333</s:v>
      </s:c>
      <s:c r="Q112" s="22">
        <s:f>'7'!F113</s:f>
        <s:v>46247.40943287037</s:v>
      </s:c>
      <s:c r="R112" s="22">
        <s:f>'8'!F113</s:f>
        <s:v>46247.385243055556</s:v>
      </s:c>
      <s:c r="S112" s="22">
        <s:f>'9'!F113</s:f>
        <s:v>46247.367430555554</s:v>
      </s:c>
      <s:c r="T112" s="22">
        <s:f>'10'!F113</s:f>
        <s:v>46247.33820601852</s:v>
      </s:c>
      <s:c r="U112" s="23">
        <s:f>'자료구성'!$B$2</s:f>
        <s:v>46247.0</s:v>
      </s:c>
    </s:row>
    <s:row r="113">
      <s:c r="A113" s="0" t="n">
        <s:v>1343</s:v>
      </s:c>
      <s:c r="B113" s="0" t="n">
        <s:v>1025</s:v>
      </s:c>
      <s:c r="C113" s="0" t="n">
        <s:v>2336</s:v>
      </s:c>
      <s:c r="D113" s="0" t="n">
        <s:v>177</s:v>
      </s:c>
      <s:c r="E113" s="0" t="n">
        <s:v>1267</s:v>
      </s:c>
      <s:c r="F113" s="0" t="n">
        <s:v>4715</s:v>
      </s:c>
      <s:c r="G113" s="0" t="n">
        <s:v>4377</s:v>
      </s:c>
      <s:c r="H113" s="0" t="n">
        <s:v>3790</s:v>
      </s:c>
      <s:c r="I113" s="0" t="n">
        <s:v>1358</s:v>
      </s:c>
      <s:c r="J113" s="0" t="n">
        <s:v>2057</s:v>
      </s:c>
      <s:c r="K113" s="22">
        <s:f>'1'!F114</s:f>
        <s:v>46247.56145833333</s:v>
      </s:c>
      <s:c r="L113" s="22">
        <s:f>'2'!F114</s:f>
        <s:v>46247.54319444444</s:v>
      </s:c>
      <s:c r="M113" s="22">
        <s:f>'3'!F114</s:f>
        <s:v>46247.52578703704</s:v>
      </s:c>
      <s:c r="N113" s="22">
        <s:f>'4'!F114</s:f>
        <s:v>46247.479895833334</s:v>
      </s:c>
      <s:c r="O113" s="22">
        <s:f>'5'!F114</s:f>
        <s:v>46247.45155092593</s:v>
      </s:c>
      <s:c r="P113" s="22">
        <s:f>'6'!F114</s:f>
        <s:v>46247.43209490741</s:v>
      </s:c>
      <s:c r="Q113" s="22">
        <s:f>'7'!F114</s:f>
        <s:v>46247.40944444444</s:v>
      </s:c>
      <s:c r="R113" s="22">
        <s:f>'8'!F114</s:f>
        <s:v>46247.38525462963</s:v>
      </s:c>
      <s:c r="S113" s="22">
        <s:f>'9'!F114</s:f>
        <s:v>46247.36744212963</s:v>
      </s:c>
      <s:c r="T113" s="22">
        <s:f>'10'!F114</s:f>
        <s:v>46247.338217592594</s:v>
      </s:c>
      <s:c r="U113" s="23">
        <s:f>'자료구성'!$B$2</s:f>
        <s:v>46247.0</s:v>
      </s:c>
    </s:row>
    <s:row r="114">
      <s:c r="A114" s="0" t="n">
        <s:v>1339</s:v>
      </s:c>
      <s:c r="B114" s="0" t="n">
        <s:v>1004</s:v>
      </s:c>
      <s:c r="C114" s="0" t="n">
        <s:v>2339</s:v>
      </s:c>
      <s:c r="D114" s="0" t="n">
        <s:v>163</s:v>
      </s:c>
      <s:c r="E114" s="0" t="n">
        <s:v>1242</s:v>
      </s:c>
      <s:c r="F114" s="0" t="n">
        <s:v>4766</s:v>
      </s:c>
      <s:c r="G114" s="0" t="n">
        <s:v>4853</s:v>
      </s:c>
      <s:c r="H114" s="0" t="n">
        <s:v>3880</s:v>
      </s:c>
      <s:c r="I114" s="0" t="n">
        <s:v>1365</s:v>
      </s:c>
      <s:c r="J114" s="0" t="n">
        <s:v>2130</s:v>
      </s:c>
      <s:c r="K114" s="22">
        <s:f>'1'!F115</s:f>
        <s:v>46247.56146990741</s:v>
      </s:c>
      <s:c r="L114" s="22">
        <s:f>'2'!F115</s:f>
        <s:v>46247.54320601852</s:v>
      </s:c>
      <s:c r="M114" s="22">
        <s:f>'3'!F115</s:f>
        <s:v>46247.52579861111</s:v>
      </s:c>
      <s:c r="N114" s="22">
        <s:f>'4'!F115</s:f>
        <s:v>46247.47990740741</s:v>
      </s:c>
      <s:c r="O114" s="22">
        <s:f>'5'!F115</s:f>
        <s:v>46247.4515625</s:v>
      </s:c>
      <s:c r="P114" s="22">
        <s:f>'6'!F115</s:f>
        <s:v>46247.43210648148</s:v>
      </s:c>
      <s:c r="Q114" s="22">
        <s:f>'7'!F115</s:f>
        <s:v>46247.40945601852</s:v>
      </s:c>
      <s:c r="R114" s="22">
        <s:f>'8'!F115</s:f>
        <s:v>46247.3852662037</s:v>
      </s:c>
      <s:c r="S114" s="22">
        <s:f>'9'!F115</s:f>
        <s:v>46247.3674537037</s:v>
      </s:c>
      <s:c r="T114" s="22">
        <s:f>'10'!F115</s:f>
        <s:v>46247.338229166664</s:v>
      </s:c>
      <s:c r="U114" s="23">
        <s:f>'자료구성'!$B$2</s:f>
        <s:v>46247.0</s:v>
      </s:c>
    </s:row>
    <s:row r="115">
      <s:c r="A115" s="0" t="n">
        <s:v>1314</s:v>
      </s:c>
      <s:c r="B115" s="0" t="n">
        <s:v>991</s:v>
      </s:c>
      <s:c r="C115" s="0" t="n">
        <s:v>2339</s:v>
      </s:c>
      <s:c r="D115" s="0" t="n">
        <s:v>167</s:v>
      </s:c>
      <s:c r="E115" s="0" t="n">
        <s:v>1218</s:v>
      </s:c>
      <s:c r="F115" s="0" t="n">
        <s:v>4880</s:v>
      </s:c>
      <s:c r="G115" s="0" t="n">
        <s:v>5408</s:v>
      </s:c>
      <s:c r="H115" s="0" t="n">
        <s:v>3993</s:v>
      </s:c>
      <s:c r="I115" s="0" t="n">
        <s:v>1360</s:v>
      </s:c>
      <s:c r="J115" s="0" t="n">
        <s:v>2194</s:v>
      </s:c>
      <s:c r="K115" s="22">
        <s:f>'1'!F116</s:f>
        <s:v>46247.56148148148</s:v>
      </s:c>
      <s:c r="L115" s="22">
        <s:f>'2'!F116</s:f>
        <s:v>46247.543217592596</s:v>
      </s:c>
      <s:c r="M115" s="22">
        <s:f>'3'!F116</s:f>
        <s:v>46247.52581018519</s:v>
      </s:c>
      <s:c r="N115" s="22">
        <s:f>'4'!F116</s:f>
        <s:v>46247.47991898148</s:v>
      </s:c>
      <s:c r="O115" s="22">
        <s:f>'5'!F116</s:f>
        <s:v>46247.451574074075</s:v>
      </s:c>
      <s:c r="P115" s="22">
        <s:f>'6'!F116</s:f>
        <s:v>46247.432118055556</s:v>
      </s:c>
      <s:c r="Q115" s="22">
        <s:f>'7'!F116</s:f>
        <s:v>46247.409467592595</s:v>
      </s:c>
      <s:c r="R115" s="22">
        <s:f>'8'!F116</s:f>
        <s:v>46247.38527777778</s:v>
      </s:c>
      <s:c r="S115" s="22">
        <s:f>'9'!F116</s:f>
        <s:v>46247.36746527778</s:v>
      </s:c>
      <s:c r="T115" s="22">
        <s:f>'10'!F116</s:f>
        <s:v>46247.33824074074</s:v>
      </s:c>
      <s:c r="U115" s="23">
        <s:f>'자료구성'!$B$2</s:f>
        <s:v>46247.0</s:v>
      </s:c>
    </s:row>
    <s:row r="116">
      <s:c r="A116" s="0" t="n">
        <s:v>1287</s:v>
      </s:c>
      <s:c r="B116" s="0" t="n">
        <s:v>995</s:v>
      </s:c>
      <s:c r="C116" s="0" t="n">
        <s:v>2358</s:v>
      </s:c>
      <s:c r="D116" s="0" t="n">
        <s:v>186</s:v>
      </s:c>
      <s:c r="E116" s="0" t="n">
        <s:v>1218</s:v>
      </s:c>
      <s:c r="F116" s="0" t="n">
        <s:v>4956</s:v>
      </s:c>
      <s:c r="G116" s="0" t="n">
        <s:v>5894</s:v>
      </s:c>
      <s:c r="H116" s="0" t="n">
        <s:v>4072</s:v>
      </s:c>
      <s:c r="I116" s="0" t="n">
        <s:v>1356</s:v>
      </s:c>
      <s:c r="J116" s="0" t="n">
        <s:v>2230</s:v>
      </s:c>
      <s:c r="K116" s="22">
        <s:f>'1'!F117</s:f>
        <s:v>46247.56149305555</s:v>
      </s:c>
      <s:c r="L116" s="22">
        <s:f>'2'!F117</s:f>
        <s:v>46247.543229166666</s:v>
      </s:c>
      <s:c r="M116" s="22">
        <s:f>'3'!F117</s:f>
        <s:v>46247.525821759256</s:v>
      </s:c>
      <s:c r="N116" s="22">
        <s:f>'4'!F117</s:f>
        <s:v>46247.47993055556</s:v>
      </s:c>
      <s:c r="O116" s="22">
        <s:f>'5'!F117</s:f>
        <s:v>46247.451585648145</s:v>
      </s:c>
      <s:c r="P116" s="22">
        <s:f>'6'!F117</s:f>
        <s:v>46247.43212962963</s:v>
      </s:c>
      <s:c r="Q116" s="22">
        <s:f>'7'!F117</s:f>
        <s:v>46247.409479166665</s:v>
      </s:c>
      <s:c r="R116" s="22">
        <s:f>'8'!F117</s:f>
        <s:v>46247.38528935185</s:v>
      </s:c>
      <s:c r="S116" s="22">
        <s:f>'9'!F117</s:f>
        <s:v>46247.367476851854</s:v>
      </s:c>
      <s:c r="T116" s="22">
        <s:f>'10'!F117</s:f>
        <s:v>46247.33825231482</s:v>
      </s:c>
      <s:c r="U116" s="23">
        <s:f>'자료구성'!$B$2</s:f>
        <s:v>46247.0</s:v>
      </s:c>
    </s:row>
    <s:row r="117">
      <s:c r="A117" s="0" t="n">
        <s:v>1266</s:v>
      </s:c>
      <s:c r="B117" s="0" t="n">
        <s:v>993</s:v>
      </s:c>
      <s:c r="C117" s="0" t="n">
        <s:v>2331</s:v>
      </s:c>
      <s:c r="D117" s="0" t="n">
        <s:v>109</s:v>
      </s:c>
      <s:c r="E117" s="0" t="n">
        <s:v>1134</s:v>
      </s:c>
      <s:c r="F117" s="0" t="n">
        <s:v>4992</s:v>
      </s:c>
      <s:c r="G117" s="0" t="n">
        <s:v>6203</s:v>
      </s:c>
      <s:c r="H117" s="0" t="n">
        <s:v>4218</s:v>
      </s:c>
      <s:c r="I117" s="0" t="n">
        <s:v>1362</s:v>
      </s:c>
      <s:c r="J117" s="0" t="n">
        <s:v>2292</s:v>
      </s:c>
      <s:c r="K117" s="22">
        <s:f>'1'!F118</s:f>
        <s:v>46247.56150462963</s:v>
      </s:c>
      <s:c r="L117" s="22">
        <s:f>'2'!F118</s:f>
        <s:v>46247.54324074074</s:v>
      </s:c>
      <s:c r="M117" s="22">
        <s:f>'3'!F118</s:f>
        <s:v>46247.52583333333</s:v>
      </s:c>
      <s:c r="N117" s="22">
        <s:f>'4'!F118</s:f>
        <s:v>46247.47994212963</s:v>
      </s:c>
      <s:c r="O117" s="22">
        <s:f>'5'!F118</s:f>
        <s:v>46247.45159722222</s:v>
      </s:c>
      <s:c r="P117" s="22">
        <s:f>'6'!F118</s:f>
        <s:v>46247.4321412037</s:v>
      </s:c>
      <s:c r="Q117" s="22">
        <s:f>'7'!F118</s:f>
        <s:v>46247.40949074074</s:v>
      </s:c>
      <s:c r="R117" s="22">
        <s:f>'8'!F118</s:f>
        <s:v>46247.385300925926</s:v>
      </s:c>
      <s:c r="S117" s="22">
        <s:f>'9'!F118</s:f>
        <s:v>46247.36748842592</s:v>
      </s:c>
      <s:c r="T117" s="22">
        <s:f>'10'!F118</s:f>
        <s:v>46247.33826388889</s:v>
      </s:c>
      <s:c r="U117" s="23">
        <s:f>'자료구성'!$B$2</s:f>
        <s:v>46247.0</s:v>
      </s:c>
    </s:row>
    <s:row r="118">
      <s:c r="A118" s="0" t="n">
        <s:v>1234</s:v>
      </s:c>
      <s:c r="B118" s="0" t="n">
        <s:v>986</s:v>
      </s:c>
      <s:c r="C118" s="0" t="n">
        <s:v>2297</s:v>
      </s:c>
      <s:c r="D118" s="0" t="n">
        <s:v>2</s:v>
      </s:c>
      <s:c r="E118" s="0" t="n">
        <s:v>1100</s:v>
      </s:c>
      <s:c r="F118" s="0" t="n">
        <s:v>5003</s:v>
      </s:c>
      <s:c r="G118" s="0" t="n">
        <s:v>6430</s:v>
      </s:c>
      <s:c r="H118" s="0" t="n">
        <s:v>4349</s:v>
      </s:c>
      <s:c r="I118" s="0" t="n">
        <s:v>1357</s:v>
      </s:c>
      <s:c r="J118" s="0" t="n">
        <s:v>2320</s:v>
      </s:c>
      <s:c r="K118" s="22">
        <s:f>'1'!F119</s:f>
        <s:v>46247.56151620371</s:v>
      </s:c>
      <s:c r="L118" s="22">
        <s:f>'2'!F119</s:f>
        <s:v>46247.54325231481</s:v>
      </s:c>
      <s:c r="M118" s="22">
        <s:f>'3'!F119</s:f>
        <s:v>46247.52584490741</s:v>
      </s:c>
      <s:c r="N118" s="22">
        <s:f>'4'!F119</s:f>
        <s:v>46247.4799537037</s:v>
      </s:c>
      <s:c r="O118" s="22">
        <s:f>'5'!F119</s:f>
        <s:v>46247.4516087963</s:v>
      </s:c>
      <s:c r="P118" s="22">
        <s:f>'6'!F119</s:f>
        <s:v>46247.43215277778</s:v>
      </s:c>
      <s:c r="Q118" s="22">
        <s:f>'7'!F119</s:f>
        <s:v>46247.40950231482</s:v>
      </s:c>
      <s:c r="R118" s="22">
        <s:f>'8'!F119</s:f>
        <s:v>46247.3853125</s:v>
      </s:c>
      <s:c r="S118" s="22">
        <s:f>'9'!F119</s:f>
        <s:v>46247.3675</s:v>
      </s:c>
      <s:c r="T118" s="22">
        <s:f>'10'!F119</s:f>
        <s:v>46247.338275462964</s:v>
      </s:c>
      <s:c r="U118" s="23">
        <s:f>'자료구성'!$B$2</s:f>
        <s:v>46247.0</s:v>
      </s:c>
    </s:row>
    <s:row r="119">
      <s:c r="A119" s="0" t="n">
        <s:v>1217</s:v>
      </s:c>
      <s:c r="B119" s="0" t="n">
        <s:v>988</s:v>
      </s:c>
      <s:c r="C119" s="0" t="n">
        <s:v>2255</s:v>
      </s:c>
      <s:c r="D119" s="0" t="n">
        <s:v>913</s:v>
      </s:c>
      <s:c r="E119" s="0" t="n">
        <s:v>1088</s:v>
      </s:c>
      <s:c r="F119" s="0" t="n">
        <s:v>4999</s:v>
      </s:c>
      <s:c r="G119" s="0" t="n">
        <s:v>6710</s:v>
      </s:c>
      <s:c r="H119" s="0" t="n">
        <s:v>4426</s:v>
      </s:c>
      <s:c r="I119" s="0" t="n">
        <s:v>1358</s:v>
      </s:c>
      <s:c r="J119" s="0" t="n">
        <s:v>2312</s:v>
      </s:c>
      <s:c r="K119" s="22">
        <s:f>'1'!F120</s:f>
        <s:v>46247.561527777776</s:v>
      </s:c>
      <s:c r="L119" s="22">
        <s:f>'2'!F120</s:f>
        <s:v>46247.54326388889</s:v>
      </s:c>
      <s:c r="M119" s="22">
        <s:f>'3'!F120</s:f>
        <s:v>46247.52585648148</s:v>
      </s:c>
      <s:c r="N119" s="22">
        <s:f>'4'!F120</s:f>
        <s:v>46247.47996527778</s:v>
      </s:c>
      <s:c r="O119" s="22">
        <s:f>'5'!F120</s:f>
        <s:v>46247.45162037037</s:v>
      </s:c>
      <s:c r="P119" s="22">
        <s:f>'6'!F120</s:f>
        <s:v>46247.43216435185</s:v>
      </s:c>
      <s:c r="Q119" s="22">
        <s:f>'7'!F120</s:f>
        <s:v>46247.40951388889</s:v>
      </s:c>
      <s:c r="R119" s="22">
        <s:f>'8'!F120</s:f>
        <s:v>46247.38532407407</s:v>
      </s:c>
      <s:c r="S119" s="22">
        <s:f>'9'!F120</s:f>
        <s:v>46247.36751157408</s:v>
      </s:c>
      <s:c r="T119" s="22">
        <s:f>'10'!F120</s:f>
        <s:v>46247.33828703704</s:v>
      </s:c>
      <s:c r="U119" s="23">
        <s:f>'자료구성'!$B$2</s:f>
        <s:v>46247.0</s:v>
      </s:c>
    </s:row>
    <s:row r="120">
      <s:c r="A120" s="0" t="n">
        <s:v>1226</s:v>
      </s:c>
      <s:c r="B120" s="0" t="n">
        <s:v>982</s:v>
      </s:c>
      <s:c r="C120" s="0" t="n">
        <s:v>2236</s:v>
      </s:c>
      <s:c r="D120" s="0" t="n">
        <s:v>850</s:v>
      </s:c>
      <s:c r="E120" s="0" t="n">
        <s:v>1119</s:v>
      </s:c>
      <s:c r="F120" s="0" t="n">
        <s:v>4972</s:v>
      </s:c>
      <s:c r="G120" s="0" t="n">
        <s:v>6833</s:v>
      </s:c>
      <s:c r="H120" s="0" t="n">
        <s:v>4368</s:v>
      </s:c>
      <s:c r="I120" s="0" t="n">
        <s:v>1359</s:v>
      </s:c>
      <s:c r="J120" s="0" t="n">
        <s:v>2328</s:v>
      </s:c>
      <s:c r="K120" s="22">
        <s:f>'1'!F121</s:f>
        <s:v>46247.56153935185</s:v>
      </s:c>
      <s:c r="L120" s="22">
        <s:f>'2'!F121</s:f>
        <s:v>46247.543275462966</s:v>
      </s:c>
      <s:c r="M120" s="22">
        <s:f>'3'!F121</s:f>
        <s:v>46247.525868055556</s:v>
      </s:c>
      <s:c r="N120" s="22">
        <s:f>'4'!F121</s:f>
        <s:v>46247.47997685185</s:v>
      </s:c>
      <s:c r="O120" s="22">
        <s:f>'5'!F121</s:f>
        <s:v>46247.451631944445</s:v>
      </s:c>
      <s:c r="P120" s="22">
        <s:f>'6'!F121</s:f>
        <s:v>46247.432175925926</s:v>
      </s:c>
      <s:c r="Q120" s="22">
        <s:f>'7'!F121</s:f>
        <s:v>46247.409525462965</s:v>
      </s:c>
      <s:c r="R120" s="22">
        <s:f>'8'!F121</s:f>
        <s:v>46247.38533564815</s:v>
      </s:c>
      <s:c r="S120" s="22">
        <s:f>'9'!F121</s:f>
        <s:v>46247.36752314815</s:v>
      </s:c>
      <s:c r="T120" s="22">
        <s:f>'10'!F121</s:f>
        <s:v>46247.33829861111</s:v>
      </s:c>
      <s:c r="U120" s="23">
        <s:f>'자료구성'!$B$2</s:f>
        <s:v>46247.0</s:v>
      </s:c>
    </s:row>
    <s:row r="121">
      <s:c r="A121" s="0" t="n">
        <s:v>1201</s:v>
      </s:c>
      <s:c r="B121" s="0" t="n">
        <s:v>968</s:v>
      </s:c>
      <s:c r="C121" s="0" t="n">
        <s:v>2244</s:v>
      </s:c>
      <s:c r="D121" s="0" t="n">
        <s:v>839</s:v>
      </s:c>
      <s:c r="E121" s="0" t="n">
        <s:v>1149</s:v>
      </s:c>
      <s:c r="F121" s="0" t="n">
        <s:v>4915</s:v>
      </s:c>
      <s:c r="G121" s="0" t="n">
        <s:v>6857</s:v>
      </s:c>
      <s:c r="H121" s="0" t="n">
        <s:v>4309</s:v>
      </s:c>
      <s:c r="I121" s="0" t="n">
        <s:v>1367</s:v>
      </s:c>
      <s:c r="J121" s="0" t="n">
        <s:v>2305</s:v>
      </s:c>
      <s:c r="K121" s="22">
        <s:f>'1'!F122</s:f>
        <s:v>46247.56155092592</s:v>
      </s:c>
      <s:c r="L121" s="22">
        <s:f>'2'!F122</s:f>
        <s:v>46247.543287037035</s:v>
      </s:c>
      <s:c r="M121" s="22">
        <s:f>'3'!F122</s:f>
        <s:v>46247.52587962963</s:v>
      </s:c>
      <s:c r="N121" s="22">
        <s:f>'4'!F122</s:f>
        <s:v>46247.47998842593</s:v>
      </s:c>
      <s:c r="O121" s="22">
        <s:f>'5'!F122</s:f>
        <s:v>46247.45164351852</s:v>
      </s:c>
      <s:c r="P121" s="22">
        <s:f>'6'!F122</s:f>
        <s:v>46247.4321875</s:v>
      </s:c>
      <s:c r="Q121" s="22">
        <s:f>'7'!F122</s:f>
        <s:v>46247.409537037034</s:v>
      </s:c>
      <s:c r="R121" s="22">
        <s:f>'8'!F122</s:f>
        <s:v>46247.385347222225</s:v>
      </s:c>
      <s:c r="S121" s="22">
        <s:f>'9'!F122</s:f>
        <s:v>46247.36753472222</s:v>
      </s:c>
      <s:c r="T121" s="22">
        <s:f>'10'!F122</s:f>
        <s:v>46247.33831018519</s:v>
      </s:c>
      <s:c r="U121" s="23">
        <s:f>'자료구성'!$B$2</s:f>
        <s:v>46247.0</s:v>
      </s:c>
    </s:row>
    <s:row r="122">
      <s:c r="A122" s="0" t="n">
        <s:v>1179</s:v>
      </s:c>
      <s:c r="B122" s="0" t="n">
        <s:v>968</s:v>
      </s:c>
      <s:c r="C122" s="0" t="n">
        <s:v>2241</s:v>
      </s:c>
      <s:c r="D122" s="0" t="n">
        <s:v>819</s:v>
      </s:c>
      <s:c r="E122" s="0" t="n">
        <s:v>1202</s:v>
      </s:c>
      <s:c r="F122" s="0" t="n">
        <s:v>4830</s:v>
      </s:c>
      <s:c r="G122" s="0" t="n">
        <s:v>6836</s:v>
      </s:c>
      <s:c r="H122" s="0" t="n">
        <s:v>4265</s:v>
      </s:c>
      <s:c r="I122" s="0" t="n">
        <s:v>1374</s:v>
      </s:c>
      <s:c r="J122" s="0" t="n">
        <s:v>2290</s:v>
      </s:c>
      <s:c r="K122" s="22">
        <s:f>'1'!F123</s:f>
        <s:v>46247.5615625</s:v>
      </s:c>
      <s:c r="L122" s="22">
        <s:f>'2'!F123</s:f>
        <s:v>46247.54329861111</s:v>
      </s:c>
      <s:c r="M122" s="22">
        <s:f>'3'!F123</s:f>
        <s:v>46247.5258912037</s:v>
      </s:c>
      <s:c r="N122" s="22">
        <s:f>'4'!F123</s:f>
        <s:v>46247.48</s:v>
      </s:c>
      <s:c r="O122" s="22">
        <s:f>'5'!F123</s:f>
        <s:v>46247.45165509259</s:v>
      </s:c>
      <s:c r="P122" s="22">
        <s:f>'6'!F123</s:f>
        <s:v>46247.43219907407</s:v>
      </s:c>
      <s:c r="Q122" s="22">
        <s:f>'7'!F123</s:f>
        <s:v>46247.40954861111</s:v>
      </s:c>
      <s:c r="R122" s="22">
        <s:f>'8'!F123</s:f>
        <s:v>46247.385358796295</s:v>
      </s:c>
      <s:c r="S122" s="22">
        <s:f>'9'!F123</s:f>
        <s:v>46247.36754629629</s:v>
      </s:c>
      <s:c r="T122" s="22">
        <s:f>'10'!F123</s:f>
        <s:v>46247.338321759256</s:v>
      </s:c>
      <s:c r="U122" s="23">
        <s:f>'자료구성'!$B$2</s:f>
        <s:v>46247.0</s:v>
      </s:c>
    </s:row>
    <s:row r="123">
      <s:c r="A123" s="0" t="n">
        <s:v>1164</s:v>
      </s:c>
      <s:c r="B123" s="0" t="n">
        <s:v>968</s:v>
      </s:c>
      <s:c r="C123" s="0" t="n">
        <s:v>2259</s:v>
      </s:c>
      <s:c r="D123" s="0" t="n">
        <s:v>830</s:v>
      </s:c>
      <s:c r="E123" s="0" t="n">
        <s:v>1233</s:v>
      </s:c>
      <s:c r="F123" s="0" t="n">
        <s:v>4712</s:v>
      </s:c>
      <s:c r="G123" s="0" t="n">
        <s:v>6860</s:v>
      </s:c>
      <s:c r="H123" s="0" t="n">
        <s:v>4247</s:v>
      </s:c>
      <s:c r="I123" s="0" t="n">
        <s:v>1381</s:v>
      </s:c>
      <s:c r="J123" s="0" t="n">
        <s:v>2288</s:v>
      </s:c>
      <s:c r="K123" s="22">
        <s:f>'1'!F124</s:f>
        <s:v>46247.561574074076</s:v>
      </s:c>
      <s:c r="L123" s="22">
        <s:f>'2'!F124</s:f>
        <s:v>46247.54331018519</s:v>
      </s:c>
      <s:c r="M123" s="22">
        <s:f>'3'!F124</s:f>
        <s:v>46247.52590277778</s:v>
      </s:c>
      <s:c r="N123" s="22">
        <s:f>'4'!F124</s:f>
        <s:v>46247.48001157407</s:v>
      </s:c>
      <s:c r="O123" s="22">
        <s:f>'5'!F124</s:f>
        <s:v>46247.45166666667</s:v>
      </s:c>
      <s:c r="P123" s="22">
        <s:f>'6'!F124</s:f>
        <s:v>46247.43221064815</s:v>
      </s:c>
      <s:c r="Q123" s="22">
        <s:f>'7'!F124</s:f>
        <s:v>46247.40956018519</s:v>
      </s:c>
      <s:c r="R123" s="22">
        <s:f>'8'!F124</s:f>
        <s:v>46247.38537037037</s:v>
      </s:c>
      <s:c r="S123" s="22">
        <s:f>'9'!F124</s:f>
        <s:v>46247.36755787037</s:v>
      </s:c>
      <s:c r="T123" s="22">
        <s:f>'10'!F124</s:f>
        <s:v>46247.33833333333</s:v>
      </s:c>
      <s:c r="U123" s="23">
        <s:f>'자료구성'!$B$2</s:f>
        <s:v>46247.0</s:v>
      </s:c>
    </s:row>
    <s:row r="124">
      <s:c r="A124" s="0" t="n">
        <s:v>1144</s:v>
      </s:c>
      <s:c r="B124" s="0" t="n">
        <s:v>980</s:v>
      </s:c>
      <s:c r="C124" s="0" t="n">
        <s:v>2277</s:v>
      </s:c>
      <s:c r="D124" s="0" t="n">
        <s:v>801</s:v>
      </s:c>
      <s:c r="E124" s="0" t="n">
        <s:v>1262</s:v>
      </s:c>
      <s:c r="F124" s="0" t="n">
        <s:v>4537</s:v>
      </s:c>
      <s:c r="G124" s="0" t="n">
        <s:v>6903</s:v>
      </s:c>
      <s:c r="H124" s="0" t="n">
        <s:v>4170</s:v>
      </s:c>
      <s:c r="I124" s="0" t="n">
        <s:v>1368</s:v>
      </s:c>
      <s:c r="J124" s="0" t="n">
        <s:v>2251</s:v>
      </s:c>
      <s:c r="K124" s="22">
        <s:f>'1'!F125</s:f>
        <s:v>46247.561585648145</s:v>
      </s:c>
      <s:c r="L124" s="22">
        <s:f>'2'!F125</s:f>
        <s:v>46247.54332175926</s:v>
      </s:c>
      <s:c r="M124" s="22">
        <s:f>'3'!F125</s:f>
        <s:v>46247.52591435185</s:v>
      </s:c>
      <s:c r="N124" s="22">
        <s:f>'4'!F125</s:f>
        <s:v>46247.48002314815</s:v>
      </s:c>
      <s:c r="O124" s="22">
        <s:f>'5'!F125</s:f>
        <s:v>46247.45167824074</s:v>
      </s:c>
      <s:c r="P124" s="22">
        <s:f>'6'!F125</s:f>
        <s:v>46247.432222222225</s:v>
      </s:c>
      <s:c r="Q124" s="22">
        <s:f>'7'!F125</s:f>
        <s:v>46247.40957175926</s:v>
      </s:c>
      <s:c r="R124" s="22">
        <s:f>'8'!F125</s:f>
        <s:v>46247.38538194444</s:v>
      </s:c>
      <s:c r="S124" s="22">
        <s:f>'9'!F125</s:f>
        <s:v>46247.36756944445</s:v>
      </s:c>
      <s:c r="T124" s="22">
        <s:f>'10'!F125</s:f>
        <s:v>46247.33834490741</s:v>
      </s:c>
      <s:c r="U124" s="23">
        <s:f>'자료구성'!$B$2</s:f>
        <s:v>46247.0</s:v>
      </s:c>
    </s:row>
    <s:row r="125">
      <s:c r="A125" s="0" t="n">
        <s:v>1141</s:v>
      </s:c>
      <s:c r="B125" s="0" t="n">
        <s:v>1012</s:v>
      </s:c>
      <s:c r="C125" s="0" t="n">
        <s:v>2281</s:v>
      </s:c>
      <s:c r="D125" s="0" t="n">
        <s:v>756</s:v>
      </s:c>
      <s:c r="E125" s="0" t="n">
        <s:v>1269</s:v>
      </s:c>
      <s:c r="F125" s="0" t="n">
        <s:v>4387</s:v>
      </s:c>
      <s:c r="G125" s="0" t="n">
        <s:v>6846</s:v>
      </s:c>
      <s:c r="H125" s="0" t="n">
        <s:v>4083</s:v>
      </s:c>
      <s:c r="I125" s="0" t="n">
        <s:v>1347</s:v>
      </s:c>
      <s:c r="J125" s="0" t="n">
        <s:v>2210</s:v>
      </s:c>
      <s:c r="K125" s="22">
        <s:f>'1'!F126</s:f>
        <s:v>46247.56159722222</s:v>
      </s:c>
      <s:c r="L125" s="22">
        <s:f>'2'!F126</s:f>
        <s:v>46247.543333333335</s:v>
      </s:c>
      <s:c r="M125" s="22">
        <s:f>'3'!F126</s:f>
        <s:v>46247.525925925926</s:v>
      </s:c>
      <s:c r="N125" s="22">
        <s:f>'4'!F126</s:f>
        <s:v>46247.48003472222</s:v>
      </s:c>
      <s:c r="O125" s="22">
        <s:f>'5'!F126</s:f>
        <s:v>46247.451689814814</s:v>
      </s:c>
      <s:c r="P125" s="22">
        <s:f>'6'!F126</s:f>
        <s:v>46247.432233796295</s:v>
      </s:c>
      <s:c r="Q125" s="22">
        <s:f>'7'!F126</s:f>
        <s:v>46247.409583333334</s:v>
      </s:c>
      <s:c r="R125" s="22">
        <s:f>'8'!F126</s:f>
        <s:v>46247.38539351852</s:v>
      </s:c>
      <s:c r="S125" s="22">
        <s:f>'9'!F126</s:f>
        <s:v>46247.367581018516</s:v>
      </s:c>
      <s:c r="T125" s="22">
        <s:f>'10'!F126</s:f>
        <s:v>46247.33835648148</s:v>
      </s:c>
      <s:c r="U125" s="23">
        <s:f>'자료구성'!$B$2</s:f>
        <s:v>46247.0</s:v>
      </s:c>
    </s:row>
    <s:row r="126">
      <s:c r="A126" s="0" t="n">
        <s:v>1153</s:v>
      </s:c>
      <s:c r="B126" s="0" t="n">
        <s:v>987</s:v>
      </s:c>
      <s:c r="C126" s="0" t="n">
        <s:v>2298</s:v>
      </s:c>
      <s:c r="D126" s="0" t="n">
        <s:v>733</s:v>
      </s:c>
      <s:c r="E126" s="0" t="n">
        <s:v>1286</s:v>
      </s:c>
      <s:c r="F126" s="0" t="n">
        <s:v>4221</s:v>
      </s:c>
      <s:c r="G126" s="0" t="n">
        <s:v>6695</s:v>
      </s:c>
      <s:c r="H126" s="0" t="n">
        <s:v>3994</s:v>
      </s:c>
      <s:c r="I126" s="0" t="n">
        <s:v>1329</s:v>
      </s:c>
      <s:c r="J126" s="0" t="n">
        <s:v>2171</s:v>
      </s:c>
      <s:c r="K126" s="22">
        <s:f>'1'!F127</s:f>
        <s:v>46247.5616087963</s:v>
      </s:c>
      <s:c r="L126" s="22">
        <s:f>'2'!F127</s:f>
        <s:v>46247.543344907404</s:v>
      </s:c>
      <s:c r="M126" s="22">
        <s:f>'3'!F127</s:f>
        <s:v>46247.5259375</s:v>
      </s:c>
      <s:c r="N126" s="22">
        <s:f>'4'!F127</s:f>
        <s:v>46247.480046296296</s:v>
      </s:c>
      <s:c r="O126" s="22">
        <s:f>'5'!F127</s:f>
        <s:v>46247.45170138889</s:v>
      </s:c>
      <s:c r="P126" s="22">
        <s:f>'6'!F127</s:f>
        <s:v>46247.43224537037</s:v>
      </s:c>
      <s:c r="Q126" s="22">
        <s:f>'7'!F127</s:f>
        <s:v>46247.40959490741</s:v>
      </s:c>
      <s:c r="R126" s="22">
        <s:f>'8'!F127</s:f>
        <s:v>46247.385405092595</s:v>
      </s:c>
      <s:c r="S126" s="22">
        <s:f>'9'!F127</s:f>
        <s:v>46247.36759259259</s:v>
      </s:c>
      <s:c r="T126" s="22">
        <s:f>'10'!F127</s:f>
        <s:v>46247.338368055556</s:v>
      </s:c>
      <s:c r="U126" s="23">
        <s:f>'자료구성'!$B$2</s:f>
        <s:v>46247.0</s:v>
      </s:c>
    </s:row>
    <s:row r="127">
      <s:c r="A127" s="0" t="n">
        <s:v>1172</s:v>
      </s:c>
      <s:c r="B127" s="0" t="n">
        <s:v>983</s:v>
      </s:c>
      <s:c r="C127" s="0" t="n">
        <s:v>2335</s:v>
      </s:c>
      <s:c r="D127" s="0" t="n">
        <s:v>715</s:v>
      </s:c>
      <s:c r="E127" s="0" t="n">
        <s:v>1330</s:v>
      </s:c>
      <s:c r="F127" s="0" t="n">
        <s:v>4094</s:v>
      </s:c>
      <s:c r="G127" s="0" t="n">
        <s:v>6313</s:v>
      </s:c>
      <s:c r="H127" s="0" t="n">
        <s:v>3926</s:v>
      </s:c>
      <s:c r="I127" s="0" t="n">
        <s:v>1320</s:v>
      </s:c>
      <s:c r="J127" s="0" t="n">
        <s:v>2114</s:v>
      </s:c>
      <s:c r="K127" s="22">
        <s:f>'1'!F128</s:f>
        <s:v>46247.56162037037</s:v>
      </s:c>
      <s:c r="L127" s="22">
        <s:f>'2'!F128</s:f>
        <s:v>46247.54335648148</s:v>
      </s:c>
      <s:c r="M127" s="22">
        <s:f>'3'!F128</s:f>
        <s:v>46247.52594907407</s:v>
      </s:c>
      <s:c r="N127" s="22">
        <s:f>'4'!F128</s:f>
        <s:v>46247.48005787037</s:v>
      </s:c>
      <s:c r="O127" s="22">
        <s:f>'5'!F128</s:f>
        <s:v>46247.45171296296</s:v>
      </s:c>
      <s:c r="P127" s="22">
        <s:f>'6'!F128</s:f>
        <s:v>46247.43225694444</s:v>
      </s:c>
      <s:c r="Q127" s="22">
        <s:f>'7'!F128</s:f>
        <s:v>46247.40960648148</s:v>
      </s:c>
      <s:c r="R127" s="22">
        <s:f>'8'!F128</s:f>
        <s:v>46247.385416666664</s:v>
      </s:c>
      <s:c r="S127" s="22">
        <s:f>'9'!F128</s:f>
        <s:v>46247.36760416667</s:v>
      </s:c>
      <s:c r="T127" s="22">
        <s:f>'10'!F128</s:f>
        <s:v>46247.33837962963</s:v>
      </s:c>
      <s:c r="U127" s="23">
        <s:f>'자료구성'!$B$2</s:f>
        <s:v>46247.0</s:v>
      </s:c>
    </s:row>
    <s:row r="128">
      <s:c r="A128" s="0" t="n">
        <s:v>1180</s:v>
      </s:c>
      <s:c r="B128" s="0" t="n">
        <s:v>971</s:v>
      </s:c>
      <s:c r="C128" s="0" t="n">
        <s:v>2328</s:v>
      </s:c>
      <s:c r="D128" s="0" t="n">
        <s:v>699</s:v>
      </s:c>
      <s:c r="E128" s="0" t="n">
        <s:v>1367</s:v>
      </s:c>
      <s:c r="F128" s="0" t="n">
        <s:v>4020</s:v>
      </s:c>
      <s:c r="G128" s="0" t="n">
        <s:v>6313</s:v>
      </s:c>
      <s:c r="H128" s="0" t="n">
        <s:v>3851</s:v>
      </s:c>
      <s:c r="I128" s="0" t="n">
        <s:v>1320</s:v>
      </s:c>
      <s:c r="J128" s="0" t="n">
        <s:v>2093</s:v>
      </s:c>
      <s:c r="K128" s="22">
        <s:f>'1'!F129</s:f>
        <s:v>46247.561631944445</s:v>
      </s:c>
      <s:c r="L128" s="22">
        <s:f>'2'!F129</s:f>
        <s:v>46247.54336805556</s:v>
      </s:c>
      <s:c r="M128" s="22">
        <s:f>'3'!F129</s:f>
        <s:v>46247.52596064815</s:v>
      </s:c>
      <s:c r="N128" s="22">
        <s:f>'4'!F129</s:f>
        <s:v>46247.48006944444</s:v>
      </s:c>
      <s:c r="O128" s="22">
        <s:f>'5'!F129</s:f>
        <s:v>46247.45172453704</s:v>
      </s:c>
      <s:c r="P128" s="22">
        <s:f>'6'!F129</s:f>
        <s:v>46247.43226851852</s:v>
      </s:c>
      <s:c r="Q128" s="22">
        <s:f>'7'!F129</s:f>
        <s:v>46247.40961805556</s:v>
      </s:c>
      <s:c r="R128" s="22">
        <s:f>'8'!F129</s:f>
        <s:v>46247.38542824074</s:v>
      </s:c>
      <s:c r="S128" s="22">
        <s:f>'9'!F129</s:f>
        <s:v>46247.36761574074</s:v>
      </s:c>
      <s:c r="T128" s="22">
        <s:f>'10'!F129</s:f>
        <s:v>46247.3383912037</s:v>
      </s:c>
      <s:c r="U128" s="23">
        <s:f>'자료구성'!$B$2</s:f>
        <s:v>46247.0</s:v>
      </s:c>
    </s:row>
    <s:row r="129">
      <s:c r="A129" s="0" t="n">
        <s:v>1152</s:v>
      </s:c>
      <s:c r="B129" s="0" t="n">
        <s:v>960</s:v>
      </s:c>
      <s:c r="C129" s="0" t="n">
        <s:v>2352</s:v>
      </s:c>
      <s:c r="D129" s="0" t="n">
        <s:v>711</s:v>
      </s:c>
      <s:c r="E129" s="0" t="n">
        <s:v>1421</s:v>
      </s:c>
      <s:c r="F129" s="0" t="n">
        <s:v>4007</s:v>
      </s:c>
      <s:c r="G129" s="0" t="n">
        <s:v>5974</s:v>
      </s:c>
      <s:c r="H129" s="0" t="n">
        <s:v>3797</s:v>
      </s:c>
      <s:c r="I129" s="0" t="n">
        <s:v>1331</s:v>
      </s:c>
      <s:c r="J129" s="0" t="n">
        <s:v>2058</s:v>
      </s:c>
      <s:c r="K129" s="22">
        <s:f>'1'!F130</s:f>
        <s:v>46247.56164351852</s:v>
      </s:c>
      <s:c r="L129" s="22">
        <s:f>'2'!F130</s:f>
        <s:v>46247.54337962963</s:v>
      </s:c>
      <s:c r="M129" s="22">
        <s:f>'3'!F130</s:f>
        <s:v>46247.525972222225</s:v>
      </s:c>
      <s:c r="N129" s="22">
        <s:f>'4'!F130</s:f>
        <s:v>46247.48008101852</s:v>
      </s:c>
      <s:c r="O129" s="22">
        <s:f>'5'!F130</s:f>
        <s:v>46247.451736111114</s:v>
      </s:c>
      <s:c r="P129" s="22">
        <s:f>'6'!F130</s:f>
        <s:v>46247.432280092595</s:v>
      </s:c>
      <s:c r="Q129" s="22">
        <s:f>'7'!F130</s:f>
        <s:v>46247.40962962963</s:v>
      </s:c>
      <s:c r="R129" s="22">
        <s:f>'8'!F130</s:f>
        <s:v>46247.38543981482</s:v>
      </s:c>
      <s:c r="S129" s="22">
        <s:f>'9'!F130</s:f>
        <s:v>46247.367627314816</s:v>
      </s:c>
      <s:c r="T129" s="22">
        <s:f>'10'!F130</s:f>
        <s:v>46247.33840277778</s:v>
      </s:c>
      <s:c r="U129" s="23">
        <s:f>'자료구성'!$B$2</s:f>
        <s:v>46247.0</s:v>
      </s:c>
    </s:row>
    <s:row r="130">
      <s:c r="A130" s="0" t="n">
        <s:v>1150</s:v>
      </s:c>
      <s:c r="B130" s="0" t="n">
        <s:v>947</s:v>
      </s:c>
      <s:c r="C130" s="0" t="n">
        <s:v>2399</s:v>
      </s:c>
      <s:c r="D130" s="0" t="n">
        <s:v>801</s:v>
      </s:c>
      <s:c r="E130" s="0" t="n">
        <s:v>1446</s:v>
      </s:c>
      <s:c r="F130" s="0" t="n">
        <s:v>4001</s:v>
      </s:c>
      <s:c r="G130" s="0" t="n">
        <s:v>5796</s:v>
      </s:c>
      <s:c r="H130" s="0" t="n">
        <s:v>3751</s:v>
      </s:c>
      <s:c r="I130" s="0" t="n">
        <s:v>1331</s:v>
      </s:c>
      <s:c r="J130" s="0" t="n">
        <s:v>2026</s:v>
      </s:c>
      <s:c r="K130" s="22">
        <s:f>'1'!F131</s:f>
        <s:v>46247.56165509259</s:v>
      </s:c>
      <s:c r="L130" s="22">
        <s:f>'2'!F131</s:f>
        <s:v>46247.543391203704</s:v>
      </s:c>
      <s:c r="M130" s="22">
        <s:f>'3'!F131</s:f>
        <s:v>46247.525983796295</s:v>
      </s:c>
      <s:c r="N130" s="22">
        <s:f>'4'!F131</s:f>
        <s:v>46247.480092592596</s:v>
      </s:c>
      <s:c r="O130" s="22">
        <s:f>'5'!F131</s:f>
        <s:v>46247.45174768518</s:v>
      </s:c>
      <s:c r="P130" s="22">
        <s:f>'6'!F131</s:f>
        <s:v>46247.432291666664</s:v>
      </s:c>
      <s:c r="Q130" s="22">
        <s:f>'7'!F131</s:f>
        <s:v>46247.4096412037</s:v>
      </s:c>
      <s:c r="R130" s="22">
        <s:f>'8'!F131</s:f>
        <s:v>46247.38545138889</s:v>
      </s:c>
      <s:c r="S130" s="22">
        <s:f>'9'!F131</s:f>
        <s:v>46247.367638888885</s:v>
      </s:c>
      <s:c r="T130" s="22">
        <s:f>'10'!F131</s:f>
        <s:v>46247.33841435185</s:v>
      </s:c>
      <s:c r="U130" s="23">
        <s:f>'자료구성'!$B$2</s:f>
        <s:v>46247.0</s:v>
      </s:c>
    </s:row>
    <s:row r="131">
      <s:c r="A131" s="0" t="n">
        <s:v>1145</s:v>
      </s:c>
      <s:c r="B131" s="0" t="n">
        <s:v>942</s:v>
      </s:c>
      <s:c r="C131" s="0" t="n">
        <s:v>2460</s:v>
      </s:c>
      <s:c r="D131" s="0" t="n">
        <s:v>878</s:v>
      </s:c>
      <s:c r="E131" s="0" t="n">
        <s:v>1463</s:v>
      </s:c>
      <s:c r="F131" s="0" t="n">
        <s:v>4015</s:v>
      </s:c>
      <s:c r="G131" s="0" t="n">
        <s:v>5531</s:v>
      </s:c>
      <s:c r="H131" s="0" t="n">
        <s:v>3719</s:v>
      </s:c>
      <s:c r="I131" s="0" t="n">
        <s:v>1328</s:v>
      </s:c>
      <s:c r="J131" s="0" t="n">
        <s:v>2020</s:v>
      </s:c>
      <s:c r="K131" s="22">
        <s:f>'1'!F132</s:f>
        <s:v>46247.56166666667</s:v>
      </s:c>
      <s:c r="L131" s="22">
        <s:f>'2'!F132</s:f>
        <s:v>46247.54340277778</s:v>
      </s:c>
      <s:c r="M131" s="22">
        <s:f>'3'!F132</s:f>
        <s:v>46247.52599537037</s:v>
      </s:c>
      <s:c r="N131" s="22">
        <s:f>'4'!F132</s:f>
        <s:v>46247.480104166665</s:v>
      </s:c>
      <s:c r="O131" s="22">
        <s:f>'5'!F132</s:f>
        <s:v>46247.45175925926</s:v>
      </s:c>
      <s:c r="P131" s="22">
        <s:f>'6'!F132</s:f>
        <s:v>46247.43230324074</s:v>
      </s:c>
      <s:c r="Q131" s="22">
        <s:f>'7'!F132</s:f>
        <s:v>46247.40965277778</s:v>
      </s:c>
      <s:c r="R131" s="22">
        <s:f>'8'!F132</s:f>
        <s:v>46247.385462962964</s:v>
      </s:c>
      <s:c r="S131" s="22">
        <s:f>'9'!F132</s:f>
        <s:v>46247.36765046296</s:v>
      </s:c>
      <s:c r="T131" s="22">
        <s:f>'10'!F132</s:f>
        <s:v>46247.338425925926</s:v>
      </s:c>
      <s:c r="U131" s="23">
        <s:f>'자료구성'!$B$2</s:f>
        <s:v>46247.0</s:v>
      </s:c>
    </s:row>
    <s:row r="132">
      <s:c r="A132" s="0" t="n">
        <s:v>1138</s:v>
      </s:c>
      <s:c r="B132" s="0" t="n">
        <s:v>943</s:v>
      </s:c>
      <s:c r="C132" s="0" t="n">
        <s:v>2475</s:v>
      </s:c>
      <s:c r="D132" s="0" t="n">
        <s:v>914</s:v>
      </s:c>
      <s:c r="E132" s="0" t="n">
        <s:v>1471</s:v>
      </s:c>
      <s:c r="F132" s="0" t="n">
        <s:v>4029</s:v>
      </s:c>
      <s:c r="G132" s="0" t="n">
        <s:v>5094</s:v>
      </s:c>
      <s:c r="H132" s="0" t="n">
        <s:v>3729</s:v>
      </s:c>
      <s:c r="I132" s="0" t="n">
        <s:v>1299</s:v>
      </s:c>
      <s:c r="J132" s="0" t="n">
        <s:v>1983</s:v>
      </s:c>
      <s:c r="K132" s="22">
        <s:f>'1'!F133</s:f>
        <s:v>46247.56167824074</s:v>
      </s:c>
      <s:c r="L132" s="22">
        <s:f>'2'!F133</s:f>
        <s:v>46247.54341435185</s:v>
      </s:c>
      <s:c r="M132" s="22">
        <s:f>'3'!F133</s:f>
        <s:v>46247.52600694444</s:v>
      </s:c>
      <s:c r="N132" s="22">
        <s:f>'4'!F133</s:f>
        <s:v>46247.48011574074</s:v>
      </s:c>
      <s:c r="O132" s="22">
        <s:f>'5'!F133</s:f>
        <s:v>46247.45177083334</s:v>
      </s:c>
      <s:c r="P132" s="22">
        <s:f>'6'!F133</s:f>
        <s:v>46247.43231481482</s:v>
      </s:c>
      <s:c r="Q132" s="22">
        <s:f>'7'!F133</s:f>
        <s:v>46247.40966435185</s:v>
      </s:c>
      <s:c r="R132" s="22">
        <s:f>'8'!F133</s:f>
        <s:v>46247.38547453703</s:v>
      </s:c>
      <s:c r="S132" s="22">
        <s:f>'9'!F133</s:f>
        <s:v>46247.36766203704</s:v>
      </s:c>
      <s:c r="T132" s="22">
        <s:f>'10'!F133</s:f>
        <s:v>46247.3384375</s:v>
      </s:c>
      <s:c r="U132" s="23">
        <s:f>'자료구성'!$B$2</s:f>
        <s:v>46247.0</s:v>
      </s:c>
    </s:row>
    <s:row r="133">
      <s:c r="A133" s="0" t="n">
        <s:v>1152</s:v>
      </s:c>
      <s:c r="B133" s="0" t="n">
        <s:v>931</s:v>
      </s:c>
      <s:c r="C133" s="0" t="n">
        <s:v>2461</s:v>
      </s:c>
      <s:c r="D133" s="0" t="n">
        <s:v>904</s:v>
      </s:c>
      <s:c r="E133" s="0" t="n">
        <s:v>1468</s:v>
      </s:c>
      <s:c r="F133" s="0" t="n">
        <s:v>4024</s:v>
      </s:c>
      <s:c r="G133" s="0" t="n">
        <s:v>4654</s:v>
      </s:c>
      <s:c r="H133" s="0" t="n">
        <s:v>3709</s:v>
      </s:c>
      <s:c r="I133" s="0" t="n">
        <s:v>1276</s:v>
      </s:c>
      <s:c r="J133" s="0" t="n">
        <s:v>1966</s:v>
      </s:c>
      <s:c r="K133" s="22">
        <s:f>'1'!F134</s:f>
        <s:v>46247.561689814815</s:v>
      </s:c>
      <s:c r="L133" s="22">
        <s:f>'2'!F134</s:f>
        <s:v>46247.54342592593</s:v>
      </s:c>
      <s:c r="M133" s="22">
        <s:f>'3'!F134</s:f>
        <s:v>46247.52601851852</s:v>
      </s:c>
      <s:c r="N133" s="22">
        <s:f>'4'!F134</s:f>
        <s:v>46247.48012731481</s:v>
      </s:c>
      <s:c r="O133" s="22">
        <s:f>'5'!F134</s:f>
        <s:v>46247.45178240741</s:v>
      </s:c>
      <s:c r="P133" s="22">
        <s:f>'6'!F134</s:f>
        <s:v>46247.43232638889</s:v>
      </s:c>
      <s:c r="Q133" s="22">
        <s:f>'7'!F134</s:f>
        <s:v>46247.40967592593</s:v>
      </s:c>
      <s:c r="R133" s="22">
        <s:f>'8'!F134</s:f>
        <s:v>46247.38548611111</s:v>
      </s:c>
      <s:c r="S133" s="22">
        <s:f>'9'!F134</s:f>
        <s:v>46247.36767361111</s:v>
      </s:c>
      <s:c r="T133" s="22">
        <s:f>'10'!F134</s:f>
        <s:v>46247.33844907407</s:v>
      </s:c>
      <s:c r="U133" s="23">
        <s:f>'자료구성'!$B$2</s:f>
        <s:v>46247.0</s:v>
      </s:c>
    </s:row>
    <s:row r="134">
      <s:c r="A134" s="0" t="n">
        <s:v>1201</s:v>
      </s:c>
      <s:c r="B134" s="0" t="n">
        <s:v>925</s:v>
      </s:c>
      <s:c r="C134" s="0" t="n">
        <s:v>2391</s:v>
      </s:c>
      <s:c r="D134" s="0" t="n">
        <s:v>802</s:v>
      </s:c>
      <s:c r="E134" s="0" t="n">
        <s:v>1461</s:v>
      </s:c>
      <s:c r="F134" s="0" t="n">
        <s:v>4058</s:v>
      </s:c>
      <s:c r="G134" s="0" t="n">
        <s:v>4259</s:v>
      </s:c>
      <s:c r="H134" s="0" t="n">
        <s:v>3701</s:v>
      </s:c>
      <s:c r="I134" s="0" t="n">
        <s:v>1259</s:v>
      </s:c>
      <s:c r="J134" s="0" t="n">
        <s:v>1953</s:v>
      </s:c>
      <s:c r="K134" s="22">
        <s:f>'1'!F135</s:f>
        <s:v>46247.56170138889</s:v>
      </s:c>
      <s:c r="L134" s="22">
        <s:f>'2'!F135</s:f>
        <s:v>46247.5434375</s:v>
      </s:c>
      <s:c r="M134" s="22">
        <s:f>'3'!F135</s:f>
        <s:v>46247.526030092595</s:v>
      </s:c>
      <s:c r="N134" s="22">
        <s:f>'4'!F135</s:f>
        <s:v>46247.48013888889</s:v>
      </s:c>
      <s:c r="O134" s="22">
        <s:f>'5'!F135</s:f>
        <s:v>46247.45179398148</s:v>
      </s:c>
      <s:c r="P134" s="22">
        <s:f>'6'!F135</s:f>
        <s:v>46247.432337962964</s:v>
      </s:c>
      <s:c r="Q134" s="22">
        <s:f>'7'!F135</s:f>
        <s:v>46247.4096875</s:v>
      </s:c>
      <s:c r="R134" s="22">
        <s:f>'8'!F135</s:f>
        <s:v>46247.38549768519</s:v>
      </s:c>
      <s:c r="S134" s="22">
        <s:f>'9'!F135</s:f>
        <s:v>46247.367685185185</s:v>
      </s:c>
      <s:c r="T134" s="22">
        <s:f>'10'!F135</s:f>
        <s:v>46247.33846064815</s:v>
      </s:c>
      <s:c r="U134" s="23">
        <s:f>'자료구성'!$B$2</s:f>
        <s:v>46247.0</s:v>
      </s:c>
    </s:row>
    <s:row r="135">
      <s:c r="A135" s="0" t="n">
        <s:v>1259</s:v>
      </s:c>
      <s:c r="B135" s="0" t="n">
        <s:v>927</s:v>
      </s:c>
      <s:c r="C135" s="0" t="n">
        <s:v>2323</s:v>
      </s:c>
      <s:c r="D135" s="0" t="n">
        <s:v>745</s:v>
      </s:c>
      <s:c r="E135" s="0" t="n">
        <s:v>1476</s:v>
      </s:c>
      <s:c r="F135" s="0" t="n">
        <s:v>4092</s:v>
      </s:c>
      <s:c r="G135" s="0" t="n">
        <s:v>3922</s:v>
      </s:c>
      <s:c r="H135" s="0" t="n">
        <s:v>3679</s:v>
      </s:c>
      <s:c r="I135" s="0" t="n">
        <s:v>1264</s:v>
      </s:c>
      <s:c r="J135" s="0" t="n">
        <s:v>1937</s:v>
      </s:c>
      <s:c r="K135" s="22">
        <s:f>'1'!F136</s:f>
        <s:v>46247.56171296296</s:v>
      </s:c>
      <s:c r="L135" s="22">
        <s:f>'2'!F136</s:f>
        <s:v>46247.54344907407</s:v>
      </s:c>
      <s:c r="M135" s="22">
        <s:f>'3'!F136</s:f>
        <s:v>46247.526041666664</s:v>
      </s:c>
      <s:c r="N135" s="22">
        <s:f>'4'!F136</s:f>
        <s:v>46247.480150462965</s:v>
      </s:c>
      <s:c r="O135" s="22">
        <s:f>'5'!F136</s:f>
        <s:v>46247.45180555555</s:v>
      </s:c>
      <s:c r="P135" s="22">
        <s:f>'6'!F136</s:f>
        <s:v>46247.43234953703</s:v>
      </s:c>
      <s:c r="Q135" s="22">
        <s:f>'7'!F136</s:f>
        <s:v>46247.40969907407</s:v>
      </s:c>
      <s:c r="R135" s="22">
        <s:f>'8'!F136</s:f>
        <s:v>46247.38550925926</s:v>
      </s:c>
      <s:c r="S135" s="22">
        <s:f>'9'!F136</s:f>
        <s:v>46247.36769675926</s:v>
      </s:c>
      <s:c r="T135" s="22">
        <s:f>'10'!F136</s:f>
        <s:v>46247.338472222225</s:v>
      </s:c>
      <s:c r="U135" s="23">
        <s:f>'자료구성'!$B$2</s:f>
        <s:v>46247.0</s:v>
      </s:c>
    </s:row>
    <s:row r="136">
      <s:c r="A136" s="0" t="n">
        <s:v>1314</s:v>
      </s:c>
      <s:c r="B136" s="0" t="n">
        <s:v>929</s:v>
      </s:c>
      <s:c r="C136" s="0" t="n">
        <s:v>2238</s:v>
      </s:c>
      <s:c r="D136" s="0" t="n">
        <s:v>745</s:v>
      </s:c>
      <s:c r="E136" s="0" t="n">
        <s:v>1465</s:v>
      </s:c>
      <s:c r="F136" s="0" t="n">
        <s:v>4090</s:v>
      </s:c>
      <s:c r="G136" s="0" t="n">
        <s:v>3626</s:v>
      </s:c>
      <s:c r="H136" s="0" t="n">
        <s:v>3636</s:v>
      </s:c>
      <s:c r="I136" s="0" t="n">
        <s:v>1264</s:v>
      </s:c>
      <s:c r="J136" s="0" t="n">
        <s:v>1938</s:v>
      </s:c>
      <s:c r="K136" s="22">
        <s:f>'1'!F137</s:f>
        <s:v>46247.56172453704</s:v>
      </s:c>
      <s:c r="L136" s="22">
        <s:f>'2'!F137</s:f>
        <s:v>46247.54346064815</s:v>
      </s:c>
      <s:c r="M136" s="22">
        <s:f>'3'!F137</s:f>
        <s:v>46247.52605324074</s:v>
      </s:c>
      <s:c r="N136" s="22">
        <s:f>'4'!F137</s:f>
        <s:v>46247.480162037034</s:v>
      </s:c>
      <s:c r="O136" s="22">
        <s:f>'5'!F137</s:f>
        <s:v>46247.45181712963</s:v>
      </s:c>
      <s:c r="P136" s="22">
        <s:f>'6'!F137</s:f>
        <s:v>46247.43236111111</s:v>
      </s:c>
      <s:c r="Q136" s="22">
        <s:f>'7'!F137</s:f>
        <s:v>46247.40971064815</s:v>
      </s:c>
      <s:c r="R136" s="22">
        <s:f>'8'!F137</s:f>
        <s:v>46247.38552083333</s:v>
      </s:c>
      <s:c r="S136" s="22">
        <s:f>'9'!F137</s:f>
        <s:v>46247.36770833333</s:v>
      </s:c>
      <s:c r="T136" s="22">
        <s:f>'10'!F137</s:f>
        <s:v>46247.338483796295</s:v>
      </s:c>
      <s:c r="U136" s="23">
        <s:f>'자료구성'!$B$2</s:f>
        <s:v>46247.0</s:v>
      </s:c>
    </s:row>
    <s:row r="137">
      <s:c r="A137" s="0" t="n">
        <s:v>1363</s:v>
      </s:c>
      <s:c r="B137" s="0" t="n">
        <s:v>927</s:v>
      </s:c>
      <s:c r="C137" s="0" t="n">
        <s:v>2165</s:v>
      </s:c>
      <s:c r="D137" s="0" t="n">
        <s:v>661</s:v>
      </s:c>
      <s:c r="E137" s="0" t="n">
        <s:v>1464</s:v>
      </s:c>
      <s:c r="F137" s="0" t="n">
        <s:v>4137</s:v>
      </s:c>
      <s:c r="G137" s="0" t="n">
        <s:v>3205</s:v>
      </s:c>
      <s:c r="H137" s="0" t="n">
        <s:v>3574</s:v>
      </s:c>
      <s:c r="I137" s="0" t="n">
        <s:v>1267</s:v>
      </s:c>
      <s:c r="J137" s="0" t="n">
        <s:v>1938</s:v>
      </s:c>
      <s:c r="K137" s="22">
        <s:f>'1'!F138</s:f>
        <s:v>46247.561736111114</s:v>
      </s:c>
      <s:c r="L137" s="22">
        <s:f>'2'!F138</s:f>
        <s:v>46247.54347222222</s:v>
      </s:c>
      <s:c r="M137" s="22">
        <s:f>'3'!F138</s:f>
        <s:v>46247.52606481482</s:v>
      </s:c>
      <s:c r="N137" s="22">
        <s:f>'4'!F138</s:f>
        <s:v>46247.48017361111</s:v>
      </s:c>
      <s:c r="O137" s="22">
        <s:f>'5'!F138</s:f>
        <s:v>46247.451828703706</s:v>
      </s:c>
      <s:c r="P137" s="22">
        <s:f>'6'!F138</s:f>
        <s:v>46247.43237268519</s:v>
      </s:c>
      <s:c r="Q137" s="22">
        <s:f>'7'!F138</s:f>
        <s:v>46247.40972222222</s:v>
      </s:c>
      <s:c r="R137" s="22">
        <s:f>'8'!F138</s:f>
        <s:v>46247.38553240741</s:v>
      </s:c>
      <s:c r="S137" s="22">
        <s:f>'9'!F138</s:f>
        <s:v>46247.36771990741</s:v>
      </s:c>
      <s:c r="T137" s="22">
        <s:f>'10'!F138</s:f>
        <s:v>46247.33849537037</s:v>
      </s:c>
      <s:c r="U137" s="23">
        <s:f>'자료구성'!$B$2</s:f>
        <s:v>46247.0</s:v>
      </s:c>
    </s:row>
    <s:row r="138">
      <s:c r="A138" s="0" t="n">
        <s:v>1467</s:v>
      </s:c>
      <s:c r="B138" s="0" t="n">
        <s:v>930</s:v>
      </s:c>
      <s:c r="C138" s="0" t="n">
        <s:v>2087</s:v>
      </s:c>
      <s:c r="D138" s="0" t="n">
        <s:v>642</s:v>
      </s:c>
      <s:c r="E138" s="0" t="n">
        <s:v>1477</s:v>
      </s:c>
      <s:c r="F138" s="0" t="n">
        <s:v>4125</s:v>
      </s:c>
      <s:c r="G138" s="0" t="n">
        <s:v>3163</s:v>
      </s:c>
      <s:c r="H138" s="0" t="n">
        <s:v>3484</s:v>
      </s:c>
      <s:c r="I138" s="0" t="n">
        <s:v>1270</s:v>
      </s:c>
      <s:c r="J138" s="0" t="n">
        <s:v>1935</s:v>
      </s:c>
      <s:c r="K138" s="22">
        <s:f>'1'!F139</s:f>
        <s:v>46247.561747685184</s:v>
      </s:c>
      <s:c r="L138" s="22">
        <s:f>'2'!F139</s:f>
        <s:v>46247.5434837963</s:v>
      </s:c>
      <s:c r="M138" s="22">
        <s:f>'3'!F139</s:f>
        <s:v>46247.52607638889</s:v>
      </s:c>
      <s:c r="N138" s="22">
        <s:f>'4'!F139</s:f>
        <s:v>46247.48018518519</s:v>
      </s:c>
      <s:c r="O138" s="22">
        <s:f>'5'!F139</s:f>
        <s:v>46247.451840277776</s:v>
      </s:c>
      <s:c r="P138" s="22">
        <s:f>'6'!F139</s:f>
        <s:v>46247.43238425926</s:v>
      </s:c>
      <s:c r="Q138" s="22">
        <s:f>'7'!F139</s:f>
        <s:v>46247.409733796296</s:v>
      </s:c>
      <s:c r="R138" s="22">
        <s:f>'8'!F139</s:f>
        <s:v>46247.38554398148</s:v>
      </s:c>
      <s:c r="S138" s="22">
        <s:f>'9'!F139</s:f>
        <s:v>46247.367731481485</s:v>
      </s:c>
      <s:c r="T138" s="22">
        <s:f>'10'!F139</s:f>
        <s:v>46247.33850694444</s:v>
      </s:c>
      <s:c r="U138" s="23">
        <s:f>'자료구성'!$B$2</s:f>
        <s:v>46247.0</s:v>
      </s:c>
    </s:row>
    <s:row r="139">
      <s:c r="A139" s="0" t="n">
        <s:v>1509</s:v>
      </s:c>
      <s:c r="B139" s="0" t="n">
        <s:v>929</s:v>
      </s:c>
      <s:c r="C139" s="0" t="n">
        <s:v>2024</s:v>
      </s:c>
      <s:c r="D139" s="0" t="n">
        <s:v>623</s:v>
      </s:c>
      <s:c r="E139" s="0" t="n">
        <s:v>1488</s:v>
      </s:c>
      <s:c r="F139" s="0" t="n">
        <s:v>3939</s:v>
      </s:c>
      <s:c r="G139" s="0" t="n">
        <s:v>3148</s:v>
      </s:c>
      <s:c r="H139" s="0" t="n">
        <s:v>3421</s:v>
      </s:c>
      <s:c r="I139" s="0" t="n">
        <s:v>1301</s:v>
      </s:c>
      <s:c r="J139" s="0" t="n">
        <s:v>1923</s:v>
      </s:c>
      <s:c r="K139" s="22">
        <s:f>'1'!F140</s:f>
        <s:v>46247.56175925926</s:v>
      </s:c>
      <s:c r="L139" s="22">
        <s:f>'2'!F140</s:f>
        <s:v>46247.54349537037</s:v>
      </s:c>
      <s:c r="M139" s="22">
        <s:f>'3'!F140</s:f>
        <s:v>46247.526087962964</s:v>
      </s:c>
      <s:c r="N139" s="22">
        <s:f>'4'!F140</s:f>
        <s:v>46247.48019675926</s:v>
      </s:c>
      <s:c r="O139" s="22">
        <s:f>'5'!F140</s:f>
        <s:v>46247.45185185185</s:v>
      </s:c>
      <s:c r="P139" s="22">
        <s:f>'6'!F140</s:f>
        <s:v>46247.43239583333</s:v>
      </s:c>
      <s:c r="Q139" s="22">
        <s:f>'7'!F140</s:f>
        <s:v>46247.40974537037</s:v>
      </s:c>
      <s:c r="R139" s="22">
        <s:f>'8'!F140</s:f>
        <s:v>46247.38555555556</s:v>
      </s:c>
      <s:c r="S139" s="22">
        <s:f>'9'!F140</s:f>
        <s:v>46247.367743055554</s:v>
      </s:c>
      <s:c r="T139" s="22">
        <s:f>'10'!F140</s:f>
        <s:v>46247.33851851852</s:v>
      </s:c>
      <s:c r="U139" s="23">
        <s:f>'자료구성'!$B$2</s:f>
        <s:v>46247.0</s:v>
      </s:c>
    </s:row>
    <s:row r="140">
      <s:c r="A140" s="0" t="n">
        <s:v>1572</s:v>
      </s:c>
      <s:c r="B140" s="0" t="n">
        <s:v>941</s:v>
      </s:c>
      <s:c r="C140" s="0" t="n">
        <s:v>1954</s:v>
      </s:c>
      <s:c r="D140" s="0" t="n">
        <s:v>585</s:v>
      </s:c>
      <s:c r="E140" s="0" t="n">
        <s:v>1512</s:v>
      </s:c>
      <s:c r="F140" s="0" t="n">
        <s:v>3742</s:v>
      </s:c>
      <s:c r="G140" s="0" t="n">
        <s:v>3128</s:v>
      </s:c>
      <s:c r="H140" s="0" t="n">
        <s:v>3369</s:v>
      </s:c>
      <s:c r="I140" s="0" t="n">
        <s:v>1307</s:v>
      </s:c>
      <s:c r="J140" s="0" t="n">
        <s:v>1903</s:v>
      </s:c>
      <s:c r="K140" s="22">
        <s:f>'1'!F141</s:f>
        <s:v>46247.56177083333</s:v>
      </s:c>
      <s:c r="L140" s="22">
        <s:f>'2'!F141</s:f>
        <s:v>46247.54350694444</s:v>
      </s:c>
      <s:c r="M140" s="22">
        <s:f>'3'!F141</s:f>
        <s:v>46247.52609953703</s:v>
      </s:c>
      <s:c r="N140" s="22">
        <s:f>'4'!F141</s:f>
        <s:v>46247.480208333334</s:v>
      </s:c>
      <s:c r="O140" s="22">
        <s:f>'5'!F141</s:f>
        <s:v>46247.45186342593</s:v>
      </s:c>
      <s:c r="P140" s="22">
        <s:f>'6'!F141</s:f>
        <s:v>46247.43240740741</s:v>
      </s:c>
      <s:c r="Q140" s="22">
        <s:f>'7'!F141</s:f>
        <s:v>46247.40975694444</s:v>
      </s:c>
      <s:c r="R140" s="22">
        <s:f>'8'!F141</s:f>
        <s:v>46247.385567129626</s:v>
      </s:c>
      <s:c r="S140" s="22">
        <s:f>'9'!F141</s:f>
        <s:v>46247.36775462963</s:v>
      </s:c>
      <s:c r="T140" s="22">
        <s:f>'10'!F141</s:f>
        <s:v>46247.338530092595</s:v>
      </s:c>
      <s:c r="U140" s="23">
        <s:f>'자료구성'!$B$2</s:f>
        <s:v>46247.0</s:v>
      </s:c>
    </s:row>
    <s:row r="141">
      <s:c r="A141" s="0" t="n">
        <s:v>1618</s:v>
      </s:c>
      <s:c r="B141" s="0" t="n">
        <s:v>930</s:v>
      </s:c>
      <s:c r="C141" s="0" t="n">
        <s:v>1893</s:v>
      </s:c>
      <s:c r="D141" s="0" t="n">
        <s:v>557</s:v>
      </s:c>
      <s:c r="E141" s="0" t="n">
        <s:v>1539</s:v>
      </s:c>
      <s:c r="F141" s="0" t="n">
        <s:v>3569</s:v>
      </s:c>
      <s:c r="G141" s="0" t="n">
        <s:v>3050</s:v>
      </s:c>
      <s:c r="H141" s="0" t="n">
        <s:v>3348</s:v>
      </s:c>
      <s:c r="I141" s="0" t="n">
        <s:v>1343</s:v>
      </s:c>
      <s:c r="J141" s="0" t="n">
        <s:v>1906</s:v>
      </s:c>
      <s:c r="K141" s="22">
        <s:f>'1'!F142</s:f>
        <s:v>46247.56178240741</s:v>
      </s:c>
      <s:c r="L141" s="22">
        <s:f>'2'!F142</s:f>
        <s:v>46247.54351851852</s:v>
      </s:c>
      <s:c r="M141" s="22">
        <s:f>'3'!F142</s:f>
        <s:v>46247.52611111111</s:v>
      </s:c>
      <s:c r="N141" s="22">
        <s:f>'4'!F142</s:f>
        <s:v>46247.480219907404</s:v>
      </s:c>
      <s:c r="O141" s="22">
        <s:f>'5'!F142</s:f>
        <s:v>46247.451875</s:v>
      </s:c>
      <s:c r="P141" s="22">
        <s:f>'6'!F142</s:f>
        <s:v>46247.43241898148</s:v>
      </s:c>
      <s:c r="Q141" s="22">
        <s:f>'7'!F142</s:f>
        <s:v>46247.40976851852</s:v>
      </s:c>
      <s:c r="R141" s="22">
        <s:f>'8'!F142</s:f>
        <s:v>46247.3855787037</s:v>
      </s:c>
      <s:c r="S141" s="22">
        <s:f>'9'!F142</s:f>
        <s:v>46247.3677662037</s:v>
      </s:c>
      <s:c r="T141" s="22">
        <s:f>'10'!F142</s:f>
        <s:v>46247.338541666664</s:v>
      </s:c>
      <s:c r="U141" s="23">
        <s:f>'자료구성'!$B$2</s:f>
        <s:v>46247.0</s:v>
      </s:c>
    </s:row>
    <s:row r="142">
      <s:c r="A142" s="0" t="n">
        <s:v>1614</s:v>
      </s:c>
      <s:c r="B142" s="0" t="n">
        <s:v>907</s:v>
      </s:c>
      <s:c r="C142" s="0" t="n">
        <s:v>1830</s:v>
      </s:c>
      <s:c r="D142" s="0" t="n">
        <s:v>530</s:v>
      </s:c>
      <s:c r="E142" s="0" t="n">
        <s:v>1570</s:v>
      </s:c>
      <s:c r="F142" s="0" t="n">
        <s:v>3394</s:v>
      </s:c>
      <s:c r="G142" s="0" t="n">
        <s:v>3043</s:v>
      </s:c>
      <s:c r="H142" s="0" t="n">
        <s:v>3324</s:v>
      </s:c>
      <s:c r="I142" s="0" t="n">
        <s:v>1364</s:v>
      </s:c>
      <s:c r="J142" s="0" t="n">
        <s:v>1908</s:v>
      </s:c>
      <s:c r="K142" s="22">
        <s:f>'1'!F143</s:f>
        <s:v>46247.561793981484</s:v>
      </s:c>
      <s:c r="L142" s="22">
        <s:f>'2'!F143</s:f>
        <s:v>46247.54353009259</s:v>
      </s:c>
      <s:c r="M142" s="22">
        <s:f>'3'!F143</s:f>
        <s:v>46247.52612268519</s:v>
      </s:c>
      <s:c r="N142" s="22">
        <s:f>'4'!F143</s:f>
        <s:v>46247.48023148148</s:v>
      </s:c>
      <s:c r="O142" s="22">
        <s:f>'5'!F143</s:f>
        <s:v>46247.451886574076</s:v>
      </s:c>
      <s:c r="P142" s="22">
        <s:f>'6'!F143</s:f>
        <s:v>46247.43243055556</s:v>
      </s:c>
      <s:c r="Q142" s="22">
        <s:f>'7'!F143</s:f>
        <s:v>46247.409780092596</s:v>
      </s:c>
      <s:c r="R142" s="22">
        <s:f>'8'!F143</s:f>
        <s:v>46247.38559027778</s:v>
      </s:c>
      <s:c r="S142" s="22">
        <s:f>'9'!F143</s:f>
        <s:v>46247.36777777778</s:v>
      </s:c>
      <s:c r="T142" s="22">
        <s:f>'10'!F143</s:f>
        <s:v>46247.33855324074</s:v>
      </s:c>
      <s:c r="U142" s="23">
        <s:f>'자료구성'!$B$2</s:f>
        <s:v>46247.0</s:v>
      </s:c>
    </s:row>
    <s:row r="143">
      <s:c r="A143" s="0" t="n">
        <s:v>1610</s:v>
      </s:c>
      <s:c r="B143" s="0" t="n">
        <s:v>906</s:v>
      </s:c>
      <s:c r="C143" s="0" t="n">
        <s:v>1780</s:v>
      </s:c>
      <s:c r="D143" s="0" t="n">
        <s:v>506</s:v>
      </s:c>
      <s:c r="E143" s="0" t="n">
        <s:v>1561</s:v>
      </s:c>
      <s:c r="F143" s="0" t="n">
        <s:v>3303</s:v>
      </s:c>
      <s:c r="G143" s="0" t="n">
        <s:v>3039</s:v>
      </s:c>
      <s:c r="H143" s="0" t="n">
        <s:v>3313</s:v>
      </s:c>
      <s:c r="I143" s="0" t="n">
        <s:v>1373</s:v>
      </s:c>
      <s:c r="J143" s="0" t="n">
        <s:v>1890</s:v>
      </s:c>
      <s:c r="K143" s="22">
        <s:f>'1'!F144</s:f>
        <s:v>46247.56180555555</s:v>
      </s:c>
      <s:c r="L143" s="22">
        <s:f>'2'!F144</s:f>
        <s:v>46247.543541666666</s:v>
      </s:c>
      <s:c r="M143" s="22">
        <s:f>'3'!F144</s:f>
        <s:v>46247.52613425926</s:v>
      </s:c>
      <s:c r="N143" s="22">
        <s:f>'4'!F144</s:f>
        <s:v>46247.48024305556</s:v>
      </s:c>
      <s:c r="O143" s="22">
        <s:f>'5'!F144</s:f>
        <s:v>46247.451898148145</s:v>
      </s:c>
      <s:c r="P143" s="22">
        <s:f>'6'!F144</s:f>
        <s:v>46247.432442129626</s:v>
      </s:c>
      <s:c r="Q143" s="22">
        <s:f>'7'!F144</s:f>
        <s:v>46247.409791666665</s:v>
      </s:c>
      <s:c r="R143" s="22">
        <s:f>'8'!F144</s:f>
        <s:v>46247.38560185185</s:v>
      </s:c>
      <s:c r="S143" s="22">
        <s:f>'9'!F144</s:f>
        <s:v>46247.367789351854</s:v>
      </s:c>
      <s:c r="T143" s="22">
        <s:f>'10'!F144</s:f>
        <s:v>46247.33856481482</s:v>
      </s:c>
      <s:c r="U143" s="23">
        <s:f>'자료구성'!$B$2</s:f>
        <s:v>46247.0</s:v>
      </s:c>
    </s:row>
    <s:row r="144">
      <s:c r="A144" s="0" t="n">
        <s:v>1651</s:v>
      </s:c>
      <s:c r="B144" s="0" t="n">
        <s:v>921</s:v>
      </s:c>
      <s:c r="C144" s="0" t="n">
        <s:v>1726</s:v>
      </s:c>
      <s:c r="D144" s="0" t="n">
        <s:v>514</s:v>
      </s:c>
      <s:c r="E144" s="0" t="n">
        <s:v>1571</s:v>
      </s:c>
      <s:c r="F144" s="0" t="n">
        <s:v>3218</s:v>
      </s:c>
      <s:c r="G144" s="0" t="n">
        <s:v>3024</s:v>
      </s:c>
      <s:c r="H144" s="0" t="n">
        <s:v>3332</s:v>
      </s:c>
      <s:c r="I144" s="0" t="n">
        <s:v>1375</s:v>
      </s:c>
      <s:c r="J144" s="0" t="n">
        <s:v>1854</s:v>
      </s:c>
      <s:c r="K144" s="22">
        <s:f>'1'!F145</s:f>
        <s:v>46247.56181712963</s:v>
      </s:c>
      <s:c r="L144" s="22">
        <s:f>'2'!F145</s:f>
        <s:v>46247.54355324074</s:v>
      </s:c>
      <s:c r="M144" s="22">
        <s:f>'3'!F145</s:f>
        <s:v>46247.52614583333</s:v>
      </s:c>
      <s:c r="N144" s="22">
        <s:f>'4'!F145</s:f>
        <s:v>46247.48025462963</s:v>
      </s:c>
      <s:c r="O144" s="22">
        <s:f>'5'!F145</s:f>
        <s:v>46247.45190972222</s:v>
      </s:c>
      <s:c r="P144" s="22">
        <s:f>'6'!F145</s:f>
        <s:v>46247.4324537037</s:v>
      </s:c>
      <s:c r="Q144" s="22">
        <s:f>'7'!F145</s:f>
        <s:v>46247.40980324074</s:v>
      </s:c>
      <s:c r="R144" s="22">
        <s:f>'8'!F145</s:f>
        <s:v>46247.385613425926</s:v>
      </s:c>
      <s:c r="S144" s="22">
        <s:f>'9'!F145</s:f>
        <s:v>46247.367800925924</s:v>
      </s:c>
      <s:c r="T144" s="22">
        <s:f>'10'!F145</s:f>
        <s:v>46247.33857638889</s:v>
      </s:c>
      <s:c r="U144" s="23">
        <s:f>'자료구성'!$B$2</s:f>
        <s:v>46247.0</s:v>
      </s:c>
    </s:row>
    <s:row r="145">
      <s:c r="A145" s="0" t="n">
        <s:v>1680</s:v>
      </s:c>
      <s:c r="B145" s="0" t="n">
        <s:v>915</s:v>
      </s:c>
      <s:c r="C145" s="0" t="n">
        <s:v>1685</s:v>
      </s:c>
      <s:c r="D145" s="0" t="n">
        <s:v>504</s:v>
      </s:c>
      <s:c r="E145" s="0" t="n">
        <s:v>1582</s:v>
      </s:c>
      <s:c r="F145" s="0" t="n">
        <s:v>3173</s:v>
      </s:c>
      <s:c r="G145" s="0" t="n">
        <s:v>3005</s:v>
      </s:c>
      <s:c r="H145" s="0" t="n">
        <s:v>3326</s:v>
      </s:c>
      <s:c r="I145" s="0" t="n">
        <s:v>1381</s:v>
      </s:c>
      <s:c r="J145" s="0" t="n">
        <s:v>1827</s:v>
      </s:c>
      <s:c r="K145" s="22">
        <s:f>'1'!F146</s:f>
        <s:v>46247.56182870371</s:v>
      </s:c>
      <s:c r="L145" s="22">
        <s:f>'2'!F146</s:f>
        <s:v>46247.54356481481</s:v>
      </s:c>
      <s:c r="M145" s="22">
        <s:f>'3'!F146</s:f>
        <s:v>46247.52615740741</s:v>
      </s:c>
      <s:c r="N145" s="22">
        <s:f>'4'!F146</s:f>
        <s:v>46247.480266203704</s:v>
      </s:c>
      <s:c r="O145" s="22">
        <s:f>'5'!F146</s:f>
        <s:v>46247.4519212963</s:v>
      </s:c>
      <s:c r="P145" s="22">
        <s:f>'6'!F146</s:f>
        <s:v>46247.43246527778</s:v>
      </s:c>
      <s:c r="Q145" s="22">
        <s:f>'7'!F146</s:f>
        <s:v>46247.40981481481</s:v>
      </s:c>
      <s:c r="R145" s="22">
        <s:f>'8'!F146</s:f>
        <s:v>46247.385625</s:v>
      </s:c>
      <s:c r="S145" s="22">
        <s:f>'9'!F146</s:f>
        <s:v>46247.3678125</s:v>
      </s:c>
      <s:c r="T145" s="22">
        <s:f>'10'!F146</s:f>
        <s:v>46247.338587962964</s:v>
      </s:c>
      <s:c r="U145" s="23">
        <s:f>'자료구성'!$B$2</s:f>
        <s:v>46247.0</s:v>
      </s:c>
    </s:row>
    <s:row r="146">
      <s:c r="A146" s="0" t="n">
        <s:v>1703</s:v>
      </s:c>
      <s:c r="B146" s="0" t="n">
        <s:v>904</s:v>
      </s:c>
      <s:c r="C146" s="0" t="n">
        <s:v>1630</s:v>
      </s:c>
      <s:c r="D146" s="0" t="n">
        <s:v>488</s:v>
      </s:c>
      <s:c r="E146" s="0" t="n">
        <s:v>1581</s:v>
      </s:c>
      <s:c r="F146" s="0" t="n">
        <s:v>3134</s:v>
      </s:c>
      <s:c r="G146" s="0" t="n">
        <s:v>3056</s:v>
      </s:c>
      <s:c r="H146" s="0" t="n">
        <s:v>3370</s:v>
      </s:c>
      <s:c r="I146" s="0" t="n">
        <s:v>1390</s:v>
      </s:c>
      <s:c r="J146" s="0" t="n">
        <s:v>1796</s:v>
      </s:c>
      <s:c r="K146" s="22">
        <s:f>'1'!F147</s:f>
        <s:v>46247.561840277776</s:v>
      </s:c>
      <s:c r="L146" s="22">
        <s:f>'2'!F147</s:f>
        <s:v>46247.54357638889</s:v>
      </s:c>
      <s:c r="M146" s="22">
        <s:f>'3'!F147</s:f>
        <s:v>46247.52616898148</s:v>
      </s:c>
      <s:c r="N146" s="22">
        <s:f>'4'!F147</s:f>
        <s:v>46247.48027777778</s:v>
      </s:c>
      <s:c r="O146" s="22">
        <s:f>'5'!F147</s:f>
        <s:v>46247.45193287037</s:v>
      </s:c>
      <s:c r="P146" s="22">
        <s:f>'6'!F147</s:f>
        <s:v>46247.43247685185</s:v>
      </s:c>
      <s:c r="Q146" s="22">
        <s:f>'7'!F147</s:f>
        <s:v>46247.40982638889</s:v>
      </s:c>
      <s:c r="R146" s="22">
        <s:f>'8'!F147</s:f>
        <s:v>46247.38563657407</s:v>
      </s:c>
      <s:c r="S146" s="22">
        <s:f>'9'!F147</s:f>
        <s:v>46247.36782407408</s:v>
      </s:c>
      <s:c r="T146" s="22">
        <s:f>'10'!F147</s:f>
        <s:v>46247.33859953703</s:v>
      </s:c>
      <s:c r="U146" s="23">
        <s:f>'자료구성'!$B$2</s:f>
        <s:v>46247.0</s:v>
      </s:c>
    </s:row>
    <s:row r="147">
      <s:c r="A147" s="0" t="n">
        <s:v>1723</s:v>
      </s:c>
      <s:c r="B147" s="0" t="n">
        <s:v>893</s:v>
      </s:c>
      <s:c r="C147" s="0" t="n">
        <s:v>1599</s:v>
      </s:c>
      <s:c r="D147" s="0" t="n">
        <s:v>482</s:v>
      </s:c>
      <s:c r="E147" s="0" t="n">
        <s:v>1564</s:v>
      </s:c>
      <s:c r="F147" s="0" t="n">
        <s:v>3046</s:v>
      </s:c>
      <s:c r="G147" s="0" t="n">
        <s:v>3238</s:v>
      </s:c>
      <s:c r="H147" s="0" t="n">
        <s:v>3418</s:v>
      </s:c>
      <s:c r="I147" s="0" t="n">
        <s:v>1413</s:v>
      </s:c>
      <s:c r="J147" s="0" t="n">
        <s:v>1795</s:v>
      </s:c>
      <s:c r="K147" s="22">
        <s:f>'1'!F148</s:f>
        <s:v>46247.56185185185</s:v>
      </s:c>
      <s:c r="L147" s="22">
        <s:f>'2'!F148</s:f>
        <s:v>46247.543587962966</s:v>
      </s:c>
      <s:c r="M147" s="22">
        <s:f>'3'!F148</s:f>
        <s:v>46247.52618055556</s:v>
      </s:c>
      <s:c r="N147" s="22">
        <s:f>'4'!F148</s:f>
        <s:v>46247.48028935185</s:v>
      </s:c>
      <s:c r="O147" s="22">
        <s:f>'5'!F148</s:f>
        <s:v>46247.451944444445</s:v>
      </s:c>
      <s:c r="P147" s="22">
        <s:f>'6'!F148</s:f>
        <s:v>46247.432488425926</s:v>
      </s:c>
      <s:c r="Q147" s="22">
        <s:f>'7'!F148</s:f>
        <s:v>46247.409837962965</s:v>
      </s:c>
      <s:c r="R147" s="22">
        <s:f>'8'!F148</s:f>
        <s:v>46247.38564814815</s:v>
      </s:c>
      <s:c r="S147" s="22">
        <s:f>'9'!F148</s:f>
        <s:v>46247.36783564815</s:v>
      </s:c>
      <s:c r="T147" s="22">
        <s:f>'10'!F148</s:f>
        <s:v>46247.33861111111</s:v>
      </s:c>
      <s:c r="U147" s="23">
        <s:f>'자료구성'!$B$2</s:f>
        <s:v>46247.0</s:v>
      </s:c>
    </s:row>
    <s:row r="148">
      <s:c r="A148" s="0" t="n">
        <s:v>1794</s:v>
      </s:c>
      <s:c r="B148" s="0" t="n">
        <s:v>889</s:v>
      </s:c>
      <s:c r="C148" s="0" t="n">
        <s:v>1584</s:v>
      </s:c>
      <s:c r="D148" s="0" t="n">
        <s:v>534</s:v>
      </s:c>
      <s:c r="E148" s="0" t="n">
        <s:v>1540</s:v>
      </s:c>
      <s:c r="F148" s="0" t="n">
        <s:v>3010</s:v>
      </s:c>
      <s:c r="G148" s="0" t="n">
        <s:v>3413</s:v>
      </s:c>
      <s:c r="H148" s="0" t="n">
        <s:v>3509</s:v>
      </s:c>
      <s:c r="I148" s="0" t="n">
        <s:v>1416</s:v>
      </s:c>
      <s:c r="J148" s="0" t="n">
        <s:v>1793</s:v>
      </s:c>
      <s:c r="K148" s="22">
        <s:f>'1'!F149</s:f>
        <s:v>46247.56186342592</s:v>
      </s:c>
      <s:c r="L148" s="22">
        <s:f>'2'!F149</s:f>
        <s:v>46247.543599537035</s:v>
      </s:c>
      <s:c r="M148" s="22">
        <s:f>'3'!F149</s:f>
        <s:v>46247.526192129626</s:v>
      </s:c>
      <s:c r="N148" s="22">
        <s:f>'4'!F149</s:f>
        <s:v>46247.48030092593</s:v>
      </s:c>
      <s:c r="O148" s="22">
        <s:f>'5'!F149</s:f>
        <s:v>46247.45195601852</s:v>
      </s:c>
      <s:c r="P148" s="22">
        <s:f>'6'!F149</s:f>
        <s:v>46247.4325</s:v>
      </s:c>
      <s:c r="Q148" s="22">
        <s:f>'7'!F149</s:f>
        <s:v>46247.409849537034</s:v>
      </s:c>
      <s:c r="R148" s="22">
        <s:f>'8'!F149</s:f>
        <s:v>46247.385659722226</s:v>
      </s:c>
      <s:c r="S148" s="22">
        <s:f>'9'!F149</s:f>
        <s:v>46247.367847222224</s:v>
      </s:c>
      <s:c r="T148" s="22">
        <s:f>'10'!F149</s:f>
        <s:v>46247.33862268519</s:v>
      </s:c>
      <s:c r="U148" s="23">
        <s:f>'자료구성'!$B$2</s:f>
        <s:v>46247.0</s:v>
      </s:c>
    </s:row>
    <s:row r="149">
      <s:c r="A149" s="0" t="n">
        <s:v>1841</s:v>
      </s:c>
      <s:c r="B149" s="0" t="n">
        <s:v>885</s:v>
      </s:c>
      <s:c r="C149" s="0" t="n">
        <s:v>1556</s:v>
      </s:c>
      <s:c r="D149" s="0" t="n">
        <s:v>567</s:v>
      </s:c>
      <s:c r="E149" s="0" t="n">
        <s:v>1496</s:v>
      </s:c>
      <s:c r="F149" s="0" t="n">
        <s:v>2982</s:v>
      </s:c>
      <s:c r="G149" s="0" t="n">
        <s:v>3517</s:v>
      </s:c>
      <s:c r="H149" s="0" t="n">
        <s:v>3494</s:v>
      </s:c>
      <s:c r="I149" s="0" t="n">
        <s:v>1413</s:v>
      </s:c>
      <s:c r="J149" s="0" t="n">
        <s:v>1802</s:v>
      </s:c>
      <s:c r="K149" s="22">
        <s:f>'1'!F150</s:f>
        <s:v>46247.561875</s:v>
      </s:c>
      <s:c r="L149" s="22">
        <s:f>'2'!F150</s:f>
        <s:v>46247.54361111111</s:v>
      </s:c>
      <s:c r="M149" s="22">
        <s:f>'3'!F150</s:f>
        <s:v>46247.5262037037</s:v>
      </s:c>
      <s:c r="N149" s="22">
        <s:f>'4'!F150</s:f>
        <s:v>46247.4803125</s:v>
      </s:c>
      <s:c r="O149" s="22">
        <s:f>'5'!F150</s:f>
        <s:v>46247.45196759259</s:v>
      </s:c>
      <s:c r="P149" s="22">
        <s:f>'6'!F150</s:f>
        <s:v>46247.43251157407</s:v>
      </s:c>
      <s:c r="Q149" s="22">
        <s:f>'7'!F150</s:f>
        <s:v>46247.40986111111</s:v>
      </s:c>
      <s:c r="R149" s="22">
        <s:f>'8'!F150</s:f>
        <s:v>46247.385671296295</s:v>
      </s:c>
      <s:c r="S149" s="22">
        <s:f>'9'!F150</s:f>
        <s:v>46247.36785879629</s:v>
      </s:c>
      <s:c r="T149" s="22">
        <s:f>'10'!F150</s:f>
        <s:v>46247.33863425926</s:v>
      </s:c>
      <s:c r="U149" s="23">
        <s:f>'자료구성'!$B$2</s:f>
        <s:v>46247.0</s:v>
      </s:c>
    </s:row>
    <s:row r="150">
      <s:c r="A150" s="0" t="n">
        <s:v>1859</s:v>
      </s:c>
      <s:c r="B150" s="0" t="n">
        <s:v>898</s:v>
      </s:c>
      <s:c r="C150" s="0" t="n">
        <s:v>1521</s:v>
      </s:c>
      <s:c r="D150" s="0" t="n">
        <s:v>595</s:v>
      </s:c>
      <s:c r="E150" s="0" t="n">
        <s:v>1460</s:v>
      </s:c>
      <s:c r="F150" s="0" t="n">
        <s:v>2972</s:v>
      </s:c>
      <s:c r="G150" s="0" t="n">
        <s:v>3547</s:v>
      </s:c>
      <s:c r="H150" s="0" t="n">
        <s:v>3435</s:v>
      </s:c>
      <s:c r="I150" s="0" t="n">
        <s:v>1412</s:v>
      </s:c>
      <s:c r="J150" s="0" t="n">
        <s:v>1805</s:v>
      </s:c>
      <s:c r="K150" s="22">
        <s:f>'1'!F151</s:f>
        <s:v>46247.561886574076</s:v>
      </s:c>
      <s:c r="L150" s="22">
        <s:f>'2'!F151</s:f>
        <s:v>46247.54362268518</s:v>
      </s:c>
      <s:c r="M150" s="22">
        <s:f>'3'!F151</s:f>
        <s:v>46247.52621527778</s:v>
      </s:c>
      <s:c r="N150" s="22">
        <s:f>'4'!F151</s:f>
        <s:v>46247.48032407407</s:v>
      </s:c>
      <s:c r="O150" s="22">
        <s:f>'5'!F151</s:f>
        <s:v>46247.45197916667</s:v>
      </s:c>
      <s:c r="P150" s="22">
        <s:f>'6'!F151</s:f>
        <s:v>46247.43252314815</s:v>
      </s:c>
      <s:c r="Q150" s="22">
        <s:f>'7'!F151</s:f>
        <s:v>46247.40987268519</s:v>
      </s:c>
      <s:c r="R150" s="22">
        <s:f>'8'!F151</s:f>
        <s:v>46247.38568287037</s:v>
      </s:c>
      <s:c r="S150" s="22">
        <s:f>'9'!F151</s:f>
        <s:v>46247.36787037037</s:v>
      </s:c>
      <s:c r="T150" s="22">
        <s:f>'10'!F151</s:f>
        <s:v>46247.33864583333</s:v>
      </s:c>
      <s:c r="U150" s="23">
        <s:f>'자료구성'!$B$2</s:f>
        <s:v>46247.0</s:v>
      </s:c>
    </s:row>
    <s:row r="151">
      <s:c r="A151" s="0" t="n">
        <s:v>1876</s:v>
      </s:c>
      <s:c r="B151" s="0" t="n">
        <s:v>906</s:v>
      </s:c>
      <s:c r="C151" s="0" t="n">
        <s:v>1520</s:v>
      </s:c>
      <s:c r="D151" s="0" t="n">
        <s:v>622</s:v>
      </s:c>
      <s:c r="E151" s="0" t="n">
        <s:v>1470</s:v>
      </s:c>
      <s:c r="F151" s="0" t="n">
        <s:v>2978</s:v>
      </s:c>
      <s:c r="G151" s="0" t="n">
        <s:v>3532</s:v>
      </s:c>
      <s:c r="H151" s="0" t="n">
        <s:v>3400</s:v>
      </s:c>
      <s:c r="I151" s="0" t="n">
        <s:v>1430</s:v>
      </s:c>
      <s:c r="J151" s="0" t="n">
        <s:v>1797</s:v>
      </s:c>
      <s:c r="K151" s="22">
        <s:f>'1'!F152</s:f>
        <s:v>46247.561898148146</s:v>
      </s:c>
      <s:c r="L151" s="22">
        <s:f>'2'!F152</s:f>
        <s:v>46247.54363425926</s:v>
      </s:c>
      <s:c r="M151" s="22">
        <s:f>'3'!F152</s:f>
        <s:v>46247.52622685185</s:v>
      </s:c>
      <s:c r="N151" s="22">
        <s:f>'4'!F152</s:f>
        <s:v>46247.48033564815</s:v>
      </s:c>
      <s:c r="O151" s="22">
        <s:f>'5'!F152</s:f>
        <s:v>46247.45199074074</s:v>
      </s:c>
      <s:c r="P151" s="22">
        <s:f>'6'!F152</s:f>
        <s:v>46247.432534722226</s:v>
      </s:c>
      <s:c r="Q151" s="22">
        <s:f>'7'!F152</s:f>
        <s:v>46247.40988425926</s:v>
      </s:c>
      <s:c r="R151" s="22">
        <s:f>'8'!F152</s:f>
        <s:v>46247.38569444444</s:v>
      </s:c>
      <s:c r="S151" s="22">
        <s:f>'9'!F152</s:f>
        <s:v>46247.36788194445</s:v>
      </s:c>
      <s:c r="T151" s="22">
        <s:f>'10'!F152</s:f>
        <s:v>46247.33865740741</s:v>
      </s:c>
      <s:c r="U151" s="23">
        <s:f>'자료구성'!$B$2</s:f>
        <s:v>46247.0</s:v>
      </s:c>
    </s:row>
    <s:row r="152">
      <s:c r="A152" s="0" t="n">
        <s:v>1894</s:v>
      </s:c>
      <s:c r="B152" s="0" t="n">
        <s:v>927</s:v>
      </s:c>
      <s:c r="C152" s="0" t="n">
        <s:v>1492</s:v>
      </s:c>
      <s:c r="D152" s="0" t="n">
        <s:v>673</s:v>
      </s:c>
      <s:c r="E152" s="0" t="n">
        <s:v>1417</s:v>
      </s:c>
      <s:c r="F152" s="0" t="n">
        <s:v>2940</s:v>
      </s:c>
      <s:c r="G152" s="0" t="n">
        <s:v>3466</s:v>
      </s:c>
      <s:c r="H152" s="0" t="n">
        <s:v>3413</s:v>
      </s:c>
      <s:c r="I152" s="0" t="n">
        <s:v>1449</s:v>
      </s:c>
      <s:c r="J152" s="0" t="n">
        <s:v>1789</s:v>
      </s:c>
      <s:c r="K152" s="22">
        <s:f>'1'!F153</s:f>
        <s:v>46247.56190972222</s:v>
      </s:c>
      <s:c r="L152" s="22">
        <s:f>'2'!F153</s:f>
        <s:v>46247.543645833335</s:v>
      </s:c>
      <s:c r="M152" s="22">
        <s:f>'3'!F153</s:f>
        <s:v>46247.526238425926</s:v>
      </s:c>
      <s:c r="N152" s="22">
        <s:f>'4'!F153</s:f>
        <s:v>46247.48034722222</s:v>
      </s:c>
      <s:c r="O152" s="22">
        <s:f>'5'!F153</s:f>
        <s:v>46247.452002314814</s:v>
      </s:c>
      <s:c r="P152" s="22">
        <s:f>'6'!F153</s:f>
        <s:v>46247.432546296295</s:v>
      </s:c>
      <s:c r="Q152" s="22">
        <s:f>'7'!F153</s:f>
        <s:v>46247.409895833334</s:v>
      </s:c>
      <s:c r="R152" s="22">
        <s:f>'8'!F153</s:f>
        <s:v>46247.38570601852</s:v>
      </s:c>
      <s:c r="S152" s="22">
        <s:f>'9'!F153</s:f>
        <s:v>46247.367893518516</s:v>
      </s:c>
      <s:c r="T152" s="22">
        <s:f>'10'!F153</s:f>
        <s:v>46247.33866898148</s:v>
      </s:c>
      <s:c r="U152" s="23">
        <s:f>'자료구성'!$B$2</s:f>
        <s:v>46247.0</s:v>
      </s:c>
    </s:row>
    <s:row r="153">
      <s:c r="A153" s="0" t="n">
        <s:v>1901</s:v>
      </s:c>
      <s:c r="B153" s="0" t="n">
        <s:v>955</s:v>
      </s:c>
      <s:c r="C153" s="0" t="n">
        <s:v>1471</s:v>
      </s:c>
      <s:c r="D153" s="0" t="n">
        <s:v>724</s:v>
      </s:c>
      <s:c r="E153" s="0" t="n">
        <s:v>1364</s:v>
      </s:c>
      <s:c r="F153" s="0" t="n">
        <s:v>2902</s:v>
      </s:c>
      <s:c r="G153" s="0" t="n">
        <s:v>3523</s:v>
      </s:c>
      <s:c r="H153" s="0" t="n">
        <s:v>3473</s:v>
      </s:c>
      <s:c r="I153" s="0" t="n">
        <s:v>1446</s:v>
      </s:c>
      <s:c r="J153" s="0" t="n">
        <s:v>1800</s:v>
      </s:c>
      <s:c r="K153" s="22">
        <s:f>'1'!F154</s:f>
        <s:v>46247.5619212963</s:v>
      </s:c>
      <s:c r="L153" s="22">
        <s:f>'2'!F154</s:f>
        <s:v>46247.543657407405</s:v>
      </s:c>
      <s:c r="M153" s="22">
        <s:f>'3'!F154</s:f>
        <s:v>46247.52625</s:v>
      </s:c>
      <s:c r="N153" s="22">
        <s:f>'4'!F154</s:f>
        <s:v>46247.480358796296</s:v>
      </s:c>
      <s:c r="O153" s="22">
        <s:f>'5'!F154</s:f>
        <s:v>46247.45201388889</s:v>
      </s:c>
      <s:c r="P153" s="22">
        <s:f>'6'!F154</s:f>
        <s:v>46247.43255787037</s:v>
      </s:c>
      <s:c r="Q153" s="22">
        <s:f>'7'!F154</s:f>
        <s:v>46247.409907407404</s:v>
      </s:c>
      <s:c r="R153" s="22">
        <s:f>'8'!F154</s:f>
        <s:v>46247.385717592595</s:v>
      </s:c>
      <s:c r="S153" s="22">
        <s:f>'9'!F154</s:f>
        <s:v>46247.36790509259</s:v>
      </s:c>
      <s:c r="T153" s="22">
        <s:f>'10'!F154</s:f>
        <s:v>46247.33868055556</s:v>
      </s:c>
      <s:c r="U153" s="23">
        <s:f>'자료구성'!$B$2</s:f>
        <s:v>46247.0</s:v>
      </s:c>
    </s:row>
    <s:row r="154">
      <s:c r="A154" s="0" t="n">
        <s:v>1928</s:v>
      </s:c>
      <s:c r="B154" s="0" t="n">
        <s:v>960</s:v>
      </s:c>
      <s:c r="C154" s="0" t="n">
        <s:v>1447</s:v>
      </s:c>
      <s:c r="D154" s="0" t="n">
        <s:v>735</s:v>
      </s:c>
      <s:c r="E154" s="0" t="n">
        <s:v>1310</s:v>
      </s:c>
      <s:c r="F154" s="0" t="n">
        <s:v>2846</s:v>
      </s:c>
      <s:c r="G154" s="0" t="n">
        <s:v>3642</s:v>
      </s:c>
      <s:c r="H154" s="0" t="n">
        <s:v>3543</s:v>
      </s:c>
      <s:c r="I154" s="0" t="n">
        <s:v>1435</s:v>
      </s:c>
      <s:c r="J154" s="0" t="n">
        <s:v>1815</s:v>
      </s:c>
      <s:c r="K154" s="22">
        <s:f>'1'!F155</s:f>
        <s:v>46247.56193287037</s:v>
      </s:c>
      <s:c r="L154" s="22">
        <s:f>'2'!F155</s:f>
        <s:v>46247.54366898148</s:v>
      </s:c>
      <s:c r="M154" s="22">
        <s:f>'3'!F155</s:f>
        <s:v>46247.52626157407</s:v>
      </s:c>
      <s:c r="N154" s="22">
        <s:f>'4'!F155</s:f>
        <s:v>46247.48037037037</s:v>
      </s:c>
      <s:c r="O154" s="22">
        <s:f>'5'!F155</s:f>
        <s:v>46247.45202546296</s:v>
      </s:c>
      <s:c r="P154" s="22">
        <s:f>'6'!F155</s:f>
        <s:v>46247.43256944444</s:v>
      </s:c>
      <s:c r="Q154" s="22">
        <s:f>'7'!F155</s:f>
        <s:v>46247.40991898148</s:v>
      </s:c>
      <s:c r="R154" s="22">
        <s:f>'8'!F155</s:f>
        <s:v>46247.385729166665</s:v>
      </s:c>
      <s:c r="S154" s="22">
        <s:f>'9'!F155</s:f>
        <s:v>46247.36791666667</s:v>
      </s:c>
      <s:c r="T154" s="22">
        <s:f>'10'!F155</s:f>
        <s:v>46247.338692129626</s:v>
      </s:c>
      <s:c r="U154" s="23">
        <s:f>'자료구성'!$B$2</s:f>
        <s:v>46247.0</s:v>
      </s:c>
    </s:row>
    <s:row r="155">
      <s:c r="A155" s="0" t="n">
        <s:v>1928</s:v>
      </s:c>
      <s:c r="B155" s="0" t="n">
        <s:v>974</s:v>
      </s:c>
      <s:c r="C155" s="0" t="n">
        <s:v>1431</s:v>
      </s:c>
      <s:c r="D155" s="0" t="n">
        <s:v>755</s:v>
      </s:c>
      <s:c r="E155" s="0" t="n">
        <s:v>1310</s:v>
      </s:c>
      <s:c r="F155" s="0" t="n">
        <s:v>2859</s:v>
      </s:c>
      <s:c r="G155" s="0" t="n">
        <s:v>3708</s:v>
      </s:c>
      <s:c r="H155" s="0" t="n">
        <s:v>3650</s:v>
      </s:c>
      <s:c r="I155" s="0" t="n">
        <s:v>1398</s:v>
      </s:c>
      <s:c r="J155" s="0" t="n">
        <s:v>1846</s:v>
      </s:c>
      <s:c r="K155" s="22">
        <s:f>'1'!F156</s:f>
        <s:v>46247.561944444446</s:v>
      </s:c>
      <s:c r="L155" s="22">
        <s:f>'2'!F156</s:f>
        <s:v>46247.54368055556</s:v>
      </s:c>
      <s:c r="M155" s="22">
        <s:f>'3'!F156</s:f>
        <s:v>46247.52627314815</s:v>
      </s:c>
      <s:c r="N155" s="22">
        <s:f>'4'!F156</s:f>
        <s:v>46247.48038194444</s:v>
      </s:c>
      <s:c r="O155" s="22">
        <s:f>'5'!F156</s:f>
        <s:v>46247.45203703704</s:v>
      </s:c>
      <s:c r="P155" s="22">
        <s:f>'6'!F156</s:f>
        <s:v>46247.43258101852</s:v>
      </s:c>
      <s:c r="Q155" s="22">
        <s:f>'7'!F156</s:f>
        <s:v>46247.40993055556</s:v>
      </s:c>
      <s:c r="R155" s="22">
        <s:f>'8'!F156</s:f>
        <s:v>46247.38574074074</s:v>
      </s:c>
      <s:c r="S155" s="22">
        <s:f>'9'!F156</s:f>
        <s:v>46247.36792824074</s:v>
      </s:c>
      <s:c r="T155" s="22">
        <s:f>'10'!F156</s:f>
        <s:v>46247.3387037037</s:v>
      </s:c>
      <s:c r="U155" s="23">
        <s:f>'자료구성'!$B$2</s:f>
        <s:v>46247.0</s:v>
      </s:c>
    </s:row>
    <s:row r="156">
      <s:c r="A156" s="0" t="n">
        <s:v>1904</s:v>
      </s:c>
      <s:c r="B156" s="0" t="n">
        <s:v>975</s:v>
      </s:c>
      <s:c r="C156" s="0" t="n">
        <s:v>1418</s:v>
      </s:c>
      <s:c r="D156" s="0" t="n">
        <s:v>768</s:v>
      </s:c>
      <s:c r="E156" s="0" t="n">
        <s:v>1292</s:v>
      </s:c>
      <s:c r="F156" s="0" t="n">
        <s:v>2856</s:v>
      </s:c>
      <s:c r="G156" s="0" t="n">
        <s:v>3809</s:v>
      </s:c>
      <s:c r="H156" s="0" t="n">
        <s:v>3767</s:v>
      </s:c>
      <s:c r="I156" s="0" t="n">
        <s:v>1351</s:v>
      </s:c>
      <s:c r="J156" s="0" t="n">
        <s:v>1844</s:v>
      </s:c>
      <s:c r="K156" s="22">
        <s:f>'1'!F157</s:f>
        <s:v>46247.561956018515</s:v>
      </s:c>
      <s:c r="L156" s="22">
        <s:f>'2'!F157</s:f>
        <s:v>46247.54369212963</s:v>
      </s:c>
      <s:c r="M156" s="22">
        <s:f>'3'!F157</s:f>
        <s:v>46247.526284722226</s:v>
      </s:c>
      <s:c r="N156" s="22">
        <s:f>'4'!F157</s:f>
        <s:v>46247.48039351852</s:v>
      </s:c>
      <s:c r="O156" s="22">
        <s:f>'5'!F157</s:f>
        <s:v>46247.452048611114</s:v>
      </s:c>
      <s:c r="P156" s="22">
        <s:f>'6'!F157</s:f>
        <s:v>46247.432592592595</s:v>
      </s:c>
      <s:c r="Q156" s="22">
        <s:f>'7'!F157</s:f>
        <s:v>46247.40994212963</s:v>
      </s:c>
      <s:c r="R156" s="22">
        <s:f>'8'!F157</s:f>
        <s:v>46247.38575231482</s:v>
      </s:c>
      <s:c r="S156" s="22">
        <s:f>'9'!F157</s:f>
        <s:v>46247.367939814816</s:v>
      </s:c>
      <s:c r="T156" s="22">
        <s:f>'10'!F157</s:f>
        <s:v>46247.33871527778</s:v>
      </s:c>
      <s:c r="U156" s="23">
        <s:f>'자료구성'!$B$2</s:f>
        <s:v>46247.0</s:v>
      </s:c>
    </s:row>
    <s:row r="157">
      <s:c r="A157" s="0" t="n">
        <s:v>1900</s:v>
      </s:c>
      <s:c r="B157" s="0" t="n">
        <s:v>978</s:v>
      </s:c>
      <s:c r="C157" s="0" t="n">
        <s:v>1421</s:v>
      </s:c>
      <s:c r="D157" s="0" t="n">
        <s:v>829</s:v>
      </s:c>
      <s:c r="E157" s="0" t="n">
        <s:v>1275</s:v>
      </s:c>
      <s:c r="F157" s="0" t="n">
        <s:v>2864</s:v>
      </s:c>
      <s:c r="G157" s="0" t="n">
        <s:v>3878</s:v>
      </s:c>
      <s:c r="H157" s="0" t="n">
        <s:v>3841</s:v>
      </s:c>
      <s:c r="I157" s="0" t="n">
        <s:v>1304</s:v>
      </s:c>
      <s:c r="J157" s="0" t="n">
        <s:v>1854</s:v>
      </s:c>
      <s:c r="K157" s="22">
        <s:f>'1'!F158</s:f>
        <s:v>46247.56196759259</s:v>
      </s:c>
      <s:c r="L157" s="22">
        <s:f>'2'!F158</s:f>
        <s:v>46247.543703703705</s:v>
      </s:c>
      <s:c r="M157" s="22">
        <s:f>'3'!F158</s:f>
        <s:v>46247.526296296295</s:v>
      </s:c>
      <s:c r="N157" s="22">
        <s:f>'4'!F158</s:f>
        <s:v>46247.480405092596</s:v>
      </s:c>
      <s:c r="O157" s="22">
        <s:f>'5'!F158</s:f>
        <s:v>46247.452060185184</s:v>
      </s:c>
      <s:c r="P157" s="22">
        <s:f>'6'!F158</s:f>
        <s:v>46247.432604166665</s:v>
      </s:c>
      <s:c r="Q157" s="22">
        <s:f>'7'!F158</s:f>
        <s:v>46247.409953703704</s:v>
      </s:c>
      <s:c r="R157" s="22">
        <s:f>'8'!F158</s:f>
        <s:v>46247.38576388889</s:v>
      </s:c>
      <s:c r="S157" s="22">
        <s:f>'9'!F158</s:f>
        <s:v>46247.367951388886</s:v>
      </s:c>
      <s:c r="T157" s="22">
        <s:f>'10'!F158</s:f>
        <s:v>46247.33872685185</s:v>
      </s:c>
      <s:c r="U157" s="23">
        <s:f>'자료구성'!$B$2</s:f>
        <s:v>46247.0</s:v>
      </s:c>
    </s:row>
    <s:row r="158">
      <s:c r="A158" s="0" t="n">
        <s:v>1896</s:v>
      </s:c>
      <s:c r="B158" s="0" t="n">
        <s:v>975</s:v>
      </s:c>
      <s:c r="C158" s="0" t="n">
        <s:v>1416</s:v>
      </s:c>
      <s:c r="D158" s="0" t="n">
        <s:v>835</s:v>
      </s:c>
      <s:c r="E158" s="0" t="n">
        <s:v>1240</s:v>
      </s:c>
      <s:c r="F158" s="0" t="n">
        <s:v>2901</s:v>
      </s:c>
      <s:c r="G158" s="0" t="n">
        <s:v>3889</s:v>
      </s:c>
      <s:c r="H158" s="0" t="n">
        <s:v>3790</s:v>
      </s:c>
      <s:c r="I158" s="0" t="n">
        <s:v>1260</s:v>
      </s:c>
      <s:c r="J158" s="0" t="n">
        <s:v>1890</s:v>
      </s:c>
      <s:c r="K158" s="22">
        <s:f>'1'!F159</s:f>
        <s:v>46247.56197916667</s:v>
      </s:c>
      <s:c r="L158" s="22">
        <s:f>'2'!F159</s:f>
        <s:v>46247.54371527778</s:v>
      </s:c>
      <s:c r="M158" s="22">
        <s:f>'3'!F159</s:f>
        <s:v>46247.52630787037</s:v>
      </s:c>
      <s:c r="N158" s="22">
        <s:f>'4'!F159</s:f>
        <s:v>46247.480416666665</s:v>
      </s:c>
      <s:c r="O158" s="22">
        <s:f>'5'!F159</s:f>
        <s:v>46247.45207175926</s:v>
      </s:c>
      <s:c r="P158" s="22">
        <s:f>'6'!F159</s:f>
        <s:v>46247.43261574074</s:v>
      </s:c>
      <s:c r="Q158" s="22">
        <s:f>'7'!F159</s:f>
        <s:v>46247.40996527778</s:v>
      </s:c>
      <s:c r="R158" s="22">
        <s:f>'8'!F159</s:f>
        <s:v>46247.385775462964</s:v>
      </s:c>
      <s:c r="S158" s="22">
        <s:f>'9'!F159</s:f>
        <s:v>46247.36796296296</s:v>
      </s:c>
      <s:c r="T158" s="22">
        <s:f>'10'!F159</s:f>
        <s:v>46247.338738425926</s:v>
      </s:c>
      <s:c r="U158" s="23">
        <s:f>'자료구성'!$B$2</s:f>
        <s:v>46247.0</s:v>
      </s:c>
    </s:row>
    <s:row r="159">
      <s:c r="A159" s="0" t="n">
        <s:v>1842</s:v>
      </s:c>
      <s:c r="B159" s="0" t="n">
        <s:v>974</s:v>
      </s:c>
      <s:c r="C159" s="0" t="n">
        <s:v>1397</s:v>
      </s:c>
      <s:c r="D159" s="0" t="n">
        <s:v>795</s:v>
      </s:c>
      <s:c r="E159" s="0" t="n">
        <s:v>1211</s:v>
      </s:c>
      <s:c r="F159" s="0" t="n">
        <s:v>2858</s:v>
      </s:c>
      <s:c r="G159" s="0" t="n">
        <s:v>3875</s:v>
      </s:c>
      <s:c r="H159" s="0" t="n">
        <s:v>3711</s:v>
      </s:c>
      <s:c r="I159" s="0" t="n">
        <s:v>1250</s:v>
      </s:c>
      <s:c r="J159" s="0" t="n">
        <s:v>1938</s:v>
      </s:c>
      <s:c r="K159" s="22">
        <s:f>'1'!F160</s:f>
        <s:v>46247.56199074074</s:v>
      </s:c>
      <s:c r="L159" s="22">
        <s:f>'2'!F160</s:f>
        <s:v>46247.54372685185</s:v>
      </s:c>
      <s:c r="M159" s="22">
        <s:f>'3'!F160</s:f>
        <s:v>46247.52631944444</s:v>
      </s:c>
      <s:c r="N159" s="22">
        <s:f>'4'!F160</s:f>
        <s:v>46247.48042824074</s:v>
      </s:c>
      <s:c r="O159" s="22">
        <s:f>'5'!F160</s:f>
        <s:v>46247.45208333333</s:v>
      </s:c>
      <s:c r="P159" s="22">
        <s:f>'6'!F160</s:f>
        <s:v>46247.43262731482</s:v>
      </s:c>
      <s:c r="Q159" s="22">
        <s:f>'7'!F160</s:f>
        <s:v>46247.40997685185</s:v>
      </s:c>
      <s:c r="R159" s="22">
        <s:f>'8'!F160</s:f>
        <s:v>46247.385787037034</s:v>
      </s:c>
      <s:c r="S159" s="22">
        <s:f>'9'!F160</s:f>
        <s:v>46247.36797453704</s:v>
      </s:c>
      <s:c r="T159" s="22">
        <s:f>'10'!F160</s:f>
        <s:v>46247.33875</s:v>
      </s:c>
      <s:c r="U159" s="23">
        <s:f>'자료구성'!$B$2</s:f>
        <s:v>46247.0</s:v>
      </s:c>
    </s:row>
    <s:row r="160">
      <s:c r="A160" s="0" t="n">
        <s:v>1786</s:v>
      </s:c>
      <s:c r="B160" s="0" t="n">
        <s:v>996</s:v>
      </s:c>
      <s:c r="C160" s="0" t="n">
        <s:v>1384</s:v>
      </s:c>
      <s:c r="D160" s="0" t="n">
        <s:v>748</s:v>
      </s:c>
      <s:c r="E160" s="0" t="n">
        <s:v>1196</s:v>
      </s:c>
      <s:c r="F160" s="0" t="n">
        <s:v>2871</s:v>
      </s:c>
      <s:c r="G160" s="0" t="n">
        <s:v>3827</s:v>
      </s:c>
      <s:c r="H160" s="0" t="n">
        <s:v>3640</s:v>
      </s:c>
      <s:c r="I160" s="0" t="n">
        <s:v>1266</s:v>
      </s:c>
      <s:c r="J160" s="0" t="n">
        <s:v>1959</s:v>
      </s:c>
      <s:c r="K160" s="22">
        <s:f>'1'!F161</s:f>
        <s:v>46247.562002314815</s:v>
      </s:c>
      <s:c r="L160" s="22">
        <s:f>'2'!F161</s:f>
        <s:v>46247.54373842593</s:v>
      </s:c>
      <s:c r="M160" s="22">
        <s:f>'3'!F161</s:f>
        <s:v>46247.52633101852</s:v>
      </s:c>
      <s:c r="N160" s="22">
        <s:f>'4'!F161</s:f>
        <s:v>46247.48043981481</s:v>
      </s:c>
      <s:c r="O160" s="22">
        <s:f>'5'!F161</s:f>
        <s:v>46247.45209490741</s:v>
      </s:c>
      <s:c r="P160" s="22">
        <s:f>'6'!F161</s:f>
        <s:v>46247.43263888889</s:v>
      </s:c>
      <s:c r="Q160" s="22">
        <s:f>'7'!F161</s:f>
        <s:v>46247.40998842593</s:v>
      </s:c>
      <s:c r="R160" s="22">
        <s:f>'8'!F161</s:f>
        <s:v>46247.38579861111</s:v>
      </s:c>
      <s:c r="S160" s="22">
        <s:f>'9'!F161</s:f>
        <s:v>46247.36798611111</s:v>
      </s:c>
      <s:c r="T160" s="22">
        <s:f>'10'!F161</s:f>
        <s:v>46247.33876157407</s:v>
      </s:c>
      <s:c r="U160" s="23">
        <s:f>'자료구성'!$B$2</s:f>
        <s:v>46247.0</s:v>
      </s:c>
    </s:row>
    <s:row r="161">
      <s:c r="A161" s="0" t="n">
        <s:v>1774</s:v>
      </s:c>
      <s:c r="B161" s="0" t="n">
        <s:v>1022</s:v>
      </s:c>
      <s:c r="C161" s="0" t="n">
        <s:v>1374</s:v>
      </s:c>
      <s:c r="D161" s="0" t="n">
        <s:v>718</s:v>
      </s:c>
      <s:c r="E161" s="0" t="n">
        <s:v>1166</s:v>
      </s:c>
      <s:c r="F161" s="0" t="n">
        <s:v>2968</s:v>
      </s:c>
      <s:c r="G161" s="0" t="n">
        <s:v>3803</s:v>
      </s:c>
      <s:c r="H161" s="0" t="n">
        <s:v>3562</s:v>
      </s:c>
      <s:c r="I161" s="0" t="n">
        <s:v>1275</s:v>
      </s:c>
      <s:c r="J161" s="0" t="n">
        <s:v>1995</s:v>
      </s:c>
      <s:c r="K161" s="22">
        <s:f>'1'!F162</s:f>
        <s:v>46247.56201388889</s:v>
      </s:c>
      <s:c r="L161" s="22">
        <s:f>'2'!F162</s:f>
        <s:v>46247.54375</s:v>
      </s:c>
      <s:c r="M161" s="22">
        <s:f>'3'!F162</s:f>
        <s:v>46247.526342592595</s:v>
      </s:c>
      <s:c r="N161" s="22">
        <s:f>'4'!F162</s:f>
        <s:v>46247.48045138889</s:v>
      </s:c>
      <s:c r="O161" s="22">
        <s:f>'5'!F162</s:f>
        <s:v>46247.45210648148</s:v>
      </s:c>
      <s:c r="P161" s="22">
        <s:f>'6'!F162</s:f>
        <s:v>46247.432650462964</s:v>
      </s:c>
      <s:c r="Q161" s="22">
        <s:f>'7'!F162</s:f>
        <s:v>46247.41</s:v>
      </s:c>
      <s:c r="R161" s="22">
        <s:f>'8'!F162</s:f>
        <s:v>46247.38581018519</s:v>
      </s:c>
      <s:c r="S161" s="22">
        <s:f>'9'!F162</s:f>
        <s:v>46247.367997685185</s:v>
      </s:c>
      <s:c r="T161" s="22">
        <s:f>'10'!F162</s:f>
        <s:v>46247.33877314815</s:v>
      </s:c>
      <s:c r="U161" s="23">
        <s:f>'자료구성'!$B$2</s:f>
        <s:v>46247.0</s:v>
      </s:c>
    </s:row>
    <s:row r="162">
      <s:c r="A162" s="0" t="n">
        <s:v>1748</s:v>
      </s:c>
      <s:c r="B162" s="0" t="n">
        <s:v>1090</s:v>
      </s:c>
      <s:c r="C162" s="0" t="n">
        <s:v>1354</s:v>
      </s:c>
      <s:c r="D162" s="0" t="n">
        <s:v>688</s:v>
      </s:c>
      <s:c r="E162" s="0" t="n">
        <s:v>1144</s:v>
      </s:c>
      <s:c r="F162" s="0" t="n">
        <s:v>3071</s:v>
      </s:c>
      <s:c r="G162" s="0" t="n">
        <s:v>3794</s:v>
      </s:c>
      <s:c r="H162" s="0" t="n">
        <s:v>3510</s:v>
      </s:c>
      <s:c r="I162" s="0" t="n">
        <s:v>1228</s:v>
      </s:c>
      <s:c r="J162" s="0" t="n">
        <s:v>1988</s:v>
      </s:c>
      <s:c r="K162" s="22">
        <s:f>'1'!F163</s:f>
        <s:v>46247.56202546296</s:v>
      </s:c>
      <s:c r="L162" s="22">
        <s:f>'2'!F163</s:f>
        <s:v>46247.543761574074</s:v>
      </s:c>
      <s:c r="M162" s="22">
        <s:f>'3'!F163</s:f>
        <s:v>46247.526354166665</s:v>
      </s:c>
      <s:c r="N162" s="22">
        <s:f>'4'!F163</s:f>
        <s:v>46247.480462962965</s:v>
      </s:c>
      <s:c r="O162" s="22">
        <s:f>'5'!F163</s:f>
        <s:v>46247.45211805555</s:v>
      </s:c>
      <s:c r="P162" s="22">
        <s:f>'6'!F163</s:f>
        <s:v>46247.432662037034</s:v>
      </s:c>
      <s:c r="Q162" s="22">
        <s:f>'7'!F163</s:f>
        <s:v>46247.41001157407</s:v>
      </s:c>
      <s:c r="R162" s="22">
        <s:f>'8'!F163</s:f>
        <s:v>46247.38582175926</s:v>
      </s:c>
      <s:c r="S162" s="22">
        <s:f>'9'!F163</s:f>
        <s:v>46247.36800925926</s:v>
      </s:c>
      <s:c r="T162" s="22">
        <s:f>'10'!F163</s:f>
        <s:v>46247.338784722226</s:v>
      </s:c>
      <s:c r="U162" s="23">
        <s:f>'자료구성'!$B$2</s:f>
        <s:v>46247.0</s:v>
      </s:c>
    </s:row>
    <s:row r="163">
      <s:c r="A163" s="0" t="n">
        <s:v>1718</s:v>
      </s:c>
      <s:c r="B163" s="0" t="n">
        <s:v>1131</s:v>
      </s:c>
      <s:c r="C163" s="0" t="n">
        <s:v>1340</s:v>
      </s:c>
      <s:c r="D163" s="0" t="n">
        <s:v>666</s:v>
      </s:c>
      <s:c r="E163" s="0" t="n">
        <s:v>1126</s:v>
      </s:c>
      <s:c r="F163" s="0" t="n">
        <s:v>3114</s:v>
      </s:c>
      <s:c r="G163" s="0" t="n">
        <s:v>3695</s:v>
      </s:c>
      <s:c r="H163" s="0" t="n">
        <s:v>3463</s:v>
      </s:c>
      <s:c r="I163" s="0" t="n">
        <s:v>1227</s:v>
      </s:c>
      <s:c r="J163" s="0" t="n">
        <s:v>2028</s:v>
      </s:c>
      <s:c r="K163" s="22">
        <s:f>'1'!F164</s:f>
        <s:v>46247.56203703704</s:v>
      </s:c>
      <s:c r="L163" s="22">
        <s:f>'2'!F164</s:f>
        <s:v>46247.54377314815</s:v>
      </s:c>
      <s:c r="M163" s="22">
        <s:f>'3'!F164</s:f>
        <s:v>46247.52636574074</s:v>
      </s:c>
      <s:c r="N163" s="22">
        <s:f>'4'!F164</s:f>
        <s:v>46247.480474537035</s:v>
      </s:c>
      <s:c r="O163" s="22">
        <s:f>'5'!F164</s:f>
        <s:v>46247.45212962963</s:v>
      </s:c>
      <s:c r="P163" s="22">
        <s:f>'6'!F164</s:f>
        <s:v>46247.43267361111</s:v>
      </s:c>
      <s:c r="Q163" s="22">
        <s:f>'7'!F164</s:f>
        <s:v>46247.41002314815</s:v>
      </s:c>
      <s:c r="R163" s="22">
        <s:f>'8'!F164</s:f>
        <s:v>46247.385833333334</s:v>
      </s:c>
      <s:c r="S163" s="22">
        <s:f>'9'!F164</s:f>
        <s:v>46247.36802083333</s:v>
      </s:c>
      <s:c r="T163" s="22">
        <s:f>'10'!F164</s:f>
        <s:v>46247.338796296295</s:v>
      </s:c>
      <s:c r="U163" s="23">
        <s:f>'자료구성'!$B$2</s:f>
        <s:v>46247.0</s:v>
      </s:c>
    </s:row>
    <s:row r="164">
      <s:c r="A164" s="0" t="n">
        <s:v>1730</s:v>
      </s:c>
      <s:c r="B164" s="0" t="n">
        <s:v>1153</s:v>
      </s:c>
      <s:c r="C164" s="0" t="n">
        <s:v>1315</s:v>
      </s:c>
      <s:c r="D164" s="0" t="n">
        <s:v>641</s:v>
      </s:c>
      <s:c r="E164" s="0" t="n">
        <s:v>1121</s:v>
      </s:c>
      <s:c r="F164" s="0" t="n">
        <s:v>3128</s:v>
      </s:c>
      <s:c r="G164" s="0" t="n">
        <s:v>3555</s:v>
      </s:c>
      <s:c r="H164" s="0" t="n">
        <s:v>3414</s:v>
      </s:c>
      <s:c r="I164" s="0" t="n">
        <s:v>1246</s:v>
      </s:c>
      <s:c r="J164" s="0" t="n">
        <s:v>2084</s:v>
      </s:c>
      <s:c r="K164" s="22">
        <s:f>'1'!F165</s:f>
        <s:v>46247.562048611115</s:v>
      </s:c>
      <s:c r="L164" s="22">
        <s:f>'2'!F165</s:f>
        <s:v>46247.54378472222</s:v>
      </s:c>
      <s:c r="M164" s="22">
        <s:f>'3'!F165</s:f>
        <s:v>46247.52637731482</s:v>
      </s:c>
      <s:c r="N164" s="22">
        <s:f>'4'!F165</s:f>
        <s:v>46247.48048611111</s:v>
      </s:c>
      <s:c r="O164" s="22">
        <s:f>'5'!F165</s:f>
        <s:v>46247.45214120371</s:v>
      </s:c>
      <s:c r="P164" s="22">
        <s:f>'6'!F165</s:f>
        <s:v>46247.43268518519</s:v>
      </s:c>
      <s:c r="Q164" s="22">
        <s:f>'7'!F165</s:f>
        <s:v>46247.41003472222</s:v>
      </s:c>
      <s:c r="R164" s="22">
        <s:f>'8'!F165</s:f>
        <s:v>46247.38584490741</s:v>
      </s:c>
      <s:c r="S164" s="22">
        <s:f>'9'!F165</s:f>
        <s:v>46247.36803240741</s:v>
      </s:c>
      <s:c r="T164" s="22">
        <s:f>'10'!F165</s:f>
        <s:v>46247.33880787037</s:v>
      </s:c>
      <s:c r="U164" s="23">
        <s:f>'자료구성'!$B$2</s:f>
        <s:v>46247.0</s:v>
      </s:c>
    </s:row>
    <s:row r="165">
      <s:c r="A165" s="0" t="n">
        <s:v>1720</s:v>
      </s:c>
      <s:c r="B165" s="0" t="n">
        <s:v>1174</s:v>
      </s:c>
      <s:c r="C165" s="0" t="n">
        <s:v>1310</s:v>
      </s:c>
      <s:c r="D165" s="0" t="n">
        <s:v>614</s:v>
      </s:c>
      <s:c r="E165" s="0" t="n">
        <s:v>1098</s:v>
      </s:c>
      <s:c r="F165" s="0" t="n">
        <s:v>3128</s:v>
      </s:c>
      <s:c r="G165" s="0" t="n">
        <s:v>3476</s:v>
      </s:c>
      <s:c r="H165" s="0" t="n">
        <s:v>3395</s:v>
      </s:c>
      <s:c r="I165" s="0" t="n">
        <s:v>1300</s:v>
      </s:c>
      <s:c r="J165" s="0" t="n">
        <s:v>2101</s:v>
      </s:c>
      <s:c r="K165" s="22">
        <s:f>'1'!F166</s:f>
        <s:v>46247.562060185184</s:v>
      </s:c>
      <s:c r="L165" s="22">
        <s:f>'2'!F166</s:f>
        <s:v>46247.5437962963</s:v>
      </s:c>
      <s:c r="M165" s="22">
        <s:f>'3'!F166</s:f>
        <s:v>46247.52638888889</s:v>
      </s:c>
      <s:c r="N165" s="22">
        <s:f>'4'!F166</s:f>
        <s:v>46247.48049768519</s:v>
      </s:c>
      <s:c r="O165" s="22">
        <s:f>'5'!F166</s:f>
        <s:v>46247.452152777776</s:v>
      </s:c>
      <s:c r="P165" s="22">
        <s:f>'6'!F166</s:f>
        <s:v>46247.43269675926</s:v>
      </s:c>
      <s:c r="Q165" s="22">
        <s:f>'7'!F166</s:f>
        <s:v>46247.410046296296</s:v>
      </s:c>
      <s:c r="R165" s="22">
        <s:f>'8'!F166</s:f>
        <s:v>46247.38585648148</s:v>
      </s:c>
      <s:c r="S165" s="22">
        <s:f>'9'!F166</s:f>
        <s:v>46247.36804398148</s:v>
      </s:c>
      <s:c r="T165" s="22">
        <s:f>'10'!F166</s:f>
        <s:v>46247.33881944444</s:v>
      </s:c>
      <s:c r="U165" s="23">
        <s:f>'자료구성'!$B$2</s:f>
        <s:v>46247.0</s:v>
      </s:c>
    </s:row>
    <s:row r="166">
      <s:c r="A166" s="0" t="n">
        <s:v>1699</s:v>
      </s:c>
      <s:c r="B166" s="0" t="n">
        <s:v>1164</s:v>
      </s:c>
      <s:c r="C166" s="0" t="n">
        <s:v>1298</s:v>
      </s:c>
      <s:c r="D166" s="0" t="n">
        <s:v>598</s:v>
      </s:c>
      <s:c r="E166" s="0" t="n">
        <s:v>1090</s:v>
      </s:c>
      <s:c r="F166" s="0" t="n">
        <s:v>3126</s:v>
      </s:c>
      <s:c r="G166" s="0" t="n">
        <s:v>3386</s:v>
      </s:c>
      <s:c r="H166" s="0" t="n">
        <s:v>3356</s:v>
      </s:c>
      <s:c r="I166" s="0" t="n">
        <s:v>1359</s:v>
      </s:c>
      <s:c r="J166" s="0" t="n">
        <s:v>2110</s:v>
      </s:c>
      <s:c r="K166" s="22">
        <s:f>'1'!F167</s:f>
        <s:v>46247.56207175926</s:v>
      </s:c>
      <s:c r="L166" s="22">
        <s:f>'2'!F167</s:f>
        <s:v>46247.543807870374</s:v>
      </s:c>
      <s:c r="M166" s="22">
        <s:f>'3'!F167</s:f>
        <s:v>46247.526400462964</s:v>
      </s:c>
      <s:c r="N166" s="22">
        <s:f>'4'!F167</s:f>
        <s:v>46247.48050925926</s:v>
      </s:c>
      <s:c r="O166" s="22">
        <s:f>'5'!F167</s:f>
        <s:v>46247.45216435185</s:v>
      </s:c>
      <s:c r="P166" s="22">
        <s:f>'6'!F167</s:f>
        <s:v>46247.432708333334</s:v>
      </s:c>
      <s:c r="Q166" s="22">
        <s:f>'7'!F167</s:f>
        <s:v>46247.41005787037</s:v>
      </s:c>
      <s:c r="R166" s="22">
        <s:f>'8'!F167</s:f>
        <s:v>46247.38586805556</s:v>
      </s:c>
      <s:c r="S166" s="22">
        <s:f>'9'!F167</s:f>
        <s:v>46247.368055555555</s:v>
      </s:c>
      <s:c r="T166" s="22">
        <s:f>'10'!F167</s:f>
        <s:v>46247.33883101852</s:v>
      </s:c>
      <s:c r="U166" s="23">
        <s:f>'자료구성'!$B$2</s:f>
        <s:v>46247.0</s:v>
      </s:c>
    </s:row>
    <s:row r="167">
      <s:c r="A167" s="0" t="n">
        <s:v>1681</s:v>
      </s:c>
      <s:c r="B167" s="0" t="n">
        <s:v>1144</s:v>
      </s:c>
      <s:c r="C167" s="0" t="n">
        <s:v>1277</s:v>
      </s:c>
      <s:c r="D167" s="0" t="n">
        <s:v>584</s:v>
      </s:c>
      <s:c r="E167" s="0" t="n">
        <s:v>1086</s:v>
      </s:c>
      <s:c r="F167" s="0" t="n">
        <s:v>3140</s:v>
      </s:c>
      <s:c r="G167" s="0" t="n">
        <s:v>3320</s:v>
      </s:c>
      <s:c r="H167" s="0" t="n">
        <s:v>3315</s:v>
      </s:c>
      <s:c r="I167" s="0" t="n">
        <s:v>1403</s:v>
      </s:c>
      <s:c r="J167" s="0" t="n">
        <s:v>2132</s:v>
      </s:c>
      <s:c r="K167" s="22">
        <s:f>'1'!F168</s:f>
        <s:v>46247.56208333333</s:v>
      </s:c>
      <s:c r="L167" s="22">
        <s:f>'2'!F168</s:f>
        <s:v>46247.54381944444</s:v>
      </s:c>
      <s:c r="M167" s="22">
        <s:f>'3'!F168</s:f>
        <s:v>46247.526412037034</s:v>
      </s:c>
      <s:c r="N167" s="22">
        <s:f>'4'!F168</s:f>
        <s:v>46247.480520833335</s:v>
      </s:c>
      <s:c r="O167" s="22">
        <s:f>'5'!F168</s:f>
        <s:v>46247.45217592592</s:v>
      </s:c>
      <s:c r="P167" s="22">
        <s:f>'6'!F168</s:f>
        <s:v>46247.43271990741</s:v>
      </s:c>
      <s:c r="Q167" s="22">
        <s:f>'7'!F168</s:f>
        <s:v>46247.41006944444</s:v>
      </s:c>
      <s:c r="R167" s="22">
        <s:f>'8'!F168</s:f>
        <s:v>46247.385879629626</s:v>
      </s:c>
      <s:c r="S167" s="22">
        <s:f>'9'!F168</s:f>
        <s:v>46247.36806712963</s:v>
      </s:c>
      <s:c r="T167" s="22">
        <s:f>'10'!F168</s:f>
        <s:v>46247.338842592595</s:v>
      </s:c>
      <s:c r="U167" s="23">
        <s:f>'자료구성'!$B$2</s:f>
        <s:v>46247.0</s:v>
      </s:c>
    </s:row>
    <s:row r="168">
      <s:c r="A168" s="0" t="n">
        <s:v>1670</s:v>
      </s:c>
      <s:c r="B168" s="0" t="n">
        <s:v>1118</s:v>
      </s:c>
      <s:c r="C168" s="0" t="n">
        <s:v>1265</s:v>
      </s:c>
      <s:c r="D168" s="0" t="n">
        <s:v>580</s:v>
      </s:c>
      <s:c r="E168" s="0" t="n">
        <s:v>1083</s:v>
      </s:c>
      <s:c r="F168" s="0" t="n">
        <s:v>3128</s:v>
      </s:c>
      <s:c r="G168" s="0" t="n">
        <s:v>3466</s:v>
      </s:c>
      <s:c r="H168" s="0" t="n">
        <s:v>3302</s:v>
      </s:c>
      <s:c r="I168" s="0" t="n">
        <s:v>1444</s:v>
      </s:c>
      <s:c r="J168" s="0" t="n">
        <s:v>2120</s:v>
      </s:c>
      <s:c r="K168" s="22">
        <s:f>'1'!F169</s:f>
        <s:v>46247.56209490741</s:v>
      </s:c>
      <s:c r="L168" s="22">
        <s:f>'2'!F169</s:f>
        <s:v>46247.54383101852</s:v>
      </s:c>
      <s:c r="M168" s="22">
        <s:f>'3'!F169</s:f>
        <s:v>46247.52642361111</s:v>
      </s:c>
      <s:c r="N168" s="22">
        <s:f>'4'!F169</s:f>
        <s:v>46247.480532407404</s:v>
      </s:c>
      <s:c r="O168" s="22">
        <s:f>'5'!F169</s:f>
        <s:v>46247.4521875</s:v>
      </s:c>
      <s:c r="P168" s="22">
        <s:f>'6'!F169</s:f>
        <s:v>46247.43273148148</s:v>
      </s:c>
      <s:c r="Q168" s="22">
        <s:f>'7'!F169</s:f>
        <s:v>46247.41008101852</s:v>
      </s:c>
      <s:c r="R168" s="22">
        <s:f>'8'!F169</s:f>
        <s:v>46247.3858912037</s:v>
      </s:c>
      <s:c r="S168" s="22">
        <s:f>'9'!F169</s:f>
        <s:v>46247.3680787037</s:v>
      </s:c>
      <s:c r="T168" s="22">
        <s:f>'10'!F169</s:f>
        <s:v>46247.338854166665</s:v>
      </s:c>
      <s:c r="U168" s="23">
        <s:f>'자료구성'!$B$2</s:f>
        <s:v>46247.0</s:v>
      </s:c>
    </s:row>
    <s:row r="169">
      <s:c r="A169" s="0" t="n">
        <s:v>1677</s:v>
      </s:c>
      <s:c r="B169" s="0" t="n">
        <s:v>1116</s:v>
      </s:c>
      <s:c r="C169" s="0" t="n">
        <s:v>1252</s:v>
      </s:c>
      <s:c r="D169" s="0" t="n">
        <s:v>571</s:v>
      </s:c>
      <s:c r="E169" s="0" t="n">
        <s:v>1097</s:v>
      </s:c>
      <s:c r="F169" s="0" t="n">
        <s:v>3133</s:v>
      </s:c>
      <s:c r="G169" s="0" t="n">
        <s:v>3849</s:v>
      </s:c>
      <s:c r="H169" s="0" t="n">
        <s:v>3322</s:v>
      </s:c>
      <s:c r="I169" s="0" t="n">
        <s:v>1488</s:v>
      </s:c>
      <s:c r="J169" s="0" t="n">
        <s:v>2055</s:v>
      </s:c>
      <s:c r="K169" s="22">
        <s:f>'1'!F170</s:f>
        <s:v>46247.562106481484</s:v>
      </s:c>
      <s:c r="L169" s="22">
        <s:f>'2'!F170</s:f>
        <s:v>46247.54384259259</s:v>
      </s:c>
      <s:c r="M169" s="22">
        <s:f>'3'!F170</s:f>
        <s:v>46247.52643518519</s:v>
      </s:c>
      <s:c r="N169" s="22">
        <s:f>'4'!F170</s:f>
        <s:v>46247.48054398148</s:v>
      </s:c>
      <s:c r="O169" s="22">
        <s:f>'5'!F170</s:f>
        <s:v>46247.452199074076</s:v>
      </s:c>
      <s:c r="P169" s="22">
        <s:f>'6'!F170</s:f>
        <s:v>46247.43274305556</s:v>
      </s:c>
      <s:c r="Q169" s="22">
        <s:f>'7'!F170</s:f>
        <s:v>46247.410092592596</s:v>
      </s:c>
      <s:c r="R169" s="22">
        <s:f>'8'!F170</s:f>
        <s:v>46247.38590277778</s:v>
      </s:c>
      <s:c r="S169" s="22">
        <s:f>'9'!F170</s:f>
        <s:v>46247.36809027778</s:v>
      </s:c>
      <s:c r="T169" s="22">
        <s:f>'10'!F170</s:f>
        <s:v>46247.33886574074</s:v>
      </s:c>
      <s:c r="U169" s="23">
        <s:f>'자료구성'!$B$2</s:f>
        <s:v>46247.0</s:v>
      </s:c>
    </s:row>
    <s:row r="170">
      <s:c r="A170" s="0" t="n">
        <s:v>1678</s:v>
      </s:c>
      <s:c r="B170" s="0" t="n">
        <s:v>1125</s:v>
      </s:c>
      <s:c r="C170" s="0" t="n">
        <s:v>1249</s:v>
      </s:c>
      <s:c r="D170" s="0" t="n">
        <s:v>558</s:v>
      </s:c>
      <s:c r="E170" s="0" t="n">
        <s:v>1111</s:v>
      </s:c>
      <s:c r="F170" s="0" t="n">
        <s:v>3132</s:v>
      </s:c>
      <s:c r="G170" s="0" t="n">
        <s:v>4164</s:v>
      </s:c>
      <s:c r="H170" s="0" t="n">
        <s:v>3359</s:v>
      </s:c>
      <s:c r="I170" s="0" t="n">
        <s:v>1494</s:v>
      </s:c>
      <s:c r="J170" s="0" t="n">
        <s:v>1991</s:v>
      </s:c>
      <s:c r="K170" s="22">
        <s:f>'1'!F171</s:f>
        <s:v>46247.56211805555</s:v>
      </s:c>
      <s:c r="L170" s="22">
        <s:f>'2'!F171</s:f>
        <s:v>46247.543854166666</s:v>
      </s:c>
      <s:c r="M170" s="22">
        <s:f>'3'!F171</s:f>
        <s:v>46247.52644675926</s:v>
      </s:c>
      <s:c r="N170" s="22">
        <s:f>'4'!F171</s:f>
        <s:v>46247.48055555556</s:v>
      </s:c>
      <s:c r="O170" s="22">
        <s:f>'5'!F171</s:f>
        <s:v>46247.452210648145</s:v>
      </s:c>
      <s:c r="P170" s="22">
        <s:f>'6'!F171</s:f>
        <s:v>46247.432754629626</s:v>
      </s:c>
      <s:c r="Q170" s="22">
        <s:f>'7'!F171</s:f>
        <s:v>46247.410104166665</s:v>
      </s:c>
      <s:c r="R170" s="22">
        <s:f>'8'!F171</s:f>
        <s:v>46247.38591435185</s:v>
      </s:c>
      <s:c r="S170" s="22">
        <s:f>'9'!F171</s:f>
        <s:v>46247.368101851855</s:v>
      </s:c>
      <s:c r="T170" s="22">
        <s:f>'10'!F171</s:f>
        <s:v>46247.33887731482</s:v>
      </s:c>
      <s:c r="U170" s="23">
        <s:f>'자료구성'!$B$2</s:f>
        <s:v>46247.0</s:v>
      </s:c>
    </s:row>
    <s:row r="171">
      <s:c r="A171" s="0" t="n">
        <s:v>1694</s:v>
      </s:c>
      <s:c r="B171" s="0" t="n">
        <s:v>1127</s:v>
      </s:c>
      <s:c r="C171" s="0" t="n">
        <s:v>1239</s:v>
      </s:c>
      <s:c r="D171" s="0" t="n">
        <s:v>552</s:v>
      </s:c>
      <s:c r="E171" s="0" t="n">
        <s:v>1119</s:v>
      </s:c>
      <s:c r="F171" s="0" t="n">
        <s:v>3157</s:v>
      </s:c>
      <s:c r="G171" s="0" t="n">
        <s:v>4428</s:v>
      </s:c>
      <s:c r="H171" s="0" t="n">
        <s:v>3479</s:v>
      </s:c>
      <s:c r="I171" s="0" t="n">
        <s:v>1492</s:v>
      </s:c>
      <s:c r="J171" s="0" t="n">
        <s:v>1935</s:v>
      </s:c>
      <s:c r="K171" s="22">
        <s:f>'1'!F172</s:f>
        <s:v>46247.56212962963</s:v>
      </s:c>
      <s:c r="L171" s="22">
        <s:f>'2'!F172</s:f>
        <s:v>46247.54386574074</s:v>
      </s:c>
      <s:c r="M171" s="22">
        <s:f>'3'!F172</s:f>
        <s:v>46247.526458333334</s:v>
      </s:c>
      <s:c r="N171" s="22">
        <s:f>'4'!F172</s:f>
        <s:v>46247.48056712963</s:v>
      </s:c>
      <s:c r="O171" s="22">
        <s:f>'5'!F172</s:f>
        <s:v>46247.45222222222</s:v>
      </s:c>
      <s:c r="P171" s="22">
        <s:f>'6'!F172</s:f>
        <s:v>46247.4327662037</s:v>
      </s:c>
      <s:c r="Q171" s="22">
        <s:f>'7'!F172</s:f>
        <s:v>46247.41011574074</s:v>
      </s:c>
      <s:c r="R171" s="22">
        <s:f>'8'!F172</s:f>
        <s:v>46247.385925925926</s:v>
      </s:c>
      <s:c r="S171" s="22">
        <s:f>'9'!F172</s:f>
        <s:v>46247.368113425924</s:v>
      </s:c>
      <s:c r="T171" s="22">
        <s:f>'10'!F172</s:f>
        <s:v>46247.33888888889</s:v>
      </s:c>
      <s:c r="U171" s="23">
        <s:f>'자료구성'!$B$2</s:f>
        <s:v>46247.0</s:v>
      </s:c>
    </s:row>
    <s:row r="172">
      <s:c r="A172" s="0" t="n">
        <s:v>1709</s:v>
      </s:c>
      <s:c r="B172" s="0" t="n">
        <s:v>1114</s:v>
      </s:c>
      <s:c r="C172" s="0" t="n">
        <s:v>1241</s:v>
      </s:c>
      <s:c r="D172" s="0" t="n">
        <s:v>546</s:v>
      </s:c>
      <s:c r="E172" s="0" t="n">
        <s:v>1112</s:v>
      </s:c>
      <s:c r="F172" s="0" t="n">
        <s:v>3212</s:v>
      </s:c>
      <s:c r="G172" s="0" t="n">
        <s:v>4430</s:v>
      </s:c>
      <s:c r="H172" s="0" t="n">
        <s:v>3540</s:v>
      </s:c>
      <s:c r="I172" s="0" t="n">
        <s:v>1486</s:v>
      </s:c>
      <s:c r="J172" s="0" t="n">
        <s:v>1889</s:v>
      </s:c>
      <s:c r="K172" s="22">
        <s:f>'1'!F173</s:f>
        <s:v>46247.56214120371</s:v>
      </s:c>
      <s:c r="L172" s="22">
        <s:f>'2'!F173</s:f>
        <s:v>46247.54387731481</s:v>
      </s:c>
      <s:c r="M172" s="22">
        <s:f>'3'!F173</s:f>
        <s:v>46247.52646990741</s:v>
      </s:c>
      <s:c r="N172" s="22">
        <s:f>'4'!F173</s:f>
        <s:v>46247.480578703704</s:v>
      </s:c>
      <s:c r="O172" s="22">
        <s:f>'5'!F173</s:f>
        <s:v>46247.4522337963</s:v>
      </s:c>
      <s:c r="P172" s="22">
        <s:f>'6'!F173</s:f>
        <s:v>46247.43277777778</s:v>
      </s:c>
      <s:c r="Q172" s="22">
        <s:f>'7'!F173</s:f>
        <s:v>46247.41012731481</s:v>
      </s:c>
      <s:c r="R172" s="22">
        <s:f>'8'!F173</s:f>
        <s:v>46247.3859375</s:v>
      </s:c>
      <s:c r="S172" s="22">
        <s:f>'9'!F173</s:f>
        <s:v>46247.368125</s:v>
      </s:c>
      <s:c r="T172" s="22">
        <s:f>'10'!F173</s:f>
        <s:v>46247.338900462964</s:v>
      </s:c>
      <s:c r="U172" s="23">
        <s:f>'자료구성'!$B$2</s:f>
        <s:v>46247.0</s:v>
      </s:c>
    </s:row>
    <s:row r="173">
      <s:c r="A173" s="0" t="n">
        <s:v>1736</s:v>
      </s:c>
      <s:c r="B173" s="0" t="n">
        <s:v>1105</s:v>
      </s:c>
      <s:c r="C173" s="0" t="n">
        <s:v>1228</s:v>
      </s:c>
      <s:c r="D173" s="0" t="n">
        <s:v>546</s:v>
      </s:c>
      <s:c r="E173" s="0" t="n">
        <s:v>1099</s:v>
      </s:c>
      <s:c r="F173" s="0" t="n">
        <s:v>3268</s:v>
      </s:c>
      <s:c r="G173" s="0" t="n">
        <s:v>4292</s:v>
      </s:c>
      <s:c r="H173" s="0" t="n">
        <s:v>3630</s:v>
      </s:c>
      <s:c r="I173" s="0" t="n">
        <s:v>1512</s:v>
      </s:c>
      <s:c r="J173" s="0" t="n">
        <s:v>1864</s:v>
      </s:c>
      <s:c r="K173" s="22">
        <s:f>'1'!F174</s:f>
        <s:v>46247.56215277778</s:v>
      </s:c>
      <s:c r="L173" s="22">
        <s:f>'2'!F174</s:f>
        <s:v>46247.54388888889</s:v>
      </s:c>
      <s:c r="M173" s="22">
        <s:f>'3'!F174</s:f>
        <s:v>46247.52648148148</s:v>
      </s:c>
      <s:c r="N173" s="22">
        <s:f>'4'!F174</s:f>
        <s:v>46247.48059027778</s:v>
      </s:c>
      <s:c r="O173" s="22">
        <s:f>'5'!F174</s:f>
        <s:v>46247.45224537037</s:v>
      </s:c>
      <s:c r="P173" s="22">
        <s:f>'6'!F174</s:f>
        <s:v>46247.43278935185</s:v>
      </s:c>
      <s:c r="Q173" s="22">
        <s:f>'7'!F174</s:f>
        <s:v>46247.41013888889</s:v>
      </s:c>
      <s:c r="R173" s="22">
        <s:f>'8'!F174</s:f>
        <s:v>46247.38594907407</s:v>
      </s:c>
      <s:c r="S173" s="22">
        <s:f>'9'!F174</s:f>
        <s:v>46247.36813657408</s:v>
      </s:c>
      <s:c r="T173" s="22">
        <s:f>'10'!F174</s:f>
        <s:v>46247.338912037034</s:v>
      </s:c>
      <s:c r="U173" s="23">
        <s:f>'자료구성'!$B$2</s:f>
        <s:v>46247.0</s:v>
      </s:c>
    </s:row>
    <s:row r="174">
      <s:c r="A174" s="0" t="n">
        <s:v>1756</s:v>
      </s:c>
      <s:c r="B174" s="0" t="n">
        <s:v>1117</s:v>
      </s:c>
      <s:c r="C174" s="0" t="n">
        <s:v>1229</s:v>
      </s:c>
      <s:c r="D174" s="0" t="n">
        <s:v>541</s:v>
      </s:c>
      <s:c r="E174" s="0" t="n">
        <s:v>1099</s:v>
      </s:c>
      <s:c r="F174" s="0" t="n">
        <s:v>3276</s:v>
      </s:c>
      <s:c r="G174" s="0" t="n">
        <s:v>4175</s:v>
      </s:c>
      <s:c r="H174" s="0" t="n">
        <s:v>3679</s:v>
      </s:c>
      <s:c r="I174" s="0" t="n">
        <s:v>1582</s:v>
      </s:c>
      <s:c r="J174" s="0" t="n">
        <s:v>1846</s:v>
      </s:c>
      <s:c r="K174" s="22">
        <s:f>'1'!F175</s:f>
        <s:v>46247.56216435185</s:v>
      </s:c>
      <s:c r="L174" s="22">
        <s:f>'2'!F175</s:f>
        <s:v>46247.543900462966</s:v>
      </s:c>
      <s:c r="M174" s="22">
        <s:f>'3'!F175</s:f>
        <s:v>46247.52649305556</s:v>
      </s:c>
      <s:c r="N174" s="22">
        <s:f>'4'!F175</s:f>
        <s:v>46247.48060185185</s:v>
      </s:c>
      <s:c r="O174" s="22">
        <s:f>'5'!F175</s:f>
        <s:v>46247.452256944445</s:v>
      </s:c>
      <s:c r="P174" s="22">
        <s:f>'6'!F175</s:f>
        <s:v>46247.432800925926</s:v>
      </s:c>
      <s:c r="Q174" s="22">
        <s:f>'7'!F175</s:f>
        <s:v>46247.410150462965</s:v>
      </s:c>
      <s:c r="R174" s="22">
        <s:f>'8'!F175</s:f>
        <s:v>46247.38596064815</s:v>
      </s:c>
      <s:c r="S174" s="22">
        <s:f>'9'!F175</s:f>
        <s:v>46247.36814814815</s:v>
      </s:c>
      <s:c r="T174" s="22">
        <s:f>'10'!F175</s:f>
        <s:v>46247.33892361111</s:v>
      </s:c>
      <s:c r="U174" s="23">
        <s:f>'자료구성'!$B$2</s:f>
        <s:v>46247.0</s:v>
      </s:c>
    </s:row>
    <s:row r="175">
      <s:c r="A175" s="0" t="n">
        <s:v>1785</s:v>
      </s:c>
      <s:c r="B175" s="0" t="n">
        <s:v>1099</s:v>
      </s:c>
      <s:c r="C175" s="0" t="n">
        <s:v>1239</s:v>
      </s:c>
      <s:c r="D175" s="0" t="n">
        <s:v>550</s:v>
      </s:c>
      <s:c r="E175" s="0" t="n">
        <s:v>1104</s:v>
      </s:c>
      <s:c r="F175" s="0" t="n">
        <s:v>3272</s:v>
      </s:c>
      <s:c r="G175" s="0" t="n">
        <s:v>4025</s:v>
      </s:c>
      <s:c r="H175" s="0" t="n">
        <s:v>3666</s:v>
      </s:c>
      <s:c r="I175" s="0" t="n">
        <s:v>1666</s:v>
      </s:c>
      <s:c r="J175" s="0" t="n">
        <s:v>1849</s:v>
      </s:c>
      <s:c r="K175" s="22">
        <s:f>'1'!F176</s:f>
        <s:v>46247.56217592592</s:v>
      </s:c>
      <s:c r="L175" s="22">
        <s:f>'2'!F176</s:f>
        <s:v>46247.543912037036</s:v>
      </s:c>
      <s:c r="M175" s="22">
        <s:f>'3'!F176</s:f>
        <s:v>46247.526504629626</s:v>
      </s:c>
      <s:c r="N175" s="22">
        <s:f>'4'!F176</s:f>
        <s:v>46247.48061342593</s:v>
      </s:c>
      <s:c r="O175" s="22">
        <s:f>'5'!F176</s:f>
        <s:v>46247.45226851852</s:v>
      </s:c>
      <s:c r="P175" s="22">
        <s:f>'6'!F176</s:f>
        <s:v>46247.4328125</s:v>
      </s:c>
      <s:c r="Q175" s="22">
        <s:f>'7'!F176</s:f>
        <s:v>46247.410162037035</s:v>
      </s:c>
      <s:c r="R175" s="22">
        <s:f>'8'!F176</s:f>
        <s:v>46247.38597222222</s:v>
      </s:c>
      <s:c r="S175" s="22">
        <s:f>'9'!F176</s:f>
        <s:v>46247.368159722224</s:v>
      </s:c>
      <s:c r="T175" s="22">
        <s:f>'10'!F176</s:f>
        <s:v>46247.33893518519</s:v>
      </s:c>
      <s:c r="U175" s="23">
        <s:f>'자료구성'!$B$2</s:f>
        <s:v>46247.0</s:v>
      </s:c>
    </s:row>
    <s:row r="176">
      <s:c r="A176" s="0" t="n">
        <s:v>1774</s:v>
      </s:c>
      <s:c r="B176" s="0" t="n">
        <s:v>1085</s:v>
      </s:c>
      <s:c r="C176" s="0" t="n">
        <s:v>1255</s:v>
      </s:c>
      <s:c r="D176" s="0" t="n">
        <s:v>541</s:v>
      </s:c>
      <s:c r="E176" s="0" t="n">
        <s:v>1115</s:v>
      </s:c>
      <s:c r="F176" s="0" t="n">
        <s:v>3255</s:v>
      </s:c>
      <s:c r="G176" s="0" t="n">
        <s:v>3877</s:v>
      </s:c>
      <s:c r="H176" s="0" t="n">
        <s:v>3650</s:v>
      </s:c>
      <s:c r="I176" s="0" t="n">
        <s:v>1784</s:v>
      </s:c>
      <s:c r="J176" s="0" t="n">
        <s:v>1823</s:v>
      </s:c>
      <s:c r="K176" s="22">
        <s:f>'1'!F177</s:f>
        <s:v>46247.5621875</s:v>
      </s:c>
      <s:c r="L176" s="22">
        <s:f>'2'!F177</s:f>
        <s:v>46247.54392361111</s:v>
      </s:c>
      <s:c r="M176" s="22">
        <s:f>'3'!F177</s:f>
        <s:v>46247.5265162037</s:v>
      </s:c>
      <s:c r="N176" s="22">
        <s:f>'4'!F177</s:f>
        <s:v>46247.480625</s:v>
      </s:c>
      <s:c r="O176" s="22">
        <s:f>'5'!F177</s:f>
        <s:v>46247.45228009259</s:v>
      </s:c>
      <s:c r="P176" s="22">
        <s:f>'6'!F177</s:f>
        <s:v>46247.43282407407</s:v>
      </s:c>
      <s:c r="Q176" s="22">
        <s:f>'7'!F177</s:f>
        <s:v>46247.41017361111</s:v>
      </s:c>
      <s:c r="R176" s="22">
        <s:f>'8'!F177</s:f>
        <s:v>46247.385983796295</s:v>
      </s:c>
      <s:c r="S176" s="22">
        <s:f>'9'!F177</s:f>
        <s:v>46247.36817129629</s:v>
      </s:c>
      <s:c r="T176" s="22">
        <s:f>'10'!F177</s:f>
        <s:v>46247.33894675926</s:v>
      </s:c>
      <s:c r="U176" s="23">
        <s:f>'자료구성'!$B$2</s:f>
        <s:v>46247.0</s:v>
      </s:c>
    </s:row>
    <s:row r="177">
      <s:c r="A177" s="0" t="n">
        <s:v>1761</s:v>
      </s:c>
      <s:c r="B177" s="0" t="n">
        <s:v>1077</s:v>
      </s:c>
      <s:c r="C177" s="0" t="n">
        <s:v>1250</s:v>
      </s:c>
      <s:c r="D177" s="0" t="n">
        <s:v>544</s:v>
      </s:c>
      <s:c r="E177" s="0" t="n">
        <s:v>1113</s:v>
      </s:c>
      <s:c r="F177" s="0" t="n">
        <s:v>3279</s:v>
      </s:c>
      <s:c r="G177" s="0" t="n">
        <s:v>3859</s:v>
      </s:c>
      <s:c r="H177" s="0" t="n">
        <s:v>3646</s:v>
      </s:c>
      <s:c r="I177" s="0" t="n">
        <s:v>1870</s:v>
      </s:c>
      <s:c r="J177" s="0" t="n">
        <s:v>1819</s:v>
      </s:c>
      <s:c r="K177" s="22">
        <s:f>'1'!F178</s:f>
        <s:v>46247.56219907408</s:v>
      </s:c>
      <s:c r="L177" s="22">
        <s:f>'2'!F178</s:f>
        <s:v>46247.54393518518</s:v>
      </s:c>
      <s:c r="M177" s="22">
        <s:f>'3'!F178</s:f>
        <s:v>46247.52652777778</s:v>
      </s:c>
      <s:c r="N177" s="22">
        <s:f>'4'!F178</s:f>
        <s:v>46247.48063657407</s:v>
      </s:c>
      <s:c r="O177" s="22">
        <s:f>'5'!F178</s:f>
        <s:v>46247.45229166667</s:v>
      </s:c>
      <s:c r="P177" s="22">
        <s:f>'6'!F178</s:f>
        <s:v>46247.43283564815</s:v>
      </s:c>
      <s:c r="Q177" s="22">
        <s:f>'7'!F178</s:f>
        <s:v>46247.41018518519</s:v>
      </s:c>
      <s:c r="R177" s="22">
        <s:f>'8'!F178</s:f>
        <s:v>46247.38599537037</s:v>
      </s:c>
      <s:c r="S177" s="22">
        <s:f>'9'!F178</s:f>
        <s:v>46247.36818287037</s:v>
      </s:c>
      <s:c r="T177" s="22">
        <s:f>'10'!F178</s:f>
        <s:v>46247.338958333334</s:v>
      </s:c>
      <s:c r="U177" s="23">
        <s:f>'자료구성'!$B$2</s:f>
        <s:v>46247.0</s:v>
      </s:c>
    </s:row>
    <s:row r="178">
      <s:c r="A178" s="0" t="n">
        <s:v>1731</s:v>
      </s:c>
      <s:c r="B178" s="0" t="n">
        <s:v>1071</s:v>
      </s:c>
      <s:c r="C178" s="0" t="n">
        <s:v>1256</s:v>
      </s:c>
      <s:c r="D178" s="0" t="n">
        <s:v>549</s:v>
      </s:c>
      <s:c r="E178" s="0" t="n">
        <s:v>1129</s:v>
      </s:c>
      <s:c r="F178" s="0" t="n">
        <s:v>3268</s:v>
      </s:c>
      <s:c r="G178" s="0" t="n">
        <s:v>3824</s:v>
      </s:c>
      <s:c r="H178" s="0" t="n">
        <s:v>3671</s:v>
      </s:c>
      <s:c r="I178" s="0" t="n">
        <s:v>1930</s:v>
      </s:c>
      <s:c r="J178" s="0" t="n">
        <s:v>1821</s:v>
      </s:c>
      <s:c r="K178" s="22">
        <s:f>'1'!F179</s:f>
        <s:v>46247.562210648146</s:v>
      </s:c>
      <s:c r="L178" s="22">
        <s:f>'2'!F179</s:f>
        <s:v>46247.54394675926</s:v>
      </s:c>
      <s:c r="M178" s="22">
        <s:f>'3'!F179</s:f>
        <s:v>46247.52653935185</s:v>
      </s:c>
      <s:c r="N178" s="22">
        <s:f>'4'!F179</s:f>
        <s:v>46247.48064814815</s:v>
      </s:c>
      <s:c r="O178" s="22">
        <s:f>'5'!F179</s:f>
        <s:v>46247.45230324074</s:v>
      </s:c>
      <s:c r="P178" s="22">
        <s:f>'6'!F179</s:f>
        <s:v>46247.43284722222</s:v>
      </s:c>
      <s:c r="Q178" s="22">
        <s:f>'7'!F179</s:f>
        <s:v>46247.41019675926</s:v>
      </s:c>
      <s:c r="R178" s="22">
        <s:f>'8'!F179</s:f>
        <s:v>46247.38600694444</s:v>
      </s:c>
      <s:c r="S178" s="22">
        <s:f>'9'!F179</s:f>
        <s:v>46247.36819444445</s:v>
      </s:c>
      <s:c r="T178" s="22">
        <s:f>'10'!F179</s:f>
        <s:v>46247.33896990741</s:v>
      </s:c>
      <s:c r="U178" s="23">
        <s:f>'자료구성'!$B$2</s:f>
        <s:v>46247.0</s:v>
      </s:c>
    </s:row>
    <s:row r="179">
      <s:c r="A179" s="0" t="n">
        <s:v>1714</s:v>
      </s:c>
      <s:c r="B179" s="0" t="n">
        <s:v>1027</s:v>
      </s:c>
      <s:c r="C179" s="0" t="n">
        <s:v>1247</s:v>
      </s:c>
      <s:c r="D179" s="0" t="n">
        <s:v>535</s:v>
      </s:c>
      <s:c r="E179" s="0" t="n">
        <s:v>1117</s:v>
      </s:c>
      <s:c r="F179" s="0" t="n">
        <s:v>3224</s:v>
      </s:c>
      <s:c r="G179" s="0" t="n">
        <s:v>3850</s:v>
      </s:c>
      <s:c r="H179" s="0" t="n">
        <s:v>3768</s:v>
      </s:c>
      <s:c r="I179" s="0" t="n">
        <s:v>1965</s:v>
      </s:c>
      <s:c r="J179" s="0" t="n">
        <s:v>1837</s:v>
      </s:c>
      <s:c r="K179" s="22">
        <s:f>'1'!F180</s:f>
        <s:v>46247.56222222222</s:v>
      </s:c>
      <s:c r="L179" s="22">
        <s:f>'2'!F180</s:f>
        <s:v>46247.543958333335</s:v>
      </s:c>
      <s:c r="M179" s="22">
        <s:f>'3'!F180</s:f>
        <s:v>46247.526550925926</s:v>
      </s:c>
      <s:c r="N179" s="22">
        <s:f>'4'!F180</s:f>
        <s:v>46247.48065972222</s:v>
      </s:c>
      <s:c r="O179" s="22">
        <s:f>'5'!F180</s:f>
        <s:v>46247.452314814815</s:v>
      </s:c>
      <s:c r="P179" s="22">
        <s:f>'6'!F180</s:f>
        <s:v>46247.432858796295</s:v>
      </s:c>
      <s:c r="Q179" s="22">
        <s:f>'7'!F180</s:f>
        <s:v>46247.410208333335</s:v>
      </s:c>
      <s:c r="R179" s="22">
        <s:f>'8'!F180</s:f>
        <s:v>46247.38601851852</s:v>
      </s:c>
      <s:c r="S179" s="22">
        <s:f>'9'!F180</s:f>
        <s:v>46247.36820601852</s:v>
      </s:c>
      <s:c r="T179" s="22">
        <s:f>'10'!F180</s:f>
        <s:v>46247.33898148148</s:v>
      </s:c>
      <s:c r="U179" s="23">
        <s:f>'자료구성'!$B$2</s:f>
        <s:v>46247.0</s:v>
      </s:c>
    </s:row>
    <s:row r="180">
      <s:c r="A180" s="0" t="n">
        <s:v>1705</s:v>
      </s:c>
      <s:c r="B180" s="0" t="n">
        <s:v>954</s:v>
      </s:c>
      <s:c r="C180" s="0" t="n">
        <s:v>1259</s:v>
      </s:c>
      <s:c r="D180" s="0" t="n">
        <s:v>523</s:v>
      </s:c>
      <s:c r="E180" s="0" t="n">
        <s:v>1090</s:v>
      </s:c>
      <s:c r="F180" s="0" t="n">
        <s:v>3223</s:v>
      </s:c>
      <s:c r="G180" s="0" t="n">
        <s:v>3852</s:v>
      </s:c>
      <s:c r="H180" s="0" t="n">
        <s:v>3933</s:v>
      </s:c>
      <s:c r="I180" s="0" t="n">
        <s:v>1989</s:v>
      </s:c>
      <s:c r="J180" s="0" t="n">
        <s:v>1814</s:v>
      </s:c>
      <s:c r="K180" s="22">
        <s:f>'1'!F181</s:f>
        <s:v>46247.5622337963</s:v>
      </s:c>
      <s:c r="L180" s="22">
        <s:f>'2'!F181</s:f>
        <s:v>46247.543969907405</s:v>
      </s:c>
      <s:c r="M180" s="22">
        <s:f>'3'!F181</s:f>
        <s:v>46247.5265625</s:v>
      </s:c>
      <s:c r="N180" s="22">
        <s:f>'4'!F181</s:f>
        <s:v>46247.480671296296</s:v>
      </s:c>
      <s:c r="O180" s="22">
        <s:f>'5'!F181</s:f>
        <s:v>46247.45232638889</s:v>
      </s:c>
      <s:c r="P180" s="22">
        <s:f>'6'!F181</s:f>
        <s:v>46247.43287037037</s:v>
      </s:c>
      <s:c r="Q180" s="22">
        <s:f>'7'!F181</s:f>
        <s:v>46247.410219907404</s:v>
      </s:c>
      <s:c r="R180" s="22">
        <s:f>'8'!F181</s:f>
        <s:v>46247.386030092595</s:v>
      </s:c>
      <s:c r="S180" s="22">
        <s:f>'9'!F181</s:f>
        <s:v>46247.36821759259</s:v>
      </s:c>
      <s:c r="T180" s="22">
        <s:f>'10'!F181</s:f>
        <s:v>46247.33899305556</s:v>
      </s:c>
      <s:c r="U180" s="23">
        <s:f>'자료구성'!$B$2</s:f>
        <s:v>46247.0</s:v>
      </s:c>
    </s:row>
    <s:row r="181">
      <s:c r="A181" s="0" t="n">
        <s:v>1695</s:v>
      </s:c>
      <s:c r="B181" s="0" t="n">
        <s:v>899</s:v>
      </s:c>
      <s:c r="C181" s="0" t="n">
        <s:v>1265</s:v>
      </s:c>
      <s:c r="D181" s="0" t="n">
        <s:v>508</s:v>
      </s:c>
      <s:c r="E181" s="0" t="n">
        <s:v>1077</s:v>
      </s:c>
      <s:c r="F181" s="0" t="n">
        <s:v>3249</s:v>
      </s:c>
      <s:c r="G181" s="0" t="n">
        <s:v>3917</s:v>
      </s:c>
      <s:c r="H181" s="0" t="n">
        <s:v>4047</s:v>
      </s:c>
      <s:c r="I181" s="0" t="n">
        <s:v>2005</s:v>
      </s:c>
      <s:c r="J181" s="0" t="n">
        <s:v>1805</s:v>
      </s:c>
      <s:c r="K181" s="22">
        <s:f>'1'!F182</s:f>
        <s:v>46247.56224537037</s:v>
      </s:c>
      <s:c r="L181" s="22">
        <s:f>'2'!F182</s:f>
        <s:v>46247.54398148148</s:v>
      </s:c>
      <s:c r="M181" s="22">
        <s:f>'3'!F182</s:f>
        <s:v>46247.52657407407</s:v>
      </s:c>
      <s:c r="N181" s="22">
        <s:f>'4'!F182</s:f>
        <s:v>46247.48068287037</s:v>
      </s:c>
      <s:c r="O181" s="22">
        <s:f>'5'!F182</s:f>
        <s:v>46247.45233796296</s:v>
      </s:c>
      <s:c r="P181" s="22">
        <s:f>'6'!F182</s:f>
        <s:v>46247.43288194444</s:v>
      </s:c>
      <s:c r="Q181" s="22">
        <s:f>'7'!F182</s:f>
        <s:v>46247.41023148148</s:v>
      </s:c>
      <s:c r="R181" s="22">
        <s:f>'8'!F182</s:f>
        <s:v>46247.386041666665</s:v>
      </s:c>
      <s:c r="S181" s="22">
        <s:f>'9'!F182</s:f>
        <s:v>46247.36822916667</s:v>
      </s:c>
      <s:c r="T181" s="22">
        <s:f>'10'!F182</s:f>
        <s:v>46247.339004629626</s:v>
      </s:c>
      <s:c r="U181" s="23">
        <s:f>'자료구성'!$B$2</s:f>
        <s:v>46247.0</s:v>
      </s:c>
    </s:row>
    <s:row r="182">
      <s:c r="A182" s="0" t="n">
        <s:v>1661</s:v>
      </s:c>
      <s:c r="B182" s="0" t="n">
        <s:v>900</s:v>
      </s:c>
      <s:c r="C182" s="0" t="n">
        <s:v>1267</s:v>
      </s:c>
      <s:c r="D182" s="0" t="n">
        <s:v>503</s:v>
      </s:c>
      <s:c r="E182" s="0" t="n">
        <s:v>1058</s:v>
      </s:c>
      <s:c r="F182" s="0" t="n">
        <s:v>3223</s:v>
      </s:c>
      <s:c r="G182" s="0" t="n">
        <s:v>4100</s:v>
      </s:c>
      <s:c r="H182" s="0" t="n">
        <s:v>4145</s:v>
      </s:c>
      <s:c r="I182" s="0" t="n">
        <s:v>2011</s:v>
      </s:c>
      <s:c r="J182" s="0" t="n">
        <s:v>1796</s:v>
      </s:c>
      <s:c r="K182" s="22">
        <s:f>'1'!F183</s:f>
        <s:v>46247.562256944446</s:v>
      </s:c>
      <s:c r="L182" s="22">
        <s:f>'2'!F183</s:f>
        <s:v>46247.54399305556</s:v>
      </s:c>
      <s:c r="M182" s="22">
        <s:f>'3'!F183</s:f>
        <s:v>46247.52658564815</s:v>
      </s:c>
      <s:c r="N182" s="22">
        <s:f>'4'!F183</s:f>
        <s:v>46247.48069444444</s:v>
      </s:c>
      <s:c r="O182" s="22">
        <s:f>'5'!F183</s:f>
        <s:v>46247.45234953704</s:v>
      </s:c>
      <s:c r="P182" s="22">
        <s:f>'6'!F183</s:f>
        <s:v>46247.43289351852</s:v>
      </s:c>
      <s:c r="Q182" s="22">
        <s:f>'7'!F183</s:f>
        <s:v>46247.41024305556</s:v>
      </s:c>
      <s:c r="R182" s="22">
        <s:f>'8'!F183</s:f>
        <s:v>46247.38605324074</s:v>
      </s:c>
      <s:c r="S182" s="22">
        <s:f>'9'!F183</s:f>
        <s:v>46247.36824074074</s:v>
      </s:c>
      <s:c r="T182" s="22">
        <s:f>'10'!F183</s:f>
        <s:v>46247.3390162037</s:v>
      </s:c>
      <s:c r="U182" s="23">
        <s:f>'자료구성'!$B$2</s:f>
        <s:v>46247.0</s:v>
      </s:c>
    </s:row>
    <s:row r="183">
      <s:c r="A183" s="0" t="n">
        <s:v>1615</s:v>
      </s:c>
      <s:c r="B183" s="0" t="n">
        <s:v>891</s:v>
      </s:c>
      <s:c r="C183" s="0" t="n">
        <s:v>1281</s:v>
      </s:c>
      <s:c r="D183" s="0" t="n">
        <s:v>523</s:v>
      </s:c>
      <s:c r="E183" s="0" t="n">
        <s:v>1064</s:v>
      </s:c>
      <s:c r="F183" s="0" t="n">
        <s:v>3211</s:v>
      </s:c>
      <s:c r="G183" s="0" t="n">
        <s:v>4367</s:v>
      </s:c>
      <s:c r="H183" s="0" t="n">
        <s:v>4135</s:v>
      </s:c>
      <s:c r="I183" s="0" t="n">
        <s:v>2007</s:v>
      </s:c>
      <s:c r="J183" s="0" t="n">
        <s:v>1792</s:v>
      </s:c>
      <s:c r="K183" s="22">
        <s:f>'1'!F184</s:f>
        <s:v>46247.562268518515</s:v>
      </s:c>
      <s:c r="L183" s="22">
        <s:f>'2'!F184</s:f>
        <s:v>46247.54400462963</s:v>
      </s:c>
      <s:c r="M183" s="22">
        <s:f>'3'!F184</s:f>
        <s:v>46247.52659722222</s:v>
      </s:c>
      <s:c r="N183" s="22">
        <s:f>'4'!F184</s:f>
        <s:v>46247.48070601852</s:v>
      </s:c>
      <s:c r="O183" s="22">
        <s:f>'5'!F184</s:f>
        <s:v>46247.452361111114</s:v>
      </s:c>
      <s:c r="P183" s="22">
        <s:f>'6'!F184</s:f>
        <s:v>46247.432905092595</s:v>
      </s:c>
      <s:c r="Q183" s="22">
        <s:f>'7'!F184</s:f>
        <s:v>46247.41025462963</s:v>
      </s:c>
      <s:c r="R183" s="22">
        <s:f>'8'!F184</s:f>
        <s:v>46247.38606481482</s:v>
      </s:c>
      <s:c r="S183" s="22">
        <s:f>'9'!F184</s:f>
        <s:v>46247.368252314816</s:v>
      </s:c>
      <s:c r="T183" s="22">
        <s:f>'10'!F184</s:f>
        <s:v>46247.33902777778</s:v>
      </s:c>
      <s:c r="U183" s="23">
        <s:f>'자료구성'!$B$2</s:f>
        <s:v>46247.0</s:v>
      </s:c>
    </s:row>
    <s:row r="184">
      <s:c r="A184" s="0" t="n">
        <s:v>1588</s:v>
      </s:c>
      <s:c r="B184" s="0" t="n">
        <s:v>866</s:v>
      </s:c>
      <s:c r="C184" s="0" t="n">
        <s:v>1271</s:v>
      </s:c>
      <s:c r="D184" s="0" t="n">
        <s:v>540</s:v>
      </s:c>
      <s:c r="E184" s="0" t="n">
        <s:v>1073</s:v>
      </s:c>
      <s:c r="F184" s="0" t="n">
        <s:v>3194</s:v>
      </s:c>
      <s:c r="G184" s="0" t="n">
        <s:v>4557</s:v>
      </s:c>
      <s:c r="H184" s="0" t="n">
        <s:v>4212</s:v>
      </s:c>
      <s:c r="I184" s="0" t="n">
        <s:v>1990</s:v>
      </s:c>
      <s:c r="J184" s="0" t="n">
        <s:v>1808</s:v>
      </s:c>
      <s:c r="K184" s="22">
        <s:f>'1'!F185</s:f>
        <s:v>46247.56228009259</s:v>
      </s:c>
      <s:c r="L184" s="22">
        <s:f>'2'!F185</s:f>
        <s:v>46247.544016203705</s:v>
      </s:c>
      <s:c r="M184" s="22">
        <s:f>'3'!F185</s:f>
        <s:v>46247.526608796295</s:v>
      </s:c>
      <s:c r="N184" s="22">
        <s:f>'4'!F185</s:f>
        <s:v>46247.480717592596</s:v>
      </s:c>
      <s:c r="O184" s="22">
        <s:f>'5'!F185</s:f>
        <s:v>46247.452372685184</s:v>
      </s:c>
      <s:c r="P184" s="22">
        <s:f>'6'!F185</s:f>
        <s:v>46247.432916666665</s:v>
      </s:c>
      <s:c r="Q184" s="22">
        <s:f>'7'!F185</s:f>
        <s:v>46247.410266203704</s:v>
      </s:c>
      <s:c r="R184" s="22">
        <s:f>'8'!F185</s:f>
        <s:v>46247.38607638889</s:v>
      </s:c>
      <s:c r="S184" s="22">
        <s:f>'9'!F185</s:f>
        <s:v>46247.368263888886</s:v>
      </s:c>
      <s:c r="T184" s="22">
        <s:f>'10'!F185</s:f>
        <s:v>46247.33903935185</s:v>
      </s:c>
      <s:c r="U184" s="23">
        <s:f>'자료구성'!$B$2</s:f>
        <s:v>46247.0</s:v>
      </s:c>
    </s:row>
    <s:row r="185">
      <s:c r="A185" s="0" t="n">
        <s:v>1577</s:v>
      </s:c>
      <s:c r="B185" s="0" t="n">
        <s:v>837</s:v>
      </s:c>
      <s:c r="C185" s="0" t="n">
        <s:v>1266</s:v>
      </s:c>
      <s:c r="D185" s="0" t="n">
        <s:v>542</s:v>
      </s:c>
      <s:c r="E185" s="0" t="n">
        <s:v>1149</s:v>
      </s:c>
      <s:c r="F185" s="0" t="n">
        <s:v>3193</s:v>
      </s:c>
      <s:c r="G185" s="0" t="n">
        <s:v>4546</s:v>
      </s:c>
      <s:c r="H185" s="0" t="n">
        <s:v>4309</s:v>
      </s:c>
      <s:c r="I185" s="0" t="n">
        <s:v>1973</s:v>
      </s:c>
      <s:c r="J185" s="0" t="n">
        <s:v>1824</s:v>
      </s:c>
      <s:c r="K185" s="22">
        <s:f>'1'!F186</s:f>
        <s:v>46247.56229166667</s:v>
      </s:c>
      <s:c r="L185" s="22">
        <s:f>'2'!F186</s:f>
        <s:v>46247.544027777774</s:v>
      </s:c>
      <s:c r="M185" s="22">
        <s:f>'3'!F186</s:f>
        <s:v>46247.52662037037</s:v>
      </s:c>
      <s:c r="N185" s="22">
        <s:f>'4'!F186</s:f>
        <s:v>46247.480729166666</s:v>
      </s:c>
      <s:c r="O185" s="22">
        <s:f>'5'!F186</s:f>
        <s:v>46247.45238425926</s:v>
      </s:c>
      <s:c r="P185" s="22">
        <s:f>'6'!F186</s:f>
        <s:v>46247.43292824074</s:v>
      </s:c>
      <s:c r="Q185" s="22">
        <s:f>'7'!F186</s:f>
        <s:v>46247.41027777778</s:v>
      </s:c>
      <s:c r="R185" s="22">
        <s:f>'8'!F186</s:f>
        <s:v>46247.386087962965</s:v>
      </s:c>
      <s:c r="S185" s="22">
        <s:f>'9'!F186</s:f>
        <s:v>46247.36827546296</s:v>
      </s:c>
      <s:c r="T185" s="22">
        <s:f>'10'!F186</s:f>
        <s:v>46247.339050925926</s:v>
      </s:c>
      <s:c r="U185" s="23">
        <s:f>'자료구성'!$B$2</s:f>
        <s:v>46247.0</s:v>
      </s:c>
    </s:row>
    <s:row r="186">
      <s:c r="A186" s="0" t="n">
        <s:v>1569</s:v>
      </s:c>
      <s:c r="B186" s="0" t="n">
        <s:v>842</s:v>
      </s:c>
      <s:c r="C186" s="0" t="n">
        <s:v>1260</s:v>
      </s:c>
      <s:c r="D186" s="0" t="n">
        <s:v>545</s:v>
      </s:c>
      <s:c r="E186" s="0" t="n">
        <s:v>1155</s:v>
      </s:c>
      <s:c r="F186" s="0" t="n">
        <s:v>3186</s:v>
      </s:c>
      <s:c r="G186" s="0" t="n">
        <s:v>4584</s:v>
      </s:c>
      <s:c r="H186" s="0" t="n">
        <s:v>4441</s:v>
      </s:c>
      <s:c r="I186" s="0" t="n">
        <s:v>1988</s:v>
      </s:c>
      <s:c r="J186" s="0" t="n">
        <s:v>1843</s:v>
      </s:c>
      <s:c r="K186" s="22">
        <s:f>'1'!F187</s:f>
        <s:v>46247.56230324074</s:v>
      </s:c>
      <s:c r="L186" s="22">
        <s:f>'2'!F187</s:f>
        <s:v>46247.54403935185</s:v>
      </s:c>
      <s:c r="M186" s="22">
        <s:f>'3'!F187</s:f>
        <s:v>46247.52663194444</s:v>
      </s:c>
      <s:c r="N186" s="22">
        <s:f>'4'!F187</s:f>
        <s:v>46247.48074074074</s:v>
      </s:c>
      <s:c r="O186" s="22">
        <s:f>'5'!F187</s:f>
        <s:v>46247.45239583333</s:v>
      </s:c>
      <s:c r="P186" s="22">
        <s:f>'6'!F187</s:f>
        <s:v>46247.43293981482</s:v>
      </s:c>
      <s:c r="Q186" s="22">
        <s:f>'7'!F187</s:f>
        <s:v>46247.41028935185</s:v>
      </s:c>
      <s:c r="R186" s="22">
        <s:f>'8'!F187</s:f>
        <s:v>46247.386099537034</s:v>
      </s:c>
      <s:c r="S186" s="22">
        <s:f>'9'!F187</s:f>
        <s:v>46247.36828703704</s:v>
      </s:c>
      <s:c r="T186" s="22">
        <s:f>'10'!F187</s:f>
        <s:v>46247.3390625</s:v>
      </s:c>
      <s:c r="U186" s="23">
        <s:f>'자료구성'!$B$2</s:f>
        <s:v>46247.0</s:v>
      </s:c>
    </s:row>
    <s:row r="187">
      <s:c r="A187" s="0" t="n">
        <s:v>1552</s:v>
      </s:c>
      <s:c r="B187" s="0" t="n">
        <s:v>879</s:v>
      </s:c>
      <s:c r="C187" s="0" t="n">
        <s:v>1260</s:v>
      </s:c>
      <s:c r="D187" s="0" t="n">
        <s:v>539</s:v>
      </s:c>
      <s:c r="E187" s="0" t="n">
        <s:v>1161</s:v>
      </s:c>
      <s:c r="F187" s="0" t="n">
        <s:v>3170</s:v>
      </s:c>
      <s:c r="G187" s="0" t="n">
        <s:v>4579</s:v>
      </s:c>
      <s:c r="H187" s="0" t="n">
        <s:v>4469</s:v>
      </s:c>
      <s:c r="I187" s="0" t="n">
        <s:v>1973</s:v>
      </s:c>
      <s:c r="J187" s="0" t="n">
        <s:v>1902</s:v>
      </s:c>
      <s:c r="K187" s="22">
        <s:f>'1'!F188</s:f>
        <s:v>46247.562314814815</s:v>
      </s:c>
      <s:c r="L187" s="22">
        <s:f>'2'!F188</s:f>
        <s:v>46247.54405092593</s:v>
      </s:c>
      <s:c r="M187" s="22">
        <s:f>'3'!F188</s:f>
        <s:v>46247.52664351852</s:v>
      </s:c>
      <s:c r="N187" s="22">
        <s:f>'4'!F188</s:f>
        <s:v>46247.48075231481</s:v>
      </s:c>
      <s:c r="O187" s="22">
        <s:f>'5'!F188</s:f>
        <s:v>46247.45240740741</s:v>
      </s:c>
      <s:c r="P187" s="22">
        <s:f>'6'!F188</s:f>
        <s:v>46247.43295138889</s:v>
      </s:c>
      <s:c r="Q187" s="22">
        <s:f>'7'!F188</s:f>
        <s:v>46247.41030092593</s:v>
      </s:c>
      <s:c r="R187" s="22">
        <s:f>'8'!F188</s:f>
        <s:v>46247.38611111111</s:v>
      </s:c>
      <s:c r="S187" s="22">
        <s:f>'9'!F188</s:f>
        <s:v>46247.36829861111</s:v>
      </s:c>
      <s:c r="T187" s="22">
        <s:f>'10'!F188</s:f>
        <s:v>46247.33907407407</s:v>
      </s:c>
      <s:c r="U187" s="23">
        <s:f>'자료구성'!$B$2</s:f>
        <s:v>46247.0</s:v>
      </s:c>
    </s:row>
    <s:row r="188">
      <s:c r="A188" s="0" t="n">
        <s:v>1531</s:v>
      </s:c>
      <s:c r="B188" s="0" t="n">
        <s:v>905</s:v>
      </s:c>
      <s:c r="C188" s="0" t="n">
        <s:v>1272</s:v>
      </s:c>
      <s:c r="D188" s="0" t="n">
        <s:v>547</s:v>
      </s:c>
      <s:c r="E188" s="0" t="n">
        <s:v>1193</s:v>
      </s:c>
      <s:c r="F188" s="0" t="n">
        <s:v>3165</s:v>
      </s:c>
      <s:c r="G188" s="0" t="n">
        <s:v>4540</s:v>
      </s:c>
      <s:c r="H188" s="0" t="n">
        <s:v>4469</s:v>
      </s:c>
      <s:c r="I188" s="0" t="n">
        <s:v>1953</s:v>
      </s:c>
      <s:c r="J188" s="0" t="n">
        <s:v>1937</s:v>
      </s:c>
      <s:c r="K188" s="22">
        <s:f>'1'!F189</s:f>
        <s:v>46247.56232638889</s:v>
      </s:c>
      <s:c r="L188" s="22">
        <s:f>'2'!F189</s:f>
        <s:v>46247.5440625</s:v>
      </s:c>
      <s:c r="M188" s="22">
        <s:f>'3'!F189</s:f>
        <s:v>46247.526655092595</s:v>
      </s:c>
      <s:c r="N188" s="22">
        <s:f>'4'!F189</s:f>
        <s:v>46247.48076388889</s:v>
      </s:c>
      <s:c r="O188" s="22">
        <s:f>'5'!F189</s:f>
        <s:v>46247.452418981484</s:v>
      </s:c>
      <s:c r="P188" s="22">
        <s:f>'6'!F189</s:f>
        <s:v>46247.432962962965</s:v>
      </s:c>
      <s:c r="Q188" s="22">
        <s:f>'7'!F189</s:f>
        <s:v>46247.4103125</s:v>
      </s:c>
      <s:c r="R188" s="22">
        <s:f>'8'!F189</s:f>
        <s:v>46247.38612268519</s:v>
      </s:c>
      <s:c r="S188" s="22">
        <s:f>'9'!F189</s:f>
        <s:v>46247.368310185186</s:v>
      </s:c>
      <s:c r="T188" s="22">
        <s:f>'10'!F189</s:f>
        <s:v>46247.33908564815</s:v>
      </s:c>
      <s:c r="U188" s="23">
        <s:f>'자료구성'!$B$2</s:f>
        <s:v>46247.0</s:v>
      </s:c>
    </s:row>
    <s:row r="189">
      <s:c r="A189" s="0" t="n">
        <s:v>1506</s:v>
      </s:c>
      <s:c r="B189" s="0" t="n">
        <s:v>919</s:v>
      </s:c>
      <s:c r="C189" s="0" t="n">
        <s:v>1276</s:v>
      </s:c>
      <s:c r="D189" s="0" t="n">
        <s:v>555</s:v>
      </s:c>
      <s:c r="E189" s="0" t="n">
        <s:v>1209</s:v>
      </s:c>
      <s:c r="F189" s="0" t="n">
        <s:v>3129</s:v>
      </s:c>
      <s:c r="G189" s="0" t="n">
        <s:v>4528</s:v>
      </s:c>
      <s:c r="H189" s="0" t="n">
        <s:v>4409</s:v>
      </s:c>
      <s:c r="I189" s="0" t="n">
        <s:v>1958</s:v>
      </s:c>
      <s:c r="J189" s="0" t="n">
        <s:v>1978</s:v>
      </s:c>
      <s:c r="K189" s="22">
        <s:f>'1'!F190</s:f>
        <s:v>46247.56233796296</s:v>
      </s:c>
      <s:c r="L189" s="22">
        <s:f>'2'!F190</s:f>
        <s:v>46247.544074074074</s:v>
      </s:c>
      <s:c r="M189" s="22">
        <s:f>'3'!F190</s:f>
        <s:v>46247.526666666665</s:v>
      </s:c>
      <s:c r="N189" s="22">
        <s:f>'4'!F190</s:f>
        <s:v>46247.480775462966</s:v>
      </s:c>
      <s:c r="O189" s="22">
        <s:f>'5'!F190</s:f>
        <s:v>46247.45243055555</s:v>
      </s:c>
      <s:c r="P189" s="22">
        <s:f>'6'!F190</s:f>
        <s:v>46247.432974537034</s:v>
      </s:c>
      <s:c r="Q189" s="22">
        <s:f>'7'!F190</s:f>
        <s:v>46247.41032407407</s:v>
      </s:c>
      <s:c r="R189" s="22">
        <s:f>'8'!F190</s:f>
        <s:v>46247.38613425926</s:v>
      </s:c>
      <s:c r="S189" s="22">
        <s:f>'9'!F190</s:f>
        <s:v>46247.36832175926</s:v>
      </s:c>
      <s:c r="T189" s="22">
        <s:f>'10'!F190</s:f>
        <s:v>46247.33909722222</s:v>
      </s:c>
      <s:c r="U189" s="23">
        <s:f>'자료구성'!$B$2</s:f>
        <s:v>46247.0</s:v>
      </s:c>
    </s:row>
    <s:row r="190">
      <s:c r="A190" s="0" t="n">
        <s:v>1477</s:v>
      </s:c>
      <s:c r="B190" s="0" t="n">
        <s:v>908</s:v>
      </s:c>
      <s:c r="C190" s="0" t="n">
        <s:v>1284</s:v>
      </s:c>
      <s:c r="D190" s="0" t="n">
        <s:v>559</s:v>
      </s:c>
      <s:c r="E190" s="0" t="n">
        <s:v>1191</s:v>
      </s:c>
      <s:c r="F190" s="0" t="n">
        <s:v>3172</s:v>
      </s:c>
      <s:c r="G190" s="0" t="n">
        <s:v>4491</s:v>
      </s:c>
      <s:c r="H190" s="0" t="n">
        <s:v>4338</s:v>
      </s:c>
      <s:c r="I190" s="0" t="n">
        <s:v>1980</s:v>
      </s:c>
      <s:c r="J190" s="0" t="n">
        <s:v>2039</s:v>
      </s:c>
      <s:c r="K190" s="22">
        <s:f>'1'!F191</s:f>
        <s:v>46247.56234953704</s:v>
      </s:c>
      <s:c r="L190" s="22">
        <s:f>'2'!F191</s:f>
        <s:v>46247.54408564815</s:v>
      </s:c>
      <s:c r="M190" s="22">
        <s:f>'3'!F191</s:f>
        <s:v>46247.52667824074</s:v>
      </s:c>
      <s:c r="N190" s="22">
        <s:f>'4'!F191</s:f>
        <s:v>46247.480787037035</s:v>
      </s:c>
      <s:c r="O190" s="22">
        <s:f>'5'!F191</s:f>
        <s:v>46247.45244212963</s:v>
      </s:c>
      <s:c r="P190" s="22">
        <s:f>'6'!F191</s:f>
        <s:v>46247.43298611111</s:v>
      </s:c>
      <s:c r="Q190" s="22">
        <s:f>'7'!F191</s:f>
        <s:v>46247.41033564815</s:v>
      </s:c>
      <s:c r="R190" s="22">
        <s:f>'8'!F191</s:f>
        <s:v>46247.386145833334</s:v>
      </s:c>
      <s:c r="S190" s="22">
        <s:f>'9'!F191</s:f>
        <s:v>46247.36833333333</s:v>
      </s:c>
      <s:c r="T190" s="22">
        <s:f>'10'!F191</s:f>
        <s:v>46247.339108796295</s:v>
      </s:c>
      <s:c r="U190" s="23">
        <s:f>'자료구성'!$B$2</s:f>
        <s:v>46247.0</s:v>
      </s:c>
    </s:row>
    <s:row r="191">
      <s:c r="A191" s="0" t="n">
        <s:v>1454</s:v>
      </s:c>
      <s:c r="B191" s="0" t="n">
        <s:v>885</s:v>
      </s:c>
      <s:c r="C191" s="0" t="n">
        <s:v>1283</s:v>
      </s:c>
      <s:c r="D191" s="0" t="n">
        <s:v>550</s:v>
      </s:c>
      <s:c r="E191" s="0" t="n">
        <s:v>1187</s:v>
      </s:c>
      <s:c r="F191" s="0" t="n">
        <s:v>3251</s:v>
      </s:c>
      <s:c r="G191" s="0" t="n">
        <s:v>4451</s:v>
      </s:c>
      <s:c r="H191" s="0" t="n">
        <s:v>4263</s:v>
      </s:c>
      <s:c r="I191" s="0" t="n">
        <s:v>1992</s:v>
      </s:c>
      <s:c r="J191" s="0" t="n">
        <s:v>2098</s:v>
      </s:c>
      <s:c r="K191" s="22">
        <s:f>'1'!F192</s:f>
        <s:v>46247.56236111111</s:v>
      </s:c>
      <s:c r="L191" s="22">
        <s:f>'2'!F192</s:f>
        <s:v>46247.54409722222</s:v>
      </s:c>
      <s:c r="M191" s="22">
        <s:f>'3'!F192</s:f>
        <s:v>46247.52668981482</s:v>
      </s:c>
      <s:c r="N191" s="22">
        <s:f>'4'!F192</s:f>
        <s:v>46247.48079861111</s:v>
      </s:c>
      <s:c r="O191" s="22">
        <s:f>'5'!F192</s:f>
        <s:v>46247.45245370371</s:v>
      </s:c>
      <s:c r="P191" s="22">
        <s:f>'6'!F192</s:f>
        <s:v>46247.43299768519</s:v>
      </s:c>
      <s:c r="Q191" s="22">
        <s:f>'7'!F192</s:f>
        <s:v>46247.41034722222</s:v>
      </s:c>
      <s:c r="R191" s="22">
        <s:f>'8'!F192</s:f>
        <s:v>46247.38615740741</s:v>
      </s:c>
      <s:c r="S191" s="22">
        <s:f>'9'!F192</s:f>
        <s:v>46247.36834490741</s:v>
      </s:c>
      <s:c r="T191" s="22">
        <s:f>'10'!F192</s:f>
        <s:v>46247.33912037037</s:v>
      </s:c>
      <s:c r="U191" s="23">
        <s:f>'자료구성'!$B$2</s:f>
        <s:v>46247.0</s:v>
      </s:c>
    </s:row>
    <s:row r="192">
      <s:c r="A192" s="0" t="n">
        <s:v>1434</s:v>
      </s:c>
      <s:c r="B192" s="0" t="n">
        <s:v>860</s:v>
      </s:c>
      <s:c r="C192" s="0" t="n">
        <s:v>1287</s:v>
      </s:c>
      <s:c r="D192" s="0" t="n">
        <s:v>584</s:v>
      </s:c>
      <s:c r="E192" s="0" t="n">
        <s:v>1176</s:v>
      </s:c>
      <s:c r="F192" s="0" t="n">
        <s:v>3286</s:v>
      </s:c>
      <s:c r="G192" s="0" t="n">
        <s:v>4372</s:v>
      </s:c>
      <s:c r="H192" s="0" t="n">
        <s:v>4204</s:v>
      </s:c>
      <s:c r="I192" s="0" t="n">
        <s:v>2001</s:v>
      </s:c>
      <s:c r="J192" s="0" t="n">
        <s:v>2150</s:v>
      </s:c>
      <s:c r="K192" s="22">
        <s:f>'1'!F193</s:f>
        <s:v>46247.562372685185</s:v>
      </s:c>
      <s:c r="L192" s="22">
        <s:f>'2'!F193</s:f>
        <s:v>46247.5441087963</s:v>
      </s:c>
      <s:c r="M192" s="22">
        <s:f>'3'!F193</s:f>
        <s:v>46247.52670138889</s:v>
      </s:c>
      <s:c r="N192" s="22">
        <s:f>'4'!F193</s:f>
        <s:v>46247.48081018519</s:v>
      </s:c>
      <s:c r="O192" s="22">
        <s:f>'5'!F193</s:f>
        <s:v>46247.452465277776</s:v>
      </s:c>
      <s:c r="P192" s="22">
        <s:f>'6'!F193</s:f>
        <s:v>46247.43300925926</s:v>
      </s:c>
      <s:c r="Q192" s="22">
        <s:f>'7'!F193</s:f>
        <s:v>46247.410358796296</s:v>
      </s:c>
      <s:c r="R192" s="22">
        <s:f>'8'!F193</s:f>
        <s:v>46247.38616898148</s:v>
      </s:c>
      <s:c r="S192" s="22">
        <s:f>'9'!F193</s:f>
        <s:v>46247.36835648148</s:v>
      </s:c>
      <s:c r="T192" s="22">
        <s:f>'10'!F193</s:f>
        <s:v>46247.33913194444</s:v>
      </s:c>
      <s:c r="U192" s="23">
        <s:f>'자료구성'!$B$2</s:f>
        <s:v>46247.0</s:v>
      </s:c>
    </s:row>
    <s:row r="193">
      <s:c r="A193" s="0" t="n">
        <s:v>1423</s:v>
      </s:c>
      <s:c r="B193" s="0" t="n">
        <s:v>829</s:v>
      </s:c>
      <s:c r="C193" s="0" t="n">
        <s:v>1301</s:v>
      </s:c>
      <s:c r="D193" s="0" t="n">
        <s:v>584</s:v>
      </s:c>
      <s:c r="E193" s="0" t="n">
        <s:v>1163</s:v>
      </s:c>
      <s:c r="F193" s="0" t="n">
        <s:v>3385</s:v>
      </s:c>
      <s:c r="G193" s="0" t="n">
        <s:v>4339</s:v>
      </s:c>
      <s:c r="H193" s="0" t="n">
        <s:v>4121</s:v>
      </s:c>
      <s:c r="I193" s="0" t="n">
        <s:v>2021</s:v>
      </s:c>
      <s:c r="J193" s="0" t="n">
        <s:v>2145</s:v>
      </s:c>
      <s:c r="K193" s="22">
        <s:f>'1'!F194</s:f>
        <s:v>46247.56238425926</s:v>
      </s:c>
      <s:c r="L193" s="22">
        <s:f>'2'!F194</s:f>
        <s:v>46247.544120370374</s:v>
      </s:c>
      <s:c r="M193" s="22">
        <s:f>'3'!F194</s:f>
        <s:v>46247.526712962965</s:v>
      </s:c>
      <s:c r="N193" s="22">
        <s:f>'4'!F194</s:f>
        <s:v>46247.48082175926</s:v>
      </s:c>
      <s:c r="O193" s="22">
        <s:f>'5'!F194</s:f>
        <s:v>46247.45247685185</s:v>
      </s:c>
      <s:c r="P193" s="22">
        <s:f>'6'!F194</s:f>
        <s:v>46247.433020833334</s:v>
      </s:c>
      <s:c r="Q193" s="22">
        <s:f>'7'!F194</s:f>
        <s:v>46247.41037037037</s:v>
      </s:c>
      <s:c r="R193" s="22">
        <s:f>'8'!F194</s:f>
        <s:v>46247.38618055556</s:v>
      </s:c>
      <s:c r="S193" s="22">
        <s:f>'9'!F194</s:f>
        <s:v>46247.368368055555</s:v>
      </s:c>
      <s:c r="T193" s="22">
        <s:f>'10'!F194</s:f>
        <s:v>46247.33914351852</s:v>
      </s:c>
      <s:c r="U193" s="23">
        <s:f>'자료구성'!$B$2</s:f>
        <s:v>46247.0</s:v>
      </s:c>
    </s:row>
    <s:row r="194">
      <s:c r="A194" s="0" t="n">
        <s:v>1418</s:v>
      </s:c>
      <s:c r="B194" s="0" t="n">
        <s:v>831</s:v>
      </s:c>
      <s:c r="C194" s="0" t="n">
        <s:v>1317</s:v>
      </s:c>
      <s:c r="D194" s="0" t="n">
        <s:v>580</s:v>
      </s:c>
      <s:c r="E194" s="0" t="n">
        <s:v>1157</s:v>
      </s:c>
      <s:c r="F194" s="0" t="n">
        <s:v>3375</s:v>
      </s:c>
      <s:c r="G194" s="0" t="n">
        <s:v>4384</s:v>
      </s:c>
      <s:c r="H194" s="0" t="n">
        <s:v>4026</s:v>
      </s:c>
      <s:c r="I194" s="0" t="n">
        <s:v>2068</s:v>
      </s:c>
      <s:c r="J194" s="0" t="n">
        <s:v>2167</s:v>
      </s:c>
      <s:c r="K194" s="22">
        <s:f>'1'!F195</s:f>
        <s:v>46247.56239583333</s:v>
      </s:c>
      <s:c r="L194" s="22">
        <s:f>'2'!F195</s:f>
        <s:v>46247.54413194444</s:v>
      </s:c>
      <s:c r="M194" s="22">
        <s:f>'3'!F195</s:f>
        <s:v>46247.526724537034</s:v>
      </s:c>
      <s:c r="N194" s="22">
        <s:f>'4'!F195</s:f>
        <s:v>46247.480833333335</s:v>
      </s:c>
      <s:c r="O194" s="22">
        <s:f>'5'!F195</s:f>
        <s:v>46247.45248842592</s:v>
      </s:c>
      <s:c r="P194" s="22">
        <s:f>'6'!F195</s:f>
        <s:v>46247.43303240741</s:v>
      </s:c>
      <s:c r="Q194" s="22">
        <s:f>'7'!F195</s:f>
        <s:v>46247.41038194444</s:v>
      </s:c>
      <s:c r="R194" s="22">
        <s:f>'8'!F195</s:f>
        <s:v>46247.38619212963</s:v>
      </s:c>
      <s:c r="S194" s="22">
        <s:f>'9'!F195</s:f>
        <s:v>46247.36837962963</s:v>
      </s:c>
      <s:c r="T194" s="22">
        <s:f>'10'!F195</s:f>
        <s:v>46247.339155092595</s:v>
      </s:c>
      <s:c r="U194" s="23">
        <s:f>'자료구성'!$B$2</s:f>
        <s:v>46247.0</s:v>
      </s:c>
    </s:row>
    <s:row r="195">
      <s:c r="A195" s="0" t="n">
        <s:v>1413</s:v>
      </s:c>
      <s:c r="B195" s="0" t="n">
        <s:v>821</s:v>
      </s:c>
      <s:c r="C195" s="0" t="n">
        <s:v>1324</s:v>
      </s:c>
      <s:c r="D195" s="0" t="n">
        <s:v>564</s:v>
      </s:c>
      <s:c r="E195" s="0" t="n">
        <s:v>1138</s:v>
      </s:c>
      <s:c r="F195" s="0" t="n">
        <s:v>3322</s:v>
      </s:c>
      <s:c r="G195" s="0" t="n">
        <s:v>4419</s:v>
      </s:c>
      <s:c r="H195" s="0" t="n">
        <s:v>3932</s:v>
      </s:c>
      <s:c r="I195" s="0" t="n">
        <s:v>2109</s:v>
      </s:c>
      <s:c r="J195" s="0" t="n">
        <s:v>2207</s:v>
      </s:c>
      <s:c r="K195" s="22">
        <s:f>'1'!F196</s:f>
        <s:v>46247.56240740741</s:v>
      </s:c>
      <s:c r="L195" s="22">
        <s:f>'2'!F196</s:f>
        <s:v>46247.54414351852</s:v>
      </s:c>
      <s:c r="M195" s="22">
        <s:f>'3'!F196</s:f>
        <s:v>46247.52673611111</s:v>
      </s:c>
      <s:c r="N195" s="22">
        <s:f>'4'!F196</s:f>
        <s:v>46247.480844907404</s:v>
      </s:c>
      <s:c r="O195" s="22">
        <s:f>'5'!F196</s:f>
        <s:v>46247.4525</s:v>
      </s:c>
      <s:c r="P195" s="22">
        <s:f>'6'!F196</s:f>
        <s:v>46247.43304398148</s:v>
      </s:c>
      <s:c r="Q195" s="22">
        <s:f>'7'!F196</s:f>
        <s:v>46247.41039351852</s:v>
      </s:c>
      <s:c r="R195" s="22">
        <s:f>'8'!F196</s:f>
        <s:v>46247.3862037037</s:v>
      </s:c>
      <s:c r="S195" s="22">
        <s:f>'9'!F196</s:f>
        <s:v>46247.3683912037</s:v>
      </s:c>
      <s:c r="T195" s="22">
        <s:f>'10'!F196</s:f>
        <s:v>46247.339166666665</s:v>
      </s:c>
      <s:c r="U195" s="23">
        <s:f>'자료구성'!$B$2</s:f>
        <s:v>46247.0</s:v>
      </s:c>
    </s:row>
    <s:row r="196">
      <s:c r="A196" s="0" t="n">
        <s:v>1401</s:v>
      </s:c>
      <s:c r="B196" s="0" t="n">
        <s:v>812</s:v>
      </s:c>
      <s:c r="C196" s="0" t="n">
        <s:v>1354</s:v>
      </s:c>
      <s:c r="D196" s="0" t="n">
        <s:v>558</s:v>
      </s:c>
      <s:c r="E196" s="0" t="n">
        <s:v>1124</s:v>
      </s:c>
      <s:c r="F196" s="0" t="n">
        <s:v>3286</s:v>
      </s:c>
      <s:c r="G196" s="0" t="n">
        <s:v>4462</s:v>
      </s:c>
      <s:c r="H196" s="0" t="n">
        <s:v>3823</s:v>
      </s:c>
      <s:c r="I196" s="0" t="n">
        <s:v>2131</s:v>
      </s:c>
      <s:c r="J196" s="0" t="n">
        <s:v>2256</s:v>
      </s:c>
      <s:c r="K196" s="22">
        <s:f>'1'!F197</s:f>
        <s:v>46247.562418981484</s:v>
      </s:c>
      <s:c r="L196" s="22">
        <s:f>'2'!F197</s:f>
        <s:v>46247.54415509259</s:v>
      </s:c>
      <s:c r="M196" s="22">
        <s:f>'3'!F197</s:f>
        <s:v>46247.52674768519</s:v>
      </s:c>
      <s:c r="N196" s="22">
        <s:f>'4'!F197</s:f>
        <s:v>46247.48085648148</s:v>
      </s:c>
      <s:c r="O196" s="22">
        <s:f>'5'!F197</s:f>
        <s:v>46247.452511574076</s:v>
      </s:c>
      <s:c r="P196" s="22">
        <s:f>'6'!F197</s:f>
        <s:v>46247.43305555556</s:v>
      </s:c>
      <s:c r="Q196" s="22">
        <s:f>'7'!F197</s:f>
        <s:v>46247.410405092596</s:v>
      </s:c>
      <s:c r="R196" s="22">
        <s:f>'8'!F197</s:f>
        <s:v>46247.38621527778</s:v>
      </s:c>
      <s:c r="S196" s="22">
        <s:f>'9'!F197</s:f>
        <s:v>46247.36840277778</s:v>
      </s:c>
      <s:c r="T196" s="22">
        <s:f>'10'!F197</s:f>
        <s:v>46247.33917824074</s:v>
      </s:c>
      <s:c r="U196" s="23">
        <s:f>'자료구성'!$B$2</s:f>
        <s:v>46247.0</s:v>
      </s:c>
    </s:row>
    <s:row r="197">
      <s:c r="A197" s="0" t="n">
        <s:v>1395</s:v>
      </s:c>
      <s:c r="B197" s="0" t="n">
        <s:v>800</s:v>
      </s:c>
      <s:c r="C197" s="0" t="n">
        <s:v>1383</s:v>
      </s:c>
      <s:c r="D197" s="0" t="n">
        <s:v>552</s:v>
      </s:c>
      <s:c r="E197" s="0" t="n">
        <s:v>1104</s:v>
      </s:c>
      <s:c r="F197" s="0" t="n">
        <s:v>3271</s:v>
      </s:c>
      <s:c r="G197" s="0" t="n">
        <s:v>4457</s:v>
      </s:c>
      <s:c r="H197" s="0" t="n">
        <s:v>3717</s:v>
      </s:c>
      <s:c r="I197" s="0" t="n">
        <s:v>2152</s:v>
      </s:c>
      <s:c r="J197" s="0" t="n">
        <s:v>2280</s:v>
      </s:c>
      <s:c r="K197" s="22">
        <s:f>'1'!F198</s:f>
        <s:v>46247.562430555554</s:v>
      </s:c>
      <s:c r="L197" s="22">
        <s:f>'2'!F198</s:f>
        <s:v>46247.54416666667</s:v>
      </s:c>
      <s:c r="M197" s="22">
        <s:f>'3'!F198</s:f>
        <s:v>46247.52675925926</s:v>
      </s:c>
      <s:c r="N197" s="22">
        <s:f>'4'!F198</s:f>
        <s:v>46247.48086805556</s:v>
      </s:c>
      <s:c r="O197" s="22">
        <s:f>'5'!F198</s:f>
        <s:v>46247.452523148146</s:v>
      </s:c>
      <s:c r="P197" s="22">
        <s:f>'6'!F198</s:f>
        <s:v>46247.43306712963</s:v>
      </s:c>
      <s:c r="Q197" s="22">
        <s:f>'7'!F198</s:f>
        <s:v>46247.410416666666</s:v>
      </s:c>
      <s:c r="R197" s="22">
        <s:f>'8'!F198</s:f>
        <s:v>46247.38622685185</s:v>
      </s:c>
      <s:c r="S197" s="22">
        <s:f>'9'!F198</s:f>
        <s:v>46247.368414351855</s:v>
      </s:c>
      <s:c r="T197" s="22">
        <s:f>'10'!F198</s:f>
        <s:v>46247.33918981482</s:v>
      </s:c>
      <s:c r="U197" s="23">
        <s:f>'자료구성'!$B$2</s:f>
        <s:v>46247.0</s:v>
      </s:c>
    </s:row>
    <s:row r="198">
      <s:c r="A198" s="0" t="n">
        <s:v>1395</s:v>
      </s:c>
      <s:c r="B198" s="0" t="n">
        <s:v>808</s:v>
      </s:c>
      <s:c r="C198" s="0" t="n">
        <s:v>1384</s:v>
      </s:c>
      <s:c r="D198" s="0" t="n">
        <s:v>549</s:v>
      </s:c>
      <s:c r="E198" s="0" t="n">
        <s:v>1089</s:v>
      </s:c>
      <s:c r="F198" s="0" t="n">
        <s:v>3281</s:v>
      </s:c>
      <s:c r="G198" s="0" t="n">
        <s:v>4456</s:v>
      </s:c>
      <s:c r="H198" s="0" t="n">
        <s:v>3630</s:v>
      </s:c>
      <s:c r="I198" s="0" t="n">
        <s:v>2219</s:v>
      </s:c>
      <s:c r="J198" s="0" t="n">
        <s:v>2303</s:v>
      </s:c>
      <s:c r="K198" s="22">
        <s:f>'1'!F199</s:f>
        <s:v>46247.56244212963</s:v>
      </s:c>
      <s:c r="L198" s="22">
        <s:f>'2'!F199</s:f>
        <s:v>46247.54417824074</s:v>
      </s:c>
      <s:c r="M198" s="22">
        <s:f>'3'!F199</s:f>
        <s:v>46247.526770833334</s:v>
      </s:c>
      <s:c r="N198" s="22">
        <s:f>'4'!F199</s:f>
        <s:v>46247.48087962963</s:v>
      </s:c>
      <s:c r="O198" s="22">
        <s:f>'5'!F199</s:f>
        <s:v>46247.45253472222</s:v>
      </s:c>
      <s:c r="P198" s="22">
        <s:f>'6'!F199</s:f>
        <s:v>46247.4330787037</s:v>
      </s:c>
      <s:c r="Q198" s="22">
        <s:f>'7'!F199</s:f>
        <s:v>46247.41042824074</s:v>
      </s:c>
      <s:c r="R198" s="22">
        <s:f>'8'!F199</s:f>
        <s:v>46247.38623842593</s:v>
      </s:c>
      <s:c r="S198" s="22">
        <s:f>'9'!F199</s:f>
        <s:v>46247.368425925924</s:v>
      </s:c>
      <s:c r="T198" s="22">
        <s:f>'10'!F199</s:f>
        <s:v>46247.33920138889</s:v>
      </s:c>
      <s:c r="U198" s="23">
        <s:f>'자료구성'!$B$2</s:f>
        <s:v>46247.0</s:v>
      </s:c>
    </s:row>
    <s:row r="199">
      <s:c r="A199" s="0" t="n">
        <s:v>1396</s:v>
      </s:c>
      <s:c r="B199" s="0" t="n">
        <s:v>783</s:v>
      </s:c>
      <s:c r="C199" s="0" t="n">
        <s:v>1388</s:v>
      </s:c>
      <s:c r="D199" s="0" t="n">
        <s:v>544</s:v>
      </s:c>
      <s:c r="E199" s="0" t="n">
        <s:v>1079</s:v>
      </s:c>
      <s:c r="F199" s="0" t="n">
        <s:v>3283</s:v>
      </s:c>
      <s:c r="G199" s="0" t="n">
        <s:v>4555</s:v>
      </s:c>
      <s:c r="H199" s="0" t="n">
        <s:v>3600</s:v>
      </s:c>
      <s:c r="I199" s="0" t="n">
        <s:v>2249</s:v>
      </s:c>
      <s:c r="J199" s="0" t="n">
        <s:v>2323</s:v>
      </s:c>
      <s:c r="K199" s="22">
        <s:f>'1'!F200</s:f>
        <s:v>46247.5624537037</s:v>
      </s:c>
      <s:c r="L199" s="22">
        <s:f>'2'!F200</s:f>
        <s:v>46247.54418981481</s:v>
      </s:c>
      <s:c r="M199" s="22">
        <s:f>'3'!F200</s:f>
        <s:v>46247.52678240741</s:v>
      </s:c>
      <s:c r="N199" s="22">
        <s:f>'4'!F200</s:f>
        <s:v>46247.480891203704</s:v>
      </s:c>
      <s:c r="O199" s="22">
        <s:f>'5'!F200</s:f>
        <s:v>46247.4525462963</s:v>
      </s:c>
      <s:c r="P199" s="22">
        <s:f>'6'!F200</s:f>
        <s:v>46247.43309027778</s:v>
      </s:c>
      <s:c r="Q199" s="22">
        <s:f>'7'!F200</s:f>
        <s:v>46247.41043981481</s:v>
      </s:c>
      <s:c r="R199" s="22">
        <s:f>'8'!F200</s:f>
        <s:v>46247.38625</s:v>
      </s:c>
      <s:c r="S199" s="22">
        <s:f>'9'!F200</s:f>
        <s:v>46247.3684375</s:v>
      </s:c>
      <s:c r="T199" s="22">
        <s:f>'10'!F200</s:f>
        <s:v>46247.339212962965</s:v>
      </s:c>
      <s:c r="U199" s="23">
        <s:f>'자료구성'!$B$2</s:f>
        <s:v>46247.0</s:v>
      </s:c>
    </s:row>
    <s:row r="200">
      <s:c r="A200" s="0" t="n">
        <s:v>1398</s:v>
      </s:c>
      <s:c r="B200" s="0" t="n">
        <s:v>815</s:v>
      </s:c>
      <s:c r="C200" s="0" t="n">
        <s:v>1388</s:v>
      </s:c>
      <s:c r="D200" s="0" t="n">
        <s:v>540</s:v>
      </s:c>
      <s:c r="E200" s="0" t="n">
        <s:v>1079</s:v>
      </s:c>
      <s:c r="F200" s="0" t="n">
        <s:v>3283</s:v>
      </s:c>
      <s:c r="G200" s="0" t="n">
        <s:v>4601</s:v>
      </s:c>
      <s:c r="H200" s="0" t="n">
        <s:v>3567</s:v>
      </s:c>
      <s:c r="I200" s="0" t="n">
        <s:v>2264</s:v>
      </s:c>
      <s:c r="J200" s="0" t="n">
        <s:v>2372</s:v>
      </s:c>
      <s:c r="K200" s="22">
        <s:f>'1'!F201</s:f>
        <s:v>46247.56246527778</s:v>
      </s:c>
      <s:c r="L200" s="22">
        <s:f>'2'!F201</s:f>
        <s:v>46247.54420138889</s:v>
      </s:c>
      <s:c r="M200" s="22">
        <s:f>'3'!F201</s:f>
        <s:v>46247.52679398148</s:v>
      </s:c>
      <s:c r="N200" s="22">
        <s:f>'4'!F201</s:f>
        <s:v>46247.48090277778</s:v>
      </s:c>
      <s:c r="O200" s="22">
        <s:f>'5'!F201</s:f>
        <s:v>46247.45255787037</s:v>
      </s:c>
      <s:c r="P200" s="22">
        <s:f>'6'!F201</s:f>
        <s:v>46247.43310185185</s:v>
      </s:c>
      <s:c r="Q200" s="22">
        <s:f>'7'!F201</s:f>
        <s:v>46247.41045138889</s:v>
      </s:c>
      <s:c r="R200" s="22">
        <s:f>'8'!F201</s:f>
        <s:v>46247.38626157407</s:v>
      </s:c>
      <s:c r="S200" s="22">
        <s:f>'9'!F201</s:f>
        <s:v>46247.36844907407</s:v>
      </s:c>
      <s:c r="T200" s="22">
        <s:f>'10'!F201</s:f>
        <s:v>46247.339224537034</s:v>
      </s:c>
      <s:c r="U200" s="23">
        <s:f>'자료구성'!$B$2</s:f>
        <s:v>46247.0</s:v>
      </s:c>
    </s:row>
    <s:row r="201">
      <s:c r="A201" s="0" t="n">
        <s:v>1386</s:v>
      </s:c>
      <s:c r="B201" s="0" t="n">
        <s:v>863</s:v>
      </s:c>
      <s:c r="C201" s="0" t="n">
        <s:v>1410</s:v>
      </s:c>
      <s:c r="D201" s="0" t="n">
        <s:v>527</s:v>
      </s:c>
      <s:c r="E201" s="0" t="n">
        <s:v>1088</s:v>
      </s:c>
      <s:c r="F201" s="0" t="n">
        <s:v>3291</s:v>
      </s:c>
      <s:c r="G201" s="0" t="n">
        <s:v>4628</s:v>
      </s:c>
      <s:c r="H201" s="0" t="n">
        <s:v>3561</s:v>
      </s:c>
      <s:c r="I201" s="0" t="n">
        <s:v>2233</s:v>
      </s:c>
      <s:c r="J201" s="0" t="n">
        <s:v>2379</s:v>
      </s:c>
      <s:c r="K201" s="22">
        <s:f>'1'!F202</s:f>
        <s:v>46247.562476851854</s:v>
      </s:c>
      <s:c r="L201" s="22">
        <s:f>'2'!F202</s:f>
        <s:v>46247.54421296297</s:v>
      </s:c>
      <s:c r="M201" s="22">
        <s:f>'3'!F202</s:f>
        <s:v>46247.52680555556</s:v>
      </s:c>
      <s:c r="N201" s="22">
        <s:f>'4'!F202</s:f>
        <s:v>46247.48091435185</s:v>
      </s:c>
      <s:c r="O201" s="22">
        <s:f>'5'!F202</s:f>
        <s:v>46247.452569444446</s:v>
      </s:c>
      <s:c r="P201" s="22">
        <s:f>'6'!F202</s:f>
        <s:v>46247.43311342593</s:v>
      </s:c>
      <s:c r="Q201" s="22">
        <s:f>'7'!F202</s:f>
        <s:v>46247.410462962966</s:v>
      </s:c>
      <s:c r="R201" s="22">
        <s:f>'8'!F202</s:f>
        <s:v>46247.38627314815</s:v>
      </s:c>
      <s:c r="S201" s="22">
        <s:f>'9'!F202</s:f>
        <s:v>46247.36846064815</s:v>
      </s:c>
      <s:c r="T201" s="22">
        <s:f>'10'!F202</s:f>
        <s:v>46247.33923611111</s:v>
      </s:c>
      <s:c r="U201" s="23">
        <s:f>'자료구성'!$B$2</s:f>
        <s:v>46247.0</s:v>
      </s:c>
    </s:row>
    <s:row r="202">
      <s:c r="A202" s="0" t="n">
        <s:v>1384</s:v>
      </s:c>
      <s:c r="B202" s="0" t="n">
        <s:v>879</s:v>
      </s:c>
      <s:c r="C202" s="0" t="n">
        <s:v>1436</s:v>
      </s:c>
      <s:c r="D202" s="0" t="n">
        <s:v>503</s:v>
      </s:c>
      <s:c r="E202" s="0" t="n">
        <s:v>1082</s:v>
      </s:c>
      <s:c r="F202" s="0" t="n">
        <s:v>3306</s:v>
      </s:c>
      <s:c r="G202" s="0" t="n">
        <s:v>4718</s:v>
      </s:c>
      <s:c r="H202" s="0" t="n">
        <s:v>3561</s:v>
      </s:c>
      <s:c r="I202" s="0" t="n">
        <s:v>2183</s:v>
      </s:c>
      <s:c r="J202" s="0" t="n">
        <s:v>2394</s:v>
      </s:c>
      <s:c r="K202" s="22">
        <s:f>'1'!F203</s:f>
        <s:v>46247.56248842592</s:v>
      </s:c>
      <s:c r="L202" s="22">
        <s:f>'2'!F203</s:f>
        <s:v>46247.544224537036</s:v>
      </s:c>
      <s:c r="M202" s="22">
        <s:f>'3'!F203</s:f>
        <s:v>46247.52681712963</s:v>
      </s:c>
      <s:c r="N202" s="22">
        <s:f>'4'!F203</s:f>
        <s:v>46247.48092592593</s:v>
      </s:c>
      <s:c r="O202" s="22">
        <s:f>'5'!F203</s:f>
        <s:v>46247.452581018515</s:v>
      </s:c>
      <s:c r="P202" s="22">
        <s:f>'6'!F203</s:f>
        <s:v>46247.433125</s:v>
      </s:c>
      <s:c r="Q202" s="22">
        <s:f>'7'!F203</s:f>
        <s:v>46247.410474537035</s:v>
      </s:c>
      <s:c r="R202" s="22">
        <s:f>'8'!F203</s:f>
        <s:v>46247.38628472222</s:v>
      </s:c>
      <s:c r="S202" s="22">
        <s:f>'9'!F203</s:f>
        <s:v>46247.368472222224</s:v>
      </s:c>
      <s:c r="T202" s="22">
        <s:f>'10'!F203</s:f>
        <s:v>46247.33924768519</s:v>
      </s:c>
      <s:c r="U202" s="23">
        <s:f>'자료구성'!$B$2</s:f>
        <s:v>46247.0</s:v>
      </s:c>
    </s:row>
    <s:row r="203">
      <s:c r="A203" s="0" t="n">
        <s:v>1381</s:v>
      </s:c>
      <s:c r="B203" s="0" t="n">
        <s:v>902</s:v>
      </s:c>
      <s:c r="C203" s="0" t="n">
        <s:v>1436</s:v>
      </s:c>
      <s:c r="D203" s="0" t="n">
        <s:v>479</s:v>
      </s:c>
      <s:c r="E203" s="0" t="n">
        <s:v>1075</s:v>
      </s:c>
      <s:c r="F203" s="0" t="n">
        <s:v>3399</s:v>
      </s:c>
      <s:c r="G203" s="0" t="n">
        <s:v>4662</s:v>
      </s:c>
      <s:c r="H203" s="0" t="n">
        <s:v>3548</s:v>
      </s:c>
      <s:c r="I203" s="0" t="n">
        <s:v>2179</s:v>
      </s:c>
      <s:c r="J203" s="0" t="n">
        <s:v>2433</s:v>
      </s:c>
      <s:c r="K203" s="22">
        <s:f>'1'!F204</s:f>
        <s:v>46247.5625</s:v>
      </s:c>
      <s:c r="L203" s="22">
        <s:f>'2'!F204</s:f>
        <s:v>46247.54423611111</s:v>
      </s:c>
      <s:c r="M203" s="22">
        <s:f>'3'!F204</s:f>
        <s:v>46247.5268287037</s:v>
      </s:c>
      <s:c r="N203" s="22">
        <s:f>'4'!F204</s:f>
        <s:v>46247.4809375</s:v>
      </s:c>
      <s:c r="O203" s="22">
        <s:f>'5'!F204</s:f>
        <s:v>46247.45259259259</s:v>
      </s:c>
      <s:c r="P203" s="22">
        <s:f>'6'!F204</s:f>
        <s:v>46247.43313657407</s:v>
      </s:c>
      <s:c r="Q203" s="22">
        <s:f>'7'!F204</s:f>
        <s:v>46247.41048611111</s:v>
      </s:c>
      <s:c r="R203" s="22">
        <s:f>'8'!F204</s:f>
        <s:v>46247.386296296296</s:v>
      </s:c>
      <s:c r="S203" s="22">
        <s:f>'9'!F204</s:f>
        <s:v>46247.368483796294</s:v>
      </s:c>
      <s:c r="T203" s="22">
        <s:f>'10'!F204</s:f>
        <s:v>46247.33925925926</s:v>
      </s:c>
      <s:c r="U203" s="23">
        <s:f>'자료구성'!$B$2</s:f>
        <s:v>46247.0</s:v>
      </s:c>
    </s:row>
    <s:row r="204">
      <s:c r="A204" s="0" t="n">
        <s:v>1369</s:v>
      </s:c>
      <s:c r="B204" s="0" t="n">
        <s:v>907</s:v>
      </s:c>
      <s:c r="C204" s="0" t="n">
        <s:v>1480</s:v>
      </s:c>
      <s:c r="D204" s="0" t="n">
        <s:v>453</s:v>
      </s:c>
      <s:c r="E204" s="0" t="n">
        <s:v>1064</s:v>
      </s:c>
      <s:c r="F204" s="0" t="n">
        <s:v>3430</s:v>
      </s:c>
      <s:c r="G204" s="0" t="n">
        <s:v>4579</s:v>
      </s:c>
      <s:c r="H204" s="0" t="n">
        <s:v>3504</s:v>
      </s:c>
      <s:c r="I204" s="0" t="n">
        <s:v>2152</s:v>
      </s:c>
      <s:c r="J204" s="0" t="n">
        <s:v>2422</s:v>
      </s:c>
      <s:c r="K204" s="22">
        <s:f>'1'!F205</s:f>
        <s:v>46247.56251157408</s:v>
      </s:c>
      <s:c r="L204" s="22">
        <s:f>'2'!F205</s:f>
        <s:v>46247.54424768518</s:v>
      </s:c>
      <s:c r="M204" s="22">
        <s:f>'3'!F205</s:f>
        <s:v>46247.52684027778</s:v>
      </s:c>
      <s:c r="N204" s="22">
        <s:f>'4'!F205</s:f>
        <s:v>46247.48094907407</s:v>
      </s:c>
      <s:c r="O204" s="22">
        <s:f>'5'!F205</s:f>
        <s:v>46247.45260416667</s:v>
      </s:c>
      <s:c r="P204" s="22">
        <s:f>'6'!F205</s:f>
        <s:v>46247.43314814815</s:v>
      </s:c>
      <s:c r="Q204" s="22">
        <s:f>'7'!F205</s:f>
        <s:v>46247.41049768519</s:v>
      </s:c>
      <s:c r="R204" s="22">
        <s:f>'8'!F205</s:f>
        <s:v>46247.38630787037</s:v>
      </s:c>
      <s:c r="S204" s="22">
        <s:f>'9'!F205</s:f>
        <s:v>46247.36849537037</s:v>
      </s:c>
      <s:c r="T204" s="22">
        <s:f>'10'!F205</s:f>
        <s:v>46247.339270833334</s:v>
      </s:c>
      <s:c r="U204" s="23">
        <s:f>'자료구성'!$B$2</s:f>
        <s:v>46247.0</s:v>
      </s:c>
    </s:row>
    <s:row r="205">
      <s:c r="A205" s="0" t="n">
        <s:v>1351</s:v>
      </s:c>
      <s:c r="B205" s="0" t="n">
        <s:v>901</s:v>
      </s:c>
      <s:c r="C205" s="0" t="n">
        <s:v>1507</s:v>
      </s:c>
      <s:c r="D205" s="0" t="n">
        <s:v>448</s:v>
      </s:c>
      <s:c r="E205" s="0" t="n">
        <s:v>1068</s:v>
      </s:c>
      <s:c r="F205" s="0" t="n">
        <s:v>3399</s:v>
      </s:c>
      <s:c r="G205" s="0" t="n">
        <s:v>4570</s:v>
      </s:c>
      <s:c r="H205" s="0" t="n">
        <s:v>3491</s:v>
      </s:c>
      <s:c r="I205" s="0" t="n">
        <s:v>2120</s:v>
      </s:c>
      <s:c r="J205" s="0" t="n">
        <s:v>2448</s:v>
      </s:c>
      <s:c r="K205" s="22">
        <s:f>'1'!F206</s:f>
        <s:v>46247.562523148146</s:v>
      </s:c>
      <s:c r="L205" s="22">
        <s:f>'2'!F206</s:f>
        <s:v>46247.54425925926</s:v>
      </s:c>
      <s:c r="M205" s="22">
        <s:f>'3'!F206</s:f>
        <s:v>46247.52685185185</s:v>
      </s:c>
      <s:c r="N205" s="22">
        <s:f>'4'!F206</s:f>
        <s:v>46247.48096064815</s:v>
      </s:c>
      <s:c r="O205" s="22">
        <s:f>'5'!F206</s:f>
        <s:v>46247.45261574074</s:v>
      </s:c>
      <s:c r="P205" s="22">
        <s:f>'6'!F206</s:f>
        <s:v>46247.43315972222</s:v>
      </s:c>
      <s:c r="Q205" s="22">
        <s:f>'7'!F206</s:f>
        <s:v>46247.41050925926</s:v>
      </s:c>
      <s:c r="R205" s="22">
        <s:f>'8'!F206</s:f>
        <s:v>46247.38631944444</s:v>
      </s:c>
      <s:c r="S205" s="22">
        <s:f>'9'!F206</s:f>
        <s:v>46247.36850694445</s:v>
      </s:c>
      <s:c r="T205" s="22">
        <s:f>'10'!F206</s:f>
        <s:v>46247.33928240741</s:v>
      </s:c>
      <s:c r="U205" s="23">
        <s:f>'자료구성'!$B$2</s:f>
        <s:v>46247.0</s:v>
      </s:c>
    </s:row>
    <s:row r="206">
      <s:c r="A206" s="0" t="n">
        <s:v>1374</s:v>
      </s:c>
      <s:c r="B206" s="0" t="n">
        <s:v>900</s:v>
      </s:c>
      <s:c r="C206" s="0" t="n">
        <s:v>1545</s:v>
      </s:c>
      <s:c r="D206" s="0" t="n">
        <s:v>463</s:v>
      </s:c>
      <s:c r="E206" s="0" t="n">
        <s:v>1070</s:v>
      </s:c>
      <s:c r="F206" s="0" t="n">
        <s:v>3324</s:v>
      </s:c>
      <s:c r="G206" s="0" t="n">
        <s:v>4619</s:v>
      </s:c>
      <s:c r="H206" s="0" t="n">
        <s:v>3503</s:v>
      </s:c>
      <s:c r="I206" s="0" t="n">
        <s:v>2113</s:v>
      </s:c>
      <s:c r="J206" s="0" t="n">
        <s:v>2456</s:v>
      </s:c>
      <s:c r="K206" s="22">
        <s:f>'1'!F207</s:f>
        <s:v>46247.56253472222</s:v>
      </s:c>
      <s:c r="L206" s="22">
        <s:f>'2'!F207</s:f>
        <s:v>46247.544270833336</s:v>
      </s:c>
      <s:c r="M206" s="22">
        <s:f>'3'!F207</s:f>
        <s:v>46247.52686342593</s:v>
      </s:c>
      <s:c r="N206" s="22">
        <s:f>'4'!F207</s:f>
        <s:v>46247.48097222222</s:v>
      </s:c>
      <s:c r="O206" s="22">
        <s:f>'5'!F207</s:f>
        <s:v>46247.452627314815</s:v>
      </s:c>
      <s:c r="P206" s="22">
        <s:f>'6'!F207</s:f>
        <s:v>46247.433171296296</s:v>
      </s:c>
      <s:c r="Q206" s="22">
        <s:f>'7'!F207</s:f>
        <s:v>46247.410520833335</s:v>
      </s:c>
      <s:c r="R206" s="22">
        <s:f>'8'!F207</s:f>
        <s:v>46247.38633101852</s:v>
      </s:c>
      <s:c r="S206" s="22">
        <s:f>'9'!F207</s:f>
        <s:v>46247.36851851852</s:v>
      </s:c>
      <s:c r="T206" s="22">
        <s:f>'10'!F207</s:f>
        <s:v>46247.33929398148</s:v>
      </s:c>
      <s:c r="U206" s="23">
        <s:f>'자료구성'!$B$2</s:f>
        <s:v>46247.0</s:v>
      </s:c>
    </s:row>
    <s:row r="207">
      <s:c r="A207" s="0" t="n">
        <s:v>1429</s:v>
      </s:c>
      <s:c r="B207" s="0" t="n">
        <s:v>922</s:v>
      </s:c>
      <s:c r="C207" s="0" t="n">
        <s:v>1592</s:v>
      </s:c>
      <s:c r="D207" s="0" t="n">
        <s:v>500</s:v>
      </s:c>
      <s:c r="E207" s="0" t="n">
        <s:v>1078</s:v>
      </s:c>
      <s:c r="F207" s="0" t="n">
        <s:v>3208</s:v>
      </s:c>
      <s:c r="G207" s="0" t="n">
        <s:v>4500</s:v>
      </s:c>
      <s:c r="H207" s="0" t="n">
        <s:v>3544</s:v>
      </s:c>
      <s:c r="I207" s="0" t="n">
        <s:v>2124</s:v>
      </s:c>
      <s:c r="J207" s="0" t="n">
        <s:v>2483</s:v>
      </s:c>
      <s:c r="K207" s="22">
        <s:f>'1'!F208</s:f>
        <s:v>46247.5625462963</s:v>
      </s:c>
      <s:c r="L207" s="22">
        <s:f>'2'!F208</s:f>
        <s:v>46247.544282407405</s:v>
      </s:c>
      <s:c r="M207" s="22">
        <s:f>'3'!F208</s:f>
        <s:v>46247.526875</s:v>
      </s:c>
      <s:c r="N207" s="22">
        <s:f>'4'!F208</s:f>
        <s:v>46247.4809837963</s:v>
      </s:c>
      <s:c r="O207" s="22">
        <s:f>'5'!F208</s:f>
        <s:v>46247.45263888889</s:v>
      </s:c>
      <s:c r="P207" s="22">
        <s:f>'6'!F208</s:f>
        <s:v>46247.43318287037</s:v>
      </s:c>
      <s:c r="Q207" s="22">
        <s:f>'7'!F208</s:f>
        <s:v>46247.410532407404</s:v>
      </s:c>
      <s:c r="R207" s="22">
        <s:f>'8'!F208</s:f>
        <s:v>46247.386342592596</s:v>
      </s:c>
      <s:c r="S207" s="22">
        <s:f>'9'!F208</s:f>
        <s:v>46247.36853009259</s:v>
      </s:c>
      <s:c r="T207" s="22">
        <s:f>'10'!F208</s:f>
        <s:v>46247.33930555556</s:v>
      </s:c>
      <s:c r="U207" s="23">
        <s:f>'자료구성'!$B$2</s:f>
        <s:v>46247.0</s:v>
      </s:c>
    </s:row>
    <s:row r="208">
      <s:c r="A208" s="0" t="n">
        <s:v>1434</s:v>
      </s:c>
      <s:c r="B208" s="0" t="n">
        <s:v>916</s:v>
      </s:c>
      <s:c r="C208" s="0" t="n">
        <s:v>1641</s:v>
      </s:c>
      <s:c r="D208" s="0" t="n">
        <s:v>500</s:v>
      </s:c>
      <s:c r="E208" s="0" t="n">
        <s:v>1094</s:v>
      </s:c>
      <s:c r="F208" s="0" t="n">
        <s:v>3163</s:v>
      </s:c>
      <s:c r="G208" s="0" t="n">
        <s:v>4392</s:v>
      </s:c>
      <s:c r="H208" s="0" t="n">
        <s:v>3582</s:v>
      </s:c>
      <s:c r="I208" s="0" t="n">
        <s:v>2122</s:v>
      </s:c>
      <s:c r="J208" s="0" t="n">
        <s:v>2509</s:v>
      </s:c>
      <s:c r="K208" s="22">
        <s:f>'1'!F209</s:f>
        <s:v>46247.56255787037</s:v>
      </s:c>
      <s:c r="L208" s="22">
        <s:f>'2'!F209</s:f>
        <s:v>46247.54429398148</s:v>
      </s:c>
      <s:c r="M208" s="22">
        <s:f>'3'!F209</s:f>
        <s:v>46247.52688657407</s:v>
      </s:c>
      <s:c r="N208" s="22">
        <s:f>'4'!F209</s:f>
        <s:v>46247.48099537037</s:v>
      </s:c>
      <s:c r="O208" s="22">
        <s:f>'5'!F209</s:f>
        <s:v>46247.45265046296</s:v>
      </s:c>
      <s:c r="P208" s="22">
        <s:f>'6'!F209</s:f>
        <s:v>46247.43319444444</s:v>
      </s:c>
      <s:c r="Q208" s="22">
        <s:f>'7'!F209</s:f>
        <s:v>46247.41054398148</s:v>
      </s:c>
      <s:c r="R208" s="22">
        <s:f>'8'!F209</s:f>
        <s:v>46247.386354166665</s:v>
      </s:c>
      <s:c r="S208" s="22">
        <s:f>'9'!F209</s:f>
        <s:v>46247.36854166666</s:v>
      </s:c>
      <s:c r="T208" s="22">
        <s:f>'10'!F209</s:f>
        <s:v>46247.33931712963</s:v>
      </s:c>
      <s:c r="U208" s="23">
        <s:f>'자료구성'!$B$2</s:f>
        <s:v>46247.0</s:v>
      </s:c>
    </s:row>
    <s:row r="209">
      <s:c r="A209" s="0" t="n">
        <s:v>1434</s:v>
      </s:c>
      <s:c r="B209" s="0" t="n">
        <s:v>911</s:v>
      </s:c>
      <s:c r="C209" s="0" t="n">
        <s:v>1755</s:v>
      </s:c>
      <s:c r="D209" s="0" t="n">
        <s:v>505</s:v>
      </s:c>
      <s:c r="E209" s="0" t="n">
        <s:v>1094</s:v>
      </s:c>
      <s:c r="F209" s="0" t="n">
        <s:v>3184</s:v>
      </s:c>
      <s:c r="G209" s="0" t="n">
        <s:v>4301</s:v>
      </s:c>
      <s:c r="H209" s="0" t="n">
        <s:v>3582</s:v>
      </s:c>
      <s:c r="I209" s="0" t="n">
        <s:v>2128</s:v>
      </s:c>
      <s:c r="J209" s="0" t="n">
        <s:v>2515</s:v>
      </s:c>
      <s:c r="K209" s="22">
        <s:f>'1'!F210</s:f>
        <s:v>46247.562569444446</s:v>
      </s:c>
      <s:c r="L209" s="22">
        <s:f>'2'!F210</s:f>
        <s:v>46247.54430555556</s:v>
      </s:c>
      <s:c r="M209" s="22">
        <s:f>'3'!F210</s:f>
        <s:v>46247.52689814815</s:v>
      </s:c>
      <s:c r="N209" s="22">
        <s:f>'4'!F210</s:f>
        <s:v>46247.48100694444</s:v>
      </s:c>
      <s:c r="O209" s="22">
        <s:f>'5'!F210</s:f>
        <s:v>46247.45266203704</s:v>
      </s:c>
      <s:c r="P209" s="22">
        <s:f>'6'!F210</s:f>
        <s:v>46247.43320601852</s:v>
      </s:c>
      <s:c r="Q209" s="22">
        <s:f>'7'!F210</s:f>
        <s:v>46247.41055555556</s:v>
      </s:c>
      <s:c r="R209" s="22">
        <s:f>'8'!F210</s:f>
        <s:v>46247.38636574074</s:v>
      </s:c>
      <s:c r="S209" s="22">
        <s:f>'9'!F210</s:f>
        <s:v>46247.36855324074</s:v>
      </s:c>
      <s:c r="T209" s="22">
        <s:f>'10'!F210</s:f>
        <s:v>46247.3393287037</s:v>
      </s:c>
      <s:c r="U209" s="23">
        <s:f>'자료구성'!$B$2</s:f>
        <s:v>46247.0</s:v>
      </s:c>
    </s:row>
    <s:row r="210">
      <s:c r="A210" s="0" t="n">
        <s:v>1466</s:v>
      </s:c>
      <s:c r="B210" s="0" t="n">
        <s:v>889</s:v>
      </s:c>
      <s:c r="C210" s="0" t="n">
        <s:v>1834</s:v>
      </s:c>
      <s:c r="D210" s="0" t="n">
        <s:v>550</s:v>
      </s:c>
      <s:c r="E210" s="0" t="n">
        <s:v>1087</s:v>
      </s:c>
      <s:c r="F210" s="0" t="n">
        <s:v>3160</s:v>
      </s:c>
      <s:c r="G210" s="0" t="n">
        <s:v>4187</s:v>
      </s:c>
      <s:c r="H210" s="0" t="n">
        <s:v>3636</s:v>
      </s:c>
      <s:c r="I210" s="0" t="n">
        <s:v>2170</s:v>
      </s:c>
      <s:c r="J210" s="0" t="n">
        <s:v>2544</s:v>
      </s:c>
      <s:c r="K210" s="22">
        <s:f>'1'!F211</s:f>
        <s:v>46247.562581018516</s:v>
      </s:c>
      <s:c r="L210" s="22">
        <s:f>'2'!F211</s:f>
        <s:v>46247.54431712963</s:v>
      </s:c>
      <s:c r="M210" s="22">
        <s:f>'3'!F211</s:f>
        <s:v>46247.52690972222</s:v>
      </s:c>
      <s:c r="N210" s="22">
        <s:f>'4'!F211</s:f>
        <s:v>46247.48101851852</s:v>
      </s:c>
      <s:c r="O210" s="22">
        <s:f>'5'!F211</s:f>
        <s:v>46247.452673611115</s:v>
      </s:c>
      <s:c r="P210" s="22">
        <s:f>'6'!F211</s:f>
        <s:v>46247.433217592596</s:v>
      </s:c>
      <s:c r="Q210" s="22">
        <s:f>'7'!F211</s:f>
        <s:v>46247.41056712963</s:v>
      </s:c>
      <s:c r="R210" s="22">
        <s:f>'8'!F211</s:f>
        <s:v>46247.38637731481</s:v>
      </s:c>
      <s:c r="S210" s="22">
        <s:f>'9'!F211</s:f>
        <s:v>46247.36856481482</s:v>
      </s:c>
      <s:c r="T210" s="22">
        <s:f>'10'!F211</s:f>
        <s:v>46247.33934027778</s:v>
      </s:c>
      <s:c r="U210" s="23">
        <s:f>'자료구성'!$B$2</s:f>
        <s:v>46247.0</s:v>
      </s:c>
    </s:row>
    <s:row r="211">
      <s:c r="A211" s="0" t="n">
        <s:v>1485</s:v>
      </s:c>
      <s:c r="B211" s="0" t="n">
        <s:v>882</s:v>
      </s:c>
      <s:c r="C211" s="0" t="n">
        <s:v>1917</s:v>
      </s:c>
      <s:c r="D211" s="0" t="n">
        <s:v>599</s:v>
      </s:c>
      <s:c r="E211" s="0" t="n">
        <s:v>1094</s:v>
      </s:c>
      <s:c r="F211" s="0" t="n">
        <s:v>3061</s:v>
      </s:c>
      <s:c r="G211" s="0" t="n">
        <s:v>4288</s:v>
      </s:c>
      <s:c r="H211" s="0" t="n">
        <s:v>3695</s:v>
      </s:c>
      <s:c r="I211" s="0" t="n">
        <s:v>2238</s:v>
      </s:c>
      <s:c r="J211" s="0" t="n">
        <s:v>2574</s:v>
      </s:c>
      <s:c r="K211" s="22">
        <s:f>'1'!F212</s:f>
        <s:v>46247.56259259259</s:v>
      </s:c>
      <s:c r="L211" s="22">
        <s:f>'2'!F212</s:f>
        <s:v>46247.544328703705</s:v>
      </s:c>
      <s:c r="M211" s="22">
        <s:f>'3'!F212</s:f>
        <s:v>46247.526921296296</s:v>
      </s:c>
      <s:c r="N211" s="22">
        <s:f>'4'!F212</s:f>
        <s:v>46247.48103009259</s:v>
      </s:c>
      <s:c r="O211" s="22">
        <s:f>'5'!F212</s:f>
        <s:v>46247.452685185184</s:v>
      </s:c>
      <s:c r="P211" s="22">
        <s:f>'6'!F212</s:f>
        <s:v>46247.433229166665</s:v>
      </s:c>
      <s:c r="Q211" s="22">
        <s:f>'7'!F212</s:f>
        <s:v>46247.410578703704</s:v>
      </s:c>
      <s:c r="R211" s="22">
        <s:f>'8'!F212</s:f>
        <s:v>46247.38638888889</s:v>
      </s:c>
      <s:c r="S211" s="22">
        <s:f>'9'!F212</s:f>
        <s:v>46247.368576388886</s:v>
      </s:c>
      <s:c r="T211" s="22">
        <s:f>'10'!F212</s:f>
        <s:v>46247.33935185185</s:v>
      </s:c>
      <s:c r="U211" s="23">
        <s:f>'자료구성'!$B$2</s:f>
        <s:v>46247.0</s:v>
      </s:c>
    </s:row>
    <s:row r="212">
      <s:c r="A212" s="0" t="n">
        <s:v>1483</s:v>
      </s:c>
      <s:c r="B212" s="0" t="n">
        <s:v>872</s:v>
      </s:c>
      <s:c r="C212" s="0" t="n">
        <s:v>2006</s:v>
      </s:c>
      <s:c r="D212" s="0" t="n">
        <s:v>653</s:v>
      </s:c>
      <s:c r="E212" s="0" t="n">
        <s:v>1092</s:v>
      </s:c>
      <s:c r="F212" s="0" t="n">
        <s:v>3084</s:v>
      </s:c>
      <s:c r="G212" s="0" t="n">
        <s:v>4416</s:v>
      </s:c>
      <s:c r="H212" s="0" t="n">
        <s:v>3736</s:v>
      </s:c>
      <s:c r="I212" s="0" t="n">
        <s:v>2311</s:v>
      </s:c>
      <s:c r="J212" s="0" t="n">
        <s:v>2568</s:v>
      </s:c>
      <s:c r="K212" s="22">
        <s:f>'1'!F213</s:f>
        <s:v>46247.56260416667</s:v>
      </s:c>
      <s:c r="L212" s="22">
        <s:f>'2'!F213</s:f>
        <s:v>46247.544340277775</s:v>
      </s:c>
      <s:c r="M212" s="22">
        <s:f>'3'!F213</s:f>
        <s:v>46247.52693287037</s:v>
      </s:c>
      <s:c r="N212" s="22">
        <s:f>'4'!F213</s:f>
        <s:v>46247.481041666666</s:v>
      </s:c>
      <s:c r="O212" s="22">
        <s:f>'5'!F213</s:f>
        <s:v>46247.45269675926</s:v>
      </s:c>
      <s:c r="P212" s="22">
        <s:f>'6'!F213</s:f>
        <s:v>46247.43324074074</s:v>
      </s:c>
      <s:c r="Q212" s="22">
        <s:f>'7'!F213</s:f>
        <s:v>46247.41059027778</s:v>
      </s:c>
      <s:c r="R212" s="22">
        <s:f>'8'!F213</s:f>
        <s:v>46247.386400462965</s:v>
      </s:c>
      <s:c r="S212" s="22">
        <s:f>'9'!F213</s:f>
        <s:v>46247.36858796296</s:v>
      </s:c>
      <s:c r="T212" s="22">
        <s:f>'10'!F213</s:f>
        <s:v>46247.33936342593</s:v>
      </s:c>
      <s:c r="U212" s="23">
        <s:f>'자료구성'!$B$2</s:f>
        <s:v>46247.0</s:v>
      </s:c>
    </s:row>
    <s:row r="213">
      <s:c r="A213" s="0" t="n">
        <s:v>1496</s:v>
      </s:c>
      <s:c r="B213" s="0" t="n">
        <s:v>884</s:v>
      </s:c>
      <s:c r="C213" s="0" t="n">
        <s:v>2037</s:v>
      </s:c>
      <s:c r="D213" s="0" t="n">
        <s:v>768</s:v>
      </s:c>
      <s:c r="E213" s="0" t="n">
        <s:v>1094</s:v>
      </s:c>
      <s:c r="F213" s="0" t="n">
        <s:v>3183</s:v>
      </s:c>
      <s:c r="G213" s="0" t="n">
        <s:v>4385</s:v>
      </s:c>
      <s:c r="H213" s="0" t="n">
        <s:v>3765</s:v>
      </s:c>
      <s:c r="I213" s="0" t="n">
        <s:v>2335</s:v>
      </s:c>
      <s:c r="J213" s="0" t="n">
        <s:v>2560</s:v>
      </s:c>
      <s:c r="K213" s="22">
        <s:f>'1'!F214</s:f>
        <s:v>46247.56261574074</s:v>
      </s:c>
      <s:c r="L213" s="22">
        <s:f>'2'!F214</s:f>
        <s:v>46247.54435185185</s:v>
      </s:c>
      <s:c r="M213" s="22">
        <s:f>'3'!F214</s:f>
        <s:v>46247.52694444444</s:v>
      </s:c>
      <s:c r="N213" s="22">
        <s:f>'4'!F214</s:f>
        <s:v>46247.48105324074</s:v>
      </s:c>
      <s:c r="O213" s="22">
        <s:f>'5'!F214</s:f>
        <s:v>46247.45270833333</s:v>
      </s:c>
      <s:c r="P213" s="22">
        <s:f>'6'!F214</s:f>
        <s:v>46247.43325231481</s:v>
      </s:c>
      <s:c r="Q213" s="22">
        <s:f>'7'!F214</s:f>
        <s:v>46247.41060185185</s:v>
      </s:c>
      <s:c r="R213" s="22">
        <s:f>'8'!F214</s:f>
        <s:v>46247.386412037034</s:v>
      </s:c>
      <s:c r="S213" s="22">
        <s:f>'9'!F214</s:f>
        <s:v>46247.36859953704</s:v>
      </s:c>
      <s:c r="T213" s="22">
        <s:f>'10'!F214</s:f>
        <s:v>46247.339375</s:v>
      </s:c>
      <s:c r="U213" s="23">
        <s:f>'자료구성'!$B$2</s:f>
        <s:v>46247.0</s:v>
      </s:c>
    </s:row>
    <s:row r="214">
      <s:c r="A214" s="0" t="n">
        <s:v>1503</s:v>
      </s:c>
      <s:c r="B214" s="0" t="n">
        <s:v>918</s:v>
      </s:c>
      <s:c r="C214" s="0" t="n">
        <s:v>2034</s:v>
      </s:c>
      <s:c r="D214" s="0" t="n">
        <s:v>844</s:v>
      </s:c>
      <s:c r="E214" s="0" t="n">
        <s:v>1087</s:v>
      </s:c>
      <s:c r="F214" s="0" t="n">
        <s:v>3464</s:v>
      </s:c>
      <s:c r="G214" s="0" t="n">
        <s:v>4351</s:v>
      </s:c>
      <s:c r="H214" s="0" t="n">
        <s:v>3789</s:v>
      </s:c>
      <s:c r="I214" s="0" t="n">
        <s:v>2360</s:v>
      </s:c>
      <s:c r="J214" s="0" t="n">
        <s:v>2541</s:v>
      </s:c>
      <s:c r="K214" s="22">
        <s:f>'1'!F215</s:f>
        <s:v>46247.562627314815</s:v>
      </s:c>
      <s:c r="L214" s="22">
        <s:f>'2'!F215</s:f>
        <s:v>46247.54436342593</s:v>
      </s:c>
      <s:c r="M214" s="22">
        <s:f>'3'!F215</s:f>
        <s:v>46247.52695601852</s:v>
      </s:c>
      <s:c r="N214" s="22">
        <s:f>'4'!F215</s:f>
        <s:v>46247.48106481481</s:v>
      </s:c>
      <s:c r="O214" s="22">
        <s:f>'5'!F215</s:f>
        <s:v>46247.45271990741</s:v>
      </s:c>
      <s:c r="P214" s="22">
        <s:f>'6'!F215</s:f>
        <s:v>46247.43326388889</s:v>
      </s:c>
      <s:c r="Q214" s="22">
        <s:f>'7'!F215</s:f>
        <s:v>46247.41061342593</s:v>
      </s:c>
      <s:c r="R214" s="22">
        <s:f>'8'!F215</s:f>
        <s:v>46247.38642361111</s:v>
      </s:c>
      <s:c r="S214" s="22">
        <s:f>'9'!F215</s:f>
        <s:v>46247.36861111111</s:v>
      </s:c>
      <s:c r="T214" s="22">
        <s:f>'10'!F215</s:f>
        <s:v>46247.33938657407</s:v>
      </s:c>
      <s:c r="U214" s="23">
        <s:f>'자료구성'!$B$2</s:f>
        <s:v>46247.0</s:v>
      </s:c>
    </s:row>
    <s:row r="215">
      <s:c r="A215" s="0" t="n">
        <s:v>1504</s:v>
      </s:c>
      <s:c r="B215" s="0" t="n">
        <s:v>898</s:v>
      </s:c>
      <s:c r="C215" s="0" t="n">
        <s:v>2054</s:v>
      </s:c>
      <s:c r="D215" s="0" t="n">
        <s:v>862</s:v>
      </s:c>
      <s:c r="E215" s="0" t="n">
        <s:v>1107</s:v>
      </s:c>
      <s:c r="F215" s="0" t="n">
        <s:v>3721</s:v>
      </s:c>
      <s:c r="G215" s="0" t="n">
        <s:v>4355</s:v>
      </s:c>
      <s:c r="H215" s="0" t="n">
        <s:v>3819</s:v>
      </s:c>
      <s:c r="I215" s="0" t="n">
        <s:v>2332</s:v>
      </s:c>
      <s:c r="J215" s="0" t="n">
        <s:v>2518</s:v>
      </s:c>
      <s:c r="K215" s="22">
        <s:f>'1'!F216</s:f>
        <s:v>46247.56263888889</s:v>
      </s:c>
      <s:c r="L215" s="22">
        <s:f>'2'!F216</s:f>
        <s:v>46247.544375</s:v>
      </s:c>
      <s:c r="M215" s="22">
        <s:f>'3'!F216</s:f>
        <s:v>46247.526967592596</s:v>
      </s:c>
      <s:c r="N215" s="22">
        <s:f>'4'!F216</s:f>
        <s:v>46247.48107638889</s:v>
      </s:c>
      <s:c r="O215" s="22">
        <s:f>'5'!F216</s:f>
        <s:v>46247.452731481484</s:v>
      </s:c>
      <s:c r="P215" s="22">
        <s:f>'6'!F216</s:f>
        <s:v>46247.433275462965</s:v>
      </s:c>
      <s:c r="Q215" s="22">
        <s:f>'7'!F216</s:f>
        <s:v>46247.410625</s:v>
      </s:c>
      <s:c r="R215" s="22">
        <s:f>'8'!F216</s:f>
        <s:v>46247.38643518519</s:v>
      </s:c>
      <s:c r="S215" s="22">
        <s:f>'9'!F216</s:f>
        <s:v>46247.368622685186</s:v>
      </s:c>
      <s:c r="T215" s="22">
        <s:f>'10'!F216</s:f>
        <s:v>46247.33939814815</s:v>
      </s:c>
      <s:c r="U215" s="23">
        <s:f>'자료구성'!$B$2</s:f>
        <s:v>46247.0</s:v>
      </s:c>
    </s:row>
    <s:row r="216">
      <s:c r="A216" s="0" t="n">
        <s:v>1520</s:v>
      </s:c>
      <s:c r="B216" s="0" t="n">
        <s:v>876</s:v>
      </s:c>
      <s:c r="C216" s="0" t="n">
        <s:v>2079</s:v>
      </s:c>
      <s:c r="D216" s="0" t="n">
        <s:v>910</s:v>
      </s:c>
      <s:c r="E216" s="0" t="n">
        <s:v>1146</s:v>
      </s:c>
      <s:c r="F216" s="0" t="n">
        <s:v>4015</s:v>
      </s:c>
      <s:c r="G216" s="0" t="n">
        <s:v>4348</s:v>
      </s:c>
      <s:c r="H216" s="0" t="n">
        <s:v>3853</s:v>
      </s:c>
      <s:c r="I216" s="0" t="n">
        <s:v>2311</s:v>
      </s:c>
      <s:c r="J216" s="0" t="n">
        <s:v>2520</s:v>
      </s:c>
      <s:c r="K216" s="22">
        <s:f>'1'!F217</s:f>
        <s:v>46247.56265046296</s:v>
      </s:c>
      <s:c r="L216" s="22">
        <s:f>'2'!F217</s:f>
        <s:v>46247.544386574074</s:v>
      </s:c>
      <s:c r="M216" s="22">
        <s:f>'3'!F217</s:f>
        <s:v>46247.526979166665</s:v>
      </s:c>
      <s:c r="N216" s="22">
        <s:f>'4'!F217</s:f>
        <s:v>46247.481087962966</s:v>
      </s:c>
      <s:c r="O216" s="22">
        <s:f>'5'!F217</s:f>
        <s:v>46247.45274305555</s:v>
      </s:c>
      <s:c r="P216" s="22">
        <s:f>'6'!F217</s:f>
        <s:v>46247.433287037034</s:v>
      </s:c>
      <s:c r="Q216" s="22">
        <s:f>'7'!F217</s:f>
        <s:v>46247.41063657407</s:v>
      </s:c>
      <s:c r="R216" s="22">
        <s:f>'8'!F217</s:f>
        <s:v>46247.38644675926</s:v>
      </s:c>
      <s:c r="S216" s="22">
        <s:f>'9'!F217</s:f>
        <s:v>46247.36863425926</s:v>
      </s:c>
      <s:c r="T216" s="22">
        <s:f>'10'!F217</s:f>
        <s:v>46247.33940972222</s:v>
      </s:c>
      <s:c r="U216" s="23">
        <s:f>'자료구성'!$B$2</s:f>
        <s:v>46247.0</s:v>
      </s:c>
    </s:row>
    <s:row r="217">
      <s:c r="A217" s="0" t="n">
        <s:v>1563</s:v>
      </s:c>
      <s:c r="B217" s="0" t="n">
        <s:v>861</s:v>
      </s:c>
      <s:c r="C217" s="0" t="n">
        <s:v>2061</s:v>
      </s:c>
      <s:c r="D217" s="0" t="n">
        <s:v>906</s:v>
      </s:c>
      <s:c r="E217" s="0" t="n">
        <s:v>1136</s:v>
      </s:c>
      <s:c r="F217" s="0" t="n">
        <s:v>4320</s:v>
      </s:c>
      <s:c r="G217" s="0" t="n">
        <s:v>4324</s:v>
      </s:c>
      <s:c r="H217" s="0" t="n">
        <s:v>3858</s:v>
      </s:c>
      <s:c r="I217" s="0" t="n">
        <s:v>2301</s:v>
      </s:c>
      <s:c r="J217" s="0" t="n">
        <s:v>2477</s:v>
      </s:c>
      <s:c r="K217" s="22">
        <s:f>'1'!F218</s:f>
        <s:v>46247.56266203704</s:v>
      </s:c>
      <s:c r="L217" s="22">
        <s:f>'2'!F218</s:f>
        <s:v>46247.54439814815</s:v>
      </s:c>
      <s:c r="M217" s="22">
        <s:f>'3'!F218</s:f>
        <s:v>46247.52699074074</s:v>
      </s:c>
      <s:c r="N217" s="22">
        <s:f>'4'!F218</s:f>
        <s:v>46247.481099537035</s:v>
      </s:c>
      <s:c r="O217" s="22">
        <s:f>'5'!F218</s:f>
        <s:v>46247.45275462963</s:v>
      </s:c>
      <s:c r="P217" s="22">
        <s:f>'6'!F218</s:f>
        <s:v>46247.43329861111</s:v>
      </s:c>
      <s:c r="Q217" s="22">
        <s:f>'7'!F218</s:f>
        <s:v>46247.41064814815</s:v>
      </s:c>
      <s:c r="R217" s="22">
        <s:f>'8'!F218</s:f>
        <s:v>46247.386458333334</s:v>
      </s:c>
      <s:c r="S217" s="22">
        <s:f>'9'!F218</s:f>
        <s:v>46247.36864583333</s:v>
      </s:c>
      <s:c r="T217" s="22">
        <s:f>'10'!F218</s:f>
        <s:v>46247.339421296296</s:v>
      </s:c>
      <s:c r="U217" s="23">
        <s:f>'자료구성'!$B$2</s:f>
        <s:v>46247.0</s:v>
      </s:c>
    </s:row>
    <s:row r="218">
      <s:c r="A218" s="0" t="n">
        <s:v>1621</s:v>
      </s:c>
      <s:c r="B218" s="0" t="n">
        <s:v>865</s:v>
      </s:c>
      <s:c r="C218" s="0" t="n">
        <s:v>2066</s:v>
      </s:c>
      <s:c r="D218" s="0" t="n">
        <s:v>872</s:v>
      </s:c>
      <s:c r="E218" s="0" t="n">
        <s:v>1155</s:v>
      </s:c>
      <s:c r="F218" s="0" t="n">
        <s:v>4607</s:v>
      </s:c>
      <s:c r="G218" s="0" t="n">
        <s:v>4408</s:v>
      </s:c>
      <s:c r="H218" s="0" t="n">
        <s:v>3871</s:v>
      </s:c>
      <s:c r="I218" s="0" t="n">
        <s:v>2262</s:v>
      </s:c>
      <s:c r="J218" s="0" t="n">
        <s:v>2477</s:v>
      </s:c>
      <s:c r="K218" s="22">
        <s:f>'1'!F219</s:f>
        <s:v>46247.56267361111</s:v>
      </s:c>
      <s:c r="L218" s="22">
        <s:f>'2'!F219</s:f>
        <s:v>46247.54440972222</s:v>
      </s:c>
      <s:c r="M218" s="22">
        <s:f>'3'!F219</s:f>
        <s:v>46247.52700231481</s:v>
      </s:c>
      <s:c r="N218" s="22">
        <s:f>'4'!F219</s:f>
        <s:v>46247.48111111111</s:v>
      </s:c>
      <s:c r="O218" s="22">
        <s:f>'5'!F219</s:f>
        <s:v>46247.45276620371</s:v>
      </s:c>
      <s:c r="P218" s="22">
        <s:f>'6'!F219</s:f>
        <s:v>46247.43331018519</s:v>
      </s:c>
      <s:c r="Q218" s="22">
        <s:f>'7'!F219</s:f>
        <s:v>46247.41065972222</s:v>
      </s:c>
      <s:c r="R218" s="22">
        <s:f>'8'!F219</s:f>
        <s:v>46247.386469907404</s:v>
      </s:c>
      <s:c r="S218" s="22">
        <s:f>'9'!F219</s:f>
        <s:v>46247.36865740741</s:v>
      </s:c>
      <s:c r="T218" s="22">
        <s:f>'10'!F219</s:f>
        <s:v>46247.33943287037</s:v>
      </s:c>
      <s:c r="U218" s="23">
        <s:f>'자료구성'!$B$2</s:f>
        <s:v>46247.0</s:v>
      </s:c>
    </s:row>
    <s:row r="219">
      <s:c r="A219" s="0" t="n">
        <s:v>1652</s:v>
      </s:c>
      <s:c r="B219" s="0" t="n">
        <s:v>867</s:v>
      </s:c>
      <s:c r="C219" s="0" t="n">
        <s:v>2026</s:v>
      </s:c>
      <s:c r="D219" s="0" t="n">
        <s:v>878</s:v>
      </s:c>
      <s:c r="E219" s="0" t="n">
        <s:v>1157</s:v>
      </s:c>
      <s:c r="F219" s="0" t="n">
        <s:v>4829</s:v>
      </s:c>
      <s:c r="G219" s="0" t="n">
        <s:v>4555</s:v>
      </s:c>
      <s:c r="H219" s="0" t="n">
        <s:v>3904</s:v>
      </s:c>
      <s:c r="I219" s="0" t="n">
        <s:v>2198</s:v>
      </s:c>
      <s:c r="J219" s="0" t="n">
        <s:v>2446</s:v>
      </s:c>
      <s:c r="K219" s="22">
        <s:f>'1'!F220</s:f>
        <s:v>46247.562685185185</s:v>
      </s:c>
      <s:c r="L219" s="22">
        <s:f>'2'!F220</s:f>
        <s:v>46247.5444212963</s:v>
      </s:c>
      <s:c r="M219" s="22">
        <s:f>'3'!F220</s:f>
        <s:v>46247.52701388889</s:v>
      </s:c>
      <s:c r="N219" s="22">
        <s:f>'4'!F220</s:f>
        <s:v>46247.48112268518</s:v>
      </s:c>
      <s:c r="O219" s="22">
        <s:f>'5'!F220</s:f>
        <s:v>46247.45277777778</s:v>
      </s:c>
      <s:c r="P219" s="22">
        <s:f>'6'!F220</s:f>
        <s:v>46247.43332175926</s:v>
      </s:c>
      <s:c r="Q219" s="22">
        <s:f>'7'!F220</s:f>
        <s:v>46247.4106712963</s:v>
      </s:c>
      <s:c r="R219" s="22">
        <s:f>'8'!F220</s:f>
        <s:v>46247.38648148148</s:v>
      </s:c>
      <s:c r="S219" s="22">
        <s:f>'9'!F220</s:f>
        <s:v>46247.36866898148</s:v>
      </s:c>
      <s:c r="T219" s="22">
        <s:f>'10'!F220</s:f>
        <s:v>46247.33944444444</s:v>
      </s:c>
      <s:c r="U219" s="23">
        <s:f>'자료구성'!$B$2</s:f>
        <s:v>46247.0</s:v>
      </s:c>
    </s:row>
    <s:row r="220">
      <s:c r="A220" s="0" t="n">
        <s:v>1674</s:v>
      </s:c>
      <s:c r="B220" s="0" t="n">
        <s:v>856</s:v>
      </s:c>
      <s:c r="C220" s="0" t="n">
        <s:v>1990</s:v>
      </s:c>
      <s:c r="D220" s="0" t="n">
        <s:v>911</s:v>
      </s:c>
      <s:c r="E220" s="0" t="n">
        <s:v>1150</s:v>
      </s:c>
      <s:c r="F220" s="0" t="n">
        <s:v>4811</s:v>
      </s:c>
      <s:c r="G220" s="0" t="n">
        <s:v>4607</s:v>
      </s:c>
      <s:c r="H220" s="0" t="n">
        <s:v>3964</s:v>
      </s:c>
      <s:c r="I220" s="0" t="n">
        <s:v>2146</s:v>
      </s:c>
      <s:c r="J220" s="0" t="n">
        <s:v>2385</s:v>
      </s:c>
      <s:c r="K220" s="22">
        <s:f>'1'!F221</s:f>
        <s:v>46247.56269675926</s:v>
      </s:c>
      <s:c r="L220" s="22">
        <s:f>'2'!F221</s:f>
        <s:v>46247.54443287037</s:v>
      </s:c>
      <s:c r="M220" s="22">
        <s:f>'3'!F221</s:f>
        <s:v>46247.527025462965</s:v>
      </s:c>
      <s:c r="N220" s="22">
        <s:f>'4'!F221</s:f>
        <s:v>46247.48113425926</s:v>
      </s:c>
      <s:c r="O220" s="22">
        <s:f>'5'!F221</s:f>
        <s:v>46247.45278935185</s:v>
      </s:c>
      <s:c r="P220" s="22">
        <s:f>'6'!F221</s:f>
        <s:v>46247.433333333334</s:v>
      </s:c>
      <s:c r="Q220" s="22">
        <s:f>'7'!F221</s:f>
        <s:v>46247.41068287037</s:v>
      </s:c>
      <s:c r="R220" s="22">
        <s:f>'8'!F221</s:f>
        <s:v>46247.38649305556</s:v>
      </s:c>
      <s:c r="S220" s="22">
        <s:f>'9'!F221</s:f>
        <s:v>46247.368680555555</s:v>
      </s:c>
      <s:c r="T220" s="22">
        <s:f>'10'!F221</s:f>
        <s:v>46247.33945601852</s:v>
      </s:c>
      <s:c r="U220" s="23">
        <s:f>'자료구성'!$B$2</s:f>
        <s:v>46247.0</s:v>
      </s:c>
    </s:row>
    <s:row r="221">
      <s:c r="A221" s="0" t="n">
        <s:v>1681</s:v>
      </s:c>
      <s:c r="B221" s="0" t="n">
        <s:v>833</s:v>
      </s:c>
      <s:c r="C221" s="0" t="n">
        <s:v>1945</s:v>
      </s:c>
      <s:c r="D221" s="0" t="n">
        <s:v>940</s:v>
      </s:c>
      <s:c r="E221" s="0" t="n">
        <s:v>1157</s:v>
      </s:c>
      <s:c r="F221" s="0" t="n">
        <s:v>4789</s:v>
      </s:c>
      <s:c r="G221" s="0" t="n">
        <s:v>4571</s:v>
      </s:c>
      <s:c r="H221" s="0" t="n">
        <s:v>3985</s:v>
      </s:c>
      <s:c r="I221" s="0" t="n">
        <s:v>2104</s:v>
      </s:c>
      <s:c r="J221" s="0" t="n">
        <s:v>2334</s:v>
      </s:c>
      <s:c r="K221" s="22">
        <s:f>'1'!F222</s:f>
        <s:v>46247.56270833333</s:v>
      </s:c>
      <s:c r="L221" s="22">
        <s:f>'2'!F222</s:f>
        <s:v>46247.544444444444</s:v>
      </s:c>
      <s:c r="M221" s="22">
        <s:f>'3'!F222</s:f>
        <s:v>46247.527037037034</s:v>
      </s:c>
      <s:c r="N221" s="22">
        <s:f>'4'!F222</s:f>
        <s:v>46247.481145833335</s:v>
      </s:c>
      <s:c r="O221" s="22">
        <s:f>'5'!F222</s:f>
        <s:v>46247.45280092592</s:v>
      </s:c>
      <s:c r="P221" s="22">
        <s:f>'6'!F222</s:f>
        <s:v>46247.433344907404</s:v>
      </s:c>
      <s:c r="Q221" s="22">
        <s:f>'7'!F222</s:f>
        <s:v>46247.41069444444</s:v>
      </s:c>
      <s:c r="R221" s="22">
        <s:f>'8'!F222</s:f>
        <s:v>46247.38650462963</s:v>
      </s:c>
      <s:c r="S221" s="22">
        <s:f>'9'!F222</s:f>
        <s:v>46247.36869212963</s:v>
      </s:c>
      <s:c r="T221" s="22">
        <s:f>'10'!F222</s:f>
        <s:v>46247.339467592596</s:v>
      </s:c>
      <s:c r="U221" s="23">
        <s:f>'자료구성'!$B$2</s:f>
        <s:v>46247.0</s:v>
      </s:c>
    </s:row>
    <s:row r="222">
      <s:c r="A222" s="0" t="n">
        <s:v>1704</s:v>
      </s:c>
      <s:c r="B222" s="0" t="n">
        <s:v>820</s:v>
      </s:c>
      <s:c r="C222" s="0" t="n">
        <s:v>1908</s:v>
      </s:c>
      <s:c r="D222" s="0" t="n">
        <s:v>32</s:v>
      </s:c>
      <s:c r="E222" s="0" t="n">
        <s:v>1139</s:v>
      </s:c>
      <s:c r="F222" s="0" t="n">
        <s:v>4565</s:v>
      </s:c>
      <s:c r="G222" s="0" t="n">
        <s:v>4521</s:v>
      </s:c>
      <s:c r="H222" s="0" t="n">
        <s:v>4004</s:v>
      </s:c>
      <s:c r="I222" s="0" t="n">
        <s:v>2120</s:v>
      </s:c>
      <s:c r="J222" s="0" t="n">
        <s:v>2294</s:v>
      </s:c>
      <s:c r="K222" s="22">
        <s:f>'1'!F223</s:f>
        <s:v>46247.56271990741</s:v>
      </s:c>
      <s:c r="L222" s="22">
        <s:f>'2'!F223</s:f>
        <s:v>46247.54445601852</s:v>
      </s:c>
      <s:c r="M222" s="22">
        <s:f>'3'!F223</s:f>
        <s:v>46247.52704861111</s:v>
      </s:c>
      <s:c r="N222" s="22">
        <s:f>'4'!F223</s:f>
        <s:v>46247.481157407405</s:v>
      </s:c>
      <s:c r="O222" s="22">
        <s:f>'5'!F223</s:f>
        <s:v>46247.4528125</s:v>
      </s:c>
      <s:c r="P222" s="22">
        <s:f>'6'!F223</s:f>
        <s:v>46247.43335648148</s:v>
      </s:c>
      <s:c r="Q222" s="22">
        <s:f>'7'!F223</s:f>
        <s:v>46247.41070601852</s:v>
      </s:c>
      <s:c r="R222" s="22">
        <s:f>'8'!F223</s:f>
        <s:v>46247.386516203704</s:v>
      </s:c>
      <s:c r="S222" s="22">
        <s:f>'9'!F223</s:f>
        <s:v>46247.3687037037</s:v>
      </s:c>
      <s:c r="T222" s="22">
        <s:f>'10'!F223</s:f>
        <s:v>46247.339479166665</s:v>
      </s:c>
      <s:c r="U222" s="23">
        <s:f>'자료구성'!$B$2</s:f>
        <s:v>46247.0</s:v>
      </s:c>
    </s:row>
    <s:row r="223">
      <s:c r="A223" s="0" t="n">
        <s:v>1730</s:v>
      </s:c>
      <s:c r="B223" s="0" t="n">
        <s:v>857</s:v>
      </s:c>
      <s:c r="C223" s="0" t="n">
        <s:v>1890</s:v>
      </s:c>
      <s:c r="D223" s="0" t="n">
        <s:v>132</s:v>
      </s:c>
      <s:c r="E223" s="0" t="n">
        <s:v>1126</s:v>
      </s:c>
      <s:c r="F223" s="0" t="n">
        <s:v>4425</s:v>
      </s:c>
      <s:c r="G223" s="0" t="n">
        <s:v>4457</s:v>
      </s:c>
      <s:c r="H223" s="0" t="n">
        <s:v>4028</s:v>
      </s:c>
      <s:c r="I223" s="0" t="n">
        <s:v>2147</s:v>
      </s:c>
      <s:c r="J223" s="0" t="n">
        <s:v>2247</s:v>
      </s:c>
      <s:c r="K223" s="22">
        <s:f>'1'!F224</s:f>
        <s:v>46247.562731481485</s:v>
      </s:c>
      <s:c r="L223" s="22">
        <s:f>'2'!F224</s:f>
        <s:v>46247.54446759259</s:v>
      </s:c>
      <s:c r="M223" s="22">
        <s:f>'3'!F224</s:f>
        <s:v>46247.52706018519</s:v>
      </s:c>
      <s:c r="N223" s="22">
        <s:f>'4'!F224</s:f>
        <s:v>46247.48116898148</s:v>
      </s:c>
      <s:c r="O223" s="22">
        <s:f>'5'!F224</s:f>
        <s:v>46247.45282407408</s:v>
      </s:c>
      <s:c r="P223" s="22">
        <s:f>'6'!F224</s:f>
        <s:v>46247.43336805556</s:v>
      </s:c>
      <s:c r="Q223" s="22">
        <s:f>'7'!F224</s:f>
        <s:v>46247.41071759259</s:v>
      </s:c>
      <s:c r="R223" s="22">
        <s:f>'8'!F224</s:f>
        <s:v>46247.38652777778</s:v>
      </s:c>
      <s:c r="S223" s="22">
        <s:f>'9'!F224</s:f>
        <s:v>46247.36871527778</s:v>
      </s:c>
      <s:c r="T223" s="22">
        <s:f>'10'!F224</s:f>
        <s:v>46247.33949074074</s:v>
      </s:c>
      <s:c r="U223" s="23">
        <s:f>'자료구성'!$B$2</s:f>
        <s:v>46247.0</s:v>
      </s:c>
    </s:row>
    <s:row r="224">
      <s:c r="A224" s="0" t="n">
        <s:v>1743</s:v>
      </s:c>
      <s:c r="B224" s="0" t="n">
        <s:v>846</s:v>
      </s:c>
      <s:c r="C224" s="0" t="n">
        <s:v>1860</s:v>
      </s:c>
      <s:c r="D224" s="0" t="n">
        <s:v>211</s:v>
      </s:c>
      <s:c r="E224" s="0" t="n">
        <s:v>1120</s:v>
      </s:c>
      <s:c r="F224" s="0" t="n">
        <s:v>4581</s:v>
      </s:c>
      <s:c r="G224" s="0" t="n">
        <s:v>4384</s:v>
      </s:c>
      <s:c r="H224" s="0" t="n">
        <s:v>4084</s:v>
      </s:c>
      <s:c r="I224" s="0" t="n">
        <s:v>2194</s:v>
      </s:c>
      <s:c r="J224" s="0" t="n">
        <s:v>2241</s:v>
      </s:c>
      <s:c r="K224" s="22">
        <s:f>'1'!F225</s:f>
        <s:v>46247.562743055554</s:v>
      </s:c>
      <s:c r="L224" s="22">
        <s:f>'2'!F225</s:f>
        <s:v>46247.54447916667</s:v>
      </s:c>
      <s:c r="M224" s="22">
        <s:f>'3'!F225</s:f>
        <s:v>46247.52707175926</s:v>
      </s:c>
      <s:c r="N224" s="22">
        <s:f>'4'!F225</s:f>
        <s:v>46247.48118055556</s:v>
      </s:c>
      <s:c r="O224" s="22">
        <s:f>'5'!F225</s:f>
        <s:v>46247.452835648146</s:v>
      </s:c>
      <s:c r="P224" s="22">
        <s:f>'6'!F225</s:f>
        <s:v>46247.43337962963</s:v>
      </s:c>
      <s:c r="Q224" s="22">
        <s:f>'7'!F225</s:f>
        <s:v>46247.410729166666</s:v>
      </s:c>
      <s:c r="R224" s="22">
        <s:f>'8'!F225</s:f>
        <s:v>46247.38653935185</s:v>
      </s:c>
      <s:c r="S224" s="22">
        <s:f>'9'!F225</s:f>
        <s:v>46247.368726851855</s:v>
      </s:c>
      <s:c r="T224" s="22">
        <s:f>'10'!F225</s:f>
        <s:v>46247.33950231481</s:v>
      </s:c>
      <s:c r="U224" s="23">
        <s:f>'자료구성'!$B$2</s:f>
        <s:v>46247.0</s:v>
      </s:c>
    </s:row>
    <s:row r="225">
      <s:c r="A225" s="0" t="n">
        <s:v>1730</s:v>
      </s:c>
      <s:c r="B225" s="0" t="n">
        <s:v>834</s:v>
      </s:c>
      <s:c r="C225" s="0" t="n">
        <s:v>1814</s:v>
      </s:c>
      <s:c r="D225" s="0" t="n">
        <s:v>237</s:v>
      </s:c>
      <s:c r="E225" s="0" t="n">
        <s:v>1117</s:v>
      </s:c>
      <s:c r="F225" s="0" t="n">
        <s:v>4592</s:v>
      </s:c>
      <s:c r="G225" s="0" t="n">
        <s:v>4298</s:v>
      </s:c>
      <s:c r="H225" s="0" t="n">
        <s:v>4108</s:v>
      </s:c>
      <s:c r="I225" s="0" t="n">
        <s:v>2240</s:v>
      </s:c>
      <s:c r="J225" s="0" t="n">
        <s:v>2237</s:v>
      </s:c>
      <s:c r="K225" s="22">
        <s:f>'1'!F226</s:f>
        <s:v>46247.56275462963</s:v>
      </s:c>
      <s:c r="L225" s="22">
        <s:f>'2'!F226</s:f>
        <s:v>46247.544490740744</s:v>
      </s:c>
      <s:c r="M225" s="22">
        <s:f>'3'!F226</s:f>
        <s:v>46247.527083333334</s:v>
      </s:c>
      <s:c r="N225" s="22">
        <s:f>'4'!F226</s:f>
        <s:v>46247.48119212963</s:v>
      </s:c>
      <s:c r="O225" s="22">
        <s:f>'5'!F226</s:f>
        <s:v>46247.45284722222</s:v>
      </s:c>
      <s:c r="P225" s="22">
        <s:f>'6'!F226</s:f>
        <s:v>46247.433391203704</s:v>
      </s:c>
      <s:c r="Q225" s="22">
        <s:f>'7'!F226</s:f>
        <s:v>46247.41074074074</s:v>
      </s:c>
      <s:c r="R225" s="22">
        <s:f>'8'!F226</s:f>
        <s:v>46247.38655092593</s:v>
      </s:c>
      <s:c r="S225" s="22">
        <s:f>'9'!F226</s:f>
        <s:v>46247.368738425925</s:v>
      </s:c>
      <s:c r="T225" s="22">
        <s:f>'10'!F226</s:f>
        <s:v>46247.33951388889</s:v>
      </s:c>
      <s:c r="U225" s="23">
        <s:f>'자료구성'!$B$2</s:f>
        <s:v>46247.0</s:v>
      </s:c>
    </s:row>
    <s:row r="226">
      <s:c r="A226" s="0" t="n">
        <s:v>1721</s:v>
      </s:c>
      <s:c r="B226" s="0" t="n">
        <s:v>849</s:v>
      </s:c>
      <s:c r="C226" s="0" t="n">
        <s:v>1801</s:v>
      </s:c>
      <s:c r="D226" s="0" t="n">
        <s:v>285</s:v>
      </s:c>
      <s:c r="E226" s="0" t="n">
        <s:v>1116</s:v>
      </s:c>
      <s:c r="F226" s="0" t="n">
        <s:v>4724</s:v>
      </s:c>
      <s:c r="G226" s="0" t="n">
        <s:v>4283</s:v>
      </s:c>
      <s:c r="H226" s="0" t="n">
        <s:v>4227</s:v>
      </s:c>
      <s:c r="I226" s="0" t="n">
        <s:v>2332</s:v>
      </s:c>
      <s:c r="J226" s="0" t="n">
        <s:v>2232</s:v>
      </s:c>
      <s:c r="K226" s="22">
        <s:f>'1'!F227</s:f>
        <s:v>46247.5627662037</s:v>
      </s:c>
      <s:c r="L226" s="22">
        <s:f>'2'!F227</s:f>
        <s:v>46247.54450231481</s:v>
      </s:c>
      <s:c r="M226" s="22">
        <s:f>'3'!F227</s:f>
        <s:v>46247.527094907404</s:v>
      </s:c>
      <s:c r="N226" s="22">
        <s:f>'4'!F227</s:f>
        <s:v>46247.481203703705</s:v>
      </s:c>
      <s:c r="O226" s="22">
        <s:f>'5'!F227</s:f>
        <s:v>46247.4528587963</s:v>
      </s:c>
      <s:c r="P226" s="22">
        <s:f>'6'!F227</s:f>
        <s:v>46247.43340277778</s:v>
      </s:c>
      <s:c r="Q226" s="22">
        <s:f>'7'!F227</s:f>
        <s:v>46247.41075231481</s:v>
      </s:c>
      <s:c r="R226" s="22">
        <s:f>'8'!F227</s:f>
        <s:v>46247.3865625</s:v>
      </s:c>
      <s:c r="S226" s="22">
        <s:f>'9'!F227</s:f>
        <s:v>46247.36875</s:v>
      </s:c>
      <s:c r="T226" s="22">
        <s:f>'10'!F227</s:f>
        <s:v>46247.339525462965</s:v>
      </s:c>
      <s:c r="U226" s="23">
        <s:f>'자료구성'!$B$2</s:f>
        <s:v>46247.0</s:v>
      </s:c>
    </s:row>
    <s:row r="227">
      <s:c r="A227" s="0" t="n">
        <s:v>1726</s:v>
      </s:c>
      <s:c r="B227" s="0" t="n">
        <s:v>865</s:v>
      </s:c>
      <s:c r="C227" s="0" t="n">
        <s:v>1835</s:v>
      </s:c>
      <s:c r="D227" s="0" t="n">
        <s:v>305</s:v>
      </s:c>
      <s:c r="E227" s="0" t="n">
        <s:v>1124</s:v>
      </s:c>
      <s:c r="F227" s="0" t="n">
        <s:v>4674</s:v>
      </s:c>
      <s:c r="G227" s="0" t="n">
        <s:v>4275</s:v>
      </s:c>
      <s:c r="H227" s="0" t="n">
        <s:v>4336</s:v>
      </s:c>
      <s:c r="I227" s="0" t="n">
        <s:v>2387</s:v>
      </s:c>
      <s:c r="J227" s="0" t="n">
        <s:v>2241</s:v>
      </s:c>
      <s:c r="K227" s="22">
        <s:f>'1'!F228</s:f>
        <s:v>46247.56277777778</s:v>
      </s:c>
      <s:c r="L227" s="22">
        <s:f>'2'!F228</s:f>
        <s:v>46247.54451388889</s:v>
      </s:c>
      <s:c r="M227" s="22">
        <s:f>'3'!F228</s:f>
        <s:v>46247.52710648148</s:v>
      </s:c>
      <s:c r="N227" s="22">
        <s:f>'4'!F228</s:f>
        <s:v>46247.48121527778</s:v>
      </s:c>
      <s:c r="O227" s="22">
        <s:f>'5'!F228</s:f>
        <s:v>46247.45287037037</s:v>
      </s:c>
      <s:c r="P227" s="22">
        <s:f>'6'!F228</s:f>
        <s:v>46247.43341435185</s:v>
      </s:c>
      <s:c r="Q227" s="22">
        <s:f>'7'!F228</s:f>
        <s:v>46247.41076388889</s:v>
      </s:c>
      <s:c r="R227" s="22">
        <s:f>'8'!F228</s:f>
        <s:v>46247.38657407407</s:v>
      </s:c>
      <s:c r="S227" s="22">
        <s:f>'9'!F228</s:f>
        <s:v>46247.36876157407</s:v>
      </s:c>
      <s:c r="T227" s="22">
        <s:f>'10'!F228</s:f>
        <s:v>46247.339537037034</s:v>
      </s:c>
      <s:c r="U227" s="23">
        <s:f>'자료구성'!$B$2</s:f>
        <s:v>46247.0</s:v>
      </s:c>
    </s:row>
    <s:row r="228">
      <s:c r="A228" s="0" t="n">
        <s:v>1708</s:v>
      </s:c>
      <s:c r="B228" s="0" t="n">
        <s:v>875</s:v>
      </s:c>
      <s:c r="C228" s="0" t="n">
        <s:v>1870</s:v>
      </s:c>
      <s:c r="D228" s="0" t="n">
        <s:v>311</s:v>
      </s:c>
      <s:c r="E228" s="0" t="n">
        <s:v>1129</s:v>
      </s:c>
      <s:c r="F228" s="0" t="n">
        <s:v>4541</s:v>
      </s:c>
      <s:c r="G228" s="0" t="n">
        <s:v>4183</s:v>
      </s:c>
      <s:c r="H228" s="0" t="n">
        <s:v>4397</s:v>
      </s:c>
      <s:c r="I228" s="0" t="n">
        <s:v>2443</s:v>
      </s:c>
      <s:c r="J228" s="0" t="n">
        <s:v>2265</s:v>
      </s:c>
      <s:c r="K228" s="22">
        <s:f>'1'!F229</s:f>
        <s:v>46247.562789351854</s:v>
      </s:c>
      <s:c r="L228" s="22">
        <s:f>'2'!F229</s:f>
        <s:v>46247.54452546296</s:v>
      </s:c>
      <s:c r="M228" s="22">
        <s:f>'3'!F229</s:f>
        <s:v>46247.52711805556</s:v>
      </s:c>
      <s:c r="N228" s="22">
        <s:f>'4'!F229</s:f>
        <s:v>46247.48122685185</s:v>
      </s:c>
      <s:c r="O228" s="22">
        <s:f>'5'!F229</s:f>
        <s:v>46247.452881944446</s:v>
      </s:c>
      <s:c r="P228" s="22">
        <s:f>'6'!F229</s:f>
        <s:v>46247.43342592593</s:v>
      </s:c>
      <s:c r="Q228" s="22">
        <s:f>'7'!F229</s:f>
        <s:v>46247.410775462966</s:v>
      </s:c>
      <s:c r="R228" s="22">
        <s:f>'8'!F229</s:f>
        <s:v>46247.38658564815</s:v>
      </s:c>
      <s:c r="S228" s="22">
        <s:f>'9'!F229</s:f>
        <s:v>46247.36877314815</s:v>
      </s:c>
      <s:c r="T228" s="22">
        <s:f>'10'!F229</s:f>
        <s:v>46247.33954861111</s:v>
      </s:c>
      <s:c r="U228" s="23">
        <s:f>'자료구성'!$B$2</s:f>
        <s:v>46247.0</s:v>
      </s:c>
    </s:row>
    <s:row r="229">
      <s:c r="A229" s="0" t="n">
        <s:v>1680</s:v>
      </s:c>
      <s:c r="B229" s="0" t="n">
        <s:v>884</s:v>
      </s:c>
      <s:c r="C229" s="0" t="n">
        <s:v>1917</s:v>
      </s:c>
      <s:c r="D229" s="0" t="n">
        <s:v>331</s:v>
      </s:c>
      <s:c r="E229" s="0" t="n">
        <s:v>1124</s:v>
      </s:c>
      <s:c r="F229" s="0" t="n">
        <s:v>4487</s:v>
      </s:c>
      <s:c r="G229" s="0" t="n">
        <s:v>4152</s:v>
      </s:c>
      <s:c r="H229" s="0" t="n">
        <s:v>4478</s:v>
      </s:c>
      <s:c r="I229" s="0" t="n">
        <s:v>2473</s:v>
      </s:c>
      <s:c r="J229" s="0" t="n">
        <s:v>2283</s:v>
      </s:c>
      <s:c r="K229" s="22">
        <s:f>'1'!F230</s:f>
        <s:v>46247.56280092592</s:v>
      </s:c>
      <s:c r="L229" s="22">
        <s:f>'2'!F230</s:f>
        <s:v>46247.544537037036</s:v>
      </s:c>
      <s:c r="M229" s="22">
        <s:f>'3'!F230</s:f>
        <s:v>46247.52712962963</s:v>
      </s:c>
      <s:c r="N229" s="22">
        <s:f>'4'!F230</s:f>
        <s:v>46247.48123842593</s:v>
      </s:c>
      <s:c r="O229" s="22">
        <s:f>'5'!F230</s:f>
        <s:v>46247.452893518515</s:v>
      </s:c>
      <s:c r="P229" s="22">
        <s:f>'6'!F230</s:f>
        <s:v>46247.4334375</s:v>
      </s:c>
      <s:c r="Q229" s="22">
        <s:f>'7'!F230</s:f>
        <s:v>46247.410787037035</s:v>
      </s:c>
      <s:c r="R229" s="22">
        <s:f>'8'!F230</s:f>
        <s:v>46247.38659722222</s:v>
      </s:c>
      <s:c r="S229" s="22">
        <s:f>'9'!F230</s:f>
        <s:v>46247.368784722225</s:v>
      </s:c>
      <s:c r="T229" s="22">
        <s:f>'10'!F230</s:f>
        <s:v>46247.33956018519</s:v>
      </s:c>
      <s:c r="U229" s="23">
        <s:f>'자료구성'!$B$2</s:f>
        <s:v>46247.0</s:v>
      </s:c>
    </s:row>
    <s:row r="230">
      <s:c r="A230" s="0" t="n">
        <s:v>1686</s:v>
      </s:c>
      <s:c r="B230" s="0" t="n">
        <s:v>935</s:v>
      </s:c>
      <s:c r="C230" s="0" t="n">
        <s:v>2058</s:v>
      </s:c>
      <s:c r="D230" s="0" t="n">
        <s:v>230</s:v>
      </s:c>
      <s:c r="E230" s="0" t="n">
        <s:v>1116</s:v>
      </s:c>
      <s:c r="F230" s="0" t="n">
        <s:v>4321</s:v>
      </s:c>
      <s:c r="G230" s="0" t="n">
        <s:v>4127</s:v>
      </s:c>
      <s:c r="H230" s="0" t="n">
        <s:v>4466</s:v>
      </s:c>
      <s:c r="I230" s="0" t="n">
        <s:v>2521</s:v>
      </s:c>
      <s:c r="J230" s="0" t="n">
        <s:v>2314</s:v>
      </s:c>
      <s:c r="K230" s="22">
        <s:f>'1'!F231</s:f>
        <s:v>46247.5628125</s:v>
      </s:c>
      <s:c r="L230" s="22">
        <s:f>'2'!F231</s:f>
        <s:v>46247.54454861111</s:v>
      </s:c>
      <s:c r="M230" s="22">
        <s:f>'3'!F231</s:f>
        <s:v>46247.527141203704</s:v>
      </s:c>
      <s:c r="N230" s="22">
        <s:f>'4'!F231</s:f>
        <s:v>46247.48125</s:v>
      </s:c>
      <s:c r="O230" s="22">
        <s:f>'5'!F231</s:f>
        <s:v>46247.45290509259</s:v>
      </s:c>
      <s:c r="P230" s="22">
        <s:f>'6'!F231</s:f>
        <s:v>46247.43344907407</s:v>
      </s:c>
      <s:c r="Q230" s="22">
        <s:f>'7'!F231</s:f>
        <s:v>46247.41079861111</s:v>
      </s:c>
      <s:c r="R230" s="22">
        <s:f>'8'!F231</s:f>
        <s:v>46247.386608796296</s:v>
      </s:c>
      <s:c r="S230" s="22">
        <s:f>'9'!F231</s:f>
        <s:v>46247.368796296294</s:v>
      </s:c>
      <s:c r="T230" s="22">
        <s:f>'10'!F231</s:f>
        <s:v>46247.33957175926</s:v>
      </s:c>
      <s:c r="U230" s="23">
        <s:f>'자료구성'!$B$2</s:f>
        <s:v>46247.0</s:v>
      </s:c>
    </s:row>
    <s:row r="231">
      <s:c r="A231" s="0" t="n">
        <s:v>1675</s:v>
      </s:c>
      <s:c r="B231" s="0" t="n">
        <s:v>977</s:v>
      </s:c>
      <s:c r="C231" s="0" t="n">
        <s:v>2185</s:v>
      </s:c>
      <s:c r="D231" s="0" t="n">
        <s:v>139</s:v>
      </s:c>
      <s:c r="E231" s="0" t="n">
        <s:v>1138</s:v>
      </s:c>
      <s:c r="F231" s="0" t="n">
        <s:v>4156</s:v>
      </s:c>
      <s:c r="G231" s="0" t="n">
        <s:v>3978</s:v>
      </s:c>
      <s:c r="H231" s="0" t="n">
        <s:v>4419</s:v>
      </s:c>
      <s:c r="I231" s="0" t="n">
        <s:v>2545</s:v>
      </s:c>
      <s:c r="J231" s="0" t="n">
        <s:v>2329</s:v>
      </s:c>
      <s:c r="K231" s="22">
        <s:f>'1'!F232</s:f>
        <s:v>46247.56282407408</s:v>
      </s:c>
      <s:c r="L231" s="22">
        <s:f>'2'!F232</s:f>
        <s:v>46247.54456018518</s:v>
      </s:c>
      <s:c r="M231" s="22">
        <s:f>'3'!F232</s:f>
        <s:v>46247.52715277778</s:v>
      </s:c>
      <s:c r="N231" s="22">
        <s:f>'4'!F232</s:f>
        <s:v>46247.481261574074</s:v>
      </s:c>
      <s:c r="O231" s="22">
        <s:f>'5'!F232</s:f>
        <s:v>46247.45291666667</s:v>
      </s:c>
      <s:c r="P231" s="22">
        <s:f>'6'!F232</s:f>
        <s:v>46247.43346064815</s:v>
      </s:c>
      <s:c r="Q231" s="22">
        <s:f>'7'!F232</s:f>
        <s:v>46247.41081018518</s:v>
      </s:c>
      <s:c r="R231" s="22">
        <s:f>'8'!F232</s:f>
        <s:v>46247.38662037037</s:v>
      </s:c>
      <s:c r="S231" s="22">
        <s:f>'9'!F232</s:f>
        <s:v>46247.36880787037</s:v>
      </s:c>
      <s:c r="T231" s="22">
        <s:f>'10'!F232</s:f>
        <s:v>46247.339583333334</s:v>
      </s:c>
      <s:c r="U231" s="23">
        <s:f>'자료구성'!$B$2</s:f>
        <s:v>46247.0</s:v>
      </s:c>
    </s:row>
    <s:row r="232">
      <s:c r="A232" s="0" t="n">
        <s:v>1656</s:v>
      </s:c>
      <s:c r="B232" s="0" t="n">
        <s:v>972</s:v>
      </s:c>
      <s:c r="C232" s="0" t="n">
        <s:v>2167</s:v>
      </s:c>
      <s:c r="D232" s="0" t="n">
        <s:v>188</s:v>
      </s:c>
      <s:c r="E232" s="0" t="n">
        <s:v>1149</s:v>
      </s:c>
      <s:c r="F232" s="0" t="n">
        <s:v>4245</s:v>
      </s:c>
      <s:c r="G232" s="0" t="n">
        <s:v>3830</s:v>
      </s:c>
      <s:c r="H232" s="0" t="n">
        <s:v>4397</s:v>
      </s:c>
      <s:c r="I232" s="0" t="n">
        <s:v>2517</s:v>
      </s:c>
      <s:c r="J232" s="0" t="n">
        <s:v>2340</s:v>
      </s:c>
      <s:c r="K232" s="22">
        <s:f>'1'!F233</s:f>
        <s:v>46247.56283564815</s:v>
      </s:c>
      <s:c r="L232" s="22">
        <s:f>'2'!F233</s:f>
        <s:v>46247.54457175926</s:v>
      </s:c>
      <s:c r="M232" s="22">
        <s:f>'3'!F233</s:f>
        <s:v>46247.52716435185</s:v>
      </s:c>
      <s:c r="N232" s="22">
        <s:f>'4'!F233</s:f>
        <s:v>46247.48127314815</s:v>
      </s:c>
      <s:c r="O232" s="22">
        <s:f>'5'!F233</s:f>
        <s:v>46247.45292824074</s:v>
      </s:c>
      <s:c r="P232" s="22">
        <s:f>'6'!F233</s:f>
        <s:v>46247.43347222222</s:v>
      </s:c>
      <s:c r="Q232" s="22">
        <s:f>'7'!F233</s:f>
        <s:v>46247.41082175926</s:v>
      </s:c>
      <s:c r="R232" s="22">
        <s:f>'8'!F233</s:f>
        <s:v>46247.38663194444</s:v>
      </s:c>
      <s:c r="S232" s="22">
        <s:f>'9'!F233</s:f>
        <s:v>46247.36881944445</s:v>
      </s:c>
      <s:c r="T232" s="22">
        <s:f>'10'!F233</s:f>
        <s:v>46247.339594907404</s:v>
      </s:c>
      <s:c r="U232" s="23">
        <s:f>'자료구성'!$B$2</s:f>
        <s:v>46247.0</s:v>
      </s:c>
    </s:row>
    <s:row r="233">
      <s:c r="A233" s="0" t="n">
        <s:v>1646</s:v>
      </s:c>
      <s:c r="B233" s="0" t="n">
        <s:v>953</s:v>
      </s:c>
      <s:c r="C233" s="0" t="n">
        <s:v>2111</s:v>
      </s:c>
      <s:c r="D233" s="0" t="n">
        <s:v>304</s:v>
      </s:c>
      <s:c r="E233" s="0" t="n">
        <s:v>1161</s:v>
      </s:c>
      <s:c r="F233" s="0" t="n">
        <s:v>4329</s:v>
      </s:c>
      <s:c r="G233" s="0" t="n">
        <s:v>3695</s:v>
      </s:c>
      <s:c r="H233" s="0" t="n">
        <s:v>4410</s:v>
      </s:c>
      <s:c r="I233" s="0" t="n">
        <s:v>2494</s:v>
      </s:c>
      <s:c r="J233" s="0" t="n">
        <s:v>2354</s:v>
      </s:c>
      <s:c r="K233" s="22">
        <s:f>'1'!F234</s:f>
        <s:v>46247.56284722222</s:v>
      </s:c>
      <s:c r="L233" s="22">
        <s:f>'2'!F234</s:f>
        <s:v>46247.544583333336</s:v>
      </s:c>
      <s:c r="M233" s="22">
        <s:f>'3'!F234</s:f>
        <s:v>46247.52717592593</s:v>
      </s:c>
      <s:c r="N233" s="22">
        <s:f>'4'!F234</s:f>
        <s:v>46247.48128472222</s:v>
      </s:c>
      <s:c r="O233" s="22">
        <s:f>'5'!F234</s:f>
        <s:v>46247.452939814815</s:v>
      </s:c>
      <s:c r="P233" s="22">
        <s:f>'6'!F234</s:f>
        <s:v>46247.433483796296</s:v>
      </s:c>
      <s:c r="Q233" s="22">
        <s:f>'7'!F234</s:f>
        <s:v>46247.410833333335</s:v>
      </s:c>
      <s:c r="R233" s="22">
        <s:f>'8'!F234</s:f>
        <s:v>46247.38664351852</s:v>
      </s:c>
      <s:c r="S233" s="22">
        <s:f>'9'!F234</s:f>
        <s:v>46247.36883101852</s:v>
      </s:c>
      <s:c r="T233" s="22">
        <s:f>'10'!F234</s:f>
        <s:v>46247.33960648148</s:v>
      </s:c>
      <s:c r="U233" s="23">
        <s:f>'자료구성'!$B$2</s:f>
        <s:v>46247.0</s:v>
      </s:c>
    </s:row>
    <s:row r="234">
      <s:c r="A234" s="0" t="n">
        <s:v>1649</s:v>
      </s:c>
      <s:c r="B234" s="0" t="n">
        <s:v>927</s:v>
      </s:c>
      <s:c r="C234" s="0" t="n">
        <s:v>2175</s:v>
      </s:c>
      <s:c r="D234" s="0" t="n">
        <s:v>336</s:v>
      </s:c>
      <s:c r="E234" s="0" t="n">
        <s:v>1158</s:v>
      </s:c>
      <s:c r="F234" s="0" t="n">
        <s:v>4360</s:v>
      </s:c>
      <s:c r="G234" s="0" t="n">
        <s:v>3559</s:v>
      </s:c>
      <s:c r="H234" s="0" t="n">
        <s:v>4374</s:v>
      </s:c>
      <s:c r="I234" s="0" t="n">
        <s:v>2508</s:v>
      </s:c>
      <s:c r="J234" s="0" t="n">
        <s:v>2387</s:v>
      </s:c>
      <s:c r="K234" s="22">
        <s:f>'1'!F235</s:f>
        <s:v>46247.56285879629</s:v>
      </s:c>
      <s:c r="L234" s="22">
        <s:f>'2'!F235</s:f>
        <s:v>46247.544594907406</s:v>
      </s:c>
      <s:c r="M234" s="22">
        <s:f>'3'!F235</s:f>
        <s:v>46247.5271875</s:v>
      </s:c>
      <s:c r="N234" s="22">
        <s:f>'4'!F235</s:f>
        <s:v>46247.4812962963</s:v>
      </s:c>
      <s:c r="O234" s="22">
        <s:f>'5'!F235</s:f>
        <s:v>46247.45295138889</s:v>
      </s:c>
      <s:c r="P234" s="22">
        <s:f>'6'!F235</s:f>
        <s:v>46247.43349537037</s:v>
      </s:c>
      <s:c r="Q234" s="22">
        <s:f>'7'!F235</s:f>
        <s:v>46247.410844907405</s:v>
      </s:c>
      <s:c r="R234" s="22">
        <s:f>'8'!F235</s:f>
        <s:v>46247.386655092596</s:v>
      </s:c>
      <s:c r="S234" s="22">
        <s:f>'9'!F235</s:f>
        <s:v>46247.368842592594</s:v>
      </s:c>
      <s:c r="T234" s="22">
        <s:f>'10'!F235</s:f>
        <s:v>46247.33961805556</s:v>
      </s:c>
      <s:c r="U234" s="23">
        <s:f>'자료구성'!$B$2</s:f>
        <s:v>46247.0</s:v>
      </s:c>
    </s:row>
    <s:row r="235">
      <s:c r="A235" s="0" t="n">
        <s:v>1661</s:v>
      </s:c>
      <s:c r="B235" s="0" t="n">
        <s:v>927</s:v>
      </s:c>
      <s:c r="C235" s="0" t="n">
        <s:v>2291</s:v>
      </s:c>
      <s:c r="D235" s="0" t="n">
        <s:v>312</s:v>
      </s:c>
      <s:c r="E235" s="0" t="n">
        <s:v>1164</s:v>
      </s:c>
      <s:c r="F235" s="0" t="n">
        <s:v>4340</s:v>
      </s:c>
      <s:c r="G235" s="0" t="n">
        <s:v>3438</s:v>
      </s:c>
      <s:c r="H235" s="0" t="n">
        <s:v>4340</s:v>
      </s:c>
      <s:c r="I235" s="0" t="n">
        <s:v>2497</s:v>
      </s:c>
      <s:c r="J235" s="0" t="n">
        <s:v>2403</s:v>
      </s:c>
      <s:c r="K235" s="22">
        <s:f>'1'!F236</s:f>
        <s:v>46247.56287037037</s:v>
      </s:c>
      <s:c r="L235" s="22">
        <s:f>'2'!F236</s:f>
        <s:v>46247.54460648148</s:v>
      </s:c>
      <s:c r="M235" s="22">
        <s:f>'3'!F236</s:f>
        <s:v>46247.52719907407</s:v>
      </s:c>
      <s:c r="N235" s="22">
        <s:f>'4'!F236</s:f>
        <s:v>46247.481307870374</s:v>
      </s:c>
      <s:c r="O235" s="22">
        <s:f>'5'!F236</s:f>
        <s:v>46247.45296296296</s:v>
      </s:c>
      <s:c r="P235" s="22">
        <s:f>'6'!F236</s:f>
        <s:v>46247.43350694444</s:v>
      </s:c>
      <s:c r="Q235" s="22">
        <s:f>'7'!F236</s:f>
        <s:v>46247.41085648148</s:v>
      </s:c>
      <s:c r="R235" s="22">
        <s:f>'8'!F236</s:f>
        <s:v>46247.386666666665</s:v>
      </s:c>
      <s:c r="S235" s="22">
        <s:f>'9'!F236</s:f>
        <s:v>46247.36885416666</s:v>
      </s:c>
      <s:c r="T235" s="22">
        <s:f>'10'!F236</s:f>
        <s:v>46247.33962962963</s:v>
      </s:c>
      <s:c r="U235" s="23">
        <s:f>'자료구성'!$B$2</s:f>
        <s:v>46247.0</s:v>
      </s:c>
    </s:row>
    <s:row r="236">
      <s:c r="A236" s="0" t="n">
        <s:v>1658</s:v>
      </s:c>
      <s:c r="B236" s="0" t="n">
        <s:v>909</s:v>
      </s:c>
      <s:c r="C236" s="0" t="n">
        <s:v>2456</s:v>
      </s:c>
      <s:c r="D236" s="0" t="n">
        <s:v>295</s:v>
      </s:c>
      <s:c r="E236" s="0" t="n">
        <s:v>1162</s:v>
      </s:c>
      <s:c r="F236" s="0" t="n">
        <s:v>4300</s:v>
      </s:c>
      <s:c r="G236" s="0" t="n">
        <s:v>3355</s:v>
      </s:c>
      <s:c r="H236" s="0" t="n">
        <s:v>4317</s:v>
      </s:c>
      <s:c r="I236" s="0" t="n">
        <s:v>2511</s:v>
      </s:c>
      <s:c r="J236" s="0" t="n">
        <s:v>2412</s:v>
      </s:c>
      <s:c r="K236" s="22">
        <s:f>'1'!F237</s:f>
        <s:v>46247.56288194445</s:v>
      </s:c>
      <s:c r="L236" s="22">
        <s:f>'2'!F237</s:f>
        <s:v>46247.54461805556</s:v>
      </s:c>
      <s:c r="M236" s="22">
        <s:f>'3'!F237</s:f>
        <s:v>46247.52721064815</s:v>
      </s:c>
      <s:c r="N236" s="22">
        <s:f>'4'!F237</s:f>
        <s:v>46247.48131944444</s:v>
      </s:c>
      <s:c r="O236" s="22">
        <s:f>'5'!F237</s:f>
        <s:v>46247.45297453704</s:v>
      </s:c>
      <s:c r="P236" s="22">
        <s:f>'6'!F237</s:f>
        <s:v>46247.43351851852</s:v>
      </s:c>
      <s:c r="Q236" s="22">
        <s:f>'7'!F237</s:f>
        <s:v>46247.41086805556</s:v>
      </s:c>
      <s:c r="R236" s="22">
        <s:f>'8'!F237</s:f>
        <s:v>46247.38667824074</s:v>
      </s:c>
      <s:c r="S236" s="22">
        <s:f>'9'!F237</s:f>
        <s:v>46247.36886574074</s:v>
      </s:c>
      <s:c r="T236" s="22">
        <s:f>'10'!F237</s:f>
        <s:v>46247.339641203704</s:v>
      </s:c>
      <s:c r="U236" s="23">
        <s:f>'자료구성'!$B$2</s:f>
        <s:v>46247.0</s:v>
      </s:c>
    </s:row>
    <s:row r="237">
      <s:c r="A237" s="0" t="n">
        <s:v>1668</s:v>
      </s:c>
      <s:c r="B237" s="0" t="n">
        <s:v>916</s:v>
      </s:c>
      <s:c r="C237" s="0" t="n">
        <s:v>2640</s:v>
      </s:c>
      <s:c r="D237" s="0" t="n">
        <s:v>312</s:v>
      </s:c>
      <s:c r="E237" s="0" t="n">
        <s:v>1174</s:v>
      </s:c>
      <s:c r="F237" s="0" t="n">
        <s:v>4247</s:v>
      </s:c>
      <s:c r="G237" s="0" t="n">
        <s:v>3281</s:v>
      </s:c>
      <s:c r="H237" s="0" t="n">
        <s:v>4290</s:v>
      </s:c>
      <s:c r="I237" s="0" t="n">
        <s:v>2576</s:v>
      </s:c>
      <s:c r="J237" s="0" t="n">
        <s:v>2435</s:v>
      </s:c>
      <s:c r="K237" s="22">
        <s:f>'1'!F238</s:f>
        <s:v>46247.562893518516</s:v>
      </s:c>
      <s:c r="L237" s="22">
        <s:f>'2'!F238</s:f>
        <s:v>46247.54462962963</s:v>
      </s:c>
      <s:c r="M237" s="22">
        <s:f>'3'!F238</s:f>
        <s:v>46247.52722222222</s:v>
      </s:c>
      <s:c r="N237" s="22">
        <s:f>'4'!F238</s:f>
        <s:v>46247.48133101852</s:v>
      </s:c>
      <s:c r="O237" s="22">
        <s:f>'5'!F238</s:f>
        <s:v>46247.45298611111</s:v>
      </s:c>
      <s:c r="P237" s="22">
        <s:f>'6'!F238</s:f>
        <s:v>46247.433530092596</s:v>
      </s:c>
      <s:c r="Q237" s="22">
        <s:f>'7'!F238</s:f>
        <s:v>46247.41087962963</s:v>
      </s:c>
      <s:c r="R237" s="22">
        <s:f>'8'!F238</s:f>
        <s:v>46247.38668981481</s:v>
      </s:c>
      <s:c r="S237" s="22">
        <s:f>'9'!F238</s:f>
        <s:v>46247.36887731482</s:v>
      </s:c>
      <s:c r="T237" s="22">
        <s:f>'10'!F238</s:f>
        <s:v>46247.33965277778</s:v>
      </s:c>
      <s:c r="U237" s="23">
        <s:f>'자료구성'!$B$2</s:f>
        <s:v>46247.0</s:v>
      </s:c>
    </s:row>
    <s:row r="238">
      <s:c r="A238" s="0" t="n">
        <s:v>1665</s:v>
      </s:c>
      <s:c r="B238" s="0" t="n">
        <s:v>896</s:v>
      </s:c>
      <s:c r="C238" s="0" t="n">
        <s:v>2808</s:v>
      </s:c>
      <s:c r="D238" s="0" t="n">
        <s:v>352</s:v>
      </s:c>
      <s:c r="E238" s="0" t="n">
        <s:v>1172</s:v>
      </s:c>
      <s:c r="F238" s="0" t="n">
        <s:v>4195</s:v>
      </s:c>
      <s:c r="G238" s="0" t="n">
        <s:v>3211</s:v>
      </s:c>
      <s:c r="H238" s="0" t="n">
        <s:v>4324</s:v>
      </s:c>
      <s:c r="I238" s="0" t="n">
        <s:v>2583</s:v>
      </s:c>
      <s:c r="J238" s="0" t="n">
        <s:v>2448</s:v>
      </s:c>
      <s:c r="K238" s="22">
        <s:f>'1'!F239</s:f>
        <s:v>46247.56290509259</s:v>
      </s:c>
      <s:c r="L238" s="22">
        <s:f>'2'!F239</s:f>
        <s:v>46247.544641203705</s:v>
      </s:c>
      <s:c r="M238" s="22">
        <s:f>'3'!F239</s:f>
        <s:v>46247.527233796296</s:v>
      </s:c>
      <s:c r="N238" s="22">
        <s:f>'4'!F239</s:f>
        <s:v>46247.48134259259</s:v>
      </s:c>
      <s:c r="O238" s="22">
        <s:f>'5'!F239</s:f>
        <s:v>46247.452997685185</s:v>
      </s:c>
      <s:c r="P238" s="22">
        <s:f>'6'!F239</s:f>
        <s:v>46247.433541666665</s:v>
      </s:c>
      <s:c r="Q238" s="22">
        <s:f>'7'!F239</s:f>
        <s:v>46247.410891203705</s:v>
      </s:c>
      <s:c r="R238" s="22">
        <s:f>'8'!F239</s:f>
        <s:v>46247.38670138889</s:v>
      </s:c>
      <s:c r="S238" s="22">
        <s:f>'9'!F239</s:f>
        <s:v>46247.36888888889</s:v>
      </s:c>
      <s:c r="T238" s="22">
        <s:f>'10'!F239</s:f>
        <s:v>46247.33966435185</s:v>
      </s:c>
      <s:c r="U238" s="23">
        <s:f>'자료구성'!$B$2</s:f>
        <s:v>46247.0</s:v>
      </s:c>
    </s:row>
    <s:row r="239">
      <s:c r="A239" s="0" t="n">
        <s:v>1657</s:v>
      </s:c>
      <s:c r="B239" s="0" t="n">
        <s:v>887</s:v>
      </s:c>
      <s:c r="C239" s="0" t="n">
        <s:v>2939</s:v>
      </s:c>
      <s:c r="D239" s="0" t="n">
        <s:v>390</s:v>
      </s:c>
      <s:c r="E239" s="0" t="n">
        <s:v>1158</s:v>
      </s:c>
      <s:c r="F239" s="0" t="n">
        <s:v>4175</s:v>
      </s:c>
      <s:c r="G239" s="0" t="n">
        <s:v>3148</s:v>
      </s:c>
      <s:c r="H239" s="0" t="n">
        <s:v>4341</s:v>
      </s:c>
      <s:c r="I239" s="0" t="n">
        <s:v>2559</s:v>
      </s:c>
      <s:c r="J239" s="0" t="n">
        <s:v>2464</s:v>
      </s:c>
      <s:c r="K239" s="22">
        <s:f>'1'!F240</s:f>
        <s:v>46247.56291666667</s:v>
      </s:c>
      <s:c r="L239" s="22">
        <s:f>'2'!F240</s:f>
        <s:v>46247.544652777775</s:v>
      </s:c>
      <s:c r="M239" s="22">
        <s:f>'3'!F240</s:f>
        <s:v>46247.52724537037</s:v>
      </s:c>
      <s:c r="N239" s="22">
        <s:f>'4'!F240</s:f>
        <s:v>46247.481354166666</s:v>
      </s:c>
      <s:c r="O239" s="22">
        <s:f>'5'!F240</s:f>
        <s:v>46247.45300925926</s:v>
      </s:c>
      <s:c r="P239" s="22">
        <s:f>'6'!F240</s:f>
        <s:v>46247.43355324074</s:v>
      </s:c>
      <s:c r="Q239" s="22">
        <s:f>'7'!F240</s:f>
        <s:v>46247.41090277778</s:v>
      </s:c>
      <s:c r="R239" s="22">
        <s:f>'8'!F240</s:f>
        <s:v>46247.386712962965</s:v>
      </s:c>
      <s:c r="S239" s="22">
        <s:f>'9'!F240</s:f>
        <s:v>46247.36890046296</s:v>
      </s:c>
      <s:c r="T239" s="22">
        <s:f>'10'!F240</s:f>
        <s:v>46247.33967592593</s:v>
      </s:c>
      <s:c r="U239" s="23">
        <s:f>'자료구성'!$B$2</s:f>
        <s:v>46247.0</s:v>
      </s:c>
    </s:row>
    <s:row r="240">
      <s:c r="A240" s="0" t="n">
        <s:v>1663</s:v>
      </s:c>
      <s:c r="B240" s="0" t="n">
        <s:v>875</s:v>
      </s:c>
      <s:c r="C240" s="0" t="n">
        <s:v>3002</s:v>
      </s:c>
      <s:c r="D240" s="0" t="n">
        <s:v>381</s:v>
      </s:c>
      <s:c r="E240" s="0" t="n">
        <s:v>1145</s:v>
      </s:c>
      <s:c r="F240" s="0" t="n">
        <s:v>4142</s:v>
      </s:c>
      <s:c r="G240" s="0" t="n">
        <s:v>3063</s:v>
      </s:c>
      <s:c r="H240" s="0" t="n">
        <s:v>4333</s:v>
      </s:c>
      <s:c r="I240" s="0" t="n">
        <s:v>2567</s:v>
      </s:c>
      <s:c r="J240" s="0" t="n">
        <s:v>2477</s:v>
      </s:c>
      <s:c r="K240" s="22">
        <s:f>'1'!F241</s:f>
        <s:v>46247.56292824074</s:v>
      </s:c>
      <s:c r="L240" s="22">
        <s:f>'2'!F241</s:f>
        <s:v>46247.54466435185</s:v>
      </s:c>
      <s:c r="M240" s="22">
        <s:f>'3'!F241</s:f>
        <s:v>46247.52725694444</s:v>
      </s:c>
      <s:c r="N240" s="22">
        <s:f>'4'!F241</s:f>
        <s:v>46247.48136574074</s:v>
      </s:c>
      <s:c r="O240" s="22">
        <s:f>'5'!F241</s:f>
        <s:v>46247.45302083333</s:v>
      </s:c>
      <s:c r="P240" s="22">
        <s:f>'6'!F241</s:f>
        <s:v>46247.43356481481</s:v>
      </s:c>
      <s:c r="Q240" s="22">
        <s:f>'7'!F241</s:f>
        <s:v>46247.41091435185</s:v>
      </s:c>
      <s:c r="R240" s="22">
        <s:f>'8'!F241</s:f>
        <s:v>46247.386724537035</s:v>
      </s:c>
      <s:c r="S240" s="22">
        <s:f>'9'!F241</s:f>
        <s:v>46247.36891203704</s:v>
      </s:c>
      <s:c r="T240" s="22">
        <s:f>'10'!F241</s:f>
        <s:v>46247.3396875</s:v>
      </s:c>
      <s:c r="U240" s="23">
        <s:f>'자료구성'!$B$2</s:f>
        <s:v>46247.0</s:v>
      </s:c>
    </s:row>
    <s:row r="241">
      <s:c r="A241" s="0" t="n">
        <s:v>1651</s:v>
      </s:c>
      <s:c r="B241" s="0" t="n">
        <s:v>897</s:v>
      </s:c>
      <s:c r="C241" s="0" t="n">
        <s:v>2901</s:v>
      </s:c>
      <s:c r="D241" s="0" t="n">
        <s:v>340</s:v>
      </s:c>
      <s:c r="E241" s="0" t="n">
        <s:v>1140</s:v>
      </s:c>
      <s:c r="F241" s="0" t="n">
        <s:v>4104</s:v>
      </s:c>
      <s:c r="G241" s="0" t="n">
        <s:v>3004</s:v>
      </s:c>
      <s:c r="H241" s="0" t="n">
        <s:v>4336</s:v>
      </s:c>
      <s:c r="I241" s="0" t="n">
        <s:v>2595</s:v>
      </s:c>
      <s:c r="J241" s="0" t="n">
        <s:v>2505</s:v>
      </s:c>
      <s:c r="K241" s="22">
        <s:f>'1'!F242</s:f>
        <s:v>46247.562939814816</s:v>
      </s:c>
      <s:c r="L241" s="22">
        <s:f>'2'!F242</s:f>
        <s:v>46247.54467592593</s:v>
      </s:c>
      <s:c r="M241" s="22">
        <s:f>'3'!F242</s:f>
        <s:v>46247.52726851852</s:v>
      </s:c>
      <s:c r="N241" s="22">
        <s:f>'4'!F242</s:f>
        <s:v>46247.48137731481</s:v>
      </s:c>
      <s:c r="O241" s="22">
        <s:f>'5'!F242</s:f>
        <s:v>46247.45303240741</s:v>
      </s:c>
      <s:c r="P241" s="22">
        <s:f>'6'!F242</s:f>
        <s:v>46247.43357638889</s:v>
      </s:c>
      <s:c r="Q241" s="22">
        <s:f>'7'!F242</s:f>
        <s:v>46247.41092592593</s:v>
      </s:c>
      <s:c r="R241" s="22">
        <s:f>'8'!F242</s:f>
        <s:v>46247.38673611111</s:v>
      </s:c>
      <s:c r="S241" s="22">
        <s:f>'9'!F242</s:f>
        <s:v>46247.36892361111</s:v>
      </s:c>
      <s:c r="T241" s="22">
        <s:f>'10'!F242</s:f>
        <s:v>46247.33969907407</s:v>
      </s:c>
      <s:c r="U241" s="23">
        <s:f>'자료구성'!$B$2</s:f>
        <s:v>46247.0</s:v>
      </s:c>
    </s:row>
    <s:row r="242">
      <s:c r="A242" s="0" t="n">
        <s:v>1646</s:v>
      </s:c>
      <s:c r="B242" s="0" t="n">
        <s:v>914</s:v>
      </s:c>
      <s:c r="C242" s="0" t="n">
        <s:v>2724</s:v>
      </s:c>
      <s:c r="D242" s="0" t="n">
        <s:v>271</s:v>
      </s:c>
      <s:c r="E242" s="0" t="n">
        <s:v>1138</s:v>
      </s:c>
      <s:c r="F242" s="0" t="n">
        <s:v>4025</s:v>
      </s:c>
      <s:c r="G242" s="0" t="n">
        <s:v>2963</s:v>
      </s:c>
      <s:c r="H242" s="0" t="n">
        <s:v>4353</s:v>
      </s:c>
      <s:c r="I242" s="0" t="n">
        <s:v>2624</s:v>
      </s:c>
      <s:c r="J242" s="0" t="n">
        <s:v>2506</s:v>
      </s:c>
      <s:c r="K242" s="22">
        <s:f>'1'!F243</s:f>
        <s:v>46247.562951388885</s:v>
      </s:c>
      <s:c r="L242" s="22">
        <s:f>'2'!F243</s:f>
        <s:v>46247.5446875</s:v>
      </s:c>
      <s:c r="M242" s="22">
        <s:f>'3'!F243</s:f>
        <s:v>46247.527280092596</s:v>
      </s:c>
      <s:c r="N242" s="22">
        <s:f>'4'!F243</s:f>
        <s:v>46247.48138888889</s:v>
      </s:c>
      <s:c r="O242" s="22">
        <s:f>'5'!F243</s:f>
        <s:v>46247.453043981484</s:v>
      </s:c>
      <s:c r="P242" s="22">
        <s:f>'6'!F243</s:f>
        <s:v>46247.433587962965</s:v>
      </s:c>
      <s:c r="Q242" s="22">
        <s:f>'7'!F243</s:f>
        <s:v>46247.4109375</s:v>
      </s:c>
      <s:c r="R242" s="22">
        <s:f>'8'!F243</s:f>
        <s:v>46247.38674768519</s:v>
      </s:c>
      <s:c r="S242" s="22">
        <s:f>'9'!F243</s:f>
        <s:v>46247.368935185186</s:v>
      </s:c>
      <s:c r="T242" s="22">
        <s:f>'10'!F243</s:f>
        <s:v>46247.33971064815</s:v>
      </s:c>
      <s:c r="U242" s="23">
        <s:f>'자료구성'!$B$2</s:f>
        <s:v>46247.0</s:v>
      </s:c>
    </s:row>
    <s:row r="243">
      <s:c r="A243" s="0" t="n">
        <s:v>1618</s:v>
      </s:c>
      <s:c r="B243" s="0" t="n">
        <s:v>897</s:v>
      </s:c>
      <s:c r="C243" s="0" t="n">
        <s:v>2562</s:v>
      </s:c>
      <s:c r="D243" s="0" t="n">
        <s:v>234</s:v>
      </s:c>
      <s:c r="E243" s="0" t="n">
        <s:v>1148</s:v>
      </s:c>
      <s:c r="F243" s="0" t="n">
        <s:v>3970</s:v>
      </s:c>
      <s:c r="G243" s="0" t="n">
        <s:v>2926</s:v>
      </s:c>
      <s:c r="H243" s="0" t="n">
        <s:v>4381</s:v>
      </s:c>
      <s:c r="I243" s="0" t="n">
        <s:v>2640</s:v>
      </s:c>
      <s:c r="J243" s="0" t="n">
        <s:v>2517</s:v>
      </s:c>
      <s:c r="K243" s="22">
        <s:f>'1'!F244</s:f>
        <s:v>46247.56296296296</s:v>
      </s:c>
      <s:c r="L243" s="22">
        <s:f>'2'!F244</s:f>
        <s:v>46247.544699074075</s:v>
      </s:c>
      <s:c r="M243" s="22">
        <s:f>'3'!F244</s:f>
        <s:v>46247.527291666665</s:v>
      </s:c>
      <s:c r="N243" s="22">
        <s:f>'4'!F244</s:f>
        <s:v>46247.481400462966</s:v>
      </s:c>
      <s:c r="O243" s="22">
        <s:f>'5'!F244</s:f>
        <s:v>46247.453055555554</s:v>
      </s:c>
      <s:c r="P243" s="22">
        <s:f>'6'!F244</s:f>
        <s:v>46247.433599537035</s:v>
      </s:c>
      <s:c r="Q243" s="22">
        <s:f>'7'!F244</s:f>
        <s:v>46247.410949074074</s:v>
      </s:c>
      <s:c r="R243" s="22">
        <s:f>'8'!F244</s:f>
        <s:v>46247.38675925926</s:v>
      </s:c>
      <s:c r="S243" s="22">
        <s:f>'9'!F244</s:f>
        <s:v>46247.368946759256</s:v>
      </s:c>
      <s:c r="T243" s="22">
        <s:f>'10'!F244</s:f>
        <s:v>46247.33972222222</s:v>
      </s:c>
      <s:c r="U243" s="23">
        <s:f>'자료구성'!$B$2</s:f>
        <s:v>46247.0</s:v>
      </s:c>
    </s:row>
    <s:row r="244">
      <s:c r="A244" s="0" t="n">
        <s:v>1599</s:v>
      </s:c>
      <s:c r="B244" s="0" t="n">
        <s:v>892</s:v>
      </s:c>
      <s:c r="C244" s="0" t="n">
        <s:v>2422</s:v>
      </s:c>
      <s:c r="D244" s="0" t="n">
        <s:v>237</s:v>
      </s:c>
      <s:c r="E244" s="0" t="n">
        <s:v>1148</s:v>
      </s:c>
      <s:c r="F244" s="0" t="n">
        <s:v>3990</s:v>
      </s:c>
      <s:c r="G244" s="0" t="n">
        <s:v>2893</s:v>
      </s:c>
      <s:c r="H244" s="0" t="n">
        <s:v>4450</s:v>
      </s:c>
      <s:c r="I244" s="0" t="n">
        <s:v>2636</s:v>
      </s:c>
      <s:c r="J244" s="0" t="n">
        <s:v>2500</s:v>
      </s:c>
      <s:c r="K244" s="22">
        <s:f>'1'!F245</s:f>
        <s:v>46247.56297453704</s:v>
      </s:c>
      <s:c r="L244" s="22">
        <s:f>'2'!F245</s:f>
        <s:v>46247.54471064815</s:v>
      </s:c>
      <s:c r="M244" s="22">
        <s:f>'3'!F245</s:f>
        <s:v>46247.52730324074</s:v>
      </s:c>
      <s:c r="N244" s="22">
        <s:f>'4'!F245</s:f>
        <s:v>46247.481412037036</s:v>
      </s:c>
      <s:c r="O244" s="22">
        <s:f>'5'!F245</s:f>
        <s:v>46247.45306712963</s:v>
      </s:c>
      <s:c r="P244" s="22">
        <s:f>'6'!F245</s:f>
        <s:v>46247.43361111111</s:v>
      </s:c>
      <s:c r="Q244" s="22">
        <s:f>'7'!F245</s:f>
        <s:v>46247.41096064815</s:v>
      </s:c>
      <s:c r="R244" s="22">
        <s:f>'8'!F245</s:f>
        <s:v>46247.386770833335</s:v>
      </s:c>
      <s:c r="S244" s="22">
        <s:f>'9'!F245</s:f>
        <s:v>46247.36895833333</s:v>
      </s:c>
      <s:c r="T244" s="22">
        <s:f>'10'!F245</s:f>
        <s:v>46247.339733796296</s:v>
      </s:c>
      <s:c r="U244" s="23">
        <s:f>'자료구성'!$B$2</s:f>
        <s:v>46247.0</s:v>
      </s:c>
    </s:row>
    <s:row r="245">
      <s:c r="A245" s="0" t="n">
        <s:v>1588</s:v>
      </s:c>
      <s:c r="B245" s="0" t="n">
        <s:v>902</s:v>
      </s:c>
      <s:c r="C245" s="0" t="n">
        <s:v>2286</s:v>
      </s:c>
      <s:c r="D245" s="0" t="n">
        <s:v>239</s:v>
      </s:c>
      <s:c r="E245" s="0" t="n">
        <s:v>1146</s:v>
      </s:c>
      <s:c r="F245" s="0" t="n">
        <s:v>3994</s:v>
      </s:c>
      <s:c r="G245" s="0" t="n">
        <s:v>2845</s:v>
      </s:c>
      <s:c r="H245" s="0" t="n">
        <s:v>4362</s:v>
      </s:c>
      <s:c r="I245" s="0" t="n">
        <s:v>2636</s:v>
      </s:c>
      <s:c r="J245" s="0" t="n">
        <s:v>2493</s:v>
      </s:c>
      <s:c r="K245" s="22">
        <s:f>'1'!F246</s:f>
        <s:v>46247.56298611111</s:v>
      </s:c>
      <s:c r="L245" s="22">
        <s:f>'2'!F246</s:f>
        <s:v>46247.54472222222</s:v>
      </s:c>
      <s:c r="M245" s="22">
        <s:f>'3'!F246</s:f>
        <s:v>46247.52731481481</s:v>
      </s:c>
      <s:c r="N245" s="22">
        <s:f>'4'!F246</s:f>
        <s:v>46247.48142361111</s:v>
      </s:c>
      <s:c r="O245" s="22">
        <s:f>'5'!F246</s:f>
        <s:v>46247.4530787037</s:v>
      </s:c>
      <s:c r="P245" s="22">
        <s:f>'6'!F246</s:f>
        <s:v>46247.43362268519</s:v>
      </s:c>
      <s:c r="Q245" s="22">
        <s:f>'7'!F246</s:f>
        <s:v>46247.41097222222</s:v>
      </s:c>
      <s:c r="R245" s="22">
        <s:f>'8'!F246</s:f>
        <s:v>46247.386782407404</s:v>
      </s:c>
      <s:c r="S245" s="22">
        <s:f>'9'!F246</s:f>
        <s:v>46247.36896990741</s:v>
      </s:c>
      <s:c r="T245" s="22">
        <s:f>'10'!F246</s:f>
        <s:v>46247.33974537037</s:v>
      </s:c>
      <s:c r="U245" s="23">
        <s:f>'자료구성'!$B$2</s:f>
        <s:v>46247.0</s:v>
      </s:c>
    </s:row>
    <s:row r="246">
      <s:c r="A246" s="0" t="n">
        <s:v>1575</s:v>
      </s:c>
      <s:c r="B246" s="0" t="n">
        <s:v>894</s:v>
      </s:c>
      <s:c r="C246" s="0" t="n">
        <s:v>2159</s:v>
      </s:c>
      <s:c r="D246" s="0" t="n">
        <s:v>270</s:v>
      </s:c>
      <s:c r="E246" s="0" t="n">
        <s:v>1152</s:v>
      </s:c>
      <s:c r="F246" s="0" t="n">
        <s:v>4028</s:v>
      </s:c>
      <s:c r="G246" s="0" t="n">
        <s:v>2780</s:v>
      </s:c>
      <s:c r="H246" s="0" t="n">
        <s:v>4293</s:v>
      </s:c>
      <s:c r="I246" s="0" t="n">
        <s:v>2488</s:v>
      </s:c>
      <s:c r="J246" s="0" t="inlineStr">
        <s:is>
          <s:t>****</s:t>
        </s:is>
      </s:c>
      <s:c r="K246" s="22">
        <s:f>'1'!F247</s:f>
        <s:v>46247.562997685185</s:v>
      </s:c>
      <s:c r="L246" s="22">
        <s:f>'2'!F247</s:f>
        <s:v>46247.5447337963</s:v>
      </s:c>
      <s:c r="M246" s="22">
        <s:f>'3'!F247</s:f>
        <s:v>46247.52732638889</s:v>
      </s:c>
      <s:c r="N246" s="22">
        <s:f>'4'!F247</s:f>
        <s:v>46247.48143518518</s:v>
      </s:c>
      <s:c r="O246" s="22">
        <s:f>'5'!F247</s:f>
        <s:v>46247.45309027778</s:v>
      </s:c>
      <s:c r="P246" s="22">
        <s:f>'6'!F247</s:f>
        <s:v>46247.43363425926</s:v>
      </s:c>
      <s:c r="Q246" s="22">
        <s:f>'7'!F247</s:f>
        <s:v>46247.4109837963</s:v>
      </s:c>
      <s:c r="R246" s="22">
        <s:f>'8'!F247</s:f>
        <s:v>46247.38679398148</s:v>
      </s:c>
      <s:c r="S246" s="22">
        <s:f>'9'!F247</s:f>
        <s:v>46247.36898148148</s:v>
      </s:c>
      <s:c r="T246" s="22">
        <s:f>'10'!F247</s:f>
        <s:v>46247.33975694444</s:v>
      </s:c>
      <s:c r="U246" s="23">
        <s:f>'자료구성'!$B$2</s:f>
        <s:v>46247.0</s:v>
      </s:c>
    </s:row>
    <s:row r="247">
      <s:c r="A247" s="0" t="n">
        <s:v>1557</s:v>
      </s:c>
      <s:c r="B247" s="0" t="n">
        <s:v>885</s:v>
      </s:c>
      <s:c r="C247" s="0" t="n">
        <s:v>2077</s:v>
      </s:c>
      <s:c r="D247" s="0" t="n">
        <s:v>279</s:v>
      </s:c>
      <s:c r="E247" s="0" t="n">
        <s:v>1168</s:v>
      </s:c>
      <s:c r="F247" s="0" t="n">
        <s:v>4035</s:v>
      </s:c>
      <s:c r="G247" s="0" t="n">
        <s:v>2771</s:v>
      </s:c>
      <s:c r="H247" s="0" t="n">
        <s:v>4166</s:v>
      </s:c>
      <s:c r="I247" s="0" t="n">
        <s:v>2438</s:v>
      </s:c>
      <s:c r="J247" s="0" t="n">
        <s:v>2411</s:v>
      </s:c>
      <s:c r="K247" s="22">
        <s:f>'1'!F248</s:f>
        <s:v>46247.56300925926</s:v>
      </s:c>
      <s:c r="L247" s="22">
        <s:f>'2'!F248</s:f>
        <s:v>46247.54474537037</s:v>
      </s:c>
      <s:c r="M247" s="22">
        <s:f>'3'!F248</s:f>
        <s:v>46247.527337962965</s:v>
      </s:c>
      <s:c r="N247" s="22">
        <s:f>'4'!F248</s:f>
        <s:v>46247.48144675926</s:v>
      </s:c>
      <s:c r="O247" s="22">
        <s:f>'5'!F248</s:f>
        <s:v>46247.453101851854</s:v>
      </s:c>
      <s:c r="P247" s="22">
        <s:f>'6'!F248</s:f>
        <s:v>46247.433645833335</s:v>
      </s:c>
      <s:c r="Q247" s="22">
        <s:f>'7'!F248</s:f>
        <s:v>46247.410995370374</s:v>
      </s:c>
      <s:c r="R247" s="22">
        <s:f>'8'!F248</s:f>
        <s:v>46247.38680555556</s:v>
      </s:c>
      <s:c r="S247" s="22">
        <s:f>'9'!F248</s:f>
        <s:v>46247.368993055556</s:v>
      </s:c>
      <s:c r="T247" s="22">
        <s:f>'10'!F248</s:f>
        <s:v>46247.33976851852</s:v>
      </s:c>
      <s:c r="U247" s="23">
        <s:f>'자료구성'!$B$2</s:f>
        <s:v>46247.0</s:v>
      </s:c>
    </s:row>
    <s:row r="248">
      <s:c r="A248" s="0" t="n">
        <s:v>1553</s:v>
      </s:c>
      <s:c r="B248" s="0" t="n">
        <s:v>874</s:v>
      </s:c>
      <s:c r="C248" s="0" t="n">
        <s:v>2001</s:v>
      </s:c>
      <s:c r="D248" s="0" t="n">
        <s:v>310</s:v>
      </s:c>
      <s:c r="E248" s="0" t="n">
        <s:v>1173</s:v>
      </s:c>
      <s:c r="F248" s="0" t="n">
        <s:v>4036</s:v>
      </s:c>
      <s:c r="G248" s="0" t="n">
        <s:v>2864</s:v>
      </s:c>
      <s:c r="H248" s="0" t="n">
        <s:v>3995</s:v>
      </s:c>
      <s:c r="I248" s="0" t="n">
        <s:v>2375</s:v>
      </s:c>
      <s:c r="J248" s="0" t="n">
        <s:v>2370</s:v>
      </s:c>
      <s:c r="K248" s="22">
        <s:f>'1'!F249</s:f>
        <s:v>46247.56302083333</s:v>
      </s:c>
      <s:c r="L248" s="22">
        <s:f>'2'!F249</s:f>
        <s:v>46247.544756944444</s:v>
      </s:c>
      <s:c r="M248" s="22">
        <s:f>'3'!F249</s:f>
        <s:v>46247.527349537035</s:v>
      </s:c>
      <s:c r="N248" s="22">
        <s:f>'4'!F249</s:f>
        <s:v>46247.481458333335</s:v>
      </s:c>
      <s:c r="O248" s="22">
        <s:f>'5'!F249</s:f>
        <s:v>46247.45311342592</s:v>
      </s:c>
      <s:c r="P248" s="22">
        <s:f>'6'!F249</s:f>
        <s:v>46247.433657407404</s:v>
      </s:c>
      <s:c r="Q248" s="22">
        <s:f>'7'!F249</s:f>
        <s:v>46247.41100694444</s:v>
      </s:c>
      <s:c r="R248" s="22">
        <s:f>'8'!F249</s:f>
        <s:v>46247.38681712963</s:v>
      </s:c>
      <s:c r="S248" s="22">
        <s:f>'9'!F249</s:f>
        <s:v>46247.36900462963</s:v>
      </s:c>
      <s:c r="T248" s="22">
        <s:f>'10'!F249</s:f>
        <s:v>46247.339780092596</s:v>
      </s:c>
      <s:c r="U248" s="23">
        <s:f>'자료구성'!$B$2</s:f>
        <s:v>46247.0</s:v>
      </s:c>
    </s:row>
    <s:row r="249">
      <s:c r="A249" s="0" t="n">
        <s:v>1554</s:v>
      </s:c>
      <s:c r="B249" s="0" t="n">
        <s:v>879</s:v>
      </s:c>
      <s:c r="C249" s="0" t="n">
        <s:v>1924</s:v>
      </s:c>
      <s:c r="D249" s="0" t="n">
        <s:v>307</s:v>
      </s:c>
      <s:c r="E249" s="0" t="n">
        <s:v>1195</s:v>
      </s:c>
      <s:c r="F249" s="0" t="n">
        <s:v>4029</s:v>
      </s:c>
      <s:c r="G249" s="0" t="n">
        <s:v>2969</s:v>
      </s:c>
      <s:c r="H249" s="0" t="n">
        <s:v>3807</s:v>
      </s:c>
      <s:c r="I249" s="0" t="n">
        <s:v>2309</s:v>
      </s:c>
      <s:c r="J249" s="0" t="n">
        <s:v>2344</s:v>
      </s:c>
      <s:c r="K249" s="22">
        <s:f>'1'!F250</s:f>
        <s:v>46247.56303240741</s:v>
      </s:c>
      <s:c r="L249" s="22">
        <s:f>'2'!F250</s:f>
        <s:v>46247.54476851852</s:v>
      </s:c>
      <s:c r="M249" s="22">
        <s:f>'3'!F250</s:f>
        <s:v>46247.52736111111</s:v>
      </s:c>
      <s:c r="N249" s="22">
        <s:f>'4'!F250</s:f>
        <s:v>46247.481469907405</s:v>
      </s:c>
      <s:c r="O249" s="22">
        <s:f>'5'!F250</s:f>
        <s:v>46247.453125</s:v>
      </s:c>
      <s:c r="P249" s="22">
        <s:f>'6'!F250</s:f>
        <s:v>46247.43366898148</s:v>
      </s:c>
      <s:c r="Q249" s="22">
        <s:f>'7'!F250</s:f>
        <s:v>46247.41101851852</s:v>
      </s:c>
      <s:c r="R249" s="22">
        <s:f>'8'!F250</s:f>
        <s:v>46247.386828703704</s:v>
      </s:c>
      <s:c r="S249" s="22">
        <s:f>'9'!F250</s:f>
        <s:v>46247.3690162037</s:v>
      </s:c>
      <s:c r="T249" s="22">
        <s:f>'10'!F250</s:f>
        <s:v>46247.339791666665</s:v>
      </s:c>
      <s:c r="U249" s="23">
        <s:f>'자료구성'!$B$2</s:f>
        <s:v>46247.0</s:v>
      </s:c>
    </s:row>
    <s:row r="250">
      <s:c r="A250" s="0" t="n">
        <s:v>1537</s:v>
      </s:c>
      <s:c r="B250" s="0" t="n">
        <s:v>879</s:v>
      </s:c>
      <s:c r="C250" s="0" t="n">
        <s:v>1863</s:v>
      </s:c>
      <s:c r="D250" s="0" t="n">
        <s:v>286</s:v>
      </s:c>
      <s:c r="E250" s="0" t="n">
        <s:v>1186</s:v>
      </s:c>
      <s:c r="F250" s="0" t="n">
        <s:v>4008</s:v>
      </s:c>
      <s:c r="G250" s="0" t="n">
        <s:v>3067</s:v>
      </s:c>
      <s:c r="H250" s="0" t="n">
        <s:v>3652</s:v>
      </s:c>
      <s:c r="I250" s="0" t="n">
        <s:v>2279</s:v>
      </s:c>
      <s:c r="J250" s="0" t="n">
        <s:v>2336</s:v>
      </s:c>
      <s:c r="K250" s="22">
        <s:f>'1'!F251</s:f>
        <s:v>46247.563043981485</s:v>
      </s:c>
      <s:c r="L250" s="22">
        <s:f>'2'!F251</s:f>
        <s:v>46247.54478009259</s:v>
      </s:c>
      <s:c r="M250" s="22">
        <s:f>'3'!F251</s:f>
        <s:v>46247.52737268519</s:v>
      </s:c>
      <s:c r="N250" s="22">
        <s:f>'4'!F251</s:f>
        <s:v>46247.48148148148</s:v>
      </s:c>
      <s:c r="O250" s="22">
        <s:f>'5'!F251</s:f>
        <s:v>46247.45313657408</s:v>
      </s:c>
      <s:c r="P250" s="22">
        <s:f>'6'!F251</s:f>
        <s:v>46247.43368055556</s:v>
      </s:c>
      <s:c r="Q250" s="22">
        <s:f>'7'!F251</s:f>
        <s:v>46247.41103009259</s:v>
      </s:c>
      <s:c r="R250" s="22">
        <s:f>'8'!F251</s:f>
        <s:v>46247.38684027778</s:v>
      </s:c>
      <s:c r="S250" s="22">
        <s:f>'9'!F251</s:f>
        <s:v>46247.36902777778</s:v>
      </s:c>
      <s:c r="T250" s="22">
        <s:f>'10'!F251</s:f>
        <s:v>46247.33980324074</s:v>
      </s:c>
      <s:c r="U250" s="23">
        <s:f>'자료구성'!$B$2</s:f>
        <s:v>46247.0</s:v>
      </s:c>
    </s:row>
    <s:row r="251">
      <s:c r="A251" s="0" t="n">
        <s:v>1578</s:v>
      </s:c>
      <s:c r="B251" s="0" t="n">
        <s:v>885</s:v>
      </s:c>
      <s:c r="C251" s="0" t="n">
        <s:v>1815</s:v>
      </s:c>
      <s:c r="D251" s="0" t="n">
        <s:v>387</s:v>
      </s:c>
      <s:c r="E251" s="0" t="n">
        <s:v>1179</s:v>
      </s:c>
      <s:c r="F251" s="0" t="n">
        <s:v>3898</s:v>
      </s:c>
      <s:c r="G251" s="0" t="n">
        <s:v>3129</s:v>
      </s:c>
      <s:c r="H251" s="0" t="n">
        <s:v>3512</s:v>
      </s:c>
      <s:c r="I251" s="0" t="n">
        <s:v>2238</s:v>
      </s:c>
      <s:c r="J251" s="0" t="n">
        <s:v>2333</s:v>
      </s:c>
      <s:c r="K251" s="22">
        <s:f>'1'!F252</s:f>
        <s:v>46247.563055555554</s:v>
      </s:c>
      <s:c r="L251" s="22">
        <s:f>'2'!F252</s:f>
        <s:v>46247.54479166667</s:v>
      </s:c>
      <s:c r="M251" s="22">
        <s:f>'3'!F252</s:f>
        <s:v>46247.52738425926</s:v>
      </s:c>
      <s:c r="N251" s="22">
        <s:f>'4'!F252</s:f>
        <s:v>46247.48149305556</s:v>
      </s:c>
      <s:c r="O251" s="22">
        <s:f>'5'!F252</s:f>
        <s:v>46247.453148148146</s:v>
      </s:c>
      <s:c r="P251" s="22">
        <s:f>'6'!F252</s:f>
        <s:v>46247.43369212963</s:v>
      </s:c>
      <s:c r="Q251" s="22">
        <s:f>'7'!F252</s:f>
        <s:v>46247.411041666666</s:v>
      </s:c>
      <s:c r="R251" s="22">
        <s:f>'8'!F252</s:f>
        <s:v>46247.38685185185</s:v>
      </s:c>
      <s:c r="S251" s="22">
        <s:f>'9'!F252</s:f>
        <s:v>46247.369039351855</s:v>
      </s:c>
      <s:c r="T251" s="22">
        <s:f>'10'!F252</s:f>
        <s:v>46247.33981481481</s:v>
      </s:c>
      <s:c r="U251" s="23">
        <s:f>'자료구성'!$B$2</s:f>
        <s:v>46247.0</s:v>
      </s:c>
    </s:row>
    <s:row r="252">
      <s:c r="A252" s="0" t="n">
        <s:v>1605</s:v>
      </s:c>
      <s:c r="B252" s="0" t="n">
        <s:v>877</s:v>
      </s:c>
      <s:c r="C252" s="0" t="n">
        <s:v>1808</s:v>
      </s:c>
      <s:c r="D252" s="0" t="n">
        <s:v>475</s:v>
      </s:c>
      <s:c r="E252" s="0" t="n">
        <s:v>1181</s:v>
      </s:c>
      <s:c r="F252" s="0" t="n">
        <s:v>3769</s:v>
      </s:c>
      <s:c r="G252" s="0" t="n">
        <s:v>3205</s:v>
      </s:c>
      <s:c r="H252" s="0" t="n">
        <s:v>3398</s:v>
      </s:c>
      <s:c r="I252" s="0" t="n">
        <s:v>2222</s:v>
      </s:c>
      <s:c r="J252" s="0" t="n">
        <s:v>2342</s:v>
      </s:c>
      <s:c r="K252" s="22">
        <s:f>'1'!F253</s:f>
        <s:v>46247.56306712963</s:v>
      </s:c>
      <s:c r="L252" s="22">
        <s:f>'2'!F253</s:f>
        <s:v>46247.544803240744</s:v>
      </s:c>
      <s:c r="M252" s="22">
        <s:f>'3'!F253</s:f>
        <s:v>46247.527395833335</s:v>
      </s:c>
      <s:c r="N252" s="22">
        <s:f>'4'!F253</s:f>
        <s:v>46247.48150462963</s:v>
      </s:c>
      <s:c r="O252" s="22">
        <s:f>'5'!F253</s:f>
        <s:v>46247.45315972222</s:v>
      </s:c>
      <s:c r="P252" s="22">
        <s:f>'6'!F253</s:f>
        <s:v>46247.433703703704</s:v>
      </s:c>
      <s:c r="Q252" s="22">
        <s:f>'7'!F253</s:f>
        <s:v>46247.41105324074</s:v>
      </s:c>
      <s:c r="R252" s="22">
        <s:f>'8'!F253</s:f>
        <s:v>46247.38686342593</s:v>
      </s:c>
      <s:c r="S252" s="22">
        <s:f>'9'!F253</s:f>
        <s:v>46247.369050925925</s:v>
      </s:c>
      <s:c r="T252" s="22">
        <s:f>'10'!F253</s:f>
        <s:v>46247.33982638889</s:v>
      </s:c>
      <s:c r="U252" s="23">
        <s:f>'자료구성'!$B$2</s:f>
        <s:v>46247.0</s:v>
      </s:c>
    </s:row>
    <s:row r="253">
      <s:c r="A253" s="0" t="n">
        <s:v>1591</s:v>
      </s:c>
      <s:c r="B253" s="0" t="n">
        <s:v>865</s:v>
      </s:c>
      <s:c r="C253" s="0" t="n">
        <s:v>1836</s:v>
      </s:c>
      <s:c r="D253" s="0" t="n">
        <s:v>510</s:v>
      </s:c>
      <s:c r="E253" s="0" t="n">
        <s:v>1187</s:v>
      </s:c>
      <s:c r="F253" s="0" t="n">
        <s:v>3709</s:v>
      </s:c>
      <s:c r="G253" s="0" t="n">
        <s:v>3299</s:v>
      </s:c>
      <s:c r="H253" s="0" t="n">
        <s:v>3269</s:v>
      </s:c>
      <s:c r="I253" s="0" t="n">
        <s:v>2178</s:v>
      </s:c>
      <s:c r="J253" s="0" t="n">
        <s:v>2342</s:v>
      </s:c>
      <s:c r="K253" s="22">
        <s:f>'1'!F254</s:f>
        <s:v>46247.5630787037</s:v>
      </s:c>
      <s:c r="L253" s="22">
        <s:f>'2'!F254</s:f>
        <s:v>46247.54481481481</s:v>
      </s:c>
      <s:c r="M253" s="22">
        <s:f>'3'!F254</s:f>
        <s:v>46247.527407407404</s:v>
      </s:c>
      <s:c r="N253" s="22">
        <s:f>'4'!F254</s:f>
        <s:v>46247.481516203705</s:v>
      </s:c>
      <s:c r="O253" s="22">
        <s:f>'5'!F254</s:f>
        <s:v>46247.4531712963</s:v>
      </s:c>
      <s:c r="P253" s="22">
        <s:f>'6'!F254</s:f>
        <s:v>46247.43371527778</s:v>
      </s:c>
      <s:c r="Q253" s="22">
        <s:f>'7'!F254</s:f>
        <s:v>46247.41106481481</s:v>
      </s:c>
      <s:c r="R253" s="22">
        <s:f>'8'!F254</s:f>
        <s:v>46247.386875</s:v>
      </s:c>
      <s:c r="S253" s="22">
        <s:f>'9'!F254</s:f>
        <s:v>46247.3690625</s:v>
      </s:c>
      <s:c r="T253" s="22">
        <s:f>'10'!F254</s:f>
        <s:v>46247.339837962965</s:v>
      </s:c>
      <s:c r="U253" s="23">
        <s:f>'자료구성'!$B$2</s:f>
        <s:v>46247.0</s:v>
      </s:c>
    </s:row>
    <s:row r="254">
      <s:c r="A254" s="0" t="n">
        <s:v>1585</s:v>
      </s:c>
      <s:c r="B254" s="0" t="n">
        <s:v>865</s:v>
      </s:c>
      <s:c r="C254" s="0" t="n">
        <s:v>1892</s:v>
      </s:c>
      <s:c r="D254" s="0" t="n">
        <s:v>518</s:v>
      </s:c>
      <s:c r="E254" s="0" t="n">
        <s:v>1175</s:v>
      </s:c>
      <s:c r="F254" s="0" t="n">
        <s:v>3681</s:v>
      </s:c>
      <s:c r="G254" s="0" t="n">
        <s:v>3299</s:v>
      </s:c>
      <s:c r="H254" s="0" t="n">
        <s:v>3167</s:v>
      </s:c>
      <s:c r="I254" s="0" t="n">
        <s:v>2169</s:v>
      </s:c>
      <s:c r="J254" s="0" t="n">
        <s:v>2293</s:v>
      </s:c>
      <s:c r="K254" s="22">
        <s:f>'1'!F255</s:f>
        <s:v>46247.56309027778</s:v>
      </s:c>
      <s:c r="L254" s="22">
        <s:f>'2'!F255</s:f>
        <s:v>46247.54482638889</s:v>
      </s:c>
      <s:c r="M254" s="22">
        <s:f>'3'!F255</s:f>
        <s:v>46247.52741898148</s:v>
      </s:c>
      <s:c r="N254" s="22">
        <s:f>'4'!F255</s:f>
        <s:v>46247.481527777774</s:v>
      </s:c>
      <s:c r="O254" s="22">
        <s:f>'5'!F255</s:f>
        <s:v>46247.45318287037</s:v>
      </s:c>
      <s:c r="P254" s="22">
        <s:f>'6'!F255</s:f>
        <s:v>46247.43372685185</s:v>
      </s:c>
      <s:c r="Q254" s="22">
        <s:f>'7'!F255</s:f>
        <s:v>46247.41107638889</s:v>
      </s:c>
      <s:c r="R254" s="22">
        <s:f>'8'!F255</s:f>
        <s:v>46247.38688657407</s:v>
      </s:c>
      <s:c r="S254" s="22">
        <s:f>'9'!F255</s:f>
        <s:v>46247.36907407407</s:v>
      </s:c>
      <s:c r="T254" s="22">
        <s:f>'10'!F255</s:f>
        <s:v>46247.339849537035</s:v>
      </s:c>
      <s:c r="U254" s="23">
        <s:f>'자료구성'!$B$2</s:f>
        <s:v>46247.0</s:v>
      </s:c>
    </s:row>
    <s:row r="255">
      <s:c r="A255" s="0" t="n">
        <s:v>1603</s:v>
      </s:c>
      <s:c r="B255" s="0" t="n">
        <s:v>844</s:v>
      </s:c>
      <s:c r="C255" s="0" t="n">
        <s:v>1925</s:v>
      </s:c>
      <s:c r="D255" s="0" t="n">
        <s:v>498</s:v>
      </s:c>
      <s:c r="E255" s="0" t="n">
        <s:v>1157</s:v>
      </s:c>
      <s:c r="F255" s="0" t="n">
        <s:v>3677</s:v>
      </s:c>
      <s:c r="G255" s="0" t="n">
        <s:v>3382</s:v>
      </s:c>
      <s:c r="H255" s="0" t="n">
        <s:v>3086</s:v>
      </s:c>
      <s:c r="I255" s="0" t="n">
        <s:v>2153</s:v>
      </s:c>
      <s:c r="J255" s="0" t="n">
        <s:v>2277</s:v>
      </s:c>
      <s:c r="K255" s="22">
        <s:f>'1'!F256</s:f>
        <s:v>46247.563101851854</s:v>
      </s:c>
      <s:c r="L255" s="22">
        <s:f>'2'!F256</s:f>
        <s:v>46247.54483796296</s:v>
      </s:c>
      <s:c r="M255" s="22">
        <s:f>'3'!F256</s:f>
        <s:v>46247.52743055556</s:v>
      </s:c>
      <s:c r="N255" s="22">
        <s:f>'4'!F256</s:f>
        <s:v>46247.48153935185</s:v>
      </s:c>
      <s:c r="O255" s="22">
        <s:f>'5'!F256</s:f>
        <s:v>46247.453194444446</s:v>
      </s:c>
      <s:c r="P255" s="22">
        <s:f>'6'!F256</s:f>
        <s:v>46247.43373842593</s:v>
      </s:c>
      <s:c r="Q255" s="22">
        <s:f>'7'!F256</s:f>
        <s:v>46247.411087962966</s:v>
      </s:c>
      <s:c r="R255" s="22">
        <s:f>'8'!F256</s:f>
        <s:v>46247.38689814815</s:v>
      </s:c>
      <s:c r="S255" s="22">
        <s:f>'9'!F256</s:f>
        <s:v>46247.36908564815</s:v>
      </s:c>
      <s:c r="T255" s="22">
        <s:f>'10'!F256</s:f>
        <s:v>46247.33986111111</s:v>
      </s:c>
      <s:c r="U255" s="23">
        <s:f>'자료구성'!$B$2</s:f>
        <s:v>46247.0</s:v>
      </s:c>
    </s:row>
    <s:row r="256">
      <s:c r="A256" s="0" t="n">
        <s:v>1611</s:v>
      </s:c>
      <s:c r="B256" s="0" t="n">
        <s:v>821</s:v>
      </s:c>
      <s:c r="C256" s="0" t="n">
        <s:v>1947</s:v>
      </s:c>
      <s:c r="D256" s="0" t="n">
        <s:v>502</s:v>
      </s:c>
      <s:c r="E256" s="0" t="n">
        <s:v>1147</s:v>
      </s:c>
      <s:c r="F256" s="0" t="n">
        <s:v>3884</s:v>
      </s:c>
      <s:c r="G256" s="0" t="n">
        <s:v>3503</s:v>
      </s:c>
      <s:c r="H256" s="0" t="n">
        <s:v>3021</s:v>
      </s:c>
      <s:c r="I256" s="0" t="n">
        <s:v>2146</s:v>
      </s:c>
      <s:c r="J256" s="0" t="n">
        <s:v>2186</s:v>
      </s:c>
      <s:c r="K256" s="22">
        <s:f>'1'!F257</s:f>
        <s:v>46247.563113425924</s:v>
      </s:c>
      <s:c r="L256" s="22">
        <s:f>'2'!F257</s:f>
        <s:v>46247.54484953704</s:v>
      </s:c>
      <s:c r="M256" s="22">
        <s:f>'3'!F257</s:f>
        <s:v>46247.52744212963</s:v>
      </s:c>
      <s:c r="N256" s="22">
        <s:f>'4'!F257</s:f>
        <s:v>46247.48155092593</s:v>
      </s:c>
      <s:c r="O256" s="22">
        <s:f>'5'!F257</s:f>
        <s:v>46247.453206018516</s:v>
      </s:c>
      <s:c r="P256" s="22">
        <s:f>'6'!F257</s:f>
        <s:v>46247.43375</s:v>
      </s:c>
      <s:c r="Q256" s="22">
        <s:f>'7'!F257</s:f>
        <s:v>46247.411099537036</s:v>
      </s:c>
      <s:c r="R256" s="22">
        <s:f>'8'!F257</s:f>
        <s:v>46247.38690972222</s:v>
      </s:c>
      <s:c r="S256" s="22">
        <s:f>'9'!F257</s:f>
        <s:v>46247.369097222225</s:v>
      </s:c>
      <s:c r="T256" s="22">
        <s:f>'10'!F257</s:f>
        <s:v>46247.33987268519</s:v>
      </s:c>
      <s:c r="U256" s="23">
        <s:f>'자료구성'!$B$2</s:f>
        <s:v>46247.0</s:v>
      </s:c>
    </s:row>
    <s:row r="257">
      <s:c r="A257" s="0" t="n">
        <s:v>1618</s:v>
      </s:c>
      <s:c r="B257" s="0" t="n">
        <s:v>826</s:v>
      </s:c>
      <s:c r="C257" s="0" t="n">
        <s:v>1984</s:v>
      </s:c>
      <s:c r="D257" s="0" t="n">
        <s:v>478</s:v>
      </s:c>
      <s:c r="E257" s="0" t="n">
        <s:v>1138</s:v>
      </s:c>
      <s:c r="F257" s="0" t="n">
        <s:v>4032</s:v>
      </s:c>
      <s:c r="G257" s="0" t="n">
        <s:v>3573</s:v>
      </s:c>
      <s:c r="H257" s="0" t="n">
        <s:v>2914</s:v>
      </s:c>
      <s:c r="I257" s="0" t="n">
        <s:v>2103</s:v>
      </s:c>
      <s:c r="J257" s="0" t="n">
        <s:v>2151</s:v>
      </s:c>
      <s:c r="K257" s="22">
        <s:f>'1'!F258</s:f>
        <s:v>46247.563125</s:v>
      </s:c>
      <s:c r="L257" s="22">
        <s:f>'2'!F258</s:f>
        <s:v>46247.54486111111</s:v>
      </s:c>
      <s:c r="M257" s="22">
        <s:f>'3'!F258</s:f>
        <s:v>46247.527453703704</s:v>
      </s:c>
      <s:c r="N257" s="22">
        <s:f>'4'!F258</s:f>
        <s:v>46247.4815625</s:v>
      </s:c>
      <s:c r="O257" s="22">
        <s:f>'5'!F258</s:f>
        <s:v>46247.45321759259</s:v>
      </s:c>
      <s:c r="P257" s="22">
        <s:f>'6'!F258</s:f>
        <s:v>46247.43376157407</s:v>
      </s:c>
      <s:c r="Q257" s="22">
        <s:f>'7'!F258</s:f>
        <s:v>46247.41111111111</s:v>
      </s:c>
      <s:c r="R257" s="22">
        <s:f>'8'!F258</s:f>
        <s:v>46247.386921296296</s:v>
      </s:c>
      <s:c r="S257" s="22">
        <s:f>'9'!F258</s:f>
        <s:v>46247.369108796294</s:v>
      </s:c>
      <s:c r="T257" s="22">
        <s:f>'10'!F258</s:f>
        <s:v>46247.33988425926</s:v>
      </s:c>
      <s:c r="U257" s="23">
        <s:f>'자료구성'!$B$2</s:f>
        <s:v>46247.0</s:v>
      </s:c>
    </s:row>
    <s:row r="258">
      <s:c r="A258" s="0" t="n">
        <s:v>1671</s:v>
      </s:c>
      <s:c r="B258" s="0" t="n">
        <s:v>808</s:v>
      </s:c>
      <s:c r="C258" s="0" t="n">
        <s:v>1995</s:v>
      </s:c>
      <s:c r="D258" s="0" t="n">
        <s:v>457</s:v>
      </s:c>
      <s:c r="E258" s="0" t="n">
        <s:v>1162</s:v>
      </s:c>
      <s:c r="F258" s="0" t="n">
        <s:v>3989</s:v>
      </s:c>
      <s:c r="G258" s="0" t="n">
        <s:v>3653</s:v>
      </s:c>
      <s:c r="H258" s="0" t="n">
        <s:v>2902</s:v>
      </s:c>
      <s:c r="I258" s="0" t="n">
        <s:v>2061</s:v>
      </s:c>
      <s:c r="J258" s="0" t="n">
        <s:v>2130</s:v>
      </s:c>
      <s:c r="K258" s="22">
        <s:f>'1'!F259</s:f>
        <s:v>46247.56313657408</s:v>
      </s:c>
      <s:c r="L258" s="22">
        <s:f>'2'!F259</s:f>
        <s:v>46247.54487268518</s:v>
      </s:c>
      <s:c r="M258" s="22">
        <s:f>'3'!F259</s:f>
        <s:v>46247.52746527778</s:v>
      </s:c>
      <s:c r="N258" s="22">
        <s:f>'4'!F259</s:f>
        <s:v>46247.481574074074</s:v>
      </s:c>
      <s:c r="O258" s="22">
        <s:f>'5'!F259</s:f>
        <s:v>46247.45322916667</s:v>
      </s:c>
      <s:c r="P258" s="22">
        <s:f>'6'!F259</s:f>
        <s:v>46247.43377314815</s:v>
      </s:c>
      <s:c r="Q258" s="22">
        <s:f>'7'!F259</s:f>
        <s:v>46247.41112268518</s:v>
      </s:c>
      <s:c r="R258" s="22">
        <s:f>'8'!F259</s:f>
        <s:v>46247.38693287037</s:v>
      </s:c>
      <s:c r="S258" s="22">
        <s:f>'9'!F259</s:f>
        <s:v>46247.36912037037</s:v>
      </s:c>
      <s:c r="T258" s="22">
        <s:f>'10'!F259</s:f>
        <s:v>46247.339895833335</s:v>
      </s:c>
      <s:c r="U258" s="23">
        <s:f>'자료구성'!$B$2</s:f>
        <s:v>46247.0</s:v>
      </s:c>
    </s:row>
    <s:row r="259">
      <s:c r="A259" s="0" t="n">
        <s:v>1697</s:v>
      </s:c>
      <s:c r="B259" s="0" t="n">
        <s:v>799</s:v>
      </s:c>
      <s:c r="C259" s="0" t="n">
        <s:v>1999</s:v>
      </s:c>
      <s:c r="D259" s="0" t="n">
        <s:v>429</s:v>
      </s:c>
      <s:c r="E259" s="0" t="n">
        <s:v>1177</s:v>
      </s:c>
      <s:c r="F259" s="0" t="n">
        <s:v>4052</s:v>
      </s:c>
      <s:c r="G259" s="0" t="n">
        <s:v>3681</s:v>
      </s:c>
      <s:c r="H259" s="0" t="n">
        <s:v>2912</s:v>
      </s:c>
      <s:c r="I259" s="0" t="n">
        <s:v>2024</s:v>
      </s:c>
      <s:c r="J259" s="0" t="n">
        <s:v>2135</s:v>
      </s:c>
      <s:c r="K259" s="22">
        <s:f>'1'!F260</s:f>
        <s:v>46247.56314814815</s:v>
      </s:c>
      <s:c r="L259" s="22">
        <s:f>'2'!F260</s:f>
        <s:v>46247.54488425926</s:v>
      </s:c>
      <s:c r="M259" s="22">
        <s:f>'3'!F260</s:f>
        <s:v>46247.52747685185</s:v>
      </s:c>
      <s:c r="N259" s="22">
        <s:f>'4'!F260</s:f>
        <s:v>46247.48158564815</s:v>
      </s:c>
      <s:c r="O259" s="22">
        <s:f>'5'!F260</s:f>
        <s:v>46247.45324074074</s:v>
      </s:c>
      <s:c r="P259" s="22">
        <s:f>'6'!F260</s:f>
        <s:v>46247.43378472222</s:v>
      </s:c>
      <s:c r="Q259" s="22">
        <s:f>'7'!F260</s:f>
        <s:v>46247.41113425926</s:v>
      </s:c>
      <s:c r="R259" s="22">
        <s:f>'8'!F260</s:f>
        <s:v>46247.38694444444</s:v>
      </s:c>
      <s:c r="S259" s="22">
        <s:f>'9'!F260</s:f>
        <s:v>46247.36913194445</s:v>
      </s:c>
      <s:c r="T259" s="22">
        <s:f>'10'!F260</s:f>
        <s:v>46247.339907407404</s:v>
      </s:c>
      <s:c r="U259" s="23">
        <s:f>'자료구성'!$B$2</s:f>
        <s:v>46247.0</s:v>
      </s:c>
    </s:row>
    <s:row r="260">
      <s:c r="A260" s="0" t="n">
        <s:v>1719</s:v>
      </s:c>
      <s:c r="B260" s="0" t="n">
        <s:v>792</s:v>
      </s:c>
      <s:c r="C260" s="0" t="n">
        <s:v>1999</s:v>
      </s:c>
      <s:c r="D260" s="0" t="n">
        <s:v>400</s:v>
      </s:c>
      <s:c r="E260" s="0" t="n">
        <s:v>1180</s:v>
      </s:c>
      <s:c r="F260" s="0" t="n">
        <s:v>4065</s:v>
      </s:c>
      <s:c r="G260" s="0" t="n">
        <s:v>3683</s:v>
      </s:c>
      <s:c r="H260" s="0" t="n">
        <s:v>2964</s:v>
      </s:c>
      <s:c r="I260" s="0" t="n">
        <s:v>2003</s:v>
      </s:c>
      <s:c r="J260" s="0" t="n">
        <s:v>2126</s:v>
      </s:c>
      <s:c r="K260" s="22">
        <s:f>'1'!F261</s:f>
        <s:v>46247.563159722224</s:v>
      </s:c>
      <s:c r="L260" s="22">
        <s:f>'2'!F261</s:f>
        <s:v>46247.544895833336</s:v>
      </s:c>
      <s:c r="M260" s="22">
        <s:f>'3'!F261</s:f>
        <s:v>46247.52748842593</s:v>
      </s:c>
      <s:c r="N260" s="22">
        <s:f>'4'!F261</s:f>
        <s:v>46247.48159722222</s:v>
      </s:c>
      <s:c r="O260" s="22">
        <s:f>'5'!F261</s:f>
        <s:v>46247.453252314815</s:v>
      </s:c>
      <s:c r="P260" s="22">
        <s:f>'6'!F261</s:f>
        <s:v>46247.433796296296</s:v>
      </s:c>
      <s:c r="Q260" s="22">
        <s:f>'7'!F261</s:f>
        <s:v>46247.411145833335</s:v>
      </s:c>
      <s:c r="R260" s="22">
        <s:f>'8'!F261</s:f>
        <s:v>46247.38695601852</s:v>
      </s:c>
      <s:c r="S260" s="22">
        <s:f>'9'!F261</s:f>
        <s:v>46247.36914351852</s:v>
      </s:c>
      <s:c r="T260" s="22">
        <s:f>'10'!F261</s:f>
        <s:v>46247.33991898148</s:v>
      </s:c>
      <s:c r="U260" s="23">
        <s:f>'자료구성'!$B$2</s:f>
        <s:v>46247.0</s:v>
      </s:c>
    </s:row>
    <s:row r="261">
      <s:c r="A261" s="0" t="n">
        <s:v>1719</s:v>
      </s:c>
      <s:c r="B261" s="0" t="n">
        <s:v>805</s:v>
      </s:c>
      <s:c r="C261" s="0" t="n">
        <s:v>1990</s:v>
      </s:c>
      <s:c r="D261" s="0" t="n">
        <s:v>403</s:v>
      </s:c>
      <s:c r="E261" s="0" t="n">
        <s:v>1161</s:v>
      </s:c>
      <s:c r="F261" s="0" t="n">
        <s:v>4202</s:v>
      </s:c>
      <s:c r="G261" s="0" t="n">
        <s:v>3715</s:v>
      </s:c>
      <s:c r="H261" s="0" t="n">
        <s:v>3055</s:v>
      </s:c>
      <s:c r="I261" s="0" t="n">
        <s:v>1976</s:v>
      </s:c>
      <s:c r="J261" s="0" t="n">
        <s:v>2077</s:v>
      </s:c>
      <s:c r="K261" s="22">
        <s:f>'1'!F262</s:f>
        <s:v>46247.56317129629</s:v>
      </s:c>
      <s:c r="L261" s="22">
        <s:f>'2'!F262</s:f>
        <s:v>46247.544907407406</s:v>
      </s:c>
      <s:c r="M261" s="22">
        <s:f>'3'!F262</s:f>
        <s:v>46247.5275</s:v>
      </s:c>
      <s:c r="N261" s="22">
        <s:f>'4'!F262</s:f>
        <s:v>46247.4816087963</s:v>
      </s:c>
      <s:c r="O261" s="22">
        <s:f>'5'!F262</s:f>
        <s:v>46247.45326388889</s:v>
      </s:c>
      <s:c r="P261" s="22">
        <s:f>'6'!F262</s:f>
        <s:v>46247.43380787037</s:v>
      </s:c>
      <s:c r="Q261" s="22">
        <s:f>'7'!F262</s:f>
        <s:v>46247.411157407405</s:v>
      </s:c>
      <s:c r="R261" s="22">
        <s:f>'8'!F262</s:f>
        <s:v>46247.386967592596</s:v>
      </s:c>
      <s:c r="S261" s="22">
        <s:f>'9'!F262</s:f>
        <s:v>46247.369155092594</s:v>
      </s:c>
      <s:c r="T261" s="22">
        <s:f>'10'!F262</s:f>
        <s:v>46247.33993055556</s:v>
      </s:c>
      <s:c r="U261" s="23">
        <s:f>'자료구성'!$B$2</s:f>
        <s:v>46247.0</s:v>
      </s:c>
    </s:row>
    <s:row r="262">
      <s:c r="A262" s="0" t="n">
        <s:v>1768</s:v>
      </s:c>
      <s:c r="B262" s="0" t="n">
        <s:v>818</s:v>
      </s:c>
      <s:c r="C262" s="0" t="n">
        <s:v>2001</s:v>
      </s:c>
      <s:c r="D262" s="0" t="n">
        <s:v>403</s:v>
      </s:c>
      <s:c r="E262" s="0" t="n">
        <s:v>1142</s:v>
      </s:c>
      <s:c r="F262" s="0" t="n">
        <s:v>4209</s:v>
      </s:c>
      <s:c r="G262" s="0" t="n">
        <s:v>3685</s:v>
      </s:c>
      <s:c r="H262" s="0" t="n">
        <s:v>3085</s:v>
      </s:c>
      <s:c r="I262" s="0" t="n">
        <s:v>1959</s:v>
      </s:c>
      <s:c r="J262" s="0" t="n">
        <s:v>2041</s:v>
      </s:c>
      <s:c r="K262" s="22">
        <s:f>'1'!F263</s:f>
        <s:v>46247.56318287037</s:v>
      </s:c>
      <s:c r="L262" s="22">
        <s:f>'2'!F263</s:f>
        <s:v>46247.54491898148</s:v>
      </s:c>
      <s:c r="M262" s="22">
        <s:f>'3'!F263</s:f>
        <s:v>46247.52751157407</s:v>
      </s:c>
      <s:c r="N262" s="22">
        <s:f>'4'!F263</s:f>
        <s:v>46247.481620370374</s:v>
      </s:c>
      <s:c r="O262" s="22">
        <s:f>'5'!F263</s:f>
        <s:v>46247.45327546296</s:v>
      </s:c>
      <s:c r="P262" s="22">
        <s:f>'6'!F263</s:f>
        <s:v>46247.43381944444</s:v>
      </s:c>
      <s:c r="Q262" s="22">
        <s:f>'7'!F263</s:f>
        <s:v>46247.41116898148</s:v>
      </s:c>
      <s:c r="R262" s="22">
        <s:f>'8'!F263</s:f>
        <s:v>46247.386979166666</s:v>
      </s:c>
      <s:c r="S262" s="22">
        <s:f>'9'!F263</s:f>
        <s:v>46247.369166666664</s:v>
      </s:c>
      <s:c r="T262" s="22">
        <s:f>'10'!F263</s:f>
        <s:v>46247.33994212963</s:v>
      </s:c>
      <s:c r="U262" s="23">
        <s:f>'자료구성'!$B$2</s:f>
        <s:v>46247.0</s:v>
      </s:c>
    </s:row>
    <s:row r="263">
      <s:c r="A263" s="0" t="n">
        <s:v>1776</s:v>
      </s:c>
      <s:c r="B263" s="0" t="n">
        <s:v>806</s:v>
      </s:c>
      <s:c r="C263" s="0" t="n">
        <s:v>2040</s:v>
      </s:c>
      <s:c r="D263" s="0" t="n">
        <s:v>394</s:v>
      </s:c>
      <s:c r="E263" s="0" t="n">
        <s:v>1113</s:v>
      </s:c>
      <s:c r="F263" s="0" t="n">
        <s:v>4186</s:v>
      </s:c>
      <s:c r="G263" s="0" t="n">
        <s:v>3560</s:v>
      </s:c>
      <s:c r="H263" s="0" t="n">
        <s:v>3144</s:v>
      </s:c>
      <s:c r="I263" s="0" t="n">
        <s:v>1926</s:v>
      </s:c>
      <s:c r="J263" s="0" t="n">
        <s:v>2022</s:v>
      </s:c>
      <s:c r="K263" s="22">
        <s:f>'1'!F264</s:f>
        <s:v>46247.56319444445</s:v>
      </s:c>
      <s:c r="L263" s="22">
        <s:f>'2'!F264</s:f>
        <s:v>46247.54493055555</s:v>
      </s:c>
      <s:c r="M263" s="22">
        <s:f>'3'!F264</s:f>
        <s:v>46247.52752314815</s:v>
      </s:c>
      <s:c r="N263" s="22">
        <s:f>'4'!F264</s:f>
        <s:v>46247.48163194444</s:v>
      </s:c>
      <s:c r="O263" s="22">
        <s:f>'5'!F264</s:f>
        <s:v>46247.45328703704</s:v>
      </s:c>
      <s:c r="P263" s="22">
        <s:f>'6'!F264</s:f>
        <s:v>46247.43383101852</s:v>
      </s:c>
      <s:c r="Q263" s="22">
        <s:f>'7'!F264</s:f>
        <s:v>46247.41118055556</s:v>
      </s:c>
      <s:c r="R263" s="22">
        <s:f>'8'!F264</s:f>
        <s:v>46247.38699074074</s:v>
      </s:c>
      <s:c r="S263" s="22">
        <s:f>'9'!F264</s:f>
        <s:v>46247.36917824074</s:v>
      </s:c>
      <s:c r="T263" s="22">
        <s:f>'10'!F264</s:f>
        <s:v>46247.339953703704</s:v>
      </s:c>
      <s:c r="U263" s="23">
        <s:f>'자료구성'!$B$2</s:f>
        <s:v>46247.0</s:v>
      </s:c>
    </s:row>
    <s:row r="264">
      <s:c r="A264" s="0" t="n">
        <s:v>1707</s:v>
      </s:c>
      <s:c r="B264" s="0" t="n">
        <s:v>800</s:v>
      </s:c>
      <s:c r="C264" s="0" t="n">
        <s:v>2038</s:v>
      </s:c>
      <s:c r="D264" s="0" t="n">
        <s:v>352</s:v>
      </s:c>
      <s:c r="E264" s="0" t="n">
        <s:v>1107</s:v>
      </s:c>
      <s:c r="F264" s="0" t="n">
        <s:v>4172</s:v>
      </s:c>
      <s:c r="G264" s="0" t="n">
        <s:v>3477</s:v>
      </s:c>
      <s:c r="H264" s="0" t="n">
        <s:v>3183</s:v>
      </s:c>
      <s:c r="I264" s="0" t="n">
        <s:v>1943</s:v>
      </s:c>
      <s:c r="J264" s="0" t="n">
        <s:v>2015</s:v>
      </s:c>
      <s:c r="K264" s="22">
        <s:f>'1'!F265</s:f>
        <s:v>46247.563206018516</s:v>
      </s:c>
      <s:c r="L264" s="22">
        <s:f>'2'!F265</s:f>
        <s:v>46247.54494212963</s:v>
      </s:c>
      <s:c r="M264" s="22">
        <s:f>'3'!F265</s:f>
        <s:v>46247.52753472222</s:v>
      </s:c>
      <s:c r="N264" s="22">
        <s:f>'4'!F265</s:f>
        <s:v>46247.48164351852</s:v>
      </s:c>
      <s:c r="O264" s="22">
        <s:f>'5'!F265</s:f>
        <s:v>46247.45329861111</s:v>
      </s:c>
      <s:c r="P264" s="22">
        <s:f>'6'!F265</s:f>
        <s:v>46247.433842592596</s:v>
      </s:c>
      <s:c r="Q264" s="22">
        <s:f>'7'!F265</s:f>
        <s:v>46247.41119212963</s:v>
      </s:c>
      <s:c r="R264" s="22">
        <s:f>'8'!F265</s:f>
        <s:v>46247.38700231481</s:v>
      </s:c>
      <s:c r="S264" s="22">
        <s:f>'9'!F265</s:f>
        <s:v>46247.36918981482</s:v>
      </s:c>
      <s:c r="T264" s="22">
        <s:f>'10'!F265</s:f>
        <s:v>46247.33996527778</s:v>
      </s:c>
      <s:c r="U264" s="23">
        <s:f>'자료구성'!$B$2</s:f>
        <s:v>46247.0</s:v>
      </s:c>
    </s:row>
    <s:row r="265">
      <s:c r="A265" s="0" t="n">
        <s:v>1635</s:v>
      </s:c>
      <s:c r="B265" s="0" t="n">
        <s:v>744</s:v>
      </s:c>
      <s:c r="C265" s="0" t="n">
        <s:v>2013</s:v>
      </s:c>
      <s:c r="D265" s="0" t="n">
        <s:v>317</s:v>
      </s:c>
      <s:c r="E265" s="0" t="n">
        <s:v>1103</s:v>
      </s:c>
      <s:c r="F265" s="0" t="n">
        <s:v>4240</s:v>
      </s:c>
      <s:c r="G265" s="0" t="n">
        <s:v>3455</s:v>
      </s:c>
      <s:c r="H265" s="0" t="n">
        <s:v>3242</s:v>
      </s:c>
      <s:c r="I265" s="0" t="n">
        <s:v>1927</s:v>
      </s:c>
      <s:c r="J265" s="0" t="n">
        <s:v>1988</s:v>
      </s:c>
      <s:c r="K265" s="22">
        <s:f>'1'!F266</s:f>
        <s:v>46247.56321759259</s:v>
      </s:c>
      <s:c r="L265" s="22">
        <s:f>'2'!F266</s:f>
        <s:v>46247.544953703706</s:v>
      </s:c>
      <s:c r="M265" s="22">
        <s:f>'3'!F266</s:f>
        <s:v>46247.527546296296</s:v>
      </s:c>
      <s:c r="N265" s="22">
        <s:f>'4'!F266</s:f>
        <s:v>46247.48165509259</s:v>
      </s:c>
      <s:c r="O265" s="22">
        <s:f>'5'!F266</s:f>
        <s:v>46247.453310185185</s:v>
      </s:c>
      <s:c r="P265" s="22">
        <s:f>'6'!F266</s:f>
        <s:v>46247.433854166666</s:v>
      </s:c>
      <s:c r="Q265" s="22">
        <s:f>'7'!F266</s:f>
        <s:v>46247.411203703705</s:v>
      </s:c>
      <s:c r="R265" s="22">
        <s:f>'8'!F266</s:f>
        <s:v>46247.38701388889</s:v>
      </s:c>
      <s:c r="S265" s="22">
        <s:f>'9'!F266</s:f>
        <s:v>46247.36920138889</s:v>
      </s:c>
      <s:c r="T265" s="22">
        <s:f>'10'!F266</s:f>
        <s:v>46247.33997685185</s:v>
      </s:c>
      <s:c r="U265" s="23">
        <s:f>'자료구성'!$B$2</s:f>
        <s:v>46247.0</s:v>
      </s:c>
    </s:row>
    <s:row r="266">
      <s:c r="A266" s="0" t="n">
        <s:v>1584</s:v>
      </s:c>
      <s:c r="B266" s="0" t="n">
        <s:v>749</s:v>
      </s:c>
      <s:c r="C266" s="0" t="n">
        <s:v>2001</s:v>
      </s:c>
      <s:c r="D266" s="0" t="n">
        <s:v>287</s:v>
      </s:c>
      <s:c r="E266" s="0" t="n">
        <s:v>1098</s:v>
      </s:c>
      <s:c r="F266" s="0" t="n">
        <s:v>4299</s:v>
      </s:c>
      <s:c r="G266" s="0" t="n">
        <s:v>3479</s:v>
      </s:c>
      <s:c r="H266" s="0" t="n">
        <s:v>3317</s:v>
      </s:c>
      <s:c r="I266" s="0" t="n">
        <s:v>1880</s:v>
      </s:c>
      <s:c r="J266" s="0" t="n">
        <s:v>1945</s:v>
      </s:c>
      <s:c r="K266" s="22">
        <s:f>'1'!F267</s:f>
        <s:v>46247.56322916667</s:v>
      </s:c>
      <s:c r="L266" s="22">
        <s:f>'2'!F267</s:f>
        <s:v>46247.544965277775</s:v>
      </s:c>
      <s:c r="M266" s="22">
        <s:f>'3'!F267</s:f>
        <s:v>46247.52755787037</s:v>
      </s:c>
      <s:c r="N266" s="22">
        <s:f>'4'!F267</s:f>
        <s:v>46247.48166666667</s:v>
      </s:c>
      <s:c r="O266" s="22">
        <s:f>'5'!F267</s:f>
        <s:v>46247.45332175926</s:v>
      </s:c>
      <s:c r="P266" s="22">
        <s:f>'6'!F267</s:f>
        <s:v>46247.43386574074</s:v>
      </s:c>
      <s:c r="Q266" s="22">
        <s:f>'7'!F267</s:f>
        <s:v>46247.411215277774</s:v>
      </s:c>
      <s:c r="R266" s="22">
        <s:f>'8'!F267</s:f>
        <s:v>46247.387025462966</s:v>
      </s:c>
      <s:c r="S266" s="22">
        <s:f>'9'!F267</s:f>
        <s:v>46247.36921296296</s:v>
      </s:c>
      <s:c r="T266" s="22">
        <s:f>'10'!F267</s:f>
        <s:v>46247.33998842593</s:v>
      </s:c>
      <s:c r="U266" s="23">
        <s:f>'자료구성'!$B$2</s:f>
        <s:v>46247.0</s:v>
      </s:c>
    </s:row>
    <s:row r="267">
      <s:c r="A267" s="0" t="n">
        <s:v>1580</s:v>
      </s:c>
      <s:c r="B267" s="0" t="n">
        <s:v>736</s:v>
      </s:c>
      <s:c r="C267" s="0" t="n">
        <s:v>2004</s:v>
      </s:c>
      <s:c r="D267" s="0" t="n">
        <s:v>266</s:v>
      </s:c>
      <s:c r="E267" s="0" t="n">
        <s:v>1088</s:v>
      </s:c>
      <s:c r="F267" s="0" t="n">
        <s:v>4418</s:v>
      </s:c>
      <s:c r="G267" s="0" t="n">
        <s:v>3467</s:v>
      </s:c>
      <s:c r="H267" s="0" t="n">
        <s:v>3415</s:v>
      </s:c>
      <s:c r="I267" s="0" t="n">
        <s:v>1806</s:v>
      </s:c>
      <s:c r="J267" s="0" t="n">
        <s:v>1924</s:v>
      </s:c>
      <s:c r="K267" s="22">
        <s:f>'1'!F268</s:f>
        <s:v>46247.56324074074</s:v>
      </s:c>
      <s:c r="L267" s="22">
        <s:f>'2'!F268</s:f>
        <s:v>46247.54497685185</s:v>
      </s:c>
      <s:c r="M267" s="22">
        <s:f>'3'!F268</s:f>
        <s:v>46247.52756944444</s:v>
      </s:c>
      <s:c r="N267" s="22">
        <s:f>'4'!F268</s:f>
        <s:v>46247.48167824074</s:v>
      </s:c>
      <s:c r="O267" s="22">
        <s:f>'5'!F268</s:f>
        <s:v>46247.45333333333</s:v>
      </s:c>
      <s:c r="P267" s="22">
        <s:f>'6'!F268</s:f>
        <s:v>46247.43387731481</s:v>
      </s:c>
      <s:c r="Q267" s="22">
        <s:f>'7'!F268</s:f>
        <s:v>46247.41122685185</s:v>
      </s:c>
      <s:c r="R267" s="22">
        <s:f>'8'!F268</s:f>
        <s:v>46247.387037037035</s:v>
      </s:c>
      <s:c r="S267" s="22">
        <s:f>'9'!F268</s:f>
        <s:v>46247.36922453704</s:v>
      </s:c>
      <s:c r="T267" s="22">
        <s:f>'10'!F268</s:f>
        <s:v>46247.34</s:v>
      </s:c>
      <s:c r="U267" s="23">
        <s:f>'자료구성'!$B$2</s:f>
        <s:v>46247.0</s:v>
      </s:c>
    </s:row>
    <s:row r="268">
      <s:c r="A268" s="0" t="n">
        <s:v>1554</s:v>
      </s:c>
      <s:c r="B268" s="0" t="n">
        <s:v>746</s:v>
      </s:c>
      <s:c r="C268" s="0" t="n">
        <s:v>2006</s:v>
      </s:c>
      <s:c r="D268" s="0" t="n">
        <s:v>242</s:v>
      </s:c>
      <s:c r="E268" s="0" t="n">
        <s:v>1074</s:v>
      </s:c>
      <s:c r="F268" s="0" t="n">
        <s:v>4486</s:v>
      </s:c>
      <s:c r="G268" s="0" t="n">
        <s:v>3453</s:v>
      </s:c>
      <s:c r="H268" s="0" t="n">
        <s:v>3528</s:v>
      </s:c>
      <s:c r="I268" s="0" t="n">
        <s:v>1749</s:v>
      </s:c>
      <s:c r="J268" s="0" t="n">
        <s:v>1898</s:v>
      </s:c>
      <s:c r="K268" s="22">
        <s:f>'1'!F269</s:f>
        <s:v>46247.563252314816</s:v>
      </s:c>
      <s:c r="L268" s="22">
        <s:f>'2'!F269</s:f>
        <s:v>46247.54498842593</s:v>
      </s:c>
      <s:c r="M268" s="22">
        <s:f>'3'!F269</s:f>
        <s:v>46247.52758101852</s:v>
      </s:c>
      <s:c r="N268" s="22">
        <s:f>'4'!F269</s:f>
        <s:v>46247.48168981481</s:v>
      </s:c>
      <s:c r="O268" s="22">
        <s:f>'5'!F269</s:f>
        <s:v>46247.45334490741</s:v>
      </s:c>
      <s:c r="P268" s="22">
        <s:f>'6'!F269</s:f>
        <s:v>46247.43388888889</s:v>
      </s:c>
      <s:c r="Q268" s="22">
        <s:f>'7'!F269</s:f>
        <s:v>46247.41123842593</s:v>
      </s:c>
      <s:c r="R268" s="22">
        <s:f>'8'!F269</s:f>
        <s:v>46247.38704861111</s:v>
      </s:c>
      <s:c r="S268" s="22">
        <s:f>'9'!F269</s:f>
        <s:v>46247.36923611111</s:v>
      </s:c>
      <s:c r="T268" s="22">
        <s:f>'10'!F269</s:f>
        <s:v>46247.34001157407</s:v>
      </s:c>
      <s:c r="U268" s="23">
        <s:f>'자료구성'!$B$2</s:f>
        <s:v>46247.0</s:v>
      </s:c>
    </s:row>
    <s:row r="269">
      <s:c r="A269" s="0" t="n">
        <s:v>1516</s:v>
      </s:c>
      <s:c r="B269" s="0" t="n">
        <s:v>745</s:v>
      </s:c>
      <s:c r="C269" s="0" t="n">
        <s:v>1998</s:v>
      </s:c>
      <s:c r="D269" s="0" t="n">
        <s:v>227</s:v>
      </s:c>
      <s:c r="E269" s="0" t="n">
        <s:v>1045</s:v>
      </s:c>
      <s:c r="F269" s="0" t="n">
        <s:v>4522</s:v>
      </s:c>
      <s:c r="G269" s="0" t="n">
        <s:v>3395</s:v>
      </s:c>
      <s:c r="H269" s="0" t="n">
        <s:v>3668</s:v>
      </s:c>
      <s:c r="I269" s="0" t="n">
        <s:v>1712</s:v>
      </s:c>
      <s:c r="J269" s="0" t="n">
        <s:v>1887</s:v>
      </s:c>
      <s:c r="K269" s="22">
        <s:f>'1'!F270</s:f>
        <s:v>46247.563263888886</s:v>
      </s:c>
      <s:c r="L269" s="22">
        <s:f>'2'!F270</s:f>
        <s:v>46247.545</s:v>
      </s:c>
      <s:c r="M269" s="22">
        <s:f>'3'!F270</s:f>
        <s:v>46247.527592592596</s:v>
      </s:c>
      <s:c r="N269" s="22">
        <s:f>'4'!F270</s:f>
        <s:v>46247.48170138889</s:v>
      </s:c>
      <s:c r="O269" s="22">
        <s:f>'5'!F270</s:f>
        <s:v>46247.453356481485</s:v>
      </s:c>
      <s:c r="P269" s="22">
        <s:f>'6'!F270</s:f>
        <s:v>46247.433900462966</s:v>
      </s:c>
      <s:c r="Q269" s="22">
        <s:f>'7'!F270</s:f>
        <s:v>46247.41125</s:v>
      </s:c>
      <s:c r="R269" s="22">
        <s:f>'8'!F270</s:f>
        <s:v>46247.38706018519</s:v>
      </s:c>
      <s:c r="S269" s="22">
        <s:f>'9'!F270</s:f>
        <s:v>46247.36924768519</s:v>
      </s:c>
      <s:c r="T269" s="22">
        <s:f>'10'!F270</s:f>
        <s:v>46247.34002314815</s:v>
      </s:c>
      <s:c r="U269" s="23">
        <s:f>'자료구성'!$B$2</s:f>
        <s:v>46247.0</s:v>
      </s:c>
    </s:row>
    <s:row r="270">
      <s:c r="A270" s="0" t="n">
        <s:v>1480</s:v>
      </s:c>
      <s:c r="B270" s="0" t="n">
        <s:v>750</s:v>
      </s:c>
      <s:c r="C270" s="0" t="n">
        <s:v>1970</s:v>
      </s:c>
      <s:c r="D270" s="0" t="n">
        <s:v>220</s:v>
      </s:c>
      <s:c r="E270" s="0" t="n">
        <s:v>1035</s:v>
      </s:c>
      <s:c r="F270" s="0" t="n">
        <s:v>4571</s:v>
      </s:c>
      <s:c r="G270" s="0" t="n">
        <s:v>3306</s:v>
      </s:c>
      <s:c r="H270" s="0" t="n">
        <s:v>3826</s:v>
      </s:c>
      <s:c r="I270" s="0" t="n">
        <s:v>1691</s:v>
      </s:c>
      <s:c r="J270" s="0" t="n">
        <s:v>1902</s:v>
      </s:c>
      <s:c r="K270" s="22">
        <s:f>'1'!F271</s:f>
        <s:v>46247.56327546296</s:v>
      </s:c>
      <s:c r="L270" s="22">
        <s:f>'2'!F271</s:f>
        <s:v>46247.545011574075</s:v>
      </s:c>
      <s:c r="M270" s="22">
        <s:f>'3'!F271</s:f>
        <s:v>46247.527604166666</s:v>
      </s:c>
      <s:c r="N270" s="22">
        <s:f>'4'!F271</s:f>
        <s:v>46247.48171296297</s:v>
      </s:c>
      <s:c r="O270" s="22">
        <s:f>'5'!F271</s:f>
        <s:v>46247.453368055554</s:v>
      </s:c>
      <s:c r="P270" s="22">
        <s:f>'6'!F271</s:f>
        <s:v>46247.433912037035</s:v>
      </s:c>
      <s:c r="Q270" s="22">
        <s:f>'7'!F271</s:f>
        <s:v>46247.411261574074</s:v>
      </s:c>
      <s:c r="R270" s="22">
        <s:f>'8'!F271</s:f>
        <s:v>46247.38707175926</s:v>
      </s:c>
      <s:c r="S270" s="22">
        <s:f>'9'!F271</s:f>
        <s:v>46247.369259259256</s:v>
      </s:c>
      <s:c r="T270" s="22">
        <s:f>'10'!F271</s:f>
        <s:v>46247.34003472222</s:v>
      </s:c>
      <s:c r="U270" s="23">
        <s:f>'자료구성'!$B$2</s:f>
        <s:v>46247.0</s:v>
      </s:c>
    </s:row>
    <s:row r="271">
      <s:c r="A271" s="0" t="n">
        <s:v>1436</s:v>
      </s:c>
      <s:c r="B271" s="0" t="n">
        <s:v>754</s:v>
      </s:c>
      <s:c r="C271" s="0" t="n">
        <s:v>1948</s:v>
      </s:c>
      <s:c r="D271" s="0" t="n">
        <s:v>214</s:v>
      </s:c>
      <s:c r="E271" s="0" t="n">
        <s:v>1030</s:v>
      </s:c>
      <s:c r="F271" s="0" t="n">
        <s:v>4626</s:v>
      </s:c>
      <s:c r="G271" s="0" t="n">
        <s:v>3244</s:v>
      </s:c>
      <s:c r="H271" s="0" t="n">
        <s:v>3944</s:v>
      </s:c>
      <s:c r="I271" s="0" t="n">
        <s:v>1695</s:v>
      </s:c>
      <s:c r="J271" s="0" t="n">
        <s:v>1890</s:v>
      </s:c>
      <s:c r="K271" s="22">
        <s:f>'1'!F272</s:f>
        <s:v>46247.56328703704</s:v>
      </s:c>
      <s:c r="L271" s="22">
        <s:f>'2'!F272</s:f>
        <s:v>46247.545023148145</s:v>
      </s:c>
      <s:c r="M271" s="22">
        <s:f>'3'!F272</s:f>
        <s:v>46247.52761574074</s:v>
      </s:c>
      <s:c r="N271" s="22">
        <s:f>'4'!F272</s:f>
        <s:v>46247.481724537036</s:v>
      </s:c>
      <s:c r="O271" s="22">
        <s:f>'5'!F272</s:f>
        <s:v>46247.45337962963</s:v>
      </s:c>
      <s:c r="P271" s="22">
        <s:f>'6'!F272</s:f>
        <s:v>46247.43392361111</s:v>
      </s:c>
      <s:c r="Q271" s="22">
        <s:f>'7'!F272</s:f>
        <s:v>46247.41127314815</s:v>
      </s:c>
      <s:c r="R271" s="22">
        <s:f>'8'!F272</s:f>
        <s:v>46247.387083333335</s:v>
      </s:c>
      <s:c r="S271" s="22">
        <s:f>'9'!F272</s:f>
        <s:v>46247.36927083333</s:v>
      </s:c>
      <s:c r="T271" s="22">
        <s:f>'10'!F272</s:f>
        <s:v>46247.340046296296</s:v>
      </s:c>
      <s:c r="U271" s="23">
        <s:f>'자료구성'!$B$2</s:f>
        <s:v>46247.0</s:v>
      </s:c>
    </s:row>
    <s:row r="272">
      <s:c r="A272" s="0" t="n">
        <s:v>1438</s:v>
      </s:c>
      <s:c r="B272" s="0" t="n">
        <s:v>760</s:v>
      </s:c>
      <s:c r="C272" s="0" t="n">
        <s:v>1941</s:v>
      </s:c>
      <s:c r="D272" s="0" t="n">
        <s:v>206</s:v>
      </s:c>
      <s:c r="E272" s="0" t="n">
        <s:v>1045</s:v>
      </s:c>
      <s:c r="F272" s="0" t="n">
        <s:v>4683</s:v>
      </s:c>
      <s:c r="G272" s="0" t="n">
        <s:v>3196</s:v>
      </s:c>
      <s:c r="H272" s="0" t="n">
        <s:v>4019</s:v>
      </s:c>
      <s:c r="I272" s="0" t="n">
        <s:v>1711</s:v>
      </s:c>
      <s:c r="J272" s="0" t="n">
        <s:v>1910</s:v>
      </s:c>
      <s:c r="K272" s="22">
        <s:f>'1'!F273</s:f>
        <s:v>46247.56329861111</s:v>
      </s:c>
      <s:c r="L272" s="22">
        <s:f>'2'!F273</s:f>
        <s:v>46247.54503472222</s:v>
      </s:c>
      <s:c r="M272" s="22">
        <s:f>'3'!F273</s:f>
        <s:v>46247.52762731481</s:v>
      </s:c>
      <s:c r="N272" s="22">
        <s:f>'4'!F273</s:f>
        <s:v>46247.48173611111</s:v>
      </s:c>
      <s:c r="O272" s="22">
        <s:f>'5'!F273</s:f>
        <s:v>46247.4533912037</s:v>
      </s:c>
      <s:c r="P272" s="22">
        <s:f>'6'!F273</s:f>
        <s:v>46247.43393518519</s:v>
      </s:c>
      <s:c r="Q272" s="22">
        <s:f>'7'!F273</s:f>
        <s:v>46247.41128472222</s:v>
      </s:c>
      <s:c r="R272" s="22">
        <s:f>'8'!F273</s:f>
        <s:v>46247.387094907404</s:v>
      </s:c>
      <s:c r="S272" s="22">
        <s:f>'9'!F273</s:f>
        <s:v>46247.36928240741</s:v>
      </s:c>
      <s:c r="T272" s="22">
        <s:f>'10'!F273</s:f>
        <s:v>46247.34005787037</s:v>
      </s:c>
      <s:c r="U272" s="23">
        <s:f>'자료구성'!$B$2</s:f>
        <s:v>46247.0</s:v>
      </s:c>
    </s:row>
    <s:row r="273">
      <s:c r="A273" s="0" t="n">
        <s:v>1447</s:v>
      </s:c>
      <s:c r="B273" s="0" t="n">
        <s:v>767</s:v>
      </s:c>
      <s:c r="C273" s="0" t="n">
        <s:v>1944</s:v>
      </s:c>
      <s:c r="D273" s="0" t="n">
        <s:v>205</s:v>
      </s:c>
      <s:c r="E273" s="0" t="n">
        <s:v>1060</s:v>
      </s:c>
      <s:c r="F273" s="0" t="n">
        <s:v>4685</s:v>
      </s:c>
      <s:c r="G273" s="0" t="n">
        <s:v>3180</s:v>
      </s:c>
      <s:c r="H273" s="0" t="n">
        <s:v>4183</s:v>
      </s:c>
      <s:c r="I273" s="0" t="n">
        <s:v>1661</s:v>
      </s:c>
      <s:c r="J273" s="0" t="n">
        <s:v>1898</s:v>
      </s:c>
      <s:c r="K273" s="22">
        <s:f>'1'!F274</s:f>
        <s:v>46247.563310185185</s:v>
      </s:c>
      <s:c r="L273" s="22">
        <s:f>'2'!F274</s:f>
        <s:v>46247.5450462963</s:v>
      </s:c>
      <s:c r="M273" s="22">
        <s:f>'3'!F274</s:f>
        <s:v>46247.52763888889</s:v>
      </s:c>
      <s:c r="N273" s="22">
        <s:f>'4'!F274</s:f>
        <s:v>46247.48174768518</s:v>
      </s:c>
      <s:c r="O273" s="22">
        <s:f>'5'!F274</s:f>
        <s:v>46247.45340277778</s:v>
      </s:c>
      <s:c r="P273" s="22">
        <s:f>'6'!F274</s:f>
        <s:v>46247.43394675926</s:v>
      </s:c>
      <s:c r="Q273" s="22">
        <s:f>'7'!F274</s:f>
        <s:v>46247.4112962963</s:v>
      </s:c>
      <s:c r="R273" s="22">
        <s:f>'8'!F274</s:f>
        <s:v>46247.38710648148</s:v>
      </s:c>
      <s:c r="S273" s="22">
        <s:f>'9'!F274</s:f>
        <s:v>46247.36929398148</s:v>
      </s:c>
      <s:c r="T273" s="22">
        <s:f>'10'!F274</s:f>
        <s:v>46247.34006944444</s:v>
      </s:c>
      <s:c r="U273" s="23">
        <s:f>'자료구성'!$B$2</s:f>
        <s:v>46247.0</s:v>
      </s:c>
    </s:row>
    <s:row r="274">
      <s:c r="A274" s="0" t="n">
        <s:v>1423</s:v>
      </s:c>
      <s:c r="B274" s="0" t="n">
        <s:v>757</s:v>
      </s:c>
      <s:c r="C274" s="0" t="n">
        <s:v>1937</s:v>
      </s:c>
      <s:c r="D274" s="0" t="n">
        <s:v>207</s:v>
      </s:c>
      <s:c r="E274" s="0" t="n">
        <s:v>1054</s:v>
      </s:c>
      <s:c r="F274" s="0" t="n">
        <s:v>4751</s:v>
      </s:c>
      <s:c r="G274" s="0" t="n">
        <s:v>3101</s:v>
      </s:c>
      <s:c r="H274" s="0" t="n">
        <s:v>4525</s:v>
      </s:c>
      <s:c r="I274" s="0" t="n">
        <s:v>1640</s:v>
      </s:c>
      <s:c r="J274" s="0" t="n">
        <s:v>1923</s:v>
      </s:c>
      <s:c r="K274" s="22">
        <s:f>'1'!F275</s:f>
        <s:v>46247.56332175926</s:v>
      </s:c>
      <s:c r="L274" s="22">
        <s:f>'2'!F275</s:f>
        <s:v>46247.54505787037</s:v>
      </s:c>
      <s:c r="M274" s="22">
        <s:f>'3'!F275</s:f>
        <s:v>46247.527650462966</s:v>
      </s:c>
      <s:c r="N274" s="22">
        <s:f>'4'!F275</s:f>
        <s:v>46247.48175925926</s:v>
      </s:c>
      <s:c r="O274" s="22">
        <s:f>'5'!F275</s:f>
        <s:v>46247.453414351854</s:v>
      </s:c>
      <s:c r="P274" s="22">
        <s:f>'6'!F275</s:f>
        <s:v>46247.433958333335</s:v>
      </s:c>
      <s:c r="Q274" s="22">
        <s:f>'7'!F275</s:f>
        <s:v>46247.411307870374</s:v>
      </s:c>
      <s:c r="R274" s="22">
        <s:f>'8'!F275</s:f>
        <s:v>46247.38711805556</s:v>
      </s:c>
      <s:c r="S274" s="22">
        <s:f>'9'!F275</s:f>
        <s:v>46247.369305555556</s:v>
      </s:c>
      <s:c r="T274" s="22">
        <s:f>'10'!F275</s:f>
        <s:v>46247.34008101852</s:v>
      </s:c>
      <s:c r="U274" s="23">
        <s:f>'자료구성'!$B$2</s:f>
        <s:v>46247.0</s:v>
      </s:c>
    </s:row>
    <s:row r="275">
      <s:c r="A275" s="0" t="n">
        <s:v>1396</s:v>
      </s:c>
      <s:c r="B275" s="0" t="n">
        <s:v>749</s:v>
      </s:c>
      <s:c r="C275" s="0" t="n">
        <s:v>1925</s:v>
      </s:c>
      <s:c r="D275" s="0" t="n">
        <s:v>213</s:v>
      </s:c>
      <s:c r="E275" s="0" t="n">
        <s:v>1030</s:v>
      </s:c>
      <s:c r="F275" s="0" t="n">
        <s:v>4789</s:v>
      </s:c>
      <s:c r="G275" s="0" t="n">
        <s:v>3040</s:v>
      </s:c>
      <s:c r="H275" s="0" t="n">
        <s:v>5138</s:v>
      </s:c>
      <s:c r="I275" s="0" t="n">
        <s:v>1604</s:v>
      </s:c>
      <s:c r="J275" s="0" t="n">
        <s:v>1908</s:v>
      </s:c>
      <s:c r="K275" s="22">
        <s:f>'1'!F276</s:f>
        <s:v>46247.56333333333</s:v>
      </s:c>
      <s:c r="L275" s="22">
        <s:f>'2'!F276</s:f>
        <s:v>46247.545069444444</s:v>
      </s:c>
      <s:c r="M275" s="22">
        <s:f>'3'!F276</s:f>
        <s:v>46247.527662037035</s:v>
      </s:c>
      <s:c r="N275" s="22">
        <s:f>'4'!F276</s:f>
        <s:v>46247.481770833336</s:v>
      </s:c>
      <s:c r="O275" s="22">
        <s:f>'5'!F276</s:f>
        <s:v>46247.45342592592</s:v>
      </s:c>
      <s:c r="P275" s="22">
        <s:f>'6'!F276</s:f>
        <s:v>46247.433969907404</s:v>
      </s:c>
      <s:c r="Q275" s="22">
        <s:f>'7'!F276</s:f>
        <s:v>46247.41131944444</s:v>
      </s:c>
      <s:c r="R275" s="22">
        <s:f>'8'!F276</s:f>
        <s:v>46247.38712962963</s:v>
      </s:c>
      <s:c r="S275" s="22">
        <s:f>'9'!F276</s:f>
        <s:v>46247.36931712963</s:v>
      </s:c>
      <s:c r="T275" s="22">
        <s:f>'10'!F276</s:f>
        <s:v>46247.340092592596</s:v>
      </s:c>
      <s:c r="U275" s="23">
        <s:f>'자료구성'!$B$2</s:f>
        <s:v>46247.0</s:v>
      </s:c>
    </s:row>
    <s:row r="276">
      <s:c r="A276" s="0" t="n">
        <s:v>1430</s:v>
      </s:c>
      <s:c r="B276" s="0" t="n">
        <s:v>754</s:v>
      </s:c>
      <s:c r="C276" s="0" t="n">
        <s:v>1889</s:v>
      </s:c>
      <s:c r="D276" s="0" t="n">
        <s:v>201</s:v>
      </s:c>
      <s:c r="E276" s="0" t="n">
        <s:v>1013</s:v>
      </s:c>
      <s:c r="F276" s="0" t="n">
        <s:v>4774</s:v>
      </s:c>
      <s:c r="G276" s="0" t="n">
        <s:v>3033</s:v>
      </s:c>
      <s:c r="H276" s="0" t="n">
        <s:v>6025</s:v>
      </s:c>
      <s:c r="I276" s="0" t="n">
        <s:v>1588</s:v>
      </s:c>
      <s:c r="J276" s="0" t="n">
        <s:v>1894</s:v>
      </s:c>
      <s:c r="K276" s="22">
        <s:f>'1'!F277</s:f>
        <s:v>46247.56334490741</s:v>
      </s:c>
      <s:c r="L276" s="22">
        <s:f>'2'!F277</s:f>
        <s:v>46247.54508101852</s:v>
      </s:c>
      <s:c r="M276" s="22">
        <s:f>'3'!F277</s:f>
        <s:v>46247.52767361111</s:v>
      </s:c>
      <s:c r="N276" s="22">
        <s:f>'4'!F277</s:f>
        <s:v>46247.481782407405</s:v>
      </s:c>
      <s:c r="O276" s="22">
        <s:f>'5'!F277</s:f>
        <s:v>46247.4534375</s:v>
      </s:c>
      <s:c r="P276" s="22">
        <s:f>'6'!F277</s:f>
        <s:v>46247.43398148148</s:v>
      </s:c>
      <s:c r="Q276" s="22">
        <s:f>'7'!F277</s:f>
        <s:v>46247.41133101852</s:v>
      </s:c>
      <s:c r="R276" s="22">
        <s:f>'8'!F277</s:f>
        <s:v>46247.387141203704</s:v>
      </s:c>
      <s:c r="S276" s="22">
        <s:f>'9'!F277</s:f>
        <s:v>46247.3693287037</s:v>
      </s:c>
      <s:c r="T276" s="22">
        <s:f>'10'!F277</s:f>
        <s:v>46247.340104166666</s:v>
      </s:c>
      <s:c r="U276" s="23">
        <s:f>'자료구성'!$B$2</s:f>
        <s:v>46247.0</s:v>
      </s:c>
    </s:row>
    <s:row r="277">
      <s:c r="A277" s="0" t="n">
        <s:v>1440</s:v>
      </s:c>
      <s:c r="B277" s="0" t="n">
        <s:v>748</s:v>
      </s:c>
      <s:c r="C277" s="0" t="n">
        <s:v>1855</s:v>
      </s:c>
      <s:c r="D277" s="0" t="n">
        <s:v>194</s:v>
      </s:c>
      <s:c r="E277" s="0" t="n">
        <s:v>1001</s:v>
      </s:c>
      <s:c r="F277" s="0" t="n">
        <s:v>4944</s:v>
      </s:c>
      <s:c r="G277" s="0" t="n">
        <s:v>3016</s:v>
      </s:c>
      <s:c r="H277" s="0" t="n">
        <s:v>7037</s:v>
      </s:c>
      <s:c r="I277" s="0" t="n">
        <s:v>1574</s:v>
      </s:c>
      <s:c r="J277" s="0" t="n">
        <s:v>1878</s:v>
      </s:c>
      <s:c r="K277" s="22">
        <s:f>'1'!F278</s:f>
        <s:v>46247.56335648148</s:v>
      </s:c>
      <s:c r="L277" s="22">
        <s:f>'2'!F278</s:f>
        <s:v>46247.54509259259</s:v>
      </s:c>
      <s:c r="M277" s="22">
        <s:f>'3'!F278</s:f>
        <s:v>46247.52768518519</s:v>
      </s:c>
      <s:c r="N277" s="22">
        <s:f>'4'!F278</s:f>
        <s:v>46247.48179398148</s:v>
      </s:c>
      <s:c r="O277" s="22">
        <s:f>'5'!F278</s:f>
        <s:v>46247.45344907408</s:v>
      </s:c>
      <s:c r="P277" s="22">
        <s:f>'6'!F278</s:f>
        <s:v>46247.43399305556</s:v>
      </s:c>
      <s:c r="Q277" s="22">
        <s:f>'7'!F278</s:f>
        <s:v>46247.41134259259</s:v>
      </s:c>
      <s:c r="R277" s="22">
        <s:f>'8'!F278</s:f>
        <s:v>46247.38715277778</s:v>
      </s:c>
      <s:c r="S277" s="22">
        <s:f>'9'!F278</s:f>
        <s:v>46247.36934027778</s:v>
      </s:c>
      <s:c r="T277" s="22">
        <s:f>'10'!F278</s:f>
        <s:v>46247.34011574074</s:v>
      </s:c>
      <s:c r="U277" s="23">
        <s:f>'자료구성'!$B$2</s:f>
        <s:v>46247.0</s:v>
      </s:c>
    </s:row>
    <s:row r="278">
      <s:c r="A278" s="0" t="n">
        <s:v>1423</s:v>
      </s:c>
      <s:c r="B278" s="0" t="n">
        <s:v>739</s:v>
      </s:c>
      <s:c r="C278" s="0" t="n">
        <s:v>1857</s:v>
      </s:c>
      <s:c r="D278" s="0" t="n">
        <s:v>189</s:v>
      </s:c>
      <s:c r="E278" s="0" t="n">
        <s:v>1007</s:v>
      </s:c>
      <s:c r="F278" s="0" t="n">
        <s:v>5126</s:v>
      </s:c>
      <s:c r="G278" s="0" t="n">
        <s:v>3013</s:v>
      </s:c>
      <s:c r="H278" s="0" t="n">
        <s:v>7550</s:v>
      </s:c>
      <s:c r="I278" s="0" t="n">
        <s:v>1560</s:v>
      </s:c>
      <s:c r="J278" s="0" t="n">
        <s:v>1858</s:v>
      </s:c>
      <s:c r="K278" s="22">
        <s:f>'1'!F279</s:f>
        <s:v>46247.563368055555</s:v>
      </s:c>
      <s:c r="L278" s="22">
        <s:f>'2'!F279</s:f>
        <s:v>46247.54510416667</s:v>
      </s:c>
      <s:c r="M278" s="22">
        <s:f>'3'!F279</s:f>
        <s:v>46247.52769675926</s:v>
      </s:c>
      <s:c r="N278" s="22">
        <s:f>'4'!F279</s:f>
        <s:v>46247.48180555556</s:v>
      </s:c>
      <s:c r="O278" s="22">
        <s:f>'5'!F279</s:f>
        <s:v>46247.45346064815</s:v>
      </s:c>
      <s:c r="P278" s="22">
        <s:f>'6'!F279</s:f>
        <s:v>46247.43400462963</s:v>
      </s:c>
      <s:c r="Q278" s="22">
        <s:f>'7'!F279</s:f>
        <s:v>46247.41135416667</s:v>
      </s:c>
      <s:c r="R278" s="22">
        <s:f>'8'!F279</s:f>
        <s:v>46247.38716435185</s:v>
      </s:c>
      <s:c r="S278" s="22">
        <s:f>'9'!F279</s:f>
        <s:v>46247.36935185185</s:v>
      </s:c>
      <s:c r="T278" s="22">
        <s:f>'10'!F279</s:f>
        <s:v>46247.34012731481</s:v>
      </s:c>
      <s:c r="U278" s="23">
        <s:f>'자료구성'!$B$2</s:f>
        <s:v>46247.0</s:v>
      </s:c>
    </s:row>
    <s:row r="279">
      <s:c r="A279" s="0" t="n">
        <s:v>1381</s:v>
      </s:c>
      <s:c r="B279" s="0" t="n">
        <s:v>740</s:v>
      </s:c>
      <s:c r="C279" s="0" t="n">
        <s:v>1865</s:v>
      </s:c>
      <s:c r="D279" s="0" t="n">
        <s:v>181</s:v>
      </s:c>
      <s:c r="E279" s="0" t="n">
        <s:v>1012</s:v>
      </s:c>
      <s:c r="F279" s="0" t="n">
        <s:v>5250</s:v>
      </s:c>
      <s:c r="G279" s="0" t="n">
        <s:v>2995</s:v>
      </s:c>
      <s:c r="H279" s="0" t="n">
        <s:v>7738</s:v>
      </s:c>
      <s:c r="I279" s="0" t="n">
        <s:v>1577</s:v>
      </s:c>
      <s:c r="J279" s="0" t="n">
        <s:v>1834</s:v>
      </s:c>
      <s:c r="K279" s="22">
        <s:f>'1'!F280</s:f>
        <s:v>46247.56337962963</s:v>
      </s:c>
      <s:c r="L279" s="22">
        <s:f>'2'!F280</s:f>
        <s:v>46247.545115740744</s:v>
      </s:c>
      <s:c r="M279" s="22">
        <s:f>'3'!F280</s:f>
        <s:v>46247.527708333335</s:v>
      </s:c>
      <s:c r="N279" s="22">
        <s:f>'4'!F280</s:f>
        <s:v>46247.48181712963</s:v>
      </s:c>
      <s:c r="O279" s="22">
        <s:f>'5'!F280</s:f>
        <s:v>46247.45347222222</s:v>
      </s:c>
      <s:c r="P279" s="22">
        <s:f>'6'!F280</s:f>
        <s:v>46247.434016203704</s:v>
      </s:c>
      <s:c r="Q279" s="22">
        <s:f>'7'!F280</s:f>
        <s:v>46247.41136574074</s:v>
      </s:c>
      <s:c r="R279" s="22">
        <s:f>'8'!F280</s:f>
        <s:v>46247.38717592593</s:v>
      </s:c>
      <s:c r="S279" s="22">
        <s:f>'9'!F280</s:f>
        <s:v>46247.369363425925</s:v>
      </s:c>
      <s:c r="T279" s="22">
        <s:f>'10'!F280</s:f>
        <s:v>46247.34013888889</s:v>
      </s:c>
      <s:c r="U279" s="23">
        <s:f>'자료구성'!$B$2</s:f>
        <s:v>46247.0</s:v>
      </s:c>
    </s:row>
    <s:row r="280">
      <s:c r="A280" s="0" t="n">
        <s:v>1370</s:v>
      </s:c>
      <s:c r="B280" s="0" t="n">
        <s:v>728</s:v>
      </s:c>
      <s:c r="C280" s="0" t="n">
        <s:v>1981</s:v>
      </s:c>
      <s:c r="D280" s="0" t="n">
        <s:v>173</s:v>
      </s:c>
      <s:c r="E280" s="0" t="n">
        <s:v>1017</s:v>
      </s:c>
      <s:c r="F280" s="0" t="n">
        <s:v>5385</s:v>
      </s:c>
      <s:c r="G280" s="0" t="n">
        <s:v>2973</s:v>
      </s:c>
      <s:c r="H280" s="0" t="n">
        <s:v>8023</s:v>
      </s:c>
      <s:c r="I280" s="0" t="n">
        <s:v>1618</s:v>
      </s:c>
      <s:c r="J280" s="0" t="n">
        <s:v>1813</s:v>
      </s:c>
      <s:c r="K280" s="22">
        <s:f>'1'!F281</s:f>
        <s:v>46247.5633912037</s:v>
      </s:c>
      <s:c r="L280" s="22">
        <s:f>'2'!F281</s:f>
        <s:v>46247.545127314814</s:v>
      </s:c>
      <s:c r="M280" s="22">
        <s:f>'3'!F281</s:f>
        <s:v>46247.527719907404</s:v>
      </s:c>
      <s:c r="N280" s="22">
        <s:f>'4'!F281</s:f>
        <s:v>46247.481828703705</s:v>
      </s:c>
      <s:c r="O280" s="22">
        <s:f>'5'!F281</s:f>
        <s:v>46247.45348379629</s:v>
      </s:c>
      <s:c r="P280" s="22">
        <s:f>'6'!F281</s:f>
        <s:v>46247.43402777778</s:v>
      </s:c>
      <s:c r="Q280" s="22">
        <s:f>'7'!F281</s:f>
        <s:v>46247.41137731481</s:v>
      </s:c>
      <s:c r="R280" s="22">
        <s:f>'8'!F281</s:f>
        <s:v>46247.3871875</s:v>
      </s:c>
      <s:c r="S280" s="22">
        <s:f>'9'!F281</s:f>
        <s:v>46247.369375</s:v>
      </s:c>
      <s:c r="T280" s="22">
        <s:f>'10'!F281</s:f>
        <s:v>46247.340150462966</s:v>
      </s:c>
      <s:c r="U280" s="23">
        <s:f>'자료구성'!$B$2</s:f>
        <s:v>46247.0</s:v>
      </s:c>
    </s:row>
    <s:row r="281">
      <s:c r="A281" s="0" t="n">
        <s:v>1376</s:v>
      </s:c>
      <s:c r="B281" s="0" t="n">
        <s:v>719</s:v>
      </s:c>
      <s:c r="C281" s="0" t="n">
        <s:v>2039</s:v>
      </s:c>
      <s:c r="D281" s="0" t="n">
        <s:v>163</s:v>
      </s:c>
      <s:c r="E281" s="0" t="n">
        <s:v>1016</s:v>
      </s:c>
      <s:c r="F281" s="0" t="n">
        <s:v>5462</s:v>
      </s:c>
      <s:c r="G281" s="0" t="n">
        <s:v>3043</s:v>
      </s:c>
      <s:c r="H281" s="0" t="n">
        <s:v>8516</s:v>
      </s:c>
      <s:c r="I281" s="0" t="n">
        <s:v>1616</s:v>
      </s:c>
      <s:c r="J281" s="0" t="n">
        <s:v>1794</s:v>
      </s:c>
      <s:c r="K281" s="22">
        <s:f>'1'!F282</s:f>
        <s:v>46247.56340277778</s:v>
      </s:c>
      <s:c r="L281" s="22">
        <s:f>'2'!F282</s:f>
        <s:v>46247.54513888889</s:v>
      </s:c>
      <s:c r="M281" s="22">
        <s:f>'3'!F282</s:f>
        <s:v>46247.52773148148</s:v>
      </s:c>
      <s:c r="N281" s="22">
        <s:f>'4'!F282</s:f>
        <s:v>46247.481840277775</s:v>
      </s:c>
      <s:c r="O281" s="22">
        <s:f>'5'!F282</s:f>
        <s:v>46247.45349537037</s:v>
      </s:c>
      <s:c r="P281" s="22">
        <s:f>'6'!F282</s:f>
        <s:v>46247.43403935185</s:v>
      </s:c>
      <s:c r="Q281" s="22">
        <s:f>'7'!F282</s:f>
        <s:v>46247.41138888889</s:v>
      </s:c>
      <s:c r="R281" s="22">
        <s:f>'8'!F282</s:f>
        <s:v>46247.38719907407</s:v>
      </s:c>
      <s:c r="S281" s="22">
        <s:f>'9'!F282</s:f>
        <s:v>46247.36938657407</s:v>
      </s:c>
      <s:c r="T281" s="22">
        <s:f>'10'!F282</s:f>
        <s:v>46247.340162037035</s:v>
      </s:c>
      <s:c r="U281" s="23">
        <s:f>'자료구성'!$B$2</s:f>
        <s:v>46247.0</s:v>
      </s:c>
    </s:row>
    <s:row r="282">
      <s:c r="A282" s="0" t="n">
        <s:v>1363</s:v>
      </s:c>
      <s:c r="B282" s="0" t="n">
        <s:v>718</s:v>
      </s:c>
      <s:c r="C282" s="0" t="n">
        <s:v>2080</s:v>
      </s:c>
      <s:c r="D282" s="0" t="n">
        <s:v>168</s:v>
      </s:c>
      <s:c r="E282" s="0" t="n">
        <s:v>1008</s:v>
      </s:c>
      <s:c r="F282" s="0" t="n">
        <s:v>5450</s:v>
      </s:c>
      <s:c r="G282" s="0" t="n">
        <s:v>3194</s:v>
      </s:c>
      <s:c r="H282" s="0" t="n">
        <s:v>8645</s:v>
      </s:c>
      <s:c r="I282" s="0" t="n">
        <s:v>1619</s:v>
      </s:c>
      <s:c r="J282" s="0" t="n">
        <s:v>1769</s:v>
      </s:c>
      <s:c r="K282" s="22">
        <s:f>'1'!F283</s:f>
        <s:v>46247.563414351855</s:v>
      </s:c>
      <s:c r="L282" s="22">
        <s:f>'2'!F283</s:f>
        <s:v>46247.54515046296</s:v>
      </s:c>
      <s:c r="M282" s="22">
        <s:f>'3'!F283</s:f>
        <s:v>46247.52774305556</s:v>
      </s:c>
      <s:c r="N282" s="22">
        <s:f>'4'!F283</s:f>
        <s:v>46247.48185185185</s:v>
      </s:c>
      <s:c r="O282" s="22">
        <s:f>'5'!F283</s:f>
        <s:v>46247.45350694445</s:v>
      </s:c>
      <s:c r="P282" s="22">
        <s:f>'6'!F283</s:f>
        <s:v>46247.43405092593</s:v>
      </s:c>
      <s:c r="Q282" s="22">
        <s:f>'7'!F283</s:f>
        <s:v>46247.41140046297</s:v>
      </s:c>
      <s:c r="R282" s="22">
        <s:f>'8'!F283</s:f>
        <s:v>46247.38721064815</s:v>
      </s:c>
      <s:c r="S282" s="22">
        <s:f>'9'!F283</s:f>
        <s:v>46247.36939814815</s:v>
      </s:c>
      <s:c r="T282" s="22">
        <s:f>'10'!F283</s:f>
        <s:v>46247.34017361111</s:v>
      </s:c>
      <s:c r="U282" s="23">
        <s:f>'자료구성'!$B$2</s:f>
        <s:v>46247.0</s:v>
      </s:c>
    </s:row>
    <s:row r="283">
      <s:c r="A283" s="0" t="n">
        <s:v>1345</s:v>
      </s:c>
      <s:c r="B283" s="0" t="n">
        <s:v>734</s:v>
      </s:c>
      <s:c r="C283" s="0" t="n">
        <s:v>2139</s:v>
      </s:c>
      <s:c r="D283" s="0" t="n">
        <s:v>163</s:v>
      </s:c>
      <s:c r="E283" s="0" t="n">
        <s:v>1017</s:v>
      </s:c>
      <s:c r="F283" s="0" t="n">
        <s:v>5472</s:v>
      </s:c>
      <s:c r="G283" s="0" t="n">
        <s:v>3326</s:v>
      </s:c>
      <s:c r="H283" s="0" t="n">
        <s:v>8645</s:v>
      </s:c>
      <s:c r="I283" s="0" t="n">
        <s:v>1628</s:v>
      </s:c>
      <s:c r="J283" s="0" t="n">
        <s:v>1762</s:v>
      </s:c>
      <s:c r="K283" s="22">
        <s:f>'1'!F284</s:f>
        <s:v>46247.563425925924</s:v>
      </s:c>
      <s:c r="L283" s="22">
        <s:f>'2'!F284</s:f>
        <s:v>46247.54516203704</s:v>
      </s:c>
      <s:c r="M283" s="22">
        <s:f>'3'!F284</s:f>
        <s:v>46247.52775462963</s:v>
      </s:c>
      <s:c r="N283" s="22">
        <s:f>'4'!F284</s:f>
        <s:v>46247.48186342593</s:v>
      </s:c>
      <s:c r="O283" s="22">
        <s:f>'5'!F284</s:f>
        <s:v>46247.453518518516</s:v>
      </s:c>
      <s:c r="P283" s="22">
        <s:f>'6'!F284</s:f>
        <s:v>46247.4340625</s:v>
      </s:c>
      <s:c r="Q283" s="22">
        <s:f>'7'!F284</s:f>
        <s:v>46247.411412037036</s:v>
      </s:c>
      <s:c r="R283" s="22">
        <s:f>'8'!F284</s:f>
        <s:v>46247.38722222222</s:v>
      </s:c>
      <s:c r="S283" s="22">
        <s:f>'9'!F284</s:f>
        <s:v>46247.369409722225</s:v>
      </s:c>
      <s:c r="T283" s="22">
        <s:f>'10'!F284</s:f>
        <s:v>46247.34018518519</s:v>
      </s:c>
      <s:c r="U283" s="23">
        <s:f>'자료구성'!$B$2</s:f>
        <s:v>46247.0</s:v>
      </s:c>
    </s:row>
    <s:row r="284">
      <s:c r="A284" s="0" t="n">
        <s:v>1338</s:v>
      </s:c>
      <s:c r="B284" s="0" t="n">
        <s:v>722</s:v>
      </s:c>
      <s:c r="C284" s="0" t="n">
        <s:v>2159</s:v>
      </s:c>
      <s:c r="D284" s="0" t="n">
        <s:v>165</s:v>
      </s:c>
      <s:c r="E284" s="0" t="n">
        <s:v>1047</s:v>
      </s:c>
      <s:c r="F284" s="0" t="n">
        <s:v>5524</s:v>
      </s:c>
      <s:c r="G284" s="0" t="n">
        <s:v>3366</s:v>
      </s:c>
      <s:c r="H284" s="0" t="n">
        <s:v>8645</s:v>
      </s:c>
      <s:c r="I284" s="0" t="n">
        <s:v>1661</s:v>
      </s:c>
      <s:c r="J284" s="0" t="n">
        <s:v>1776</s:v>
      </s:c>
      <s:c r="K284" s="22">
        <s:f>'1'!F285</s:f>
        <s:v>46247.5634375</s:v>
      </s:c>
      <s:c r="L284" s="22">
        <s:f>'2'!F285</s:f>
        <s:v>46247.54517361111</s:v>
      </s:c>
      <s:c r="M284" s="22">
        <s:f>'3'!F285</s:f>
        <s:v>46247.527766203704</s:v>
      </s:c>
      <s:c r="N284" s="22">
        <s:f>'4'!F285</s:f>
        <s:v>46247.481875</s:v>
      </s:c>
      <s:c r="O284" s="22">
        <s:f>'5'!F285</s:f>
        <s:v>46247.45353009259</s:v>
      </s:c>
      <s:c r="P284" s="22">
        <s:f>'6'!F285</s:f>
        <s:v>46247.43407407407</s:v>
      </s:c>
      <s:c r="Q284" s="22">
        <s:f>'7'!F285</s:f>
        <s:v>46247.41142361111</s:v>
      </s:c>
      <s:c r="R284" s="22">
        <s:f>'8'!F285</s:f>
        <s:v>46247.3872337963</s:v>
      </s:c>
      <s:c r="S284" s="22">
        <s:f>'9'!F285</s:f>
        <s:v>46247.369421296295</s:v>
      </s:c>
      <s:c r="T284" s="22">
        <s:f>'10'!F285</s:f>
        <s:v>46247.34019675926</s:v>
      </s:c>
      <s:c r="U284" s="23">
        <s:f>'자료구성'!$B$2</s:f>
        <s:v>46247.0</s:v>
      </s:c>
    </s:row>
    <s:row r="285">
      <s:c r="A285" s="0" t="n">
        <s:v>1372</s:v>
      </s:c>
      <s:c r="B285" s="0" t="n">
        <s:v>767</s:v>
      </s:c>
      <s:c r="C285" s="0" t="n">
        <s:v>2158</s:v>
      </s:c>
      <s:c r="D285" s="0" t="n">
        <s:v>165</s:v>
      </s:c>
      <s:c r="E285" s="0" t="n">
        <s:v>1060</s:v>
      </s:c>
      <s:c r="F285" s="0" t="n">
        <s:v>5471</s:v>
      </s:c>
      <s:c r="G285" s="0" t="n">
        <s:v>3271</s:v>
      </s:c>
      <s:c r="H285" s="0" t="n">
        <s:v>8645</s:v>
      </s:c>
      <s:c r="I285" s="0" t="n">
        <s:v>1697</s:v>
      </s:c>
      <s:c r="J285" s="0" t="n">
        <s:v>1802</s:v>
      </s:c>
      <s:c r="K285" s="22">
        <s:f>'1'!F286</s:f>
        <s:v>46247.56344907408</s:v>
      </s:c>
      <s:c r="L285" s="22">
        <s:f>'2'!F286</s:f>
        <s:v>46247.54518518518</s:v>
      </s:c>
      <s:c r="M285" s="22">
        <s:f>'3'!F286</s:f>
        <s:v>46247.52777777778</s:v>
      </s:c>
      <s:c r="N285" s="22">
        <s:f>'4'!F286</s:f>
        <s:v>46247.481886574074</s:v>
      </s:c>
      <s:c r="O285" s="22">
        <s:f>'5'!F286</s:f>
        <s:v>46247.45354166667</s:v>
      </s:c>
      <s:c r="P285" s="22">
        <s:f>'6'!F286</s:f>
        <s:v>46247.43408564815</s:v>
      </s:c>
      <s:c r="Q285" s="22">
        <s:f>'7'!F286</s:f>
        <s:v>46247.41143518518</s:v>
      </s:c>
      <s:c r="R285" s="22">
        <s:f>'8'!F286</s:f>
        <s:v>46247.38724537037</s:v>
      </s:c>
      <s:c r="S285" s="22">
        <s:f>'9'!F286</s:f>
        <s:v>46247.36943287037</s:v>
      </s:c>
      <s:c r="T285" s="22">
        <s:f>'10'!F286</s:f>
        <s:v>46247.340208333335</s:v>
      </s:c>
      <s:c r="U285" s="23">
        <s:f>'자료구성'!$B$2</s:f>
        <s:v>46247.0</s:v>
      </s:c>
    </s:row>
    <s:row r="286">
      <s:c r="A286" s="0" t="n">
        <s:v>1437</s:v>
      </s:c>
      <s:c r="B286" s="0" t="n">
        <s:v>749</s:v>
      </s:c>
      <s:c r="C286" s="0" t="n">
        <s:v>2199</s:v>
      </s:c>
      <s:c r="D286" s="0" t="n">
        <s:v>172</s:v>
      </s:c>
      <s:c r="E286" s="0" t="n">
        <s:v>1050</s:v>
      </s:c>
      <s:c r="F286" s="0" t="n">
        <s:v>5450</s:v>
      </s:c>
      <s:c r="G286" s="0" t="n">
        <s:v>3156</s:v>
      </s:c>
      <s:c r="H286" s="0" t="n">
        <s:v>8645</s:v>
      </s:c>
      <s:c r="I286" s="0" t="n">
        <s:v>1694</s:v>
      </s:c>
      <s:c r="J286" s="0" t="n">
        <s:v>1828</s:v>
      </s:c>
      <s:c r="K286" s="22">
        <s:f>'1'!F287</s:f>
        <s:v>46247.56346064815</s:v>
      </s:c>
      <s:c r="L286" s="22">
        <s:f>'2'!F287</s:f>
        <s:v>46247.54519675926</s:v>
      </s:c>
      <s:c r="M286" s="22">
        <s:f>'3'!F287</s:f>
        <s:v>46247.52778935185</s:v>
      </s:c>
      <s:c r="N286" s="22">
        <s:f>'4'!F287</s:f>
        <s:v>46247.48189814815</s:v>
      </s:c>
      <s:c r="O286" s="22">
        <s:f>'5'!F287</s:f>
        <s:v>46247.45355324074</s:v>
      </s:c>
      <s:c r="P286" s="22">
        <s:f>'6'!F287</s:f>
        <s:v>46247.43409722222</s:v>
      </s:c>
      <s:c r="Q286" s="22">
        <s:f>'7'!F287</s:f>
        <s:v>46247.41144675926</s:v>
      </s:c>
      <s:c r="R286" s="22">
        <s:f>'8'!F287</s:f>
        <s:v>46247.38725694444</s:v>
      </s:c>
      <s:c r="S286" s="22">
        <s:f>'9'!F287</s:f>
        <s:v>46247.36944444444</s:v>
      </s:c>
      <s:c r="T286" s="22">
        <s:f>'10'!F287</s:f>
        <s:v>46247.340219907404</s:v>
      </s:c>
      <s:c r="U286" s="23">
        <s:f>'자료구성'!$B$2</s:f>
        <s:v>46247.0</s:v>
      </s:c>
    </s:row>
    <s:row r="287">
      <s:c r="A287" s="0" t="n">
        <s:v>1452</s:v>
      </s:c>
      <s:c r="B287" s="0" t="n">
        <s:v>786</s:v>
      </s:c>
      <s:c r="C287" s="0" t="n">
        <s:v>2247</s:v>
      </s:c>
      <s:c r="D287" s="0" t="n">
        <s:v>186</s:v>
      </s:c>
      <s:c r="E287" s="0" t="n">
        <s:v>1039</s:v>
      </s:c>
      <s:c r="F287" s="0" t="n">
        <s:v>5394</s:v>
      </s:c>
      <s:c r="G287" s="0" t="n">
        <s:v>3027</s:v>
      </s:c>
      <s:c r="H287" s="0" t="n">
        <s:v>8645</s:v>
      </s:c>
      <s:c r="I287" s="0" t="n">
        <s:v>1719</s:v>
      </s:c>
      <s:c r="J287" s="0" t="n">
        <s:v>1818</s:v>
      </s:c>
      <s:c r="K287" s="22">
        <s:f>'1'!F288</s:f>
        <s:v>46247.563472222224</s:v>
      </s:c>
      <s:c r="L287" s="22">
        <s:f>'2'!F288</s:f>
        <s:v>46247.54520833334</s:v>
      </s:c>
      <s:c r="M287" s="22">
        <s:f>'3'!F288</s:f>
        <s:v>46247.52780092593</s:v>
      </s:c>
      <s:c r="N287" s="22">
        <s:f>'4'!F288</s:f>
        <s:v>46247.48190972222</s:v>
      </s:c>
      <s:c r="O287" s="22">
        <s:f>'5'!F288</s:f>
        <s:v>46247.453564814816</s:v>
      </s:c>
      <s:c r="P287" s="22">
        <s:f>'6'!F288</s:f>
        <s:v>46247.4341087963</s:v>
      </s:c>
      <s:c r="Q287" s="22">
        <s:f>'7'!F288</s:f>
        <s:v>46247.411458333336</s:v>
      </s:c>
      <s:c r="R287" s="22">
        <s:f>'8'!F288</s:f>
        <s:v>46247.38726851852</s:v>
      </s:c>
      <s:c r="S287" s="22">
        <s:f>'9'!F288</s:f>
        <s:v>46247.36945601852</s:v>
      </s:c>
      <s:c r="T287" s="22">
        <s:f>'10'!F288</s:f>
        <s:v>46247.34023148148</s:v>
      </s:c>
      <s:c r="U287" s="23">
        <s:f>'자료구성'!$B$2</s:f>
        <s:v>46247.0</s:v>
      </s:c>
    </s:row>
    <s:row r="288">
      <s:c r="A288" s="0" t="n">
        <s:v>1420</s:v>
      </s:c>
      <s:c r="B288" s="0" t="n">
        <s:v>810</s:v>
      </s:c>
      <s:c r="C288" s="0" t="n">
        <s:v>2234</s:v>
      </s:c>
      <s:c r="D288" s="0" t="n">
        <s:v>194</s:v>
      </s:c>
      <s:c r="E288" s="0" t="n">
        <s:v>1042</s:v>
      </s:c>
      <s:c r="F288" s="0" t="n">
        <s:v>5321</s:v>
      </s:c>
      <s:c r="G288" s="0" t="n">
        <s:v>2915</s:v>
      </s:c>
      <s:c r="H288" s="0" t="n">
        <s:v>8645</s:v>
      </s:c>
      <s:c r="I288" s="0" t="n">
        <s:v>1722</s:v>
      </s:c>
      <s:c r="J288" s="0" t="n">
        <s:v>1802</s:v>
      </s:c>
      <s:c r="K288" s="22">
        <s:f>'1'!F289</s:f>
        <s:v>46247.56348379629</s:v>
      </s:c>
      <s:c r="L288" s="22">
        <s:f>'2'!F289</s:f>
        <s:v>46247.545219907406</s:v>
      </s:c>
      <s:c r="M288" s="22">
        <s:f>'3'!F289</s:f>
        <s:v>46247.5278125</s:v>
      </s:c>
      <s:c r="N288" s="22">
        <s:f>'4'!F289</s:f>
        <s:v>46247.4819212963</s:v>
      </s:c>
      <s:c r="O288" s="22">
        <s:f>'5'!F289</s:f>
        <s:v>46247.453576388885</s:v>
      </s:c>
      <s:c r="P288" s="22">
        <s:f>'6'!F289</s:f>
        <s:v>46247.43412037037</s:v>
      </s:c>
      <s:c r="Q288" s="22">
        <s:f>'7'!F289</s:f>
        <s:v>46247.411469907405</s:v>
      </s:c>
      <s:c r="R288" s="22">
        <s:f>'8'!F289</s:f>
        <s:v>46247.38728009259</s:v>
      </s:c>
      <s:c r="S288" s="22">
        <s:f>'9'!F289</s:f>
        <s:v>46247.369467592594</s:v>
      </s:c>
      <s:c r="T288" s="22">
        <s:f>'10'!F289</s:f>
        <s:v>46247.34024305556</s:v>
      </s:c>
      <s:c r="U288" s="23">
        <s:f>'자료구성'!$B$2</s:f>
        <s:v>46247.0</s:v>
      </s:c>
    </s:row>
    <s:row r="289">
      <s:c r="A289" s="0" t="n">
        <s:v>1411</s:v>
      </s:c>
      <s:c r="B289" s="0" t="n">
        <s:v>826</s:v>
      </s:c>
      <s:c r="C289" s="0" t="n">
        <s:v>2263</s:v>
      </s:c>
      <s:c r="D289" s="0" t="n">
        <s:v>186</s:v>
      </s:c>
      <s:c r="E289" s="0" t="n">
        <s:v>1060</s:v>
      </s:c>
      <s:c r="F289" s="0" t="n">
        <s:v>5300</s:v>
      </s:c>
      <s:c r="G289" s="0" t="n">
        <s:v>2833</s:v>
      </s:c>
      <s:c r="H289" s="0" t="n">
        <s:v>8645</s:v>
      </s:c>
      <s:c r="I289" s="0" t="n">
        <s:v>1729</s:v>
      </s:c>
      <s:c r="J289" s="0" t="n">
        <s:v>1797</s:v>
      </s:c>
      <s:c r="K289" s="22">
        <s:f>'1'!F290</s:f>
        <s:v>46247.56349537037</s:v>
      </s:c>
      <s:c r="L289" s="22">
        <s:f>'2'!F290</s:f>
        <s:v>46247.54523148148</s:v>
      </s:c>
      <s:c r="M289" s="22">
        <s:f>'3'!F290</s:f>
        <s:v>46247.52782407407</s:v>
      </s:c>
      <s:c r="N289" s="22">
        <s:f>'4'!F290</s:f>
        <s:v>46247.48193287037</s:v>
      </s:c>
      <s:c r="O289" s="22">
        <s:f>'5'!F290</s:f>
        <s:v>46247.45358796296</s:v>
      </s:c>
      <s:c r="P289" s="22">
        <s:f>'6'!F290</s:f>
        <s:v>46247.43413194444</s:v>
      </s:c>
      <s:c r="Q289" s="22">
        <s:f>'7'!F290</s:f>
        <s:v>46247.41148148148</s:v>
      </s:c>
      <s:c r="R289" s="22">
        <s:f>'8'!F290</s:f>
        <s:v>46247.387291666666</s:v>
      </s:c>
      <s:c r="S289" s="22">
        <s:f>'9'!F290</s:f>
        <s:v>46247.369479166664</s:v>
      </s:c>
      <s:c r="T289" s="22">
        <s:f>'10'!F290</s:f>
        <s:v>46247.34025462963</s:v>
      </s:c>
      <s:c r="U289" s="23">
        <s:f>'자료구성'!$B$2</s:f>
        <s:v>46247.0</s:v>
      </s:c>
    </s:row>
    <s:row r="290">
      <s:c r="A290" s="0" t="n">
        <s:v>1432</s:v>
      </s:c>
      <s:c r="B290" s="0" t="n">
        <s:v>837</s:v>
      </s:c>
      <s:c r="C290" s="0" t="n">
        <s:v>2208</s:v>
      </s:c>
      <s:c r="D290" s="0" t="n">
        <s:v>187</s:v>
      </s:c>
      <s:c r="E290" s="0" t="n">
        <s:v>1067</s:v>
      </s:c>
      <s:c r="F290" s="0" t="n">
        <s:v>5330</s:v>
      </s:c>
      <s:c r="G290" s="0" t="n">
        <s:v>2782</s:v>
      </s:c>
      <s:c r="H290" s="0" t="n">
        <s:v>8645</s:v>
      </s:c>
      <s:c r="I290" s="0" t="n">
        <s:v>1713</s:v>
      </s:c>
      <s:c r="J290" s="0" t="n">
        <s:v>1802</s:v>
      </s:c>
      <s:c r="K290" s="22">
        <s:f>'1'!F291</s:f>
        <s:v>46247.56350694445</s:v>
      </s:c>
      <s:c r="L290" s="22">
        <s:f>'2'!F291</s:f>
        <s:v>46247.54524305555</s:v>
      </s:c>
      <s:c r="M290" s="22">
        <s:f>'3'!F291</s:f>
        <s:v>46247.52783564815</s:v>
      </s:c>
      <s:c r="N290" s="22">
        <s:f>'4'!F291</s:f>
        <s:v>46247.481944444444</s:v>
      </s:c>
      <s:c r="O290" s="22">
        <s:f>'5'!F291</s:f>
        <s:v>46247.45359953704</s:v>
      </s:c>
      <s:c r="P290" s="22">
        <s:f>'6'!F291</s:f>
        <s:v>46247.43414351852</s:v>
      </s:c>
      <s:c r="Q290" s="22">
        <s:f>'7'!F291</s:f>
        <s:v>46247.41149305556</s:v>
      </s:c>
      <s:c r="R290" s="22">
        <s:f>'8'!F291</s:f>
        <s:v>46247.38730324074</s:v>
      </s:c>
      <s:c r="S290" s="22">
        <s:f>'9'!F291</s:f>
        <s:v>46247.36949074074</s:v>
      </s:c>
      <s:c r="T290" s="22">
        <s:f>'10'!F291</s:f>
        <s:v>46247.340266203704</s:v>
      </s:c>
      <s:c r="U290" s="23">
        <s:f>'자료구성'!$B$2</s:f>
        <s:v>46247.0</s:v>
      </s:c>
    </s:row>
    <s:row r="291">
      <s:c r="A291" s="0" t="n">
        <s:v>1423</s:v>
      </s:c>
      <s:c r="B291" s="0" t="n">
        <s:v>835</s:v>
      </s:c>
      <s:c r="C291" s="0" t="n">
        <s:v>2153</s:v>
      </s:c>
      <s:c r="D291" s="0" t="n">
        <s:v>188</s:v>
      </s:c>
      <s:c r="E291" s="0" t="n">
        <s:v>1058</s:v>
      </s:c>
      <s:c r="F291" s="0" t="n">
        <s:v>5332</s:v>
      </s:c>
      <s:c r="G291" s="0" t="n">
        <s:v>2744</s:v>
      </s:c>
      <s:c r="H291" s="0" t="n">
        <s:v>8645</s:v>
      </s:c>
      <s:c r="I291" s="0" t="n">
        <s:v>1658</s:v>
      </s:c>
      <s:c r="J291" s="0" t="n">
        <s:v>1795</s:v>
      </s:c>
      <s:c r="K291" s="22">
        <s:f>'1'!F292</s:f>
        <s:v>46247.56351851852</s:v>
      </s:c>
      <s:c r="L291" s="22">
        <s:f>'2'!F292</s:f>
        <s:v>46247.54525462963</s:v>
      </s:c>
      <s:c r="M291" s="22">
        <s:f>'3'!F292</s:f>
        <s:v>46247.52784722222</s:v>
      </s:c>
      <s:c r="N291" s="22">
        <s:f>'4'!F292</s:f>
        <s:v>46247.48195601852</s:v>
      </s:c>
      <s:c r="O291" s="22">
        <s:f>'5'!F292</s:f>
        <s:v>46247.45361111111</s:v>
      </s:c>
      <s:c r="P291" s="22">
        <s:f>'6'!F292</s:f>
        <s:v>46247.43415509259</s:v>
      </s:c>
      <s:c r="Q291" s="22">
        <s:f>'7'!F292</s:f>
        <s:v>46247.41150462963</s:v>
      </s:c>
      <s:c r="R291" s="22">
        <s:f>'8'!F292</s:f>
        <s:v>46247.38731481481</s:v>
      </s:c>
      <s:c r="S291" s="22">
        <s:f>'9'!F292</s:f>
        <s:v>46247.36950231482</s:v>
      </s:c>
      <s:c r="T291" s="22">
        <s:f>'10'!F292</s:f>
        <s:v>46247.34027777778</s:v>
      </s:c>
      <s:c r="U291" s="23">
        <s:f>'자료구성'!$B$2</s:f>
        <s:v>46247.0</s:v>
      </s:c>
    </s:row>
    <s:row r="292">
      <s:c r="A292" s="0" t="n">
        <s:v>1445</s:v>
      </s:c>
      <s:c r="B292" s="0" t="n">
        <s:v>865</s:v>
      </s:c>
      <s:c r="C292" s="0" t="n">
        <s:v>2166</s:v>
      </s:c>
      <s:c r="D292" s="0" t="n">
        <s:v>186</s:v>
      </s:c>
      <s:c r="E292" s="0" t="n">
        <s:v>1058</s:v>
      </s:c>
      <s:c r="F292" s="0" t="n">
        <s:v>5262</s:v>
      </s:c>
      <s:c r="G292" s="0" t="n">
        <s:v>2617</s:v>
      </s:c>
      <s:c r="H292" s="0" t="n">
        <s:v>8644</s:v>
      </s:c>
      <s:c r="I292" s="0" t="n">
        <s:v>1603</s:v>
      </s:c>
      <s:c r="J292" s="0" t="n">
        <s:v>1768</s:v>
      </s:c>
      <s:c r="K292" s="22">
        <s:f>'1'!F293</s:f>
        <s:v>46247.56353009259</s:v>
      </s:c>
      <s:c r="L292" s="22">
        <s:f>'2'!F293</s:f>
        <s:v>46247.545266203706</s:v>
      </s:c>
      <s:c r="M292" s="22">
        <s:f>'3'!F293</s:f>
        <s:v>46247.5278587963</s:v>
      </s:c>
      <s:c r="N292" s="22">
        <s:f>'4'!F293</s:f>
        <s:v>46247.48196759259</s:v>
      </s:c>
      <s:c r="O292" s="22">
        <s:f>'5'!F293</s:f>
        <s:v>46247.453622685185</s:v>
      </s:c>
      <s:c r="P292" s="22">
        <s:f>'6'!F293</s:f>
        <s:v>46247.434166666666</s:v>
      </s:c>
      <s:c r="Q292" s="22">
        <s:f>'7'!F293</s:f>
        <s:v>46247.411516203705</s:v>
      </s:c>
      <s:c r="R292" s="22">
        <s:f>'8'!F293</s:f>
        <s:v>46247.38732638889</s:v>
      </s:c>
      <s:c r="S292" s="22">
        <s:f>'9'!F293</s:f>
        <s:v>46247.36951388889</s:v>
      </s:c>
      <s:c r="T292" s="22">
        <s:f>'10'!F293</s:f>
        <s:v>46247.34028935185</s:v>
      </s:c>
      <s:c r="U292" s="23">
        <s:f>'자료구성'!$B$2</s:f>
        <s:v>46247.0</s:v>
      </s:c>
    </s:row>
    <s:row r="293">
      <s:c r="A293" s="0" t="n">
        <s:v>1435</s:v>
      </s:c>
      <s:c r="B293" s="0" t="n">
        <s:v>897</s:v>
      </s:c>
      <s:c r="C293" s="0" t="n">
        <s:v>2157</s:v>
      </s:c>
      <s:c r="D293" s="0" t="n">
        <s:v>187</s:v>
      </s:c>
      <s:c r="E293" s="0" t="n">
        <s:v>1052</s:v>
      </s:c>
      <s:c r="F293" s="0" t="n">
        <s:v>5276</s:v>
      </s:c>
      <s:c r="G293" s="0" t="n">
        <s:v>2489</s:v>
      </s:c>
      <s:c r="H293" s="0" t="n">
        <s:v>8645</s:v>
      </s:c>
      <s:c r="I293" s="0" t="n">
        <s:v>1563</s:v>
      </s:c>
      <s:c r="J293" s="0" t="n">
        <s:v>1768</s:v>
      </s:c>
      <s:c r="K293" s="22">
        <s:f>'1'!F294</s:f>
        <s:v>46247.56354166667</s:v>
      </s:c>
      <s:c r="L293" s="22">
        <s:f>'2'!F294</s:f>
        <s:v>46247.545277777775</s:v>
      </s:c>
      <s:c r="M293" s="22">
        <s:f>'3'!F294</s:f>
        <s:v>46247.52787037037</s:v>
      </s:c>
      <s:c r="N293" s="22">
        <s:f>'4'!F294</s:f>
        <s:v>46247.48197916667</s:v>
      </s:c>
      <s:c r="O293" s="22">
        <s:f>'5'!F294</s:f>
        <s:v>46247.45363425926</s:v>
      </s:c>
      <s:c r="P293" s="22">
        <s:f>'6'!F294</s:f>
        <s:v>46247.43417824074</s:v>
      </s:c>
      <s:c r="Q293" s="22">
        <s:f>'7'!F294</s:f>
        <s:v>46247.411527777775</s:v>
      </s:c>
      <s:c r="R293" s="22">
        <s:f>'8'!F294</s:f>
        <s:v>46247.387337962966</s:v>
      </s:c>
      <s:c r="S293" s="22">
        <s:f>'9'!F294</s:f>
        <s:v>46247.369525462964</s:v>
      </s:c>
      <s:c r="T293" s="22">
        <s:f>'10'!F294</s:f>
        <s:v>46247.34030092593</s:v>
      </s:c>
      <s:c r="U293" s="23">
        <s:f>'자료구성'!$B$2</s:f>
        <s:v>46247.0</s:v>
      </s:c>
    </s:row>
    <s:row r="294">
      <s:c r="A294" s="0" t="n">
        <s:v>1420</s:v>
      </s:c>
      <s:c r="B294" s="0" t="n">
        <s:v>936</s:v>
      </s:c>
      <s:c r="C294" s="0" t="n">
        <s:v>2127</s:v>
      </s:c>
      <s:c r="D294" s="0" t="n">
        <s:v>188</s:v>
      </s:c>
      <s:c r="E294" s="0" t="n">
        <s:v>1058</s:v>
      </s:c>
      <s:c r="F294" s="0" t="n">
        <s:v>5246</s:v>
      </s:c>
      <s:c r="G294" s="0" t="n">
        <s:v>2353</s:v>
      </s:c>
      <s:c r="H294" s="0" t="n">
        <s:v>8514</s:v>
      </s:c>
      <s:c r="I294" s="0" t="n">
        <s:v>1527</s:v>
      </s:c>
      <s:c r="J294" s="0" t="n">
        <s:v>1779</s:v>
      </s:c>
      <s:c r="K294" s="22">
        <s:f>'1'!F295</s:f>
        <s:v>46247.56355324074</s:v>
      </s:c>
      <s:c r="L294" s="22">
        <s:f>'2'!F295</s:f>
        <s:v>46247.54528935185</s:v>
      </s:c>
      <s:c r="M294" s="22">
        <s:f>'3'!F295</s:f>
        <s:v>46247.52788194444</s:v>
      </s:c>
      <s:c r="N294" s="22">
        <s:f>'4'!F295</s:f>
        <s:v>46247.481990740744</s:v>
      </s:c>
      <s:c r="O294" s="22">
        <s:f>'5'!F295</s:f>
        <s:v>46247.45364583333</s:v>
      </s:c>
      <s:c r="P294" s="22">
        <s:f>'6'!F295</s:f>
        <s:v>46247.43418981481</s:v>
      </s:c>
      <s:c r="Q294" s="22">
        <s:f>'7'!F295</s:f>
        <s:v>46247.41153935185</s:v>
      </s:c>
      <s:c r="R294" s="22">
        <s:f>'8'!F295</s:f>
        <s:v>46247.387349537035</s:v>
      </s:c>
      <s:c r="S294" s="22">
        <s:f>'9'!F295</s:f>
        <s:v>46247.36953703704</s:v>
      </s:c>
      <s:c r="T294" s="22">
        <s:f>'10'!F295</s:f>
        <s:v>46247.3403125</s:v>
      </s:c>
      <s:c r="U294" s="23">
        <s:f>'자료구성'!$B$2</s:f>
        <s:v>46247.0</s:v>
      </s:c>
    </s:row>
    <s:row r="295">
      <s:c r="A295" s="0" t="n">
        <s:v>1493</s:v>
      </s:c>
      <s:c r="B295" s="0" t="n">
        <s:v>950</s:v>
      </s:c>
      <s:c r="C295" s="0" t="n">
        <s:v>2105</s:v>
      </s:c>
      <s:c r="D295" s="0" t="n">
        <s:v>189</s:v>
      </s:c>
      <s:c r="E295" s="0" t="n">
        <s:v>1065</s:v>
      </s:c>
      <s:c r="F295" s="0" t="n">
        <s:v>5120</s:v>
      </s:c>
      <s:c r="G295" s="0" t="n">
        <s:v>2268</s:v>
      </s:c>
      <s:c r="H295" s="0" t="n">
        <s:v>8237</s:v>
      </s:c>
      <s:c r="I295" s="0" t="n">
        <s:v>1520</s:v>
      </s:c>
      <s:c r="J295" s="0" t="n">
        <s:v>1810</s:v>
      </s:c>
      <s:c r="K295" s="22">
        <s:f>'1'!F296</s:f>
        <s:v>46247.563564814816</s:v>
      </s:c>
      <s:c r="L295" s="22">
        <s:f>'2'!F296</s:f>
        <s:v>46247.54530092593</s:v>
      </s:c>
      <s:c r="M295" s="22">
        <s:f>'3'!F296</s:f>
        <s:v>46247.52789351852</s:v>
      </s:c>
      <s:c r="N295" s="22">
        <s:f>'4'!F296</s:f>
        <s:v>46247.48200231481</s:v>
      </s:c>
      <s:c r="O295" s="22">
        <s:f>'5'!F296</s:f>
        <s:v>46247.45365740741</s:v>
      </s:c>
      <s:c r="P295" s="22">
        <s:f>'6'!F296</s:f>
        <s:v>46247.43420138889</s:v>
      </s:c>
      <s:c r="Q295" s="22">
        <s:f>'7'!F296</s:f>
        <s:v>46247.41155092593</s:v>
      </s:c>
      <s:c r="R295" s="22">
        <s:f>'8'!F296</s:f>
        <s:v>46247.38736111111</s:v>
      </s:c>
      <s:c r="S295" s="22">
        <s:f>'9'!F296</s:f>
        <s:v>46247.36954861111</s:v>
      </s:c>
      <s:c r="T295" s="22">
        <s:f>'10'!F296</s:f>
        <s:v>46247.34032407407</s:v>
      </s:c>
      <s:c r="U295" s="23">
        <s:f>'자료구성'!$B$2</s:f>
        <s:v>46247.0</s:v>
      </s:c>
    </s:row>
    <s:row r="296">
      <s:c r="A296" s="0" t="n">
        <s:v>1555</s:v>
      </s:c>
      <s:c r="B296" s="0" t="n">
        <s:v>956</s:v>
      </s:c>
      <s:c r="C296" s="0" t="n">
        <s:v>2125</s:v>
      </s:c>
      <s:c r="D296" s="0" t="n">
        <s:v>187</s:v>
      </s:c>
      <s:c r="E296" s="0" t="n">
        <s:v>1061</s:v>
      </s:c>
      <s:c r="F296" s="0" t="n">
        <s:v>5008</s:v>
      </s:c>
      <s:c r="G296" s="0" t="n">
        <s:v>2255</s:v>
      </s:c>
      <s:c r="H296" s="0" t="n">
        <s:v>8022</s:v>
      </s:c>
      <s:c r="I296" s="0" t="n">
        <s:v>1498</s:v>
      </s:c>
      <s:c r="J296" s="0" t="n">
        <s:v>1827</s:v>
      </s:c>
      <s:c r="K296" s="22">
        <s:f>'1'!F297</s:f>
        <s:v>46247.563576388886</s:v>
      </s:c>
      <s:c r="L296" s="22">
        <s:f>'2'!F297</s:f>
        <s:v>46247.5453125</s:v>
      </s:c>
      <s:c r="M296" s="22">
        <s:f>'3'!F297</s:f>
        <s:v>46247.52790509259</s:v>
      </s:c>
      <s:c r="N296" s="22">
        <s:f>'4'!F297</s:f>
        <s:v>46247.48201388889</s:v>
      </s:c>
      <s:c r="O296" s="22">
        <s:f>'5'!F297</s:f>
        <s:v>46247.453668981485</s:v>
      </s:c>
      <s:c r="P296" s="22">
        <s:f>'6'!F297</s:f>
        <s:v>46247.434212962966</s:v>
      </s:c>
      <s:c r="Q296" s="22">
        <s:f>'7'!F297</s:f>
        <s:v>46247.4115625</s:v>
      </s:c>
      <s:c r="R296" s="22">
        <s:f>'8'!F297</s:f>
        <s:v>46247.38737268518</s:v>
      </s:c>
      <s:c r="S296" s="22">
        <s:f>'9'!F297</s:f>
        <s:v>46247.36956018519</s:v>
      </s:c>
      <s:c r="T296" s="22">
        <s:f>'10'!F297</s:f>
        <s:v>46247.34033564815</s:v>
      </s:c>
      <s:c r="U296" s="23">
        <s:f>'자료구성'!$B$2</s:f>
        <s:v>46247.0</s:v>
      </s:c>
    </s:row>
    <s:row r="297">
      <s:c r="A297" s="0" t="n">
        <s:v>1584</s:v>
      </s:c>
      <s:c r="B297" s="0" t="n">
        <s:v>982</s:v>
      </s:c>
      <s:c r="C297" s="0" t="n">
        <s:v>2151</s:v>
      </s:c>
      <s:c r="D297" s="0" t="n">
        <s:v>180</s:v>
      </s:c>
      <s:c r="E297" s="0" t="n">
        <s:v>1058</s:v>
      </s:c>
      <s:c r="F297" s="0" t="n">
        <s:v>4903</s:v>
      </s:c>
      <s:c r="G297" s="0" t="n">
        <s:v>2205</s:v>
      </s:c>
      <s:c r="H297" s="0" t="n">
        <s:v>7847</s:v>
      </s:c>
      <s:c r="I297" s="0" t="n">
        <s:v>1499</s:v>
      </s:c>
      <s:c r="J297" s="0" t="n">
        <s:v>1828</s:v>
      </s:c>
      <s:c r="K297" s="22">
        <s:f>'1'!F298</s:f>
        <s:v>46247.56358796296</s:v>
      </s:c>
      <s:c r="L297" s="22">
        <s:f>'2'!F298</s:f>
        <s:v>46247.545324074075</s:v>
      </s:c>
      <s:c r="M297" s="22">
        <s:f>'3'!F298</s:f>
        <s:v>46247.527916666666</s:v>
      </s:c>
      <s:c r="N297" s="22">
        <s:f>'4'!F298</s:f>
        <s:v>46247.48202546296</s:v>
      </s:c>
      <s:c r="O297" s="22">
        <s:f>'5'!F298</s:f>
        <s:v>46247.453680555554</s:v>
      </s:c>
      <s:c r="P297" s="22">
        <s:f>'6'!F298</s:f>
        <s:v>46247.434224537035</s:v>
      </s:c>
      <s:c r="Q297" s="22">
        <s:f>'7'!F298</s:f>
        <s:v>46247.411574074074</s:v>
      </s:c>
      <s:c r="R297" s="22">
        <s:f>'8'!F298</s:f>
        <s:v>46247.38738425926</s:v>
      </s:c>
      <s:c r="S297" s="22">
        <s:f>'9'!F298</s:f>
        <s:v>46247.369571759256</s:v>
      </s:c>
      <s:c r="T297" s="22">
        <s:f>'10'!F298</s:f>
        <s:v>46247.34034722222</s:v>
      </s:c>
      <s:c r="U297" s="23">
        <s:f>'자료구성'!$B$2</s:f>
        <s:v>46247.0</s:v>
      </s:c>
    </s:row>
    <s:row r="298">
      <s:c r="A298" s="0" t="n">
        <s:v>1604</s:v>
      </s:c>
      <s:c r="B298" s="0" t="n">
        <s:v>1022</s:v>
      </s:c>
      <s:c r="C298" s="0" t="n">
        <s:v>2206</s:v>
      </s:c>
      <s:c r="D298" s="0" t="n">
        <s:v>178</s:v>
      </s:c>
      <s:c r="E298" s="0" t="n">
        <s:v>1056</s:v>
      </s:c>
      <s:c r="F298" s="0" t="n">
        <s:v>4827</s:v>
      </s:c>
      <s:c r="G298" s="0" t="n">
        <s:v>2146</s:v>
      </s:c>
      <s:c r="H298" s="0" t="n">
        <s:v>7771</s:v>
      </s:c>
      <s:c r="I298" s="0" t="n">
        <s:v>1495</s:v>
      </s:c>
      <s:c r="J298" s="0" t="n">
        <s:v>1791</s:v>
      </s:c>
      <s:c r="K298" s="22">
        <s:f>'1'!F299</s:f>
        <s:v>46247.56359953704</s:v>
      </s:c>
      <s:c r="L298" s="22">
        <s:f>'2'!F299</s:f>
        <s:v>46247.545335648145</s:v>
      </s:c>
      <s:c r="M298" s="22">
        <s:f>'3'!F299</s:f>
        <s:v>46247.52792824074</s:v>
      </s:c>
      <s:c r="N298" s="22">
        <s:f>'4'!F299</s:f>
        <s:v>46247.482037037036</s:v>
      </s:c>
      <s:c r="O298" s="22">
        <s:f>'5'!F299</s:f>
        <s:v>46247.45369212963</s:v>
      </s:c>
      <s:c r="P298" s="22">
        <s:f>'6'!F299</s:f>
        <s:v>46247.43423611111</s:v>
      </s:c>
      <s:c r="Q298" s="22">
        <s:f>'7'!F299</s:f>
        <s:v>46247.41158564815</s:v>
      </s:c>
      <s:c r="R298" s="22">
        <s:f>'8'!F299</s:f>
        <s:v>46247.387395833335</s:v>
      </s:c>
      <s:c r="S298" s="22">
        <s:f>'9'!F299</s:f>
        <s:v>46247.36958333333</s:v>
      </s:c>
      <s:c r="T298" s="22">
        <s:f>'10'!F299</s:f>
        <s:v>46247.3403587963</s:v>
      </s:c>
      <s:c r="U298" s="23">
        <s:f>'자료구성'!$B$2</s:f>
        <s:v>46247.0</s:v>
      </s:c>
    </s:row>
    <s:row r="299">
      <s:c r="A299" s="0" t="n">
        <s:v>1597</s:v>
      </s:c>
      <s:c r="B299" s="0" t="n">
        <s:v>1040</s:v>
      </s:c>
      <s:c r="C299" s="0" t="n">
        <s:v>2310</s:v>
      </s:c>
      <s:c r="D299" s="0" t="n">
        <s:v>177</s:v>
      </s:c>
      <s:c r="E299" s="0" t="n">
        <s:v>1081</s:v>
      </s:c>
      <s:c r="F299" s="0" t="n">
        <s:v>4693</s:v>
      </s:c>
      <s:c r="G299" s="0" t="n">
        <s:v>2084</s:v>
      </s:c>
      <s:c r="H299" s="0" t="n">
        <s:v>7713</s:v>
      </s:c>
      <s:c r="I299" s="0" t="n">
        <s:v>1494</s:v>
      </s:c>
      <s:c r="J299" s="0" t="n">
        <s:v>1766</s:v>
      </s:c>
      <s:c r="K299" s="22">
        <s:f>'1'!F300</s:f>
        <s:v>46247.56361111111</s:v>
      </s:c>
      <s:c r="L299" s="22">
        <s:f>'2'!F300</s:f>
        <s:v>46247.54534722222</s:v>
      </s:c>
      <s:c r="M299" s="22">
        <s:f>'3'!F300</s:f>
        <s:v>46247.52793981481</s:v>
      </s:c>
      <s:c r="N299" s="22">
        <s:f>'4'!F300</s:f>
        <s:v>46247.48204861111</s:v>
      </s:c>
      <s:c r="O299" s="22">
        <s:f>'5'!F300</s:f>
        <s:v>46247.4537037037</s:v>
      </s:c>
      <s:c r="P299" s="22">
        <s:f>'6'!F300</s:f>
        <s:v>46247.43424768518</s:v>
      </s:c>
      <s:c r="Q299" s="22">
        <s:f>'7'!F300</s:f>
        <s:v>46247.41159722222</s:v>
      </s:c>
      <s:c r="R299" s="22">
        <s:f>'8'!F300</s:f>
        <s:v>46247.387407407405</s:v>
      </s:c>
      <s:c r="S299" s="22">
        <s:f>'9'!F300</s:f>
        <s:v>46247.36959490741</s:v>
      </s:c>
      <s:c r="T299" s="22">
        <s:f>'10'!F300</s:f>
        <s:v>46247.34037037037</s:v>
      </s:c>
      <s:c r="U299" s="23">
        <s:f>'자료구성'!$B$2</s:f>
        <s:v>46247.0</s:v>
      </s:c>
    </s:row>
    <s:row r="300">
      <s:c r="A300" s="0" t="n">
        <s:v>1596</s:v>
      </s:c>
      <s:c r="B300" s="0" t="n">
        <s:v>1047</s:v>
      </s:c>
      <s:c r="C300" s="0" t="n">
        <s:v>2387</s:v>
      </s:c>
      <s:c r="D300" s="0" t="n">
        <s:v>175</s:v>
      </s:c>
      <s:c r="E300" s="0" t="n">
        <s:v>1078</s:v>
      </s:c>
      <s:c r="F300" s="0" t="n">
        <s:v>4625</s:v>
      </s:c>
      <s:c r="G300" s="0" t="n">
        <s:v>2065</s:v>
      </s:c>
      <s:c r="H300" s="0" t="n">
        <s:v>7497</s:v>
      </s:c>
      <s:c r="I300" s="0" t="n">
        <s:v>1486</s:v>
      </s:c>
      <s:c r="J300" s="0" t="n">
        <s:v>1779</s:v>
      </s:c>
      <s:c r="K300" s="22">
        <s:f>'1'!F301</s:f>
        <s:v>46247.563622685186</s:v>
      </s:c>
      <s:c r="L300" s="22">
        <s:f>'2'!F301</s:f>
        <s:v>46247.5453587963</s:v>
      </s:c>
      <s:c r="M300" s="22">
        <s:f>'3'!F301</s:f>
        <s:v>46247.52795138889</s:v>
      </s:c>
      <s:c r="N300" s="22">
        <s:f>'4'!F301</s:f>
        <s:v>46247.48206018518</s:v>
      </s:c>
      <s:c r="O300" s="22">
        <s:f>'5'!F301</s:f>
        <s:v>46247.45371527778</s:v>
      </s:c>
      <s:c r="P300" s="22">
        <s:f>'6'!F301</s:f>
        <s:v>46247.43425925926</s:v>
      </s:c>
      <s:c r="Q300" s="22">
        <s:f>'7'!F301</s:f>
        <s:v>46247.4116087963</s:v>
      </s:c>
      <s:c r="R300" s="22">
        <s:f>'8'!F301</s:f>
        <s:v>46247.38741898148</s:v>
      </s:c>
      <s:c r="S300" s="22">
        <s:f>'9'!F301</s:f>
        <s:v>46247.36960648148</s:v>
      </s:c>
      <s:c r="T300" s="22">
        <s:f>'10'!F301</s:f>
        <s:v>46247.34038194444</s:v>
      </s:c>
      <s:c r="U300" s="23">
        <s:f>'자료구성'!$B$2</s:f>
        <s:v>46247.0</s:v>
      </s:c>
    </s:row>
    <s:row r="301">
      <s:c r="A301" s="0" t="n">
        <s:v>1623</s:v>
      </s:c>
      <s:c r="B301" s="0" t="n">
        <s:v>1052</s:v>
      </s:c>
      <s:c r="C301" s="0" t="n">
        <s:v>2513</s:v>
      </s:c>
      <s:c r="D301" s="0" t="n">
        <s:v>175</s:v>
      </s:c>
      <s:c r="E301" s="0" t="n">
        <s:v>1075</s:v>
      </s:c>
      <s:c r="F301" s="0" t="n">
        <s:v>4582</s:v>
      </s:c>
      <s:c r="G301" s="0" t="n">
        <s:v>2028</s:v>
      </s:c>
      <s:c r="H301" s="0" t="n">
        <s:v>7419</s:v>
      </s:c>
      <s:c r="I301" s="0" t="n">
        <s:v>1479</s:v>
      </s:c>
      <s:c r="J301" s="0" t="n">
        <s:v>1750</s:v>
      </s:c>
      <s:c r="K301" s="22">
        <s:f>'1'!F302</s:f>
        <s:v>46247.56363425926</s:v>
      </s:c>
      <s:c r="L301" s="22">
        <s:f>'2'!F302</s:f>
        <s:v>46247.54537037037</s:v>
      </s:c>
      <s:c r="M301" s="22">
        <s:f>'3'!F302</s:f>
        <s:v>46247.527962962966</s:v>
      </s:c>
      <s:c r="N301" s="22">
        <s:f>'4'!F302</s:f>
        <s:v>46247.48207175926</s:v>
      </s:c>
      <s:c r="O301" s="22">
        <s:f>'5'!F302</s:f>
        <s:v>46247.453726851854</s:v>
      </s:c>
      <s:c r="P301" s="22">
        <s:f>'6'!F302</s:f>
        <s:v>46247.434270833335</s:v>
      </s:c>
      <s:c r="Q301" s="22">
        <s:f>'7'!F302</s:f>
        <s:v>46247.41162037037</s:v>
      </s:c>
      <s:c r="R301" s="22">
        <s:f>'8'!F302</s:f>
        <s:v>46247.38743055556</s:v>
      </s:c>
      <s:c r="S301" s="22">
        <s:f>'9'!F302</s:f>
        <s:v>46247.369618055556</s:v>
      </s:c>
      <s:c r="T301" s="22">
        <s:f>'10'!F302</s:f>
        <s:v>46247.34039351852</s:v>
      </s:c>
      <s:c r="U301" s="23">
        <s:f>'자료구성'!$B$2</s:f>
        <s:v>46247.0</s:v>
      </s:c>
    </s:row>
    <s:row r="302">
      <s:c r="A302" s="0" t="n">
        <s:v>1647</s:v>
      </s:c>
      <s:c r="B302" s="0" t="n">
        <s:v>1102</s:v>
      </s:c>
      <s:c r="C302" s="0" t="n">
        <s:v>2641</s:v>
      </s:c>
      <s:c r="D302" s="0" t="n">
        <s:v>183</s:v>
      </s:c>
      <s:c r="E302" s="0" t="n">
        <s:v>1090</s:v>
      </s:c>
      <s:c r="F302" s="0" t="n">
        <s:v>4487</s:v>
      </s:c>
      <s:c r="G302" s="0" t="n">
        <s:v>1995</s:v>
      </s:c>
      <s:c r="H302" s="0" t="n">
        <s:v>7451</s:v>
      </s:c>
      <s:c r="I302" s="0" t="n">
        <s:v>1528</s:v>
      </s:c>
      <s:c r="J302" s="0" t="n">
        <s:v>1757</s:v>
      </s:c>
      <s:c r="K302" s="22">
        <s:f>'1'!F303</s:f>
        <s:v>46247.56364583333</s:v>
      </s:c>
      <s:c r="L302" s="22">
        <s:f>'2'!F303</s:f>
        <s:v>46247.545381944445</s:v>
      </s:c>
      <s:c r="M302" s="22">
        <s:f>'3'!F303</s:f>
        <s:v>46247.527974537035</s:v>
      </s:c>
      <s:c r="N302" s="22">
        <s:f>'4'!F303</s:f>
        <s:v>46247.482083333336</s:v>
      </s:c>
      <s:c r="O302" s="22">
        <s:f>'5'!F303</s:f>
        <s:v>46247.453738425924</s:v>
      </s:c>
      <s:c r="P302" s="22">
        <s:f>'6'!F303</s:f>
        <s:v>46247.434282407405</s:v>
      </s:c>
      <s:c r="Q302" s="22">
        <s:f>'7'!F303</s:f>
        <s:v>46247.411631944444</s:v>
      </s:c>
      <s:c r="R302" s="22">
        <s:f>'8'!F303</s:f>
        <s:v>46247.38744212963</s:v>
      </s:c>
      <s:c r="S302" s="22">
        <s:f>'9'!F303</s:f>
        <s:v>46247.36962962963</s:v>
      </s:c>
      <s:c r="T302" s="22">
        <s:f>'10'!F303</s:f>
        <s:v>46247.34040509259</s:v>
      </s:c>
      <s:c r="U302" s="23">
        <s:f>'자료구성'!$B$2</s:f>
        <s:v>46247.0</s:v>
      </s:c>
    </s:row>
    <s:row r="303">
      <s:c r="A303" s="0" t="n">
        <s:v>1687</s:v>
      </s:c>
      <s:c r="B303" s="0" t="n">
        <s:v>1149</s:v>
      </s:c>
      <s:c r="C303" s="0" t="n">
        <s:v>2819</s:v>
      </s:c>
      <s:c r="D303" s="0" t="n">
        <s:v>192</s:v>
      </s:c>
      <s:c r="E303" s="0" t="n">
        <s:v>1089</s:v>
      </s:c>
      <s:c r="F303" s="0" t="n">
        <s:v>4426</s:v>
      </s:c>
      <s:c r="G303" s="0" t="n">
        <s:v>1971</s:v>
      </s:c>
      <s:c r="H303" s="0" t="n">
        <s:v>7503</s:v>
      </s:c>
      <s:c r="I303" s="0" t="n">
        <s:v>1534</s:v>
      </s:c>
      <s:c r="J303" s="0" t="n">
        <s:v>1787</s:v>
      </s:c>
      <s:c r="K303" s="22">
        <s:f>'1'!F304</s:f>
        <s:v>46247.56365740741</s:v>
      </s:c>
      <s:c r="L303" s="22">
        <s:f>'2'!F304</s:f>
        <s:v>46247.54539351852</s:v>
      </s:c>
      <s:c r="M303" s="22">
        <s:f>'3'!F304</s:f>
        <s:v>46247.52798611111</s:v>
      </s:c>
      <s:c r="N303" s="22">
        <s:f>'4'!F304</s:f>
        <s:v>46247.482094907406</s:v>
      </s:c>
      <s:c r="O303" s="22">
        <s:f>'5'!F304</s:f>
        <s:v>46247.45375</s:v>
      </s:c>
      <s:c r="P303" s="22">
        <s:f>'6'!F304</s:f>
        <s:v>46247.43429398148</s:v>
      </s:c>
      <s:c r="Q303" s="22">
        <s:f>'7'!F304</s:f>
        <s:v>46247.41164351852</s:v>
      </s:c>
      <s:c r="R303" s="22">
        <s:f>'8'!F304</s:f>
        <s:v>46247.387453703705</s:v>
      </s:c>
      <s:c r="S303" s="22">
        <s:f>'9'!F304</s:f>
        <s:v>46247.3696412037</s:v>
      </s:c>
      <s:c r="T303" s="22">
        <s:f>'10'!F304</s:f>
        <s:v>46247.340416666666</s:v>
      </s:c>
      <s:c r="U303" s="23">
        <s:f>'자료구성'!$B$2</s:f>
        <s:v>46247.0</s:v>
      </s:c>
    </s:row>
    <s:row r="304">
      <s:c r="A304" s="0" t="n">
        <s:v>1712</s:v>
      </s:c>
      <s:c r="B304" s="0" t="n">
        <s:v>1213</s:v>
      </s:c>
      <s:c r="C304" s="0" t="n">
        <s:v>2983</s:v>
      </s:c>
      <s:c r="D304" s="0" t="n">
        <s:v>182</s:v>
      </s:c>
      <s:c r="E304" s="0" t="n">
        <s:v>1083</s:v>
      </s:c>
      <s:c r="F304" s="0" t="n">
        <s:v>4394</s:v>
      </s:c>
      <s:c r="G304" s="0" t="n">
        <s:v>1948</s:v>
      </s:c>
      <s:c r="H304" s="0" t="n">
        <s:v>7504</s:v>
      </s:c>
      <s:c r="I304" s="0" t="n">
        <s:v>1528</s:v>
      </s:c>
      <s:c r="J304" s="0" t="n">
        <s:v>1770</s:v>
      </s:c>
      <s:c r="K304" s="22">
        <s:f>'1'!F305</s:f>
        <s:v>46247.56366898148</s:v>
      </s:c>
      <s:c r="L304" s="22">
        <s:f>'2'!F305</s:f>
        <s:v>46247.54540509259</s:v>
      </s:c>
      <s:c r="M304" s="22">
        <s:f>'3'!F305</s:f>
        <s:v>46247.52799768518</s:v>
      </s:c>
      <s:c r="N304" s="22">
        <s:f>'4'!F305</s:f>
        <s:v>46247.48210648148</s:v>
      </s:c>
      <s:c r="O304" s="22">
        <s:f>'5'!F305</s:f>
        <s:v>46247.45376157408</s:v>
      </s:c>
      <s:c r="P304" s="22">
        <s:f>'6'!F305</s:f>
        <s:v>46247.43430555556</s:v>
      </s:c>
      <s:c r="Q304" s="22">
        <s:f>'7'!F305</s:f>
        <s:v>46247.41165509259</s:v>
      </s:c>
      <s:c r="R304" s="22">
        <s:f>'8'!F305</s:f>
        <s:v>46247.38746527778</s:v>
      </s:c>
      <s:c r="S304" s="22">
        <s:f>'9'!F305</s:f>
        <s:v>46247.36965277778</s:v>
      </s:c>
      <s:c r="T304" s="22">
        <s:f>'10'!F305</s:f>
        <s:v>46247.34042824074</s:v>
      </s:c>
      <s:c r="U304" s="23">
        <s:f>'자료구성'!$B$2</s:f>
        <s:v>46247.0</s:v>
      </s:c>
    </s:row>
    <s:row r="305">
      <s:c r="A305" s="0" t="n">
        <s:v>1727</s:v>
      </s:c>
      <s:c r="B305" s="0" t="n">
        <s:v>1256</s:v>
      </s:c>
      <s:c r="C305" s="0" t="n">
        <s:v>3058</s:v>
      </s:c>
      <s:c r="D305" s="0" t="n">
        <s:v>171</s:v>
      </s:c>
      <s:c r="E305" s="0" t="n">
        <s:v>1073</s:v>
      </s:c>
      <s:c r="F305" s="0" t="n">
        <s:v>4380</s:v>
      </s:c>
      <s:c r="G305" s="0" t="n">
        <s:v>1909</s:v>
      </s:c>
      <s:c r="H305" s="0" t="n">
        <s:v>7584</s:v>
      </s:c>
      <s:c r="I305" s="0" t="n">
        <s:v>1528</s:v>
      </s:c>
      <s:c r="J305" s="0" t="n">
        <s:v>1737</s:v>
      </s:c>
      <s:c r="K305" s="22">
        <s:f>'1'!F306</s:f>
        <s:v>46247.563680555555</s:v>
      </s:c>
      <s:c r="L305" s="22">
        <s:f>'2'!F306</s:f>
        <s:v>46247.54541666667</s:v>
      </s:c>
      <s:c r="M305" s="22">
        <s:f>'3'!F306</s:f>
        <s:v>46247.52800925926</s:v>
      </s:c>
      <s:c r="N305" s="22">
        <s:f>'4'!F306</s:f>
        <s:v>46247.48211805556</s:v>
      </s:c>
      <s:c r="O305" s="22">
        <s:f>'5'!F306</s:f>
        <s:v>46247.45377314815</s:v>
      </s:c>
      <s:c r="P305" s="22">
        <s:f>'6'!F306</s:f>
        <s:v>46247.43431712963</s:v>
      </s:c>
      <s:c r="Q305" s="22">
        <s:f>'7'!F306</s:f>
        <s:v>46247.41166666667</s:v>
      </s:c>
      <s:c r="R305" s="22">
        <s:f>'8'!F306</s:f>
        <s:v>46247.38747685185</s:v>
      </s:c>
      <s:c r="S305" s="22">
        <s:f>'9'!F306</s:f>
        <s:v>46247.36966435185</s:v>
      </s:c>
      <s:c r="T305" s="22">
        <s:f>'10'!F306</s:f>
        <s:v>46247.34043981481</s:v>
      </s:c>
      <s:c r="U305" s="23">
        <s:f>'자료구성'!$B$2</s:f>
        <s:v>46247.0</s:v>
      </s:c>
    </s:row>
    <s:row r="306">
      <s:c r="A306" s="0" t="n">
        <s:v>1753</s:v>
      </s:c>
      <s:c r="B306" s="0" t="n">
        <s:v>1297</s:v>
      </s:c>
      <s:c r="C306" s="0" t="n">
        <s:v>3142</s:v>
      </s:c>
      <s:c r="D306" s="0" t="n">
        <s:v>172</s:v>
      </s:c>
      <s:c r="E306" s="0" t="n">
        <s:v>1062</s:v>
      </s:c>
      <s:c r="F306" s="0" t="n">
        <s:v>4326</s:v>
      </s:c>
      <s:c r="G306" s="0" t="n">
        <s:v>1900</s:v>
      </s:c>
      <s:c r="H306" s="0" t="n">
        <s:v>7766</s:v>
      </s:c>
      <s:c r="I306" s="0" t="n">
        <s:v>1489</s:v>
      </s:c>
      <s:c r="J306" s="0" t="n">
        <s:v>1686</s:v>
      </s:c>
      <s:c r="K306" s="22">
        <s:f>'1'!F307</s:f>
        <s:v>46247.56369212963</s:v>
      </s:c>
      <s:c r="L306" s="22">
        <s:f>'2'!F307</s:f>
        <s:v>46247.54542824074</s:v>
      </s:c>
      <s:c r="M306" s="22">
        <s:f>'3'!F307</s:f>
        <s:v>46247.528020833335</s:v>
      </s:c>
      <s:c r="N306" s="22">
        <s:f>'4'!F307</s:f>
        <s:v>46247.48212962963</s:v>
      </s:c>
      <s:c r="O306" s="22">
        <s:f>'5'!F307</s:f>
        <s:v>46247.453784722224</s:v>
      </s:c>
      <s:c r="P306" s="22">
        <s:f>'6'!F307</s:f>
        <s:v>46247.434328703705</s:v>
      </s:c>
      <s:c r="Q306" s="22">
        <s:f>'7'!F307</s:f>
        <s:v>46247.411678240744</s:v>
      </s:c>
      <s:c r="R306" s="22">
        <s:f>'8'!F307</s:f>
        <s:v>46247.38748842593</s:v>
      </s:c>
      <s:c r="S306" s="22">
        <s:f>'9'!F307</s:f>
        <s:v>46247.369675925926</s:v>
      </s:c>
      <s:c r="T306" s="22">
        <s:f>'10'!F307</s:f>
        <s:v>46247.34045138889</s:v>
      </s:c>
      <s:c r="U306" s="23">
        <s:f>'자료구성'!$B$2</s:f>
        <s:v>46247.0</s:v>
      </s:c>
    </s:row>
    <s:row r="307">
      <s:c r="A307" s="0" t="n">
        <s:v>1772</s:v>
      </s:c>
      <s:c r="B307" s="0" t="n">
        <s:v>1300</s:v>
      </s:c>
      <s:c r="C307" s="0" t="n">
        <s:v>3167</s:v>
      </s:c>
      <s:c r="D307" s="0" t="n">
        <s:v>174</s:v>
      </s:c>
      <s:c r="E307" s="0" t="n">
        <s:v>1065</s:v>
      </s:c>
      <s:c r="F307" s="0" t="n">
        <s:v>4299</s:v>
      </s:c>
      <s:c r="G307" s="0" t="n">
        <s:v>1902</s:v>
      </s:c>
      <s:c r="H307" s="0" t="n">
        <s:v>7771</s:v>
      </s:c>
      <s:c r="I307" s="0" t="n">
        <s:v>1449</s:v>
      </s:c>
      <s:c r="J307" s="0" t="n">
        <s:v>1641</s:v>
      </s:c>
      <s:c r="K307" s="22">
        <s:f>'1'!F308</s:f>
        <s:v>46247.5637037037</s:v>
      </s:c>
      <s:c r="L307" s="22">
        <s:f>'2'!F308</s:f>
        <s:v>46247.545439814814</s:v>
      </s:c>
      <s:c r="M307" s="22">
        <s:f>'3'!F308</s:f>
        <s:v>46247.528032407405</s:v>
      </s:c>
      <s:c r="N307" s="22">
        <s:f>'4'!F308</s:f>
        <s:v>46247.482141203705</s:v>
      </s:c>
      <s:c r="O307" s="22">
        <s:f>'5'!F308</s:f>
        <s:v>46247.45379629629</s:v>
      </s:c>
      <s:c r="P307" s="22">
        <s:f>'6'!F308</s:f>
        <s:v>46247.43434027778</s:v>
      </s:c>
      <s:c r="Q307" s="22">
        <s:f>'7'!F308</s:f>
        <s:v>46247.41168981481</s:v>
      </s:c>
      <s:c r="R307" s="22">
        <s:f>'8'!F308</s:f>
        <s:v>46247.3875</s:v>
      </s:c>
      <s:c r="S307" s="22">
        <s:f>'9'!F308</s:f>
        <s:v>46247.3696875</s:v>
      </s:c>
      <s:c r="T307" s="22">
        <s:f>'10'!F308</s:f>
        <s:v>46247.340462962966</s:v>
      </s:c>
      <s:c r="U307" s="23">
        <s:f>'자료구성'!$B$2</s:f>
        <s:v>46247.0</s:v>
      </s:c>
    </s:row>
    <s:row r="308">
      <s:c r="A308" s="0" t="n">
        <s:v>1798</s:v>
      </s:c>
      <s:c r="B308" s="0" t="n">
        <s:v>1309</s:v>
      </s:c>
      <s:c r="C308" s="0" t="n">
        <s:v>3140</s:v>
      </s:c>
      <s:c r="D308" s="0" t="n">
        <s:v>164</s:v>
      </s:c>
      <s:c r="E308" s="0" t="n">
        <s:v>1078</s:v>
      </s:c>
      <s:c r="F308" s="0" t="n">
        <s:v>4313</s:v>
      </s:c>
      <s:c r="G308" s="0" t="n">
        <s:v>1934</s:v>
      </s:c>
      <s:c r="H308" s="0" t="n">
        <s:v>7814</s:v>
      </s:c>
      <s:c r="I308" s="0" t="n">
        <s:v>1417</s:v>
      </s:c>
      <s:c r="J308" s="0" t="n">
        <s:v>1612</s:v>
      </s:c>
      <s:c r="K308" s="22">
        <s:f>'1'!F309</s:f>
        <s:v>46247.56371527778</s:v>
      </s:c>
      <s:c r="L308" s="22">
        <s:f>'2'!F309</s:f>
        <s:v>46247.54545138889</s:v>
      </s:c>
      <s:c r="M308" s="22">
        <s:f>'3'!F309</s:f>
        <s:v>46247.52804398148</s:v>
      </s:c>
      <s:c r="N308" s="22">
        <s:f>'4'!F309</s:f>
        <s:v>46247.482152777775</s:v>
      </s:c>
      <s:c r="O308" s="22">
        <s:f>'5'!F309</s:f>
        <s:v>46247.45380787037</s:v>
      </s:c>
      <s:c r="P308" s="22">
        <s:f>'6'!F309</s:f>
        <s:v>46247.43435185185</s:v>
      </s:c>
      <s:c r="Q308" s="22">
        <s:f>'7'!F309</s:f>
        <s:v>46247.41170138889</s:v>
      </s:c>
      <s:c r="R308" s="22">
        <s:f>'8'!F309</s:f>
        <s:v>46247.387511574074</s:v>
      </s:c>
      <s:c r="S308" s="22">
        <s:f>'9'!F309</s:f>
        <s:v>46247.36969907407</s:v>
      </s:c>
      <s:c r="T308" s="22">
        <s:f>'10'!F309</s:f>
        <s:v>46247.340474537035</s:v>
      </s:c>
      <s:c r="U308" s="23">
        <s:f>'자료구성'!$B$2</s:f>
        <s:v>46247.0</s:v>
      </s:c>
    </s:row>
    <s:row r="309">
      <s:c r="A309" s="0" t="n">
        <s:v>1831</s:v>
      </s:c>
      <s:c r="B309" s="0" t="n">
        <s:v>1318</s:v>
      </s:c>
      <s:c r="C309" s="0" t="n">
        <s:v>3076</s:v>
      </s:c>
      <s:c r="D309" s="0" t="n">
        <s:v>177</s:v>
      </s:c>
      <s:c r="E309" s="0" t="n">
        <s:v>1099</s:v>
      </s:c>
      <s:c r="F309" s="0" t="n">
        <s:v>4241</s:v>
      </s:c>
      <s:c r="G309" s="0" t="n">
        <s:v>1933</s:v>
      </s:c>
      <s:c r="H309" s="0" t="n">
        <s:v>7873</s:v>
      </s:c>
      <s:c r="I309" s="0" t="n">
        <s:v>1408</s:v>
      </s:c>
      <s:c r="J309" s="0" t="n">
        <s:v>1592</s:v>
      </s:c>
      <s:c r="K309" s="22">
        <s:f>'1'!F310</s:f>
        <s:v>46247.563726851855</s:v>
      </s:c>
      <s:c r="L309" s="22">
        <s:f>'2'!F310</s:f>
        <s:v>46247.54546296296</s:v>
      </s:c>
      <s:c r="M309" s="22">
        <s:f>'3'!F310</s:f>
        <s:v>46247.52805555556</s:v>
      </s:c>
      <s:c r="N309" s="22">
        <s:f>'4'!F310</s:f>
        <s:v>46247.48216435185</s:v>
      </s:c>
      <s:c r="O309" s="22">
        <s:f>'5'!F310</s:f>
        <s:v>46247.45381944445</s:v>
      </s:c>
      <s:c r="P309" s="22">
        <s:f>'6'!F310</s:f>
        <s:v>46247.43436342593</s:v>
      </s:c>
      <s:c r="Q309" s="22">
        <s:f>'7'!F310</s:f>
        <s:v>46247.41171296296</s:v>
      </s:c>
      <s:c r="R309" s="22">
        <s:f>'8'!F310</s:f>
        <s:v>46247.38752314815</s:v>
      </s:c>
      <s:c r="S309" s="22">
        <s:f>'9'!F310</s:f>
        <s:v>46247.36971064815</s:v>
      </s:c>
      <s:c r="T309" s="22">
        <s:f>'10'!F310</s:f>
        <s:v>46247.34048611111</s:v>
      </s:c>
      <s:c r="U309" s="23">
        <s:f>'자료구성'!$B$2</s:f>
        <s:v>46247.0</s:v>
      </s:c>
    </s:row>
    <s:row r="310">
      <s:c r="A310" s="0" t="n">
        <s:v>1886</s:v>
      </s:c>
      <s:c r="B310" s="0" t="n">
        <s:v>1329</s:v>
      </s:c>
      <s:c r="C310" s="0" t="n">
        <s:v>3007</s:v>
      </s:c>
      <s:c r="D310" s="0" t="n">
        <s:v>176</s:v>
      </s:c>
      <s:c r="E310" s="0" t="n">
        <s:v>1110</s:v>
      </s:c>
      <s:c r="F310" s="0" t="n">
        <s:v>4251</s:v>
      </s:c>
      <s:c r="G310" s="0" t="n">
        <s:v>1930</s:v>
      </s:c>
      <s:c r="H310" s="0" t="n">
        <s:v>7859</s:v>
      </s:c>
      <s:c r="I310" s="0" t="n">
        <s:v>1377</s:v>
      </s:c>
      <s:c r="J310" s="0" t="n">
        <s:v>1578</s:v>
      </s:c>
      <s:c r="K310" s="22">
        <s:f>'1'!F311</s:f>
        <s:v>46247.563738425924</s:v>
      </s:c>
      <s:c r="L310" s="22">
        <s:f>'2'!F311</s:f>
        <s:v>46247.54547453704</s:v>
      </s:c>
      <s:c r="M310" s="22">
        <s:f>'3'!F311</s:f>
        <s:v>46247.52806712963</s:v>
      </s:c>
      <s:c r="N310" s="22">
        <s:f>'4'!F311</s:f>
        <s:v>46247.48217592593</s:v>
      </s:c>
      <s:c r="O310" s="22">
        <s:f>'5'!F311</s:f>
        <s:v>46247.453831018516</s:v>
      </s:c>
      <s:c r="P310" s="22">
        <s:f>'6'!F311</s:f>
        <s:v>46247.434375</s:v>
      </s:c>
      <s:c r="Q310" s="22">
        <s:f>'7'!F311</s:f>
        <s:v>46247.411724537036</s:v>
      </s:c>
      <s:c r="R310" s="22">
        <s:f>'8'!F311</s:f>
        <s:v>46247.38753472222</s:v>
      </s:c>
      <s:c r="S310" s="22">
        <s:f>'9'!F311</s:f>
        <s:v>46247.369722222225</s:v>
      </s:c>
      <s:c r="T310" s="22">
        <s:f>'10'!F311</s:f>
        <s:v>46247.34049768518</s:v>
      </s:c>
      <s:c r="U310" s="23">
        <s:f>'자료구성'!$B$2</s:f>
        <s:v>46247.0</s:v>
      </s:c>
    </s:row>
    <s:row r="311">
      <s:c r="A311" s="0" t="n">
        <s:v>1911</s:v>
      </s:c>
      <s:c r="B311" s="0" t="n">
        <s:v>1324</s:v>
      </s:c>
      <s:c r="C311" s="0" t="n">
        <s:v>2938</s:v>
      </s:c>
      <s:c r="D311" s="0" t="n">
        <s:v>170</s:v>
      </s:c>
      <s:c r="E311" s="0" t="n">
        <s:v>1131</s:v>
      </s:c>
      <s:c r="F311" s="0" t="n">
        <s:v>4245</s:v>
      </s:c>
      <s:c r="G311" s="0" t="n">
        <s:v>1945</s:v>
      </s:c>
      <s:c r="H311" s="0" t="n">
        <s:v>7756</s:v>
      </s:c>
      <s:c r="I311" s="0" t="n">
        <s:v>1355</s:v>
      </s:c>
      <s:c r="J311" s="0" t="n">
        <s:v>1575</s:v>
      </s:c>
      <s:c r="K311" s="22">
        <s:f>'1'!F312</s:f>
        <s:v>46247.56375</s:v>
      </s:c>
      <s:c r="L311" s="22">
        <s:f>'2'!F312</s:f>
        <s:v>46247.545486111114</s:v>
      </s:c>
      <s:c r="M311" s="22">
        <s:f>'3'!F312</s:f>
        <s:v>46247.528078703705</s:v>
      </s:c>
      <s:c r="N311" s="22">
        <s:f>'4'!F312</s:f>
        <s:v>46247.4821875</s:v>
      </s:c>
      <s:c r="O311" s="22">
        <s:f>'5'!F312</s:f>
        <s:v>46247.45384259259</s:v>
      </s:c>
      <s:c r="P311" s="22">
        <s:f>'6'!F312</s:f>
        <s:v>46247.434386574074</s:v>
      </s:c>
      <s:c r="Q311" s="22">
        <s:f>'7'!F312</s:f>
        <s:v>46247.41173611111</s:v>
      </s:c>
      <s:c r="R311" s="22">
        <s:f>'8'!F312</s:f>
        <s:v>46247.3875462963</s:v>
      </s:c>
      <s:c r="S311" s="22">
        <s:f>'9'!F312</s:f>
        <s:v>46247.369733796295</s:v>
      </s:c>
      <s:c r="T311" s="22">
        <s:f>'10'!F312</s:f>
        <s:v>46247.34050925926</s:v>
      </s:c>
      <s:c r="U311" s="23">
        <s:f>'자료구성'!$B$2</s:f>
        <s:v>46247.0</s:v>
      </s:c>
    </s:row>
    <s:row r="312">
      <s:c r="A312" s="0" t="n">
        <s:v>1927</s:v>
      </s:c>
      <s:c r="B312" s="0" t="n">
        <s:v>1328</s:v>
      </s:c>
      <s:c r="C312" s="0" t="n">
        <s:v>2879</s:v>
      </s:c>
      <s:c r="D312" s="0" t="n">
        <s:v>174</s:v>
      </s:c>
      <s:c r="E312" s="0" t="n">
        <s:v>1140</s:v>
      </s:c>
      <s:c r="F312" s="0" t="n">
        <s:v>4244</s:v>
      </s:c>
      <s:c r="G312" s="0" t="n">
        <s:v>1959</s:v>
      </s:c>
      <s:c r="H312" s="0" t="n">
        <s:v>7744</s:v>
      </s:c>
      <s:c r="I312" s="0" t="n">
        <s:v>1315</s:v>
      </s:c>
      <s:c r="J312" s="0" t="n">
        <s:v>1610</s:v>
      </s:c>
      <s:c r="K312" s="22">
        <s:f>'1'!F313</s:f>
        <s:v>46247.56376157407</s:v>
      </s:c>
      <s:c r="L312" s="22">
        <s:f>'2'!F313</s:f>
        <s:v>46247.54549768518</s:v>
      </s:c>
      <s:c r="M312" s="22">
        <s:f>'3'!F313</s:f>
        <s:v>46247.52809027778</s:v>
      </s:c>
      <s:c r="N312" s="22">
        <s:f>'4'!F313</s:f>
        <s:v>46247.482199074075</s:v>
      </s:c>
      <s:c r="O312" s="22">
        <s:f>'5'!F313</s:f>
        <s:v>46247.45385416667</s:v>
      </s:c>
      <s:c r="P312" s="22">
        <s:f>'6'!F313</s:f>
        <s:v>46247.43439814815</s:v>
      </s:c>
      <s:c r="Q312" s="22">
        <s:f>'7'!F313</s:f>
        <s:v>46247.41174768518</s:v>
      </s:c>
      <s:c r="R312" s="22">
        <s:f>'8'!F313</s:f>
        <s:v>46247.387557870374</s:v>
      </s:c>
      <s:c r="S312" s="22">
        <s:f>'9'!F313</s:f>
        <s:v>46247.36974537037</s:v>
      </s:c>
      <s:c r="T312" s="22">
        <s:f>'10'!F313</s:f>
        <s:v>46247.340520833335</s:v>
      </s:c>
      <s:c r="U312" s="23">
        <s:f>'자료구성'!$B$2</s:f>
        <s:v>46247.0</s:v>
      </s:c>
    </s:row>
    <s:row r="313">
      <s:c r="A313" s="0" t="n">
        <s:v>1903</s:v>
      </s:c>
      <s:c r="B313" s="0" t="n">
        <s:v>1400</s:v>
      </s:c>
      <s:c r="C313" s="0" t="n">
        <s:v>2765</s:v>
      </s:c>
      <s:c r="D313" s="0" t="n">
        <s:v>167</s:v>
      </s:c>
      <s:c r="E313" s="0" t="n">
        <s:v>1142</s:v>
      </s:c>
      <s:c r="F313" s="0" t="n">
        <s:v>4183</s:v>
      </s:c>
      <s:c r="G313" s="0" t="n">
        <s:v>1961</s:v>
      </s:c>
      <s:c r="H313" s="0" t="n">
        <s:v>7741</s:v>
      </s:c>
      <s:c r="I313" s="0" t="n">
        <s:v>1291</s:v>
      </s:c>
      <s:c r="J313" s="0" t="n">
        <s:v>1592</s:v>
      </s:c>
      <s:c r="K313" s="22">
        <s:f>'1'!F314</s:f>
        <s:v>46247.56377314815</s:v>
      </s:c>
      <s:c r="L313" s="22">
        <s:f>'2'!F314</s:f>
        <s:v>46247.54550925926</s:v>
      </s:c>
      <s:c r="M313" s="22">
        <s:f>'3'!F314</s:f>
        <s:v>46247.52810185185</s:v>
      </s:c>
      <s:c r="N313" s="22">
        <s:f>'4'!F314</s:f>
        <s:v>46247.48221064815</s:v>
      </s:c>
      <s:c r="O313" s="22">
        <s:f>'5'!F314</s:f>
        <s:v>46247.45386574074</s:v>
      </s:c>
      <s:c r="P313" s="22">
        <s:f>'6'!F314</s:f>
        <s:v>46247.43440972222</s:v>
      </s:c>
      <s:c r="Q313" s="22">
        <s:f>'7'!F314</s:f>
        <s:v>46247.41175925926</s:v>
      </s:c>
      <s:c r="R313" s="22">
        <s:f>'8'!F314</s:f>
        <s:v>46247.38756944444</s:v>
      </s:c>
      <s:c r="S313" s="22">
        <s:f>'9'!F314</s:f>
        <s:v>46247.36975694444</s:v>
      </s:c>
      <s:c r="T313" s="22">
        <s:f>'10'!F314</s:f>
        <s:v>46247.340532407405</s:v>
      </s:c>
      <s:c r="U313" s="23">
        <s:f>'자료구성'!$B$2</s:f>
        <s:v>46247.0</s:v>
      </s:c>
    </s:row>
    <s:row r="314">
      <s:c r="A314" s="0" t="n">
        <s:v>1875</s:v>
      </s:c>
      <s:c r="B314" s="0" t="n">
        <s:v>1513</s:v>
      </s:c>
      <s:c r="C314" s="0" t="n">
        <s:v>2670</s:v>
      </s:c>
      <s:c r="D314" s="0" t="n">
        <s:v>165</s:v>
      </s:c>
      <s:c r="E314" s="0" t="n">
        <s:v>1146</s:v>
      </s:c>
      <s:c r="F314" s="0" t="n">
        <s:v>4165</s:v>
      </s:c>
      <s:c r="G314" s="0" t="n">
        <s:v>1963</s:v>
      </s:c>
      <s:c r="H314" s="0" t="n">
        <s:v>7763</s:v>
      </s:c>
      <s:c r="I314" s="0" t="n">
        <s:v>1271</s:v>
      </s:c>
      <s:c r="J314" s="0" t="n">
        <s:v>1551</s:v>
      </s:c>
      <s:c r="K314" s="22">
        <s:f>'1'!F315</s:f>
        <s:v>46247.563784722224</s:v>
      </s:c>
      <s:c r="L314" s="22">
        <s:f>'2'!F315</s:f>
        <s:v>46247.54552083334</s:v>
      </s:c>
      <s:c r="M314" s="22">
        <s:f>'3'!F315</s:f>
        <s:v>46247.52811342593</s:v>
      </s:c>
      <s:c r="N314" s="22">
        <s:f>'4'!F315</s:f>
        <s:v>46247.48222222222</s:v>
      </s:c>
      <s:c r="O314" s="22">
        <s:f>'5'!F315</s:f>
        <s:v>46247.453877314816</s:v>
      </s:c>
      <s:c r="P314" s="22">
        <s:f>'6'!F315</s:f>
        <s:v>46247.4344212963</s:v>
      </s:c>
      <s:c r="Q314" s="22">
        <s:f>'7'!F315</s:f>
        <s:v>46247.411770833336</s:v>
      </s:c>
      <s:c r="R314" s="22">
        <s:f>'8'!F315</s:f>
        <s:v>46247.38758101852</s:v>
      </s:c>
      <s:c r="S314" s="22">
        <s:f>'9'!F315</s:f>
        <s:v>46247.36976851852</s:v>
      </s:c>
      <s:c r="T314" s="22">
        <s:f>'10'!F315</s:f>
        <s:v>46247.34054398148</s:v>
      </s:c>
      <s:c r="U314" s="23">
        <s:f>'자료구성'!$B$2</s:f>
        <s:v>46247.0</s:v>
      </s:c>
    </s:row>
    <s:row r="315">
      <s:c r="A315" s="0" t="n">
        <s:v>1814</s:v>
      </s:c>
      <s:c r="B315" s="0" t="n">
        <s:v>1596</s:v>
      </s:c>
      <s:c r="C315" s="0" t="n">
        <s:v>2593</s:v>
      </s:c>
      <s:c r="D315" s="0" t="n">
        <s:v>159</s:v>
      </s:c>
      <s:c r="E315" s="0" t="n">
        <s:v>1145</s:v>
      </s:c>
      <s:c r="F315" s="0" t="n">
        <s:v>4144</s:v>
      </s:c>
      <s:c r="G315" s="0" t="n">
        <s:v>1973</s:v>
      </s:c>
      <s:c r="H315" s="0" t="n">
        <s:v>7762</s:v>
      </s:c>
      <s:c r="I315" s="0" t="n">
        <s:v>1246</s:v>
      </s:c>
      <s:c r="J315" s="0" t="n">
        <s:v>1513</s:v>
      </s:c>
      <s:c r="K315" s="22">
        <s:f>'1'!F316</s:f>
        <s:v>46247.563796296294</s:v>
      </s:c>
      <s:c r="L315" s="22">
        <s:f>'2'!F316</s:f>
        <s:v>46247.54553240741</s:v>
      </s:c>
      <s:c r="M315" s="22">
        <s:f>'3'!F316</s:f>
        <s:v>46247.528125</s:v>
      </s:c>
      <s:c r="N315" s="22">
        <s:f>'4'!F316</s:f>
        <s:v>46247.4822337963</s:v>
      </s:c>
      <s:c r="O315" s="22">
        <s:f>'5'!F316</s:f>
        <s:v>46247.453888888886</s:v>
      </s:c>
      <s:c r="P315" s="22">
        <s:f>'6'!F316</s:f>
        <s:v>46247.434432870374</s:v>
      </s:c>
      <s:c r="Q315" s="22">
        <s:f>'7'!F316</s:f>
        <s:v>46247.411782407406</s:v>
      </s:c>
      <s:c r="R315" s="22">
        <s:f>'8'!F316</s:f>
        <s:v>46247.38759259259</s:v>
      </s:c>
      <s:c r="S315" s="22">
        <s:f>'9'!F316</s:f>
        <s:v>46247.369780092595</s:v>
      </s:c>
      <s:c r="T315" s="22">
        <s:f>'10'!F316</s:f>
        <s:v>46247.34055555556</s:v>
      </s:c>
      <s:c r="U315" s="23">
        <s:f>'자료구성'!$B$2</s:f>
        <s:v>46247.0</s:v>
      </s:c>
    </s:row>
    <s:row r="316">
      <s:c r="A316" s="0" t="n">
        <s:v>1798</s:v>
      </s:c>
      <s:c r="B316" s="0" t="n">
        <s:v>1693</s:v>
      </s:c>
      <s:c r="C316" s="0" t="n">
        <s:v>2490</s:v>
      </s:c>
      <s:c r="D316" s="0" t="n">
        <s:v>167</s:v>
      </s:c>
      <s:c r="E316" s="0" t="n">
        <s:v>1136</s:v>
      </s:c>
      <s:c r="F316" s="0" t="n">
        <s:v>4126</s:v>
      </s:c>
      <s:c r="G316" s="0" t="n">
        <s:v>2032</s:v>
      </s:c>
      <s:c r="H316" s="0" t="n">
        <s:v>7778</s:v>
      </s:c>
      <s:c r="I316" s="0" t="n">
        <s:v>1241</s:v>
      </s:c>
      <s:c r="J316" s="0" t="n">
        <s:v>1479</s:v>
      </s:c>
      <s:c r="K316" s="22">
        <s:f>'1'!F317</s:f>
        <s:v>46247.56380787037</s:v>
      </s:c>
      <s:c r="L316" s="22">
        <s:f>'2'!F317</s:f>
        <s:v>46247.54554398148</s:v>
      </s:c>
      <s:c r="M316" s="22">
        <s:f>'3'!F317</s:f>
        <s:v>46247.528136574074</s:v>
      </s:c>
      <s:c r="N316" s="22">
        <s:f>'4'!F317</s:f>
        <s:v>46247.48224537037</s:v>
      </s:c>
      <s:c r="O316" s="22">
        <s:f>'5'!F317</s:f>
        <s:v>46247.45390046296</s:v>
      </s:c>
      <s:c r="P316" s="22">
        <s:f>'6'!F317</s:f>
        <s:v>46247.43444444444</s:v>
      </s:c>
      <s:c r="Q316" s="22">
        <s:f>'7'!F317</s:f>
        <s:v>46247.41179398148</s:v>
      </s:c>
      <s:c r="R316" s="22">
        <s:f>'8'!F317</s:f>
        <s:v>46247.387604166666</s:v>
      </s:c>
      <s:c r="S316" s="22">
        <s:f>'9'!F317</s:f>
        <s:v>46247.369791666664</s:v>
      </s:c>
      <s:c r="T316" s="22">
        <s:f>'10'!F317</s:f>
        <s:v>46247.34056712963</s:v>
      </s:c>
      <s:c r="U316" s="23">
        <s:f>'자료구성'!$B$2</s:f>
        <s:v>46247.0</s:v>
      </s:c>
    </s:row>
    <s:row r="317">
      <s:c r="A317" s="0" t="n">
        <s:v>1759</s:v>
      </s:c>
      <s:c r="B317" s="0" t="n">
        <s:v>1805</s:v>
      </s:c>
      <s:c r="C317" s="0" t="n">
        <s:v>2443</s:v>
      </s:c>
      <s:c r="D317" s="0" t="n">
        <s:v>161</s:v>
      </s:c>
      <s:c r="E317" s="0" t="n">
        <s:v>1155</s:v>
      </s:c>
      <s:c r="F317" s="0" t="n">
        <s:v>4091</s:v>
      </s:c>
      <s:c r="G317" s="0" t="n">
        <s:v>2096</s:v>
      </s:c>
      <s:c r="H317" s="0" t="n">
        <s:v>7783</s:v>
      </s:c>
      <s:c r="I317" s="0" t="n">
        <s:v>1195</s:v>
      </s:c>
      <s:c r="J317" s="0" t="n">
        <s:v>1513</s:v>
      </s:c>
      <s:c r="K317" s="22">
        <s:f>'1'!F318</s:f>
        <s:v>46247.56381944445</s:v>
      </s:c>
      <s:c r="L317" s="22">
        <s:f>'2'!F318</s:f>
        <s:v>46247.54555555555</s:v>
      </s:c>
      <s:c r="M317" s="22">
        <s:f>'3'!F318</s:f>
        <s:v>46247.52814814815</s:v>
      </s:c>
      <s:c r="N317" s="22">
        <s:f>'4'!F318</s:f>
        <s:v>46247.482256944444</s:v>
      </s:c>
      <s:c r="O317" s="22">
        <s:f>'5'!F318</s:f>
        <s:v>46247.45391203704</s:v>
      </s:c>
      <s:c r="P317" s="22">
        <s:f>'6'!F318</s:f>
        <s:v>46247.43445601852</s:v>
      </s:c>
      <s:c r="Q317" s="22">
        <s:f>'7'!F318</s:f>
        <s:v>46247.41180555556</s:v>
      </s:c>
      <s:c r="R317" s="22">
        <s:f>'8'!F318</s:f>
        <s:v>46247.38761574074</s:v>
      </s:c>
      <s:c r="S317" s="22">
        <s:f>'9'!F318</s:f>
        <s:v>46247.36980324074</s:v>
      </s:c>
      <s:c r="T317" s="22">
        <s:f>'10'!F318</s:f>
        <s:v>46247.340578703705</s:v>
      </s:c>
      <s:c r="U317" s="23">
        <s:f>'자료구성'!$B$2</s:f>
        <s:v>46247.0</s:v>
      </s:c>
    </s:row>
    <s:row r="318">
      <s:c r="A318" s="0" t="n">
        <s:v>1736</s:v>
      </s:c>
      <s:c r="B318" s="0" t="n">
        <s:v>1866</s:v>
      </s:c>
      <s:c r="C318" s="0" t="n">
        <s:v>2378</s:v>
      </s:c>
      <s:c r="D318" s="0" t="n">
        <s:v>123</s:v>
      </s:c>
      <s:c r="E318" s="0" t="n">
        <s:v>1180</s:v>
      </s:c>
      <s:c r="F318" s="0" t="n">
        <s:v>4064</s:v>
      </s:c>
      <s:c r="G318" s="0" t="n">
        <s:v>2138</s:v>
      </s:c>
      <s:c r="H318" s="0" t="n">
        <s:v>7759</s:v>
      </s:c>
      <s:c r="I318" s="0" t="n">
        <s:v>1170</s:v>
      </s:c>
      <s:c r="J318" s="0" t="n">
        <s:v>1500</s:v>
      </s:c>
      <s:c r="K318" s="22">
        <s:f>'1'!F319</s:f>
        <s:v>46247.56383101852</s:v>
      </s:c>
      <s:c r="L318" s="22">
        <s:f>'2'!F319</s:f>
        <s:v>46247.54556712963</s:v>
      </s:c>
      <s:c r="M318" s="22">
        <s:f>'3'!F319</s:f>
        <s:v>46247.52815972222</s:v>
      </s:c>
      <s:c r="N318" s="22">
        <s:f>'4'!F319</s:f>
        <s:v>46247.48226851852</s:v>
      </s:c>
      <s:c r="O318" s="22">
        <s:f>'5'!F319</s:f>
        <s:v>46247.45392361111</s:v>
      </s:c>
      <s:c r="P318" s="22">
        <s:f>'6'!F319</s:f>
        <s:v>46247.43446759259</s:v>
      </s:c>
      <s:c r="Q318" s="22">
        <s:f>'7'!F319</s:f>
        <s:v>46247.41181712963</s:v>
      </s:c>
      <s:c r="R318" s="22">
        <s:f>'8'!F319</s:f>
        <s:v>46247.38762731481</s:v>
      </s:c>
      <s:c r="S318" s="22">
        <s:f>'9'!F319</s:f>
        <s:v>46247.36981481482</s:v>
      </s:c>
      <s:c r="T318" s="22">
        <s:f>'10'!F319</s:f>
        <s:v>46247.34059027778</s:v>
      </s:c>
      <s:c r="U318" s="23">
        <s:f>'자료구성'!$B$2</s:f>
        <s:v>46247.0</s:v>
      </s:c>
    </s:row>
    <s:row r="319">
      <s:c r="A319" s="0" t="n">
        <s:v>1723</s:v>
      </s:c>
      <s:c r="B319" s="0" t="n">
        <s:v>1922</s:v>
      </s:c>
      <s:c r="C319" s="0" t="n">
        <s:v>2300</s:v>
      </s:c>
      <s:c r="D319" s="0" t="n">
        <s:v>130</s:v>
      </s:c>
      <s:c r="E319" s="0" t="n">
        <s:v>1192</s:v>
      </s:c>
      <s:c r="F319" s="0" t="n">
        <s:v>4096</s:v>
      </s:c>
      <s:c r="G319" s="0" t="n">
        <s:v>2132</s:v>
      </s:c>
      <s:c r="H319" s="0" t="n">
        <s:v>7762</s:v>
      </s:c>
      <s:c r="I319" s="0" t="n">
        <s:v>1165</s:v>
      </s:c>
      <s:c r="J319" s="0" t="n">
        <s:v>1493</s:v>
      </s:c>
      <s:c r="K319" s="22">
        <s:f>'1'!F320</s:f>
        <s:v>46247.56384259259</s:v>
      </s:c>
      <s:c r="L319" s="22">
        <s:f>'2'!F320</s:f>
        <s:v>46247.545578703706</s:v>
      </s:c>
      <s:c r="M319" s="22">
        <s:f>'3'!F320</s:f>
        <s:v>46247.5281712963</s:v>
      </s:c>
      <s:c r="N319" s="22">
        <s:f>'4'!F320</s:f>
        <s:v>46247.48228009259</s:v>
      </s:c>
      <s:c r="O319" s="22">
        <s:f>'5'!F320</s:f>
        <s:v>46247.453935185185</s:v>
      </s:c>
      <s:c r="P319" s="22">
        <s:f>'6'!F320</s:f>
        <s:v>46247.434479166666</s:v>
      </s:c>
      <s:c r="Q319" s="22">
        <s:f>'7'!F320</s:f>
        <s:v>46247.411828703705</s:v>
      </s:c>
      <s:c r="R319" s="22">
        <s:f>'8'!F320</s:f>
        <s:v>46247.38763888889</s:v>
      </s:c>
      <s:c r="S319" s="22">
        <s:f>'9'!F320</s:f>
        <s:v>46247.36982638889</s:v>
      </s:c>
      <s:c r="T319" s="22">
        <s:f>'10'!F320</s:f>
        <s:v>46247.34060185185</s:v>
      </s:c>
      <s:c r="U319" s="23">
        <s:f>'자료구성'!$B$2</s:f>
        <s:v>46247.0</s:v>
      </s:c>
    </s:row>
    <s:row r="320">
      <s:c r="A320" s="0" t="n">
        <s:v>1720</s:v>
      </s:c>
      <s:c r="B320" s="0" t="n">
        <s:v>1974</s:v>
      </s:c>
      <s:c r="C320" s="0" t="n">
        <s:v>2265</s:v>
      </s:c>
      <s:c r="D320" s="0" t="n">
        <s:v>99</s:v>
      </s:c>
      <s:c r="E320" s="0" t="n">
        <s:v>1211</s:v>
      </s:c>
      <s:c r="F320" s="0" t="n">
        <s:v>4172</s:v>
      </s:c>
      <s:c r="G320" s="0" t="n">
        <s:v>2124</s:v>
      </s:c>
      <s:c r="H320" s="0" t="n">
        <s:v>7712</s:v>
      </s:c>
      <s:c r="I320" s="0" t="n">
        <s:v>1174</s:v>
      </s:c>
      <s:c r="J320" s="0" t="n">
        <s:v>1489</s:v>
      </s:c>
      <s:c r="K320" s="22">
        <s:f>'1'!F321</s:f>
        <s:v>46247.56385416666</s:v>
      </s:c>
      <s:c r="L320" s="22">
        <s:f>'2'!F321</s:f>
        <s:v>46247.545590277776</s:v>
      </s:c>
      <s:c r="M320" s="22">
        <s:f>'3'!F321</s:f>
        <s:v>46247.528182870374</s:v>
      </s:c>
      <s:c r="N320" s="22">
        <s:f>'4'!F321</s:f>
        <s:v>46247.48229166667</s:v>
      </s:c>
      <s:c r="O320" s="22">
        <s:f>'5'!F321</s:f>
        <s:v>46247.45394675926</s:v>
      </s:c>
      <s:c r="P320" s="22">
        <s:f>'6'!F321</s:f>
        <s:v>46247.43449074074</s:v>
      </s:c>
      <s:c r="Q320" s="22">
        <s:f>'7'!F321</s:f>
        <s:v>46247.411840277775</s:v>
      </s:c>
      <s:c r="R320" s="22">
        <s:f>'8'!F321</s:f>
        <s:v>46247.387650462966</s:v>
      </s:c>
      <s:c r="S320" s="22">
        <s:f>'9'!F321</s:f>
        <s:v>46247.369837962964</s:v>
      </s:c>
      <s:c r="T320" s="22">
        <s:f>'10'!F321</s:f>
        <s:v>46247.34061342593</s:v>
      </s:c>
      <s:c r="U320" s="23">
        <s:f>'자료구성'!$B$2</s:f>
        <s:v>46247.0</s:v>
      </s:c>
    </s:row>
    <s:row r="321">
      <s:c r="A321" s="0" t="n">
        <s:v>1744</s:v>
      </s:c>
      <s:c r="B321" s="0" t="n">
        <s:v>2000</s:v>
      </s:c>
      <s:c r="C321" s="0" t="n">
        <s:v>2229</s:v>
      </s:c>
      <s:c r="D321" s="0" t="n">
        <s:v>57</s:v>
      </s:c>
      <s:c r="E321" s="0" t="n">
        <s:v>1233</s:v>
      </s:c>
      <s:c r="F321" s="0" t="n">
        <s:v>4315</s:v>
      </s:c>
      <s:c r="G321" s="0" t="n">
        <s:v>2152</s:v>
      </s:c>
      <s:c r="H321" s="0" t="n">
        <s:v>7550</s:v>
      </s:c>
      <s:c r="I321" s="0" t="n">
        <s:v>1170</s:v>
      </s:c>
      <s:c r="J321" s="0" t="n">
        <s:v>1510</s:v>
      </s:c>
      <s:c r="K321" s="22">
        <s:f>'1'!F322</s:f>
        <s:v>46247.56386574074</s:v>
      </s:c>
      <s:c r="L321" s="22">
        <s:f>'2'!F322</s:f>
        <s:v>46247.54560185185</s:v>
      </s:c>
      <s:c r="M321" s="22">
        <s:f>'3'!F322</s:f>
        <s:v>46247.52819444444</s:v>
      </s:c>
      <s:c r="N321" s="22">
        <s:f>'4'!F322</s:f>
        <s:v>46247.482303240744</s:v>
      </s:c>
      <s:c r="O321" s="22">
        <s:f>'5'!F322</s:f>
        <s:v>46247.45395833333</s:v>
      </s:c>
      <s:c r="P321" s="22">
        <s:f>'6'!F322</s:f>
        <s:v>46247.43450231481</s:v>
      </s:c>
      <s:c r="Q321" s="22">
        <s:f>'7'!F322</s:f>
        <s:v>46247.41185185185</s:v>
      </s:c>
      <s:c r="R321" s="22">
        <s:f>'8'!F322</s:f>
        <s:v>46247.387662037036</s:v>
      </s:c>
      <s:c r="S321" s="22">
        <s:f>'9'!F322</s:f>
        <s:v>46247.36984953703</s:v>
      </s:c>
      <s:c r="T321" s="22">
        <s:f>'10'!F322</s:f>
        <s:v>46247.340625</s:v>
      </s:c>
      <s:c r="U321" s="23">
        <s:f>'자료구성'!$B$2</s:f>
        <s:v>46247.0</s:v>
      </s:c>
    </s:row>
    <s:row r="322">
      <s:c r="A322" s="0" t="n">
        <s:v>1769</s:v>
      </s:c>
      <s:c r="B322" s="0" t="n">
        <s:v>2018</s:v>
      </s:c>
      <s:c r="C322" s="0" t="n">
        <s:v>2197</s:v>
      </s:c>
      <s:c r="D322" s="0" t="n">
        <s:v>993</s:v>
      </s:c>
      <s:c r="E322" s="0" t="n">
        <s:v>1245</s:v>
      </s:c>
      <s:c r="F322" s="0" t="n">
        <s:v>4479</s:v>
      </s:c>
      <s:c r="G322" s="0" t="n">
        <s:v>2215</s:v>
      </s:c>
      <s:c r="H322" s="0" t="n">
        <s:v>7472</s:v>
      </s:c>
      <s:c r="I322" s="0" t="n">
        <s:v>1171</s:v>
      </s:c>
      <s:c r="J322" s="0" t="n">
        <s:v>1523</s:v>
      </s:c>
      <s:c r="K322" s="22">
        <s:f>'1'!F323</s:f>
        <s:v>46247.56387731482</s:v>
      </s:c>
      <s:c r="L322" s="22">
        <s:f>'2'!F323</s:f>
        <s:v>46247.54561342593</s:v>
      </s:c>
      <s:c r="M322" s="22">
        <s:f>'3'!F323</s:f>
        <s:v>46247.52820601852</s:v>
      </s:c>
      <s:c r="N322" s="22">
        <s:f>'4'!F323</s:f>
        <s:v>46247.48231481481</s:v>
      </s:c>
      <s:c r="O322" s="22">
        <s:f>'5'!F323</s:f>
        <s:v>46247.45396990741</s:v>
      </s:c>
      <s:c r="P322" s="22">
        <s:f>'6'!F323</s:f>
        <s:v>46247.43451388889</s:v>
      </s:c>
      <s:c r="Q322" s="22">
        <s:f>'7'!F323</s:f>
        <s:v>46247.41186342593</s:v>
      </s:c>
      <s:c r="R322" s="22">
        <s:f>'8'!F323</s:f>
        <s:v>46247.38767361111</s:v>
      </s:c>
      <s:c r="S322" s="22">
        <s:f>'9'!F323</s:f>
        <s:v>46247.36986111111</s:v>
      </s:c>
      <s:c r="T322" s="22">
        <s:f>'10'!F323</s:f>
        <s:v>46247.340636574074</s:v>
      </s:c>
      <s:c r="U322" s="23">
        <s:f>'자료구성'!$B$2</s:f>
        <s:v>46247.0</s:v>
      </s:c>
    </s:row>
    <s:row r="323">
      <s:c r="A323" s="0" t="n">
        <s:v>1810</s:v>
      </s:c>
      <s:c r="B323" s="0" t="n">
        <s:v>2051</s:v>
      </s:c>
      <s:c r="C323" s="0" t="n">
        <s:v>2231</s:v>
      </s:c>
      <s:c r="D323" s="0" t="n">
        <s:v>917</s:v>
      </s:c>
      <s:c r="E323" s="0" t="n">
        <s:v>1242</s:v>
      </s:c>
      <s:c r="F323" s="0" t="n">
        <s:v>4492</s:v>
      </s:c>
      <s:c r="G323" s="0" t="n">
        <s:v>2330</s:v>
      </s:c>
      <s:c r="H323" s="0" t="n">
        <s:v>7466</s:v>
      </s:c>
      <s:c r="I323" s="0" t="n">
        <s:v>1170</s:v>
      </s:c>
      <s:c r="J323" s="0" t="n">
        <s:v>1505</s:v>
      </s:c>
      <s:c r="K323" s="22">
        <s:f>'1'!F324</s:f>
        <s:v>46247.563888888886</s:v>
      </s:c>
      <s:c r="L323" s="22">
        <s:f>'2'!F324</s:f>
        <s:v>46247.545625</s:v>
      </s:c>
      <s:c r="M323" s="22">
        <s:f>'3'!F324</s:f>
        <s:v>46247.52821759259</s:v>
      </s:c>
      <s:c r="N323" s="22">
        <s:f>'4'!F324</s:f>
        <s:v>46247.48232638889</s:v>
      </s:c>
      <s:c r="O323" s="22">
        <s:f>'5'!F324</s:f>
        <s:v>46247.45398148148</s:v>
      </s:c>
      <s:c r="P323" s="22">
        <s:f>'6'!F324</s:f>
        <s:v>46247.434525462966</s:v>
      </s:c>
      <s:c r="Q323" s="22">
        <s:f>'7'!F324</s:f>
        <s:v>46247.411875</s:v>
      </s:c>
      <s:c r="R323" s="22">
        <s:f>'8'!F324</s:f>
        <s:v>46247.38768518518</s:v>
      </s:c>
      <s:c r="S323" s="22">
        <s:f>'9'!F324</s:f>
        <s:v>46247.36987268519</s:v>
      </s:c>
      <s:c r="T323" s="22">
        <s:f>'10'!F324</s:f>
        <s:v>46247.34064814815</s:v>
      </s:c>
      <s:c r="U323" s="23">
        <s:f>'자료구성'!$B$2</s:f>
        <s:v>46247.0</s:v>
      </s:c>
    </s:row>
    <s:row r="324">
      <s:c r="A324" s="0" t="n">
        <s:v>1812</s:v>
      </s:c>
      <s:c r="B324" s="0" t="n">
        <s:v>2048</s:v>
      </s:c>
      <s:c r="C324" s="0" t="n">
        <s:v>2245</s:v>
      </s:c>
      <s:c r="D324" s="0" t="n">
        <s:v>864</s:v>
      </s:c>
      <s:c r="E324" s="0" t="n">
        <s:v>1236</s:v>
      </s:c>
      <s:c r="F324" s="0" t="n">
        <s:v>4518</s:v>
      </s:c>
      <s:c r="G324" s="0" t="n">
        <s:v>2479</s:v>
      </s:c>
      <s:c r="H324" s="0" t="n">
        <s:v>7457</s:v>
      </s:c>
      <s:c r="I324" s="0" t="n">
        <s:v>1162</s:v>
      </s:c>
      <s:c r="J324" s="0" t="n">
        <s:v>1503</s:v>
      </s:c>
      <s:c r="K324" s="22">
        <s:f>'1'!F325</s:f>
        <s:v>46247.56390046296</s:v>
      </s:c>
      <s:c r="L324" s="22">
        <s:f>'2'!F325</s:f>
        <s:v>46247.545636574076</s:v>
      </s:c>
      <s:c r="M324" s="22">
        <s:f>'3'!F325</s:f>
        <s:v>46247.528229166666</s:v>
      </s:c>
      <s:c r="N324" s="22">
        <s:f>'4'!F325</s:f>
        <s:v>46247.48233796296</s:v>
      </s:c>
      <s:c r="O324" s="22">
        <s:f>'5'!F325</s:f>
        <s:v>46247.453993055555</s:v>
      </s:c>
      <s:c r="P324" s="22">
        <s:f>'6'!F325</s:f>
        <s:v>46247.434537037036</s:v>
      </s:c>
      <s:c r="Q324" s="22">
        <s:f>'7'!F325</s:f>
        <s:v>46247.411886574075</s:v>
      </s:c>
      <s:c r="R324" s="22">
        <s:f>'8'!F325</s:f>
        <s:v>46247.38769675926</s:v>
      </s:c>
      <s:c r="S324" s="22">
        <s:f>'9'!F325</s:f>
        <s:v>46247.36988425926</s:v>
      </s:c>
      <s:c r="T324" s="22">
        <s:f>'10'!F325</s:f>
        <s:v>46247.34065972222</s:v>
      </s:c>
      <s:c r="U324" s="23">
        <s:f>'자료구성'!$B$2</s:f>
        <s:v>46247.0</s:v>
      </s:c>
    </s:row>
    <s:row r="325">
      <s:c r="A325" s="0" t="n">
        <s:v>1814</s:v>
      </s:c>
      <s:c r="B325" s="0" t="n">
        <s:v>2029</s:v>
      </s:c>
      <s:c r="C325" s="0" t="n">
        <s:v>2206</s:v>
      </s:c>
      <s:c r="D325" s="0" t="n">
        <s:v>815</s:v>
      </s:c>
      <s:c r="E325" s="0" t="n">
        <s:v>1241</s:v>
      </s:c>
      <s:c r="F325" s="0" t="n">
        <s:v>4539</s:v>
      </s:c>
      <s:c r="G325" s="0" t="n">
        <s:v>2668</s:v>
      </s:c>
      <s:c r="H325" s="0" t="n">
        <s:v>7399</s:v>
      </s:c>
      <s:c r="I325" s="0" t="n">
        <s:v>1154</s:v>
      </s:c>
      <s:c r="J325" s="0" t="n">
        <s:v>1532</s:v>
      </s:c>
      <s:c r="K325" s="22">
        <s:f>'1'!F326</s:f>
        <s:v>46247.56391203704</s:v>
      </s:c>
      <s:c r="L325" s="22">
        <s:f>'2'!F326</s:f>
        <s:v>46247.545648148145</s:v>
      </s:c>
      <s:c r="M325" s="22">
        <s:f>'3'!F326</s:f>
        <s:v>46247.52824074074</s:v>
      </s:c>
      <s:c r="N325" s="22">
        <s:f>'4'!F326</s:f>
        <s:v>46247.48234953704</s:v>
      </s:c>
      <s:c r="O325" s="22">
        <s:f>'5'!F326</s:f>
        <s:v>46247.45400462963</s:v>
      </s:c>
      <s:c r="P325" s="22">
        <s:f>'6'!F326</s:f>
        <s:v>46247.43454861111</s:v>
      </s:c>
      <s:c r="Q325" s="22">
        <s:f>'7'!F326</s:f>
        <s:v>46247.41189814815</s:v>
      </s:c>
      <s:c r="R325" s="22">
        <s:f>'8'!F326</s:f>
        <s:v>46247.387708333335</s:v>
      </s:c>
      <s:c r="S325" s="22">
        <s:f>'9'!F326</s:f>
        <s:v>46247.36989583333</s:v>
      </s:c>
      <s:c r="T325" s="22">
        <s:f>'10'!F326</s:f>
        <s:v>46247.3406712963</s:v>
      </s:c>
      <s:c r="U325" s="23">
        <s:f>'자료구성'!$B$2</s:f>
        <s:v>46247.0</s:v>
      </s:c>
    </s:row>
    <s:row r="326">
      <s:c r="A326" s="0" t="n">
        <s:v>1814</s:v>
      </s:c>
      <s:c r="B326" s="0" t="n">
        <s:v>1977</s:v>
      </s:c>
      <s:c r="C326" s="0" t="n">
        <s:v>2181</s:v>
      </s:c>
      <s:c r="D326" s="0" t="n">
        <s:v>774</s:v>
      </s:c>
      <s:c r="E326" s="0" t="n">
        <s:v>1242</s:v>
      </s:c>
      <s:c r="F326" s="0" t="n">
        <s:v>4219</s:v>
      </s:c>
      <s:c r="G326" s="0" t="n">
        <s:v>2911</s:v>
      </s:c>
      <s:c r="H326" s="0" t="n">
        <s:v>7341</s:v>
      </s:c>
      <s:c r="I326" s="0" t="n">
        <s:v>1157</s:v>
      </s:c>
      <s:c r="J326" s="0" t="n">
        <s:v>1577</s:v>
      </s:c>
      <s:c r="K326" s="22">
        <s:f>'1'!F327</s:f>
        <s:v>46247.56392361111</s:v>
      </s:c>
      <s:c r="L326" s="22">
        <s:f>'2'!F327</s:f>
        <s:v>46247.54565972222</s:v>
      </s:c>
      <s:c r="M326" s="22">
        <s:f>'3'!F327</s:f>
        <s:v>46247.52825231481</s:v>
      </s:c>
      <s:c r="N326" s="22">
        <s:f>'4'!F327</s:f>
        <s:v>46247.48236111111</s:v>
      </s:c>
      <s:c r="O326" s="22">
        <s:f>'5'!F327</s:f>
        <s:v>46247.4540162037</s:v>
      </s:c>
      <s:c r="P326" s="22">
        <s:f>'6'!F327</s:f>
        <s:v>46247.43456018518</s:v>
      </s:c>
      <s:c r="Q326" s="22">
        <s:f>'7'!F327</s:f>
        <s:v>46247.41190972222</s:v>
      </s:c>
      <s:c r="R326" s="22">
        <s:f>'8'!F327</s:f>
        <s:v>46247.387719907405</s:v>
      </s:c>
      <s:c r="S326" s="22">
        <s:f>'9'!F327</s:f>
        <s:v>46247.36990740741</s:v>
      </s:c>
      <s:c r="T326" s="22">
        <s:f>'10'!F327</s:f>
        <s:v>46247.340682870374</s:v>
      </s:c>
      <s:c r="U326" s="23">
        <s:f>'자료구성'!$B$2</s:f>
        <s:v>46247.0</s:v>
      </s:c>
    </s:row>
    <s:row r="327">
      <s:c r="A327" s="0" t="n">
        <s:v>1840</s:v>
      </s:c>
      <s:c r="B327" s="0" t="n">
        <s:v>1952</s:v>
      </s:c>
      <s:c r="C327" s="0" t="n">
        <s:v>2157</s:v>
      </s:c>
      <s:c r="D327" s="0" t="n">
        <s:v>739</s:v>
      </s:c>
      <s:c r="E327" s="0" t="n">
        <s:v>1227</s:v>
      </s:c>
      <s:c r="F327" s="0" t="n">
        <s:v>4039</s:v>
      </s:c>
      <s:c r="G327" s="0" t="n">
        <s:v>3143</s:v>
      </s:c>
      <s:c r="H327" s="0" t="n">
        <s:v>7261</s:v>
      </s:c>
      <s:c r="I327" s="0" t="n">
        <s:v>1182</s:v>
      </s:c>
      <s:c r="J327" s="0" t="n">
        <s:v>1602</s:v>
      </s:c>
      <s:c r="K327" s="22">
        <s:f>'1'!F328</s:f>
        <s:v>46247.563935185186</s:v>
      </s:c>
      <s:c r="L327" s="22">
        <s:f>'2'!F328</s:f>
        <s:v>46247.5456712963</s:v>
      </s:c>
      <s:c r="M327" s="22">
        <s:f>'3'!F328</s:f>
        <s:v>46247.52826388889</s:v>
      </s:c>
      <s:c r="N327" s="22">
        <s:f>'4'!F328</s:f>
        <s:v>46247.48237268518</s:v>
      </s:c>
      <s:c r="O327" s="22">
        <s:f>'5'!F328</s:f>
        <s:v>46247.45402777778</s:v>
      </s:c>
      <s:c r="P327" s="22">
        <s:f>'6'!F328</s:f>
        <s:v>46247.43457175926</s:v>
      </s:c>
      <s:c r="Q327" s="22">
        <s:f>'7'!F328</s:f>
        <s:v>46247.4119212963</s:v>
      </s:c>
      <s:c r="R327" s="22">
        <s:f>'8'!F328</s:f>
        <s:v>46247.38773148148</s:v>
      </s:c>
      <s:c r="S327" s="22">
        <s:f>'9'!F328</s:f>
        <s:v>46247.36991898148</s:v>
      </s:c>
      <s:c r="T327" s="22">
        <s:f>'10'!F328</s:f>
        <s:v>46247.34069444444</s:v>
      </s:c>
      <s:c r="U327" s="23">
        <s:f>'자료구성'!$B$2</s:f>
        <s:v>46247.0</s:v>
      </s:c>
    </s:row>
    <s:row r="328">
      <s:c r="A328" s="0" t="n">
        <s:v>1855</s:v>
      </s:c>
      <s:c r="B328" s="0" t="n">
        <s:v>1929</s:v>
      </s:c>
      <s:c r="C328" s="0" t="n">
        <s:v>2126</s:v>
      </s:c>
      <s:c r="D328" s="0" t="n">
        <s:v>784</s:v>
      </s:c>
      <s:c r="E328" s="0" t="n">
        <s:v>1231</s:v>
      </s:c>
      <s:c r="F328" s="0" t="n">
        <s:v>3874</s:v>
      </s:c>
      <s:c r="G328" s="0" t="n">
        <s:v>3264</s:v>
      </s:c>
      <s:c r="H328" s="0" t="n">
        <s:v>7177</s:v>
      </s:c>
      <s:c r="I328" s="0" t="n">
        <s:v>1184</s:v>
      </s:c>
      <s:c r="J328" s="0" t="n">
        <s:v>1580</s:v>
      </s:c>
      <s:c r="K328" s="22">
        <s:f>'1'!F329</s:f>
        <s:v>46247.56394675926</s:v>
      </s:c>
      <s:c r="L328" s="22">
        <s:f>'2'!F329</s:f>
        <s:v>46247.54568287037</s:v>
      </s:c>
      <s:c r="M328" s="22">
        <s:f>'3'!F329</s:f>
        <s:v>46247.528275462966</s:v>
      </s:c>
      <s:c r="N328" s="22">
        <s:f>'4'!F329</s:f>
        <s:v>46247.48238425926</s:v>
      </s:c>
      <s:c r="O328" s="22">
        <s:f>'5'!F329</s:f>
        <s:v>46247.454039351855</s:v>
      </s:c>
      <s:c r="P328" s="22">
        <s:f>'6'!F329</s:f>
        <s:v>46247.434583333335</s:v>
      </s:c>
      <s:c r="Q328" s="22">
        <s:f>'7'!F329</s:f>
        <s:v>46247.41193287037</s:v>
      </s:c>
      <s:c r="R328" s="22">
        <s:f>'8'!F329</s:f>
        <s:v>46247.38774305556</s:v>
      </s:c>
      <s:c r="S328" s="22">
        <s:f>'9'!F329</s:f>
        <s:v>46247.36993055556</s:v>
      </s:c>
      <s:c r="T328" s="22">
        <s:f>'10'!F329</s:f>
        <s:v>46247.34070601852</s:v>
      </s:c>
      <s:c r="U328" s="23">
        <s:f>'자료구성'!$B$2</s:f>
        <s:v>46247.0</s:v>
      </s:c>
    </s:row>
    <s:row r="329">
      <s:c r="A329" s="0" t="n">
        <s:v>1856</s:v>
      </s:c>
      <s:c r="B329" s="0" t="n">
        <s:v>1901</s:v>
      </s:c>
      <s:c r="C329" s="0" t="n">
        <s:v>2183</s:v>
      </s:c>
      <s:c r="D329" s="0" t="n">
        <s:v>833</s:v>
      </s:c>
      <s:c r="E329" s="0" t="n">
        <s:v>1242</s:v>
      </s:c>
      <s:c r="F329" s="0" t="n">
        <s:v>3801</s:v>
      </s:c>
      <s:c r="G329" s="0" t="n">
        <s:v>3322</s:v>
      </s:c>
      <s:c r="H329" s="0" t="n">
        <s:v>7154</s:v>
      </s:c>
      <s:c r="I329" s="0" t="n">
        <s:v>1219</s:v>
      </s:c>
      <s:c r="J329" s="0" t="n">
        <s:v>1559</s:v>
      </s:c>
      <s:c r="K329" s="22">
        <s:f>'1'!F330</s:f>
        <s:v>46247.56395833333</s:v>
      </s:c>
      <s:c r="L329" s="22">
        <s:f>'2'!F330</s:f>
        <s:v>46247.545694444445</s:v>
      </s:c>
      <s:c r="M329" s="22">
        <s:f>'3'!F330</s:f>
        <s:v>46247.528287037036</s:v>
      </s:c>
      <s:c r="N329" s="22">
        <s:f>'4'!F330</s:f>
        <s:v>46247.482395833336</s:v>
      </s:c>
      <s:c r="O329" s="22">
        <s:f>'5'!F330</s:f>
        <s:v>46247.454050925924</s:v>
      </s:c>
      <s:c r="P329" s="22">
        <s:f>'6'!F330</s:f>
        <s:v>46247.434594907405</s:v>
      </s:c>
      <s:c r="Q329" s="22">
        <s:f>'7'!F330</s:f>
        <s:v>46247.411944444444</s:v>
      </s:c>
      <s:c r="R329" s="22">
        <s:f>'8'!F330</s:f>
        <s:v>46247.38775462963</s:v>
      </s:c>
      <s:c r="S329" s="22">
        <s:f>'9'!F330</s:f>
        <s:v>46247.369942129626</s:v>
      </s:c>
      <s:c r="T329" s="22">
        <s:f>'10'!F330</s:f>
        <s:v>46247.34071759259</s:v>
      </s:c>
      <s:c r="U329" s="23">
        <s:f>'자료구성'!$B$2</s:f>
        <s:v>46247.0</s:v>
      </s:c>
    </s:row>
    <s:row r="330">
      <s:c r="A330" s="0" t="n">
        <s:v>1881</s:v>
      </s:c>
      <s:c r="B330" s="0" t="n">
        <s:v>1867</s:v>
      </s:c>
      <s:c r="C330" s="0" t="n">
        <s:v>2233</s:v>
      </s:c>
      <s:c r="D330" s="0" t="n">
        <s:v>841</s:v>
      </s:c>
      <s:c r="E330" s="0" t="n">
        <s:v>1249</s:v>
      </s:c>
      <s:c r="F330" s="0" t="n">
        <s:v>3843</s:v>
      </s:c>
      <s:c r="G330" s="0" t="n">
        <s:v>3430</s:v>
      </s:c>
      <s:c r="H330" s="0" t="n">
        <s:v>7202</s:v>
      </s:c>
      <s:c r="I330" s="0" t="n">
        <s:v>1278</s:v>
      </s:c>
      <s:c r="J330" s="0" t="n">
        <s:v>1546</s:v>
      </s:c>
      <s:c r="K330" s="22">
        <s:f>'1'!F331</s:f>
        <s:v>46247.56396990741</s:v>
      </s:c>
      <s:c r="L330" s="22">
        <s:f>'2'!F331</s:f>
        <s:v>46247.54570601852</s:v>
      </s:c>
      <s:c r="M330" s="22">
        <s:f>'3'!F331</s:f>
        <s:v>46247.52829861111</s:v>
      </s:c>
      <s:c r="N330" s="22">
        <s:f>'4'!F331</s:f>
        <s:v>46247.482407407406</s:v>
      </s:c>
      <s:c r="O330" s="22">
        <s:f>'5'!F331</s:f>
        <s:v>46247.4540625</s:v>
      </s:c>
      <s:c r="P330" s="22">
        <s:f>'6'!F331</s:f>
        <s:v>46247.43460648148</s:v>
      </s:c>
      <s:c r="Q330" s="22">
        <s:f>'7'!F331</s:f>
        <s:v>46247.41195601852</s:v>
      </s:c>
      <s:c r="R330" s="22">
        <s:f>'8'!F331</s:f>
        <s:v>46247.387766203705</s:v>
      </s:c>
      <s:c r="S330" s="22">
        <s:f>'9'!F331</s:f>
        <s:v>46247.3699537037</s:v>
      </s:c>
      <s:c r="T330" s="22">
        <s:f>'10'!F331</s:f>
        <s:v>46247.340729166666</s:v>
      </s:c>
      <s:c r="U330" s="23">
        <s:f>'자료구성'!$B$2</s:f>
        <s:v>46247.0</s:v>
      </s:c>
    </s:row>
    <s:row r="331">
      <s:c r="A331" s="0" t="n">
        <s:v>1891</s:v>
      </s:c>
      <s:c r="B331" s="0" t="n">
        <s:v>1835</s:v>
      </s:c>
      <s:c r="C331" s="0" t="n">
        <s:v>2210</s:v>
      </s:c>
      <s:c r="D331" s="0" t="n">
        <s:v>825</s:v>
      </s:c>
      <s:c r="E331" s="0" t="n">
        <s:v>1252</s:v>
      </s:c>
      <s:c r="F331" s="0" t="n">
        <s:v>3885</s:v>
      </s:c>
      <s:c r="G331" s="0" t="n">
        <s:v>3589</s:v>
      </s:c>
      <s:c r="H331" s="0" t="n">
        <s:v>7292</s:v>
      </s:c>
      <s:c r="I331" s="0" t="n">
        <s:v>1270</s:v>
      </s:c>
      <s:c r="J331" s="0" t="n">
        <s:v>1544</s:v>
      </s:c>
      <s:c r="K331" s="22">
        <s:f>'1'!F332</s:f>
        <s:v>46247.56398148148</s:v>
      </s:c>
      <s:c r="L331" s="22">
        <s:f>'2'!F332</s:f>
        <s:v>46247.54571759259</s:v>
      </s:c>
      <s:c r="M331" s="22">
        <s:f>'3'!F332</s:f>
        <s:v>46247.52831018518</s:v>
      </s:c>
      <s:c r="N331" s="22">
        <s:f>'4'!F332</s:f>
        <s:v>46247.48241898148</s:v>
      </s:c>
      <s:c r="O331" s="22">
        <s:f>'5'!F332</s:f>
        <s:v>46247.45407407408</s:v>
      </s:c>
      <s:c r="P331" s="22">
        <s:f>'6'!F332</s:f>
        <s:v>46247.43461805556</s:v>
      </s:c>
      <s:c r="Q331" s="22">
        <s:f>'7'!F332</s:f>
        <s:v>46247.41196759259</s:v>
      </s:c>
      <s:c r="R331" s="22">
        <s:f>'8'!F332</s:f>
        <s:v>46247.387777777774</s:v>
      </s:c>
      <s:c r="S331" s="22">
        <s:f>'9'!F332</s:f>
        <s:v>46247.36996527778</s:v>
      </s:c>
      <s:c r="T331" s="22">
        <s:f>'10'!F332</s:f>
        <s:v>46247.34074074074</s:v>
      </s:c>
      <s:c r="U331" s="23">
        <s:f>'자료구성'!$B$2</s:f>
        <s:v>46247.0</s:v>
      </s:c>
    </s:row>
    <s:row r="332">
      <s:c r="A332" s="0" t="n">
        <s:v>1906</s:v>
      </s:c>
      <s:c r="B332" s="0" t="n">
        <s:v>1817</s:v>
      </s:c>
      <s:c r="C332" s="0" t="n">
        <s:v>2162</s:v>
      </s:c>
      <s:c r="D332" s="0" t="n">
        <s:v>806</s:v>
      </s:c>
      <s:c r="E332" s="0" t="n">
        <s:v>1239</s:v>
      </s:c>
      <s:c r="F332" s="0" t="n">
        <s:v>3960</s:v>
      </s:c>
      <s:c r="G332" s="0" t="n">
        <s:v>3790</s:v>
      </s:c>
      <s:c r="H332" s="0" t="n">
        <s:v>7253</s:v>
      </s:c>
      <s:c r="I332" s="0" t="n">
        <s:v>1300</s:v>
      </s:c>
      <s:c r="J332" s="0" t="n">
        <s:v>1585</s:v>
      </s:c>
      <s:c r="K332" s="22">
        <s:f>'1'!F333</s:f>
        <s:v>46247.563993055555</s:v>
      </s:c>
      <s:c r="L332" s="22">
        <s:f>'2'!F333</s:f>
        <s:v>46247.54572916667</s:v>
      </s:c>
      <s:c r="M332" s="22">
        <s:f>'3'!F333</s:f>
        <s:v>46247.52832175926</s:v>
      </s:c>
      <s:c r="N332" s="22">
        <s:f>'4'!F333</s:f>
        <s:v>46247.48243055555</s:v>
      </s:c>
      <s:c r="O332" s="22">
        <s:f>'5'!F333</s:f>
        <s:v>46247.45408564815</s:v>
      </s:c>
      <s:c r="P332" s="22">
        <s:f>'6'!F333</s:f>
        <s:v>46247.43462962963</s:v>
      </s:c>
      <s:c r="Q332" s="22">
        <s:f>'7'!F333</s:f>
        <s:v>46247.41197916667</s:v>
      </s:c>
      <s:c r="R332" s="22">
        <s:f>'8'!F333</s:f>
        <s:v>46247.38778935185</s:v>
      </s:c>
      <s:c r="S332" s="22">
        <s:f>'9'!F333</s:f>
        <s:v>46247.36997685185</s:v>
      </s:c>
      <s:c r="T332" s="22">
        <s:f>'10'!F333</s:f>
        <s:v>46247.34075231481</s:v>
      </s:c>
      <s:c r="U332" s="23">
        <s:f>'자료구성'!$B$2</s:f>
        <s:v>46247.0</s:v>
      </s:c>
    </s:row>
    <s:row r="333">
      <s:c r="A333" s="0" t="n">
        <s:v>1920</s:v>
      </s:c>
      <s:c r="B333" s="0" t="n">
        <s:v>1814</s:v>
      </s:c>
      <s:c r="C333" s="0" t="n">
        <s:v>2109</s:v>
      </s:c>
      <s:c r="D333" s="0" t="n">
        <s:v>774</s:v>
      </s:c>
      <s:c r="E333" s="0" t="n">
        <s:v>1229</s:v>
      </s:c>
      <s:c r="F333" s="0" t="n">
        <s:v>3973</s:v>
      </s:c>
      <s:c r="G333" s="0" t="n">
        <s:v>4063</s:v>
      </s:c>
      <s:c r="H333" s="0" t="n">
        <s:v>7100</s:v>
      </s:c>
      <s:c r="I333" s="0" t="n">
        <s:v>1276</s:v>
      </s:c>
      <s:c r="J333" s="0" t="n">
        <s:v>1569</s:v>
      </s:c>
      <s:c r="K333" s="22">
        <s:f>'1'!F334</s:f>
        <s:v>46247.56400462963</s:v>
      </s:c>
      <s:c r="L333" s="22">
        <s:f>'2'!F334</s:f>
        <s:v>46247.54574074074</s:v>
      </s:c>
      <s:c r="M333" s="22">
        <s:f>'3'!F334</s:f>
        <s:v>46247.528333333335</s:v>
      </s:c>
      <s:c r="N333" s="22">
        <s:f>'4'!F334</s:f>
        <s:v>46247.48244212963</s:v>
      </s:c>
      <s:c r="O333" s="22">
        <s:f>'5'!F334</s:f>
        <s:v>46247.454097222224</s:v>
      </s:c>
      <s:c r="P333" s="22">
        <s:f>'6'!F334</s:f>
        <s:v>46247.434641203705</s:v>
      </s:c>
      <s:c r="Q333" s="22">
        <s:f>'7'!F334</s:f>
        <s:v>46247.411990740744</s:v>
      </s:c>
      <s:c r="R333" s="22">
        <s:f>'8'!F334</s:f>
        <s:v>46247.38780092593</s:v>
      </s:c>
      <s:c r="S333" s="22">
        <s:f>'9'!F334</s:f>
        <s:v>46247.369988425926</s:v>
      </s:c>
      <s:c r="T333" s="22">
        <s:f>'10'!F334</s:f>
        <s:v>46247.34076388889</s:v>
      </s:c>
      <s:c r="U333" s="23">
        <s:f>'자료구성'!$B$2</s:f>
        <s:v>46247.0</s:v>
      </s:c>
    </s:row>
    <s:row r="334">
      <s:c r="A334" s="0" t="n">
        <s:v>1950</s:v>
      </s:c>
      <s:c r="B334" s="0" t="n">
        <s:v>1776</s:v>
      </s:c>
      <s:c r="C334" s="0" t="n">
        <s:v>2078</s:v>
      </s:c>
      <s:c r="D334" s="0" t="n">
        <s:v>758</s:v>
      </s:c>
      <s:c r="E334" s="0" t="n">
        <s:v>1224</s:v>
      </s:c>
      <s:c r="F334" s="0" t="n">
        <s:v>3920</s:v>
      </s:c>
      <s:c r="G334" s="0" t="n">
        <s:v>4169</s:v>
      </s:c>
      <s:c r="H334" s="0" t="n">
        <s:v>6908</s:v>
      </s:c>
      <s:c r="I334" s="0" t="n">
        <s:v>1258</s:v>
      </s:c>
      <s:c r="J334" s="0" t="n">
        <s:v>1560</s:v>
      </s:c>
      <s:c r="K334" s="22">
        <s:f>'1'!F335</s:f>
        <s:v>46247.5640162037</s:v>
      </s:c>
      <s:c r="L334" s="22">
        <s:f>'2'!F335</s:f>
        <s:v>46247.545752314814</s:v>
      </s:c>
      <s:c r="M334" s="22">
        <s:f>'3'!F335</s:f>
        <s:v>46247.528344907405</s:v>
      </s:c>
      <s:c r="N334" s="22">
        <s:f>'4'!F335</s:f>
        <s:v>46247.482453703706</s:v>
      </s:c>
      <s:c r="O334" s="22">
        <s:f>'5'!F335</s:f>
        <s:v>46247.45410879629</s:v>
      </s:c>
      <s:c r="P334" s="22">
        <s:f>'6'!F335</s:f>
        <s:v>46247.434652777774</s:v>
      </s:c>
      <s:c r="Q334" s="22">
        <s:f>'7'!F335</s:f>
        <s:v>46247.41200231481</s:v>
      </s:c>
      <s:c r="R334" s="22">
        <s:f>'8'!F335</s:f>
        <s:v>46247.3878125</s:v>
      </s:c>
      <s:c r="S334" s="22">
        <s:f>'9'!F335</s:f>
        <s:v>46247.37</s:v>
      </s:c>
      <s:c r="T334" s="22">
        <s:f>'10'!F335</s:f>
        <s:v>46247.340775462966</s:v>
      </s:c>
      <s:c r="U334" s="23">
        <s:f>'자료구성'!$B$2</s:f>
        <s:v>46247.0</s:v>
      </s:c>
    </s:row>
    <s:row r="335">
      <s:c r="A335" s="0" t="n">
        <s:v>1966</s:v>
      </s:c>
      <s:c r="B335" s="0" t="n">
        <s:v>1742</s:v>
      </s:c>
      <s:c r="C335" s="0" t="n">
        <s:v>2072</s:v>
      </s:c>
      <s:c r="D335" s="0" t="n">
        <s:v>709</s:v>
      </s:c>
      <s:c r="E335" s="0" t="n">
        <s:v>1212</s:v>
      </s:c>
      <s:c r="F335" s="0" t="n">
        <s:v>3883</s:v>
      </s:c>
      <s:c r="G335" s="0" t="n">
        <s:v>4266</s:v>
      </s:c>
      <s:c r="H335" s="0" t="n">
        <s:v>6621</s:v>
      </s:c>
      <s:c r="I335" s="0" t="n">
        <s:v>1225</s:v>
      </s:c>
      <s:c r="J335" s="0" t="n">
        <s:v>1500</s:v>
      </s:c>
      <s:c r="K335" s="22">
        <s:f>'1'!F336</s:f>
        <s:v>46247.56402777778</s:v>
      </s:c>
      <s:c r="L335" s="22">
        <s:f>'2'!F336</s:f>
        <s:v>46247.54576388889</s:v>
      </s:c>
      <s:c r="M335" s="22">
        <s:f>'3'!F336</s:f>
        <s:v>46247.52835648148</s:v>
      </s:c>
      <s:c r="N335" s="22">
        <s:f>'4'!F336</s:f>
        <s:v>46247.482465277775</s:v>
      </s:c>
      <s:c r="O335" s="22">
        <s:f>'5'!F336</s:f>
        <s:v>46247.45412037037</s:v>
      </s:c>
      <s:c r="P335" s="22">
        <s:f>'6'!F336</s:f>
        <s:v>46247.43466435185</s:v>
      </s:c>
      <s:c r="Q335" s="22">
        <s:f>'7'!F336</s:f>
        <s:v>46247.41201388889</s:v>
      </s:c>
      <s:c r="R335" s="22">
        <s:f>'8'!F336</s:f>
        <s:v>46247.387824074074</s:v>
      </s:c>
      <s:c r="S335" s="22">
        <s:f>'9'!F336</s:f>
        <s:v>46247.37001157407</s:v>
      </s:c>
      <s:c r="T335" s="22">
        <s:f>'10'!F336</s:f>
        <s:v>46247.340787037036</s:v>
      </s:c>
      <s:c r="U335" s="23">
        <s:f>'자료구성'!$B$2</s:f>
        <s:v>46247.0</s:v>
      </s:c>
    </s:row>
    <s:row r="336">
      <s:c r="A336" s="0" t="n">
        <s:v>1980</s:v>
      </s:c>
      <s:c r="B336" s="0" t="n">
        <s:v>1727</s:v>
      </s:c>
      <s:c r="C336" s="0" t="n">
        <s:v>2061</s:v>
      </s:c>
      <s:c r="D336" s="0" t="n">
        <s:v>681</s:v>
      </s:c>
      <s:c r="E336" s="0" t="n">
        <s:v>1213</s:v>
      </s:c>
      <s:c r="F336" s="0" t="n">
        <s:v>3906</s:v>
      </s:c>
      <s:c r="G336" s="0" t="n">
        <s:v>4362</s:v>
      </s:c>
      <s:c r="H336" s="0" t="n">
        <s:v>6336</s:v>
      </s:c>
      <s:c r="I336" s="0" t="n">
        <s:v>1193</s:v>
      </s:c>
      <s:c r="J336" s="0" t="n">
        <s:v>1450</s:v>
      </s:c>
      <s:c r="K336" s="22">
        <s:f>'1'!F337</s:f>
        <s:v>46247.564039351855</s:v>
      </s:c>
      <s:c r="L336" s="22">
        <s:f>'2'!F337</s:f>
        <s:v>46247.54577546296</s:v>
      </s:c>
      <s:c r="M336" s="22">
        <s:f>'3'!F337</s:f>
        <s:v>46247.52836805556</s:v>
      </s:c>
      <s:c r="N336" s="22">
        <s:f>'4'!F337</s:f>
        <s:v>46247.48247685185</s:v>
      </s:c>
      <s:c r="O336" s="22">
        <s:f>'5'!F337</s:f>
        <s:v>46247.45413194445</s:v>
      </s:c>
      <s:c r="P336" s="22">
        <s:f>'6'!F337</s:f>
        <s:v>46247.43467592593</s:v>
      </s:c>
      <s:c r="Q336" s="22">
        <s:f>'7'!F337</s:f>
        <s:v>46247.41202546296</s:v>
      </s:c>
      <s:c r="R336" s="22">
        <s:f>'8'!F337</s:f>
        <s:v>46247.38783564815</s:v>
      </s:c>
      <s:c r="S336" s="22">
        <s:f>'9'!F337</s:f>
        <s:v>46247.37002314815</s:v>
      </s:c>
      <s:c r="T336" s="22">
        <s:f>'10'!F337</s:f>
        <s:v>46247.34079861111</s:v>
      </s:c>
      <s:c r="U336" s="23">
        <s:f>'자료구성'!$B$2</s:f>
        <s:v>46247.0</s:v>
      </s:c>
    </s:row>
    <s:row r="337">
      <s:c r="A337" s="0" t="n">
        <s:v>2000</s:v>
      </s:c>
      <s:c r="B337" s="0" t="n">
        <s:v>1730</s:v>
      </s:c>
      <s:c r="C337" s="0" t="n">
        <s:v>2021</s:v>
      </s:c>
      <s:c r="D337" s="0" t="n">
        <s:v>648</s:v>
      </s:c>
      <s:c r="E337" s="0" t="n">
        <s:v>1219</s:v>
      </s:c>
      <s:c r="F337" s="0" t="n">
        <s:v>3899</s:v>
      </s:c>
      <s:c r="G337" s="0" t="n">
        <s:v>4456</s:v>
      </s:c>
      <s:c r="H337" s="0" t="n">
        <s:v>6084</s:v>
      </s:c>
      <s:c r="I337" s="0" t="n">
        <s:v>1203</s:v>
      </s:c>
      <s:c r="J337" s="0" t="n">
        <s:v>1418</s:v>
      </s:c>
      <s:c r="K337" s="22">
        <s:f>'1'!F338</s:f>
        <s:v>46247.564050925925</s:v>
      </s:c>
      <s:c r="L337" s="22">
        <s:f>'2'!F338</s:f>
        <s:v>46247.54578703704</s:v>
      </s:c>
      <s:c r="M337" s="22">
        <s:f>'3'!F338</s:f>
        <s:v>46247.52837962963</s:v>
      </s:c>
      <s:c r="N337" s="22">
        <s:f>'4'!F338</s:f>
        <s:v>46247.48248842593</s:v>
      </s:c>
      <s:c r="O337" s="22">
        <s:f>'5'!F338</s:f>
        <s:v>46247.45414351852</s:v>
      </s:c>
      <s:c r="P337" s="22">
        <s:f>'6'!F338</s:f>
        <s:v>46247.4346875</s:v>
      </s:c>
      <s:c r="Q337" s="22">
        <s:f>'7'!F338</s:f>
        <s:v>46247.41203703704</s:v>
      </s:c>
      <s:c r="R337" s="22">
        <s:f>'8'!F338</s:f>
        <s:v>46247.38784722222</s:v>
      </s:c>
      <s:c r="S337" s="22">
        <s:f>'9'!F338</s:f>
        <s:v>46247.370034722226</s:v>
      </s:c>
      <s:c r="T337" s="22">
        <s:f>'10'!F338</s:f>
        <s:v>46247.34081018518</s:v>
      </s:c>
      <s:c r="U337" s="23">
        <s:f>'자료구성'!$B$2</s:f>
        <s:v>46247.0</s:v>
      </s:c>
    </s:row>
    <s:row r="338">
      <s:c r="A338" s="0" t="n">
        <s:v>2009</s:v>
      </s:c>
      <s:c r="B338" s="0" t="n">
        <s:v>1721</s:v>
      </s:c>
      <s:c r="C338" s="0" t="n">
        <s:v>1982</s:v>
      </s:c>
      <s:c r="D338" s="0" t="n">
        <s:v>654</s:v>
      </s:c>
      <s:c r="E338" s="0" t="n">
        <s:v>1264</s:v>
      </s:c>
      <s:c r="F338" s="0" t="n">
        <s:v>3947</s:v>
      </s:c>
      <s:c r="G338" s="0" t="n">
        <s:v>4477</s:v>
      </s:c>
      <s:c r="H338" s="0" t="n">
        <s:v>5839</s:v>
      </s:c>
      <s:c r="I338" s="0" t="n">
        <s:v>1224</s:v>
      </s:c>
      <s:c r="J338" s="0" t="n">
        <s:v>1404</s:v>
      </s:c>
      <s:c r="K338" s="22">
        <s:f>'1'!F339</s:f>
        <s:v>46247.5640625</s:v>
      </s:c>
      <s:c r="L338" s="22">
        <s:f>'2'!F339</s:f>
        <s:v>46247.545798611114</s:v>
      </s:c>
      <s:c r="M338" s="22">
        <s:f>'3'!F339</s:f>
        <s:v>46247.528391203705</s:v>
      </s:c>
      <s:c r="N338" s="22">
        <s:f>'4'!F339</s:f>
        <s:v>46247.4825</s:v>
      </s:c>
      <s:c r="O338" s="22">
        <s:f>'5'!F339</s:f>
        <s:v>46247.45415509259</s:v>
      </s:c>
      <s:c r="P338" s="22">
        <s:f>'6'!F339</s:f>
        <s:v>46247.434699074074</s:v>
      </s:c>
      <s:c r="Q338" s="22">
        <s:f>'7'!F339</s:f>
        <s:v>46247.41204861111</s:v>
      </s:c>
      <s:c r="R338" s="22">
        <s:f>'8'!F339</s:f>
        <s:v>46247.3878587963</s:v>
      </s:c>
      <s:c r="S338" s="22">
        <s:f>'9'!F339</s:f>
        <s:v>46247.370046296295</s:v>
      </s:c>
      <s:c r="T338" s="22">
        <s:f>'10'!F339</s:f>
        <s:v>46247.34082175926</s:v>
      </s:c>
      <s:c r="U338" s="23">
        <s:f>'자료구성'!$B$2</s:f>
        <s:v>46247.0</s:v>
      </s:c>
    </s:row>
    <s:row r="339">
      <s:c r="A339" s="0" t="n">
        <s:v>2019</s:v>
      </s:c>
      <s:c r="B339" s="0" t="n">
        <s:v>1710</s:v>
      </s:c>
      <s:c r="C339" s="0" t="n">
        <s:v>1957</s:v>
      </s:c>
      <s:c r="D339" s="0" t="n">
        <s:v>631</s:v>
      </s:c>
      <s:c r="E339" s="0" t="n">
        <s:v>1288</s:v>
      </s:c>
      <s:c r="F339" s="0" t="n">
        <s:v>4005</s:v>
      </s:c>
      <s:c r="G339" s="0" t="n">
        <s:v>4488</s:v>
      </s:c>
      <s:c r="H339" s="0" t="n">
        <s:v>5617</s:v>
      </s:c>
      <s:c r="I339" s="0" t="n">
        <s:v>1226</s:v>
      </s:c>
      <s:c r="J339" s="0" t="n">
        <s:v>1385</s:v>
      </s:c>
      <s:c r="K339" s="22">
        <s:f>'1'!F340</s:f>
        <s:v>46247.56407407407</s:v>
      </s:c>
      <s:c r="L339" s="22">
        <s:f>'2'!F340</s:f>
        <s:v>46247.545810185184</s:v>
      </s:c>
      <s:c r="M339" s="22">
        <s:f>'3'!F340</s:f>
        <s:v>46247.528402777774</s:v>
      </s:c>
      <s:c r="N339" s="22">
        <s:f>'4'!F340</s:f>
        <s:v>46247.482511574075</s:v>
      </s:c>
      <s:c r="O339" s="22">
        <s:f>'5'!F340</s:f>
        <s:v>46247.45416666667</s:v>
      </s:c>
      <s:c r="P339" s="22">
        <s:f>'6'!F340</s:f>
        <s:v>46247.43471064815</s:v>
      </s:c>
      <s:c r="Q339" s="22">
        <s:f>'7'!F340</s:f>
        <s:v>46247.41206018518</s:v>
      </s:c>
      <s:c r="R339" s="22">
        <s:f>'8'!F340</s:f>
        <s:v>46247.387870370374</s:v>
      </s:c>
      <s:c r="S339" s="22">
        <s:f>'9'!F340</s:f>
        <s:v>46247.37005787037</s:v>
      </s:c>
      <s:c r="T339" s="22">
        <s:f>'10'!F340</s:f>
        <s:v>46247.340833333335</s:v>
      </s:c>
      <s:c r="U339" s="23">
        <s:f>'자료구성'!$B$2</s:f>
        <s:v>46247.0</s:v>
      </s:c>
    </s:row>
    <s:row r="340">
      <s:c r="A340" s="0" t="n">
        <s:v>2010</s:v>
      </s:c>
      <s:c r="B340" s="0" t="n">
        <s:v>1699</s:v>
      </s:c>
      <s:c r="C340" s="0" t="n">
        <s:v>1948</s:v>
      </s:c>
      <s:c r="D340" s="0" t="n">
        <s:v>617</s:v>
      </s:c>
      <s:c r="E340" s="0" t="n">
        <s:v>1306</s:v>
      </s:c>
      <s:c r="F340" s="0" t="n">
        <s:v>4069</s:v>
      </s:c>
      <s:c r="G340" s="0" t="n">
        <s:v>4494</s:v>
      </s:c>
      <s:c r="H340" s="0" t="n">
        <s:v>5445</s:v>
      </s:c>
      <s:c r="I340" s="0" t="n">
        <s:v>1212</s:v>
      </s:c>
      <s:c r="J340" s="0" t="n">
        <s:v>1400</s:v>
      </s:c>
      <s:c r="K340" s="22">
        <s:f>'1'!F341</s:f>
        <s:v>46247.56408564815</s:v>
      </s:c>
      <s:c r="L340" s="22">
        <s:f>'2'!F341</s:f>
        <s:v>46247.54582175926</s:v>
      </s:c>
      <s:c r="M340" s="22">
        <s:f>'3'!F341</s:f>
        <s:v>46247.52841435185</s:v>
      </s:c>
      <s:c r="N340" s="22">
        <s:f>'4'!F341</s:f>
        <s:v>46247.482523148145</s:v>
      </s:c>
      <s:c r="O340" s="22">
        <s:f>'5'!F341</s:f>
        <s:v>46247.45417824074</s:v>
      </s:c>
      <s:c r="P340" s="22">
        <s:f>'6'!F341</s:f>
        <s:v>46247.43472222222</s:v>
      </s:c>
      <s:c r="Q340" s="22">
        <s:f>'7'!F341</s:f>
        <s:v>46247.41207175926</s:v>
      </s:c>
      <s:c r="R340" s="22">
        <s:f>'8'!F341</s:f>
        <s:v>46247.38788194444</s:v>
      </s:c>
      <s:c r="S340" s="22">
        <s:f>'9'!F341</s:f>
        <s:v>46247.37006944444</s:v>
      </s:c>
      <s:c r="T340" s="22">
        <s:f>'10'!F341</s:f>
        <s:v>46247.340844907405</s:v>
      </s:c>
      <s:c r="U340" s="23">
        <s:f>'자료구성'!$B$2</s:f>
        <s:v>46247.0</s:v>
      </s:c>
    </s:row>
    <s:row r="341">
      <s:c r="A341" s="0" t="n">
        <s:v>1968</s:v>
      </s:c>
      <s:c r="B341" s="0" t="n">
        <s:v>1702</s:v>
      </s:c>
      <s:c r="C341" s="0" t="n">
        <s:v>1922</s:v>
      </s:c>
      <s:c r="D341" s="0" t="n">
        <s:v>588</s:v>
      </s:c>
      <s:c r="E341" s="0" t="n">
        <s:v>1320</s:v>
      </s:c>
      <s:c r="F341" s="0" t="n">
        <s:v>4113</s:v>
      </s:c>
      <s:c r="G341" s="0" t="n">
        <s:v>4427</s:v>
      </s:c>
      <s:c r="H341" s="0" t="n">
        <s:v>5299</s:v>
      </s:c>
      <s:c r="I341" s="0" t="n">
        <s:v>1207</s:v>
      </s:c>
      <s:c r="J341" s="0" t="n">
        <s:v>1420</s:v>
      </s:c>
      <s:c r="K341" s="22">
        <s:f>'1'!F342</s:f>
        <s:v>46247.564097222225</s:v>
      </s:c>
      <s:c r="L341" s="22">
        <s:f>'2'!F342</s:f>
        <s:v>46247.54583333333</s:v>
      </s:c>
      <s:c r="M341" s="22">
        <s:f>'3'!F342</s:f>
        <s:v>46247.52842592593</s:v>
      </s:c>
      <s:c r="N341" s="22">
        <s:f>'4'!F342</s:f>
        <s:v>46247.48253472222</s:v>
      </s:c>
      <s:c r="O341" s="22">
        <s:f>'5'!F342</s:f>
        <s:v>46247.454189814816</s:v>
      </s:c>
      <s:c r="P341" s="22">
        <s:f>'6'!F342</s:f>
        <s:v>46247.4347337963</s:v>
      </s:c>
      <s:c r="Q341" s="22">
        <s:f>'7'!F342</s:f>
        <s:v>46247.412083333336</s:v>
      </s:c>
      <s:c r="R341" s="22">
        <s:f>'8'!F342</s:f>
        <s:v>46247.38789351852</s:v>
      </s:c>
      <s:c r="S341" s="22">
        <s:f>'9'!F342</s:f>
        <s:v>46247.37008101852</s:v>
      </s:c>
      <s:c r="T341" s="22">
        <s:f>'10'!F342</s:f>
        <s:v>46247.34085648148</s:v>
      </s:c>
      <s:c r="U341" s="23">
        <s:f>'자료구성'!$B$2</s:f>
        <s:v>46247.0</s:v>
      </s:c>
    </s:row>
    <s:row r="342">
      <s:c r="A342" s="0" t="n">
        <s:v>1920</s:v>
      </s:c>
      <s:c r="B342" s="0" t="n">
        <s:v>1685</s:v>
      </s:c>
      <s:c r="C342" s="0" t="n">
        <s:v>1873</s:v>
      </s:c>
      <s:c r="D342" s="0" t="n">
        <s:v>572</s:v>
      </s:c>
      <s:c r="E342" s="0" t="n">
        <s:v>1312</s:v>
      </s:c>
      <s:c r="F342" s="0" t="n">
        <s:v>4175</s:v>
      </s:c>
      <s:c r="G342" s="0" t="n">
        <s:v>4278</s:v>
      </s:c>
      <s:c r="H342" s="0" t="n">
        <s:v>5122</s:v>
      </s:c>
      <s:c r="I342" s="0" t="n">
        <s:v>1197</s:v>
      </s:c>
      <s:c r="J342" s="0" t="n">
        <s:v>1496</s:v>
      </s:c>
      <s:c r="K342" s="22">
        <s:f>'1'!F343</s:f>
        <s:v>46247.564108796294</s:v>
      </s:c>
      <s:c r="L342" s="22">
        <s:f>'2'!F343</s:f>
        <s:v>46247.54584490741</s:v>
      </s:c>
      <s:c r="M342" s="22">
        <s:f>'3'!F343</s:f>
        <s:v>46247.5284375</s:v>
      </s:c>
      <s:c r="N342" s="22">
        <s:f>'4'!F343</s:f>
        <s:v>46247.4825462963</s:v>
      </s:c>
      <s:c r="O342" s="22">
        <s:f>'5'!F343</s:f>
        <s:v>46247.454201388886</s:v>
      </s:c>
      <s:c r="P342" s="22">
        <s:f>'6'!F343</s:f>
        <s:v>46247.434745370374</s:v>
      </s:c>
      <s:c r="Q342" s="22">
        <s:f>'7'!F343</s:f>
        <s:v>46247.412094907406</s:v>
      </s:c>
      <s:c r="R342" s="22">
        <s:f>'8'!F343</s:f>
        <s:v>46247.38790509259</s:v>
      </s:c>
      <s:c r="S342" s="22">
        <s:f>'9'!F343</s:f>
        <s:v>46247.370092592595</s:v>
      </s:c>
      <s:c r="T342" s="22">
        <s:f>'10'!F343</s:f>
        <s:v>46247.34086805556</s:v>
      </s:c>
      <s:c r="U342" s="23">
        <s:f>'자료구성'!$B$2</s:f>
        <s:v>46247.0</s:v>
      </s:c>
    </s:row>
    <s:row r="343">
      <s:c r="A343" s="0" t="n">
        <s:v>1854</s:v>
      </s:c>
      <s:c r="B343" s="0" t="n">
        <s:v>1640</s:v>
      </s:c>
      <s:c r="C343" s="0" t="n">
        <s:v>1855</s:v>
      </s:c>
      <s:c r="D343" s="0" t="n">
        <s:v>586</s:v>
      </s:c>
      <s:c r="E343" s="0" t="n">
        <s:v>1300</s:v>
      </s:c>
      <s:c r="F343" s="0" t="n">
        <s:v>4189</s:v>
      </s:c>
      <s:c r="G343" s="0" t="n">
        <s:v>4107</s:v>
      </s:c>
      <s:c r="H343" s="0" t="n">
        <s:v>4940</s:v>
      </s:c>
      <s:c r="I343" s="0" t="n">
        <s:v>1218</s:v>
      </s:c>
      <s:c r="J343" s="0" t="n">
        <s:v>1553</s:v>
      </s:c>
      <s:c r="K343" s="22">
        <s:f>'1'!F344</s:f>
        <s:v>46247.56412037037</s:v>
      </s:c>
      <s:c r="L343" s="22">
        <s:f>'2'!F344</s:f>
        <s:v>46247.54585648148</s:v>
      </s:c>
      <s:c r="M343" s="22">
        <s:f>'3'!F344</s:f>
        <s:v>46247.528449074074</s:v>
      </s:c>
      <s:c r="N343" s="22">
        <s:f>'4'!F344</s:f>
        <s:v>46247.48255787037</s:v>
      </s:c>
      <s:c r="O343" s="22">
        <s:f>'5'!F344</s:f>
        <s:v>46247.45421296296</s:v>
      </s:c>
      <s:c r="P343" s="22">
        <s:f>'6'!F344</s:f>
        <s:v>46247.43475694444</s:v>
      </s:c>
      <s:c r="Q343" s="22">
        <s:f>'7'!F344</s:f>
        <s:v>46247.41210648148</s:v>
      </s:c>
      <s:c r="R343" s="22">
        <s:f>'8'!F344</s:f>
        <s:v>46247.38791666667</s:v>
      </s:c>
      <s:c r="S343" s="22">
        <s:f>'9'!F344</s:f>
        <s:v>46247.370104166665</s:v>
      </s:c>
      <s:c r="T343" s="22">
        <s:f>'10'!F344</s:f>
        <s:v>46247.34087962963</s:v>
      </s:c>
      <s:c r="U343" s="23">
        <s:f>'자료구성'!$B$2</s:f>
        <s:v>46247.0</s:v>
      </s:c>
    </s:row>
    <s:row r="344">
      <s:c r="A344" s="0" t="n">
        <s:v>1809</s:v>
      </s:c>
      <s:c r="B344" s="0" t="n">
        <s:v>1626</s:v>
      </s:c>
      <s:c r="C344" s="0" t="n">
        <s:v>1855</s:v>
      </s:c>
      <s:c r="D344" s="0" t="n">
        <s:v>586</s:v>
      </s:c>
      <s:c r="E344" s="0" t="n">
        <s:v>1295</s:v>
      </s:c>
      <s:c r="F344" s="0" t="n">
        <s:v>4214</s:v>
      </s:c>
      <s:c r="G344" s="0" t="n">
        <s:v>4038</s:v>
      </s:c>
      <s:c r="H344" s="0" t="n">
        <s:v>4940</s:v>
      </s:c>
      <s:c r="I344" s="0" t="n">
        <s:v>1227</s:v>
      </s:c>
      <s:c r="J344" s="0" t="n">
        <s:v>1607</s:v>
      </s:c>
      <s:c r="K344" s="22">
        <s:f>'1'!F345</s:f>
        <s:v>46247.56413194445</s:v>
      </s:c>
      <s:c r="L344" s="22">
        <s:f>'2'!F345</s:f>
        <s:v>46247.54586805555</s:v>
      </s:c>
      <s:c r="M344" s="22">
        <s:f>'3'!F345</s:f>
        <s:v>46247.52846064815</s:v>
      </s:c>
      <s:c r="N344" s="22">
        <s:f>'4'!F345</s:f>
        <s:v>46247.482569444444</s:v>
      </s:c>
      <s:c r="O344" s="22">
        <s:f>'5'!F345</s:f>
        <s:v>46247.45422453704</s:v>
      </s:c>
      <s:c r="P344" s="22">
        <s:f>'6'!F345</s:f>
        <s:v>46247.43476851852</s:v>
      </s:c>
      <s:c r="Q344" s="22">
        <s:f>'7'!F345</s:f>
        <s:v>46247.41211805555</s:v>
      </s:c>
      <s:c r="R344" s="22">
        <s:f>'8'!F345</s:f>
        <s:v>46247.38792824074</s:v>
      </s:c>
      <s:c r="S344" s="22">
        <s:f>'9'!F345</s:f>
        <s:v>46247.37011574074</s:v>
      </s:c>
      <s:c r="T344" s="22">
        <s:f>'10'!F345</s:f>
        <s:v>46247.340891203705</s:v>
      </s:c>
      <s:c r="U344" s="23">
        <s:f>'자료구성'!$B$2</s:f>
        <s:v>46247.0</s:v>
      </s:c>
    </s:row>
    <s:row r="345">
      <s:c r="A345" s="0" t="n">
        <s:v>1795</s:v>
      </s:c>
      <s:c r="B345" s="0" t="n">
        <s:v>1632</s:v>
      </s:c>
      <s:c r="C345" s="0" t="n">
        <s:v>1818</s:v>
      </s:c>
      <s:c r="D345" s="0" t="n">
        <s:v>568</s:v>
      </s:c>
      <s:c r="E345" s="0" t="n">
        <s:v>1305</s:v>
      </s:c>
      <s:c r="F345" s="0" t="n">
        <s:v>4191</s:v>
      </s:c>
      <s:c r="G345" s="0" t="n">
        <s:v>3907</s:v>
      </s:c>
      <s:c r="H345" s="0" t="n">
        <s:v>4770</s:v>
      </s:c>
      <s:c r="I345" s="0" t="n">
        <s:v>1244</s:v>
      </s:c>
      <s:c r="J345" s="0" t="n">
        <s:v>1636</s:v>
      </s:c>
      <s:c r="K345" s="22">
        <s:f>'1'!F346</s:f>
        <s:v>46247.56414351852</s:v>
      </s:c>
      <s:c r="L345" s="22">
        <s:f>'2'!F346</s:f>
        <s:v>46247.54587962963</s:v>
      </s:c>
      <s:c r="M345" s="22">
        <s:f>'3'!F346</s:f>
        <s:v>46247.52847222222</s:v>
      </s:c>
      <s:c r="N345" s="22">
        <s:f>'4'!F346</s:f>
        <s:v>46247.48258101852</s:v>
      </s:c>
      <s:c r="O345" s="22">
        <s:f>'5'!F346</s:f>
        <s:v>46247.45423611111</s:v>
      </s:c>
      <s:c r="P345" s="22">
        <s:f>'6'!F346</s:f>
        <s:v>46247.43478009259</s:v>
      </s:c>
      <s:c r="Q345" s="22">
        <s:f>'7'!F346</s:f>
        <s:v>46247.41212962963</s:v>
      </s:c>
      <s:c r="R345" s="22">
        <s:f>'8'!F346</s:f>
        <s:v>46247.38793981481</s:v>
      </s:c>
      <s:c r="S345" s="22">
        <s:f>'9'!F346</s:f>
        <s:v>46247.37012731482</s:v>
      </s:c>
      <s:c r="T345" s="22">
        <s:f>'10'!F346</s:f>
        <s:v>46247.340902777774</s:v>
      </s:c>
      <s:c r="U345" s="23">
        <s:f>'자료구성'!$B$2</s:f>
        <s:v>46247.0</s:v>
      </s:c>
    </s:row>
    <s:row r="346">
      <s:c r="A346" s="0" t="n">
        <s:v>1788</s:v>
      </s:c>
      <s:c r="B346" s="0" t="n">
        <s:v>1645</s:v>
      </s:c>
      <s:c r="C346" s="0" t="n">
        <s:v>1788</s:v>
      </s:c>
      <s:c r="D346" s="0" t="n">
        <s:v>559</s:v>
      </s:c>
      <s:c r="E346" s="0" t="n">
        <s:v>1357</s:v>
      </s:c>
      <s:c r="F346" s="0" t="n">
        <s:v>4078</s:v>
      </s:c>
      <s:c r="G346" s="0" t="n">
        <s:v>3808</s:v>
      </s:c>
      <s:c r="H346" s="0" t="n">
        <s:v>4636</s:v>
      </s:c>
      <s:c r="I346" s="0" t="n">
        <s:v>1229</s:v>
      </s:c>
      <s:c r="J346" s="0" t="n">
        <s:v>1624</s:v>
      </s:c>
      <s:c r="K346" s="22">
        <s:f>'1'!F347</s:f>
        <s:v>46247.564155092594</s:v>
      </s:c>
      <s:c r="L346" s="22">
        <s:f>'2'!F347</s:f>
        <s:v>46247.54589120371</s:v>
      </s:c>
      <s:c r="M346" s="22">
        <s:f>'3'!F347</s:f>
        <s:v>46247.5284837963</s:v>
      </s:c>
      <s:c r="N346" s="22">
        <s:f>'4'!F347</s:f>
        <s:v>46247.48259259259</s:v>
      </s:c>
      <s:c r="O346" s="22">
        <s:f>'5'!F347</s:f>
        <s:v>46247.454247685186</s:v>
      </s:c>
      <s:c r="P346" s="22">
        <s:f>'6'!F347</s:f>
        <s:v>46247.43479166667</s:v>
      </s:c>
      <s:c r="Q346" s="22">
        <s:f>'7'!F347</s:f>
        <s:v>46247.412141203706</s:v>
      </s:c>
      <s:c r="R346" s="22">
        <s:f>'8'!F347</s:f>
        <s:v>46247.38795138889</s:v>
      </s:c>
      <s:c r="S346" s="22">
        <s:f>'9'!F347</s:f>
        <s:v>46247.37013888889</s:v>
      </s:c>
      <s:c r="T346" s="22">
        <s:f>'10'!F347</s:f>
        <s:v>46247.34091435185</s:v>
      </s:c>
      <s:c r="U346" s="23">
        <s:f>'자료구성'!$B$2</s:f>
        <s:v>46247.0</s:v>
      </s:c>
    </s:row>
    <s:row r="347">
      <s:c r="A347" s="0" t="n">
        <s:v>1780</s:v>
      </s:c>
      <s:c r="B347" s="0" t="n">
        <s:v>1616</s:v>
      </s:c>
      <s:c r="C347" s="0" t="n">
        <s:v>1783</s:v>
      </s:c>
      <s:c r="D347" s="0" t="n">
        <s:v>555</s:v>
      </s:c>
      <s:c r="E347" s="0" t="n">
        <s:v>1444</s:v>
      </s:c>
      <s:c r="F347" s="0" t="n">
        <s:v>3934</s:v>
      </s:c>
      <s:c r="G347" s="0" t="n">
        <s:v>3755</s:v>
      </s:c>
      <s:c r="H347" s="0" t="n">
        <s:v>4564</s:v>
      </s:c>
      <s:c r="I347" s="0" t="n">
        <s:v>1216</s:v>
      </s:c>
      <s:c r="J347" s="0" t="n">
        <s:v>1627</s:v>
      </s:c>
      <s:c r="K347" s="22">
        <s:f>'1'!F348</s:f>
        <s:v>46247.56416666666</s:v>
      </s:c>
      <s:c r="L347" s="22">
        <s:f>'2'!F348</s:f>
        <s:v>46247.545902777776</s:v>
      </s:c>
      <s:c r="M347" s="22">
        <s:f>'3'!F348</s:f>
        <s:v>46247.528495370374</s:v>
      </s:c>
      <s:c r="N347" s="22">
        <s:f>'4'!F348</s:f>
        <s:v>46247.48260416667</s:v>
      </s:c>
      <s:c r="O347" s="22">
        <s:f>'5'!F348</s:f>
        <s:v>46247.45425925926</s:v>
      </s:c>
      <s:c r="P347" s="22">
        <s:f>'6'!F348</s:f>
        <s:v>46247.43480324074</s:v>
      </s:c>
      <s:c r="Q347" s="22">
        <s:f>'7'!F348</s:f>
        <s:v>46247.412152777775</s:v>
      </s:c>
      <s:c r="R347" s="22">
        <s:f>'8'!F348</s:f>
        <s:v>46247.38796296297</s:v>
      </s:c>
      <s:c r="S347" s="22">
        <s:f>'9'!F348</s:f>
        <s:v>46247.370150462964</s:v>
      </s:c>
      <s:c r="T347" s="22">
        <s:f>'10'!F348</s:f>
        <s:v>46247.34092592593</s:v>
      </s:c>
      <s:c r="U347" s="23">
        <s:f>'자료구성'!$B$2</s:f>
        <s:v>46247.0</s:v>
      </s:c>
    </s:row>
    <s:row r="348">
      <s:c r="A348" s="0" t="n">
        <s:v>1796</s:v>
      </s:c>
      <s:c r="B348" s="0" t="n">
        <s:v>1620</s:v>
      </s:c>
      <s:c r="C348" s="0" t="n">
        <s:v>1813</s:v>
      </s:c>
      <s:c r="D348" s="0" t="n">
        <s:v>562</s:v>
      </s:c>
      <s:c r="E348" s="0" t="n">
        <s:v>1446</s:v>
      </s:c>
      <s:c r="F348" s="0" t="n">
        <s:v>3776</s:v>
      </s:c>
      <s:c r="G348" s="0" t="n">
        <s:v>3662</s:v>
      </s:c>
      <s:c r="H348" s="0" t="n">
        <s:v>4600</s:v>
      </s:c>
      <s:c r="I348" s="0" t="n">
        <s:v>1204</s:v>
      </s:c>
      <s:c r="J348" s="0" t="n">
        <s:v>1627</s:v>
      </s:c>
      <s:c r="K348" s="22">
        <s:f>'1'!F349</s:f>
        <s:v>46247.56417824074</s:v>
      </s:c>
      <s:c r="L348" s="22">
        <s:f>'2'!F349</s:f>
        <s:v>46247.54591435185</s:v>
      </s:c>
      <s:c r="M348" s="22">
        <s:f>'3'!F349</s:f>
        <s:v>46247.52850694444</s:v>
      </s:c>
      <s:c r="N348" s="22">
        <s:f>'4'!F349</s:f>
        <s:v>46247.482615740744</s:v>
      </s:c>
      <s:c r="O348" s="22">
        <s:f>'5'!F349</s:f>
        <s:v>46247.45427083333</s:v>
      </s:c>
      <s:c r="P348" s="22">
        <s:f>'6'!F349</s:f>
        <s:v>46247.43481481481</s:v>
      </s:c>
      <s:c r="Q348" s="22">
        <s:f>'7'!F349</s:f>
        <s:v>46247.41216435185</s:v>
      </s:c>
      <s:c r="R348" s="22">
        <s:f>'8'!F349</s:f>
        <s:v>46247.387974537036</s:v>
      </s:c>
      <s:c r="S348" s="22">
        <s:f>'9'!F349</s:f>
        <s:v>46247.370162037034</s:v>
      </s:c>
      <s:c r="T348" s="22">
        <s:f>'10'!F349</s:f>
        <s:v>46247.3409375</s:v>
      </s:c>
      <s:c r="U348" s="23">
        <s:f>'자료구성'!$B$2</s:f>
        <s:v>46247.0</s:v>
      </s:c>
    </s:row>
    <s:row r="349">
      <s:c r="A349" s="0" t="n">
        <s:v>1858</s:v>
      </s:c>
      <s:c r="B349" s="0" t="n">
        <s:v>1611</s:v>
      </s:c>
      <s:c r="C349" s="0" t="n">
        <s:v>1804</s:v>
      </s:c>
      <s:c r="D349" s="0" t="n">
        <s:v>519</s:v>
      </s:c>
      <s:c r="E349" s="0" t="n">
        <s:v>1441</s:v>
      </s:c>
      <s:c r="F349" s="0" t="n">
        <s:v>3662</s:v>
      </s:c>
      <s:c r="G349" s="0" t="n">
        <s:v>3570</s:v>
      </s:c>
      <s:c r="H349" s="0" t="n">
        <s:v>4610</s:v>
      </s:c>
      <s:c r="I349" s="0" t="n">
        <s:v>1193</s:v>
      </s:c>
      <s:c r="J349" s="0" t="n">
        <s:v>1638</s:v>
      </s:c>
      <s:c r="K349" s="22">
        <s:f>'1'!F350</s:f>
        <s:v>46247.56418981482</s:v>
      </s:c>
      <s:c r="L349" s="22">
        <s:f>'2'!F350</s:f>
        <s:v>46247.54592592592</s:v>
      </s:c>
      <s:c r="M349" s="22">
        <s:f>'3'!F350</s:f>
        <s:v>46247.52851851852</s:v>
      </s:c>
      <s:c r="N349" s="22">
        <s:f>'4'!F350</s:f>
        <s:v>46247.482627314814</s:v>
      </s:c>
      <s:c r="O349" s="22">
        <s:f>'5'!F350</s:f>
        <s:v>46247.45428240741</s:v>
      </s:c>
      <s:c r="P349" s="22">
        <s:f>'6'!F350</s:f>
        <s:v>46247.43482638889</s:v>
      </s:c>
      <s:c r="Q349" s="22">
        <s:f>'7'!F350</s:f>
        <s:v>46247.41217592593</s:v>
      </s:c>
      <s:c r="R349" s="22">
        <s:f>'8'!F350</s:f>
        <s:v>46247.38798611111</s:v>
      </s:c>
      <s:c r="S349" s="22">
        <s:f>'9'!F350</s:f>
        <s:v>46247.37017361111</s:v>
      </s:c>
      <s:c r="T349" s="22">
        <s:f>'10'!F350</s:f>
        <s:v>46247.340949074074</s:v>
      </s:c>
      <s:c r="U349" s="23">
        <s:f>'자료구성'!$B$2</s:f>
        <s:v>46247.0</s:v>
      </s:c>
    </s:row>
    <s:row r="350">
      <s:c r="A350" s="0" t="n">
        <s:v>1899</s:v>
      </s:c>
      <s:c r="B350" s="0" t="n">
        <s:v>1613</s:v>
      </s:c>
      <s:c r="C350" s="0" t="n">
        <s:v>1804</s:v>
      </s:c>
      <s:c r="D350" s="0" t="n">
        <s:v>562</s:v>
      </s:c>
      <s:c r="E350" s="0" t="n">
        <s:v>1460</s:v>
      </s:c>
      <s:c r="F350" s="0" t="n">
        <s:v>3571</s:v>
      </s:c>
      <s:c r="G350" s="0" t="n">
        <s:v>3554</s:v>
      </s:c>
      <s:c r="H350" s="0" t="n">
        <s:v>4560</s:v>
      </s:c>
      <s:c r="I350" s="0" t="n">
        <s:v>1249</s:v>
      </s:c>
      <s:c r="J350" s="0" t="n">
        <s:v>1664</s:v>
      </s:c>
      <s:c r="K350" s="22">
        <s:f>'1'!F351</s:f>
        <s:v>46247.56420138889</s:v>
      </s:c>
      <s:c r="L350" s="22">
        <s:f>'2'!F351</s:f>
        <s:v>46247.5459375</s:v>
      </s:c>
      <s:c r="M350" s="22">
        <s:f>'3'!F351</s:f>
        <s:v>46247.52853009259</s:v>
      </s:c>
      <s:c r="N350" s="22">
        <s:f>'4'!F351</s:f>
        <s:v>46247.48263888889</s:v>
      </s:c>
      <s:c r="O350" s="22">
        <s:f>'5'!F351</s:f>
        <s:v>46247.45429398148</s:v>
      </s:c>
      <s:c r="P350" s="22">
        <s:f>'6'!F351</s:f>
        <s:v>46247.43483796297</s:v>
      </s:c>
      <s:c r="Q350" s="22">
        <s:f>'7'!F351</s:f>
        <s:v>46247.4121875</s:v>
      </s:c>
      <s:c r="R350" s="22">
        <s:f>'8'!F351</s:f>
        <s:v>46247.38799768518</s:v>
      </s:c>
      <s:c r="S350" s="22">
        <s:f>'9'!F351</s:f>
        <s:v>46247.37018518519</s:v>
      </s:c>
      <s:c r="T350" s="22">
        <s:f>'10'!F351</s:f>
        <s:v>46247.34096064815</s:v>
      </s:c>
      <s:c r="U350" s="23">
        <s:f>'자료구성'!$B$2</s:f>
        <s:v>46247.0</s:v>
      </s:c>
    </s:row>
    <s:row r="351">
      <s:c r="A351" s="0" t="n">
        <s:v>1903</s:v>
      </s:c>
      <s:c r="B351" s="0" t="n">
        <s:v>1617</s:v>
      </s:c>
      <s:c r="C351" s="0" t="n">
        <s:v>1797</s:v>
      </s:c>
      <s:c r="D351" s="0" t="n">
        <s:v>650</s:v>
      </s:c>
      <s:c r="E351" s="0" t="n">
        <s:v>1471</s:v>
      </s:c>
      <s:c r="F351" s="0" t="n">
        <s:v>3492</s:v>
      </s:c>
      <s:c r="G351" s="0" t="n">
        <s:v>3540</s:v>
      </s:c>
      <s:c r="H351" s="0" t="n">
        <s:v>4482</s:v>
      </s:c>
      <s:c r="I351" s="0" t="n">
        <s:v>1261</s:v>
      </s:c>
      <s:c r="J351" s="0" t="n">
        <s:v>1666</s:v>
      </s:c>
      <s:c r="K351" s="22">
        <s:f>'1'!F352</s:f>
        <s:v>46247.56421296296</s:v>
      </s:c>
      <s:c r="L351" s="22">
        <s:f>'2'!F352</s:f>
        <s:v>46247.545949074076</s:v>
      </s:c>
      <s:c r="M351" s="22">
        <s:f>'3'!F352</s:f>
        <s:v>46247.52854166667</s:v>
      </s:c>
      <s:c r="N351" s="22">
        <s:f>'4'!F352</s:f>
        <s:v>46247.48265046296</s:v>
      </s:c>
      <s:c r="O351" s="22">
        <s:f>'5'!F352</s:f>
        <s:v>46247.454305555555</s:v>
      </s:c>
      <s:c r="P351" s="22">
        <s:f>'6'!F352</s:f>
        <s:v>46247.434849537036</s:v>
      </s:c>
      <s:c r="Q351" s="22">
        <s:f>'7'!F352</s:f>
        <s:v>46247.412199074075</s:v>
      </s:c>
      <s:c r="R351" s="22">
        <s:f>'8'!F352</s:f>
        <s:v>46247.38800925926</s:v>
      </s:c>
      <s:c r="S351" s="22">
        <s:f>'9'!F352</s:f>
        <s:v>46247.37019675926</s:v>
      </s:c>
      <s:c r="T351" s="22">
        <s:f>'10'!F352</s:f>
        <s:v>46247.34097222222</s:v>
      </s:c>
      <s:c r="U351" s="23">
        <s:f>'자료구성'!$B$2</s:f>
        <s:v>46247.0</s:v>
      </s:c>
    </s:row>
    <s:row r="352">
      <s:c r="A352" s="0" t="n">
        <s:v>1885</s:v>
      </s:c>
      <s:c r="B352" s="0" t="n">
        <s:v>1633</s:v>
      </s:c>
      <s:c r="C352" s="0" t="n">
        <s:v>1794</s:v>
      </s:c>
      <s:c r="D352" s="0" t="n">
        <s:v>723</s:v>
      </s:c>
      <s:c r="E352" s="0" t="n">
        <s:v>1487</s:v>
      </s:c>
      <s:c r="F352" s="0" t="n">
        <s:v>3447</s:v>
      </s:c>
      <s:c r="G352" s="0" t="n">
        <s:v>3524</s:v>
      </s:c>
      <s:c r="H352" s="0" t="n">
        <s:v>4442</s:v>
      </s:c>
      <s:c r="I352" s="0" t="n">
        <s:v>1249</s:v>
      </s:c>
      <s:c r="J352" s="0" t="n">
        <s:v>1675</s:v>
      </s:c>
      <s:c r="K352" s="22">
        <s:f>'1'!F353</s:f>
        <s:v>46247.56422453704</s:v>
      </s:c>
      <s:c r="L352" s="22">
        <s:f>'2'!F353</s:f>
        <s:v>46247.545960648145</s:v>
      </s:c>
      <s:c r="M352" s="22">
        <s:f>'3'!F353</s:f>
        <s:v>46247.52855324074</s:v>
      </s:c>
      <s:c r="N352" s="22">
        <s:f>'4'!F353</s:f>
        <s:v>46247.48266203704</s:v>
      </s:c>
      <s:c r="O352" s="22">
        <s:f>'5'!F353</s:f>
        <s:v>46247.45431712963</s:v>
      </s:c>
      <s:c r="P352" s="22">
        <s:f>'6'!F353</s:f>
        <s:v>46247.43486111111</s:v>
      </s:c>
      <s:c r="Q352" s="22">
        <s:f>'7'!F353</s:f>
        <s:v>46247.412210648145</s:v>
      </s:c>
      <s:c r="R352" s="22">
        <s:f>'8'!F353</s:f>
        <s:v>46247.388020833336</s:v>
      </s:c>
      <s:c r="S352" s="22">
        <s:f>'9'!F353</s:f>
        <s:v>46247.370208333334</s:v>
      </s:c>
      <s:c r="T352" s="22">
        <s:f>'10'!F353</s:f>
        <s:v>46247.3409837963</s:v>
      </s:c>
      <s:c r="U352" s="23">
        <s:f>'자료구성'!$B$2</s:f>
        <s:v>46247.0</s:v>
      </s:c>
    </s:row>
    <s:row r="353">
      <s:c r="A353" s="0" t="n">
        <s:v>1881</s:v>
      </s:c>
      <s:c r="B353" s="0" t="n">
        <s:v>1631</s:v>
      </s:c>
      <s:c r="C353" s="0" t="n">
        <s:v>1797</s:v>
      </s:c>
      <s:c r="D353" s="0" t="n">
        <s:v>788</s:v>
      </s:c>
      <s:c r="E353" s="0" t="n">
        <s:v>1487</s:v>
      </s:c>
      <s:c r="F353" s="0" t="n">
        <s:v>3419</s:v>
      </s:c>
      <s:c r="G353" s="0" t="n">
        <s:v>3479</s:v>
      </s:c>
      <s:c r="H353" s="0" t="n">
        <s:v>4402</s:v>
      </s:c>
      <s:c r="I353" s="0" t="n">
        <s:v>1273</s:v>
      </s:c>
      <s:c r="J353" s="0" t="n">
        <s:v>1669</s:v>
      </s:c>
      <s:c r="K353" s="22">
        <s:f>'1'!F354</s:f>
        <s:v>46247.56423611111</s:v>
      </s:c>
      <s:c r="L353" s="22">
        <s:f>'2'!F354</s:f>
        <s:v>46247.54597222222</s:v>
      </s:c>
      <s:c r="M353" s="22">
        <s:f>'3'!F354</s:f>
        <s:v>46247.52856481481</s:v>
      </s:c>
      <s:c r="N353" s="22">
        <s:f>'4'!F354</s:f>
        <s:v>46247.48267361111</s:v>
      </s:c>
      <s:c r="O353" s="22">
        <s:f>'5'!F354</s:f>
        <s:v>46247.4543287037</s:v>
      </s:c>
      <s:c r="P353" s="22">
        <s:f>'6'!F354</s:f>
        <s:v>46247.43487268518</s:v>
      </s:c>
      <s:c r="Q353" s="22">
        <s:f>'7'!F354</s:f>
        <s:v>46247.41222222222</s:v>
      </s:c>
      <s:c r="R353" s="22">
        <s:f>'8'!F354</s:f>
        <s:v>46247.388032407405</s:v>
      </s:c>
      <s:c r="S353" s="22">
        <s:f>'9'!F354</s:f>
        <s:v>46247.37021990741</s:v>
      </s:c>
      <s:c r="T353" s="22">
        <s:f>'10'!F354</s:f>
        <s:v>46247.340995370374</s:v>
      </s:c>
      <s:c r="U353" s="23">
        <s:f>'자료구성'!$B$2</s:f>
        <s:v>46247.0</s:v>
      </s:c>
    </s:row>
    <s:row r="354">
      <s:c r="A354" s="0" t="n">
        <s:v>1867</s:v>
      </s:c>
      <s:c r="B354" s="0" t="n">
        <s:v>1633</s:v>
      </s:c>
      <s:c r="C354" s="0" t="n">
        <s:v>1809</s:v>
      </s:c>
      <s:c r="D354" s="0" t="n">
        <s:v>828</s:v>
      </s:c>
      <s:c r="E354" s="0" t="n">
        <s:v>1495</s:v>
      </s:c>
      <s:c r="F354" s="0" t="n">
        <s:v>3390</s:v>
      </s:c>
      <s:c r="G354" s="0" t="n">
        <s:v>3481</s:v>
      </s:c>
      <s:c r="H354" s="0" t="n">
        <s:v>4376</s:v>
      </s:c>
      <s:c r="I354" s="0" t="n">
        <s:v>1291</s:v>
      </s:c>
      <s:c r="J354" s="0" t="n">
        <s:v>1661</s:v>
      </s:c>
      <s:c r="K354" s="22">
        <s:f>'1'!F355</s:f>
        <s:v>46247.564247685186</s:v>
      </s:c>
      <s:c r="L354" s="22">
        <s:f>'2'!F355</s:f>
        <s:v>46247.5459837963</s:v>
      </s:c>
      <s:c r="M354" s="22">
        <s:f>'3'!F355</s:f>
        <s:v>46247.52857638889</s:v>
      </s:c>
      <s:c r="N354" s="22">
        <s:f>'4'!F355</s:f>
        <s:v>46247.48268518518</s:v>
      </s:c>
      <s:c r="O354" s="22">
        <s:f>'5'!F355</s:f>
        <s:v>46247.45434027778</s:v>
      </s:c>
      <s:c r="P354" s="22">
        <s:f>'6'!F355</s:f>
        <s:v>46247.43488425926</s:v>
      </s:c>
      <s:c r="Q354" s="22">
        <s:f>'7'!F355</s:f>
        <s:v>46247.4122337963</s:v>
      </s:c>
      <s:c r="R354" s="22">
        <s:f>'8'!F355</s:f>
        <s:v>46247.38804398148</s:v>
      </s:c>
      <s:c r="S354" s="22">
        <s:f>'9'!F355</s:f>
        <s:v>46247.37023148148</s:v>
      </s:c>
      <s:c r="T354" s="22">
        <s:f>'10'!F355</s:f>
        <s:v>46247.34100694444</s:v>
      </s:c>
      <s:c r="U354" s="23">
        <s:f>'자료구성'!$B$2</s:f>
        <s:v>46247.0</s:v>
      </s:c>
    </s:row>
    <s:row r="355">
      <s:c r="A355" s="0" t="n">
        <s:v>1858</s:v>
      </s:c>
      <s:c r="B355" s="0" t="n">
        <s:v>1628</s:v>
      </s:c>
      <s:c r="C355" s="0" t="n">
        <s:v>1813</s:v>
      </s:c>
      <s:c r="D355" s="0" t="n">
        <s:v>865</s:v>
      </s:c>
      <s:c r="E355" s="0" t="n">
        <s:v>1506</s:v>
      </s:c>
      <s:c r="F355" s="0" t="n">
        <s:v>3388</s:v>
      </s:c>
      <s:c r="G355" s="0" t="n">
        <s:v>3761</s:v>
      </s:c>
      <s:c r="H355" s="0" t="n">
        <s:v>4370</s:v>
      </s:c>
      <s:c r="I355" s="0" t="n">
        <s:v>1300</s:v>
      </s:c>
      <s:c r="J355" s="0" t="n">
        <s:v>1658</s:v>
      </s:c>
      <s:c r="K355" s="22">
        <s:f>'1'!F356</s:f>
        <s:v>46247.564259259256</s:v>
      </s:c>
      <s:c r="L355" s="22">
        <s:f>'2'!F356</s:f>
        <s:v>46247.54599537037</s:v>
      </s:c>
      <s:c r="M355" s="22">
        <s:f>'3'!F356</s:f>
        <s:v>46247.52858796297</s:v>
      </s:c>
      <s:c r="N355" s="22">
        <s:f>'4'!F356</s:f>
        <s:v>46247.48269675926</s:v>
      </s:c>
      <s:c r="O355" s="22">
        <s:f>'5'!F356</s:f>
        <s:v>46247.454351851855</s:v>
      </s:c>
      <s:c r="P355" s="22">
        <s:f>'6'!F356</s:f>
        <s:v>46247.434895833336</s:v>
      </s:c>
      <s:c r="Q355" s="22">
        <s:f>'7'!F356</s:f>
        <s:v>46247.41224537037</s:v>
      </s:c>
      <s:c r="R355" s="22">
        <s:f>'8'!F356</s:f>
        <s:v>46247.38805555556</s:v>
      </s:c>
      <s:c r="S355" s="22">
        <s:f>'9'!F356</s:f>
        <s:v>46247.37024305556</s:v>
      </s:c>
      <s:c r="T355" s="22">
        <s:f>'10'!F356</s:f>
        <s:v>46247.34101851852</s:v>
      </s:c>
      <s:c r="U355" s="23">
        <s:f>'자료구성'!$B$2</s:f>
        <s:v>46247.0</s:v>
      </s:c>
    </s:row>
    <s:row r="356">
      <s:c r="A356" s="0" t="n">
        <s:v>1817</s:v>
      </s:c>
      <s:c r="B356" s="0" t="n">
        <s:v>1599</s:v>
      </s:c>
      <s:c r="C356" s="0" t="n">
        <s:v>1792</s:v>
      </s:c>
      <s:c r="D356" s="0" t="n">
        <s:v>833</s:v>
      </s:c>
      <s:c r="E356" s="0" t="n">
        <s:v>1493</s:v>
      </s:c>
      <s:c r="F356" s="0" t="n">
        <s:v>3326</s:v>
      </s:c>
      <s:c r="G356" s="0" t="n">
        <s:v>4105</s:v>
      </s:c>
      <s:c r="H356" s="0" t="n">
        <s:v>4367</s:v>
      </s:c>
      <s:c r="I356" s="0" t="n">
        <s:v>1335</s:v>
      </s:c>
      <s:c r="J356" s="0" t="n">
        <s:v>1633</s:v>
      </s:c>
      <s:c r="K356" s="22">
        <s:f>'1'!F357</s:f>
        <s:v>46247.56427083333</s:v>
      </s:c>
      <s:c r="L356" s="22">
        <s:f>'2'!F357</s:f>
        <s:v>46247.546006944445</s:v>
      </s:c>
      <s:c r="M356" s="22">
        <s:f>'3'!F357</s:f>
        <s:v>46247.528599537036</s:v>
      </s:c>
      <s:c r="N356" s="22">
        <s:f>'4'!F357</s:f>
        <s:v>46247.48270833334</s:v>
      </s:c>
      <s:c r="O356" s="22">
        <s:f>'5'!F357</s:f>
        <s:v>46247.454363425924</s:v>
      </s:c>
      <s:c r="P356" s="22">
        <s:f>'6'!F357</s:f>
        <s:v>46247.434907407405</s:v>
      </s:c>
      <s:c r="Q356" s="22">
        <s:f>'7'!F357</s:f>
        <s:v>46247.412256944444</s:v>
      </s:c>
      <s:c r="R356" s="22">
        <s:f>'8'!F357</s:f>
        <s:v>46247.38806712963</s:v>
      </s:c>
      <s:c r="S356" s="22">
        <s:f>'9'!F357</s:f>
        <s:v>46247.370254629626</s:v>
      </s:c>
      <s:c r="T356" s="22">
        <s:f>'10'!F357</s:f>
        <s:v>46247.34103009259</s:v>
      </s:c>
      <s:c r="U356" s="23">
        <s:f>'자료구성'!$B$2</s:f>
        <s:v>46247.0</s:v>
      </s:c>
    </s:row>
    <s:row r="357">
      <s:c r="A357" s="0" t="n">
        <s:v>1801</s:v>
      </s:c>
      <s:c r="B357" s="0" t="n">
        <s:v>1590</s:v>
      </s:c>
      <s:c r="C357" s="0" t="n">
        <s:v>1782</s:v>
      </s:c>
      <s:c r="D357" s="0" t="n">
        <s:v>797</s:v>
      </s:c>
      <s:c r="E357" s="0" t="n">
        <s:v>1491</s:v>
      </s:c>
      <s:c r="F357" s="0" t="n">
        <s:v>3244</s:v>
      </s:c>
      <s:c r="G357" s="0" t="n">
        <s:v>4462</s:v>
      </s:c>
      <s:c r="H357" s="0" t="n">
        <s:v>4399</s:v>
      </s:c>
      <s:c r="I357" s="0" t="n">
        <s:v>1362</s:v>
      </s:c>
      <s:c r="J357" s="0" t="n">
        <s:v>1614</s:v>
      </s:c>
      <s:c r="K357" s="22">
        <s:f>'1'!F358</s:f>
        <s:v>46247.56428240741</s:v>
      </s:c>
      <s:c r="L357" s="22">
        <s:f>'2'!F358</s:f>
        <s:v>46247.54601851852</s:v>
      </s:c>
      <s:c r="M357" s="22">
        <s:f>'3'!F358</s:f>
        <s:v>46247.52861111111</s:v>
      </s:c>
      <s:c r="N357" s="22">
        <s:f>'4'!F358</s:f>
        <s:v>46247.482719907406</s:v>
      </s:c>
      <s:c r="O357" s="22">
        <s:f>'5'!F358</s:f>
        <s:v>46247.454375</s:v>
      </s:c>
      <s:c r="P357" s="22">
        <s:f>'6'!F358</s:f>
        <s:v>46247.43491898148</s:v>
      </s:c>
      <s:c r="Q357" s="22">
        <s:f>'7'!F358</s:f>
        <s:v>46247.41226851852</s:v>
      </s:c>
      <s:c r="R357" s="22">
        <s:f>'8'!F358</s:f>
        <s:v>46247.388078703705</s:v>
      </s:c>
      <s:c r="S357" s="22">
        <s:f>'9'!F358</s:f>
        <s:v>46247.3702662037</s:v>
      </s:c>
      <s:c r="T357" s="22">
        <s:f>'10'!F358</s:f>
        <s:v>46247.34104166667</s:v>
      </s:c>
      <s:c r="U357" s="23">
        <s:f>'자료구성'!$B$2</s:f>
        <s:v>46247.0</s:v>
      </s:c>
    </s:row>
    <s:row r="358">
      <s:c r="A358" s="0" t="n">
        <s:v>1777</s:v>
      </s:c>
      <s:c r="B358" s="0" t="n">
        <s:v>1580</s:v>
      </s:c>
      <s:c r="C358" s="0" t="n">
        <s:v>1752</s:v>
      </s:c>
      <s:c r="D358" s="0" t="n">
        <s:v>783</s:v>
      </s:c>
      <s:c r="E358" s="0" t="n">
        <s:v>1488</s:v>
      </s:c>
      <s:c r="F358" s="0" t="n">
        <s:v>3232</s:v>
      </s:c>
      <s:c r="G358" s="0" t="n">
        <s:v>4630</s:v>
      </s:c>
      <s:c r="H358" s="0" t="n">
        <s:v>4412</s:v>
      </s:c>
      <s:c r="I358" s="0" t="n">
        <s:v>1391</s:v>
      </s:c>
      <s:c r="J358" s="0" t="n">
        <s:v>1596</s:v>
      </s:c>
      <s:c r="K358" s="22">
        <s:f>'1'!F359</s:f>
        <s:v>46247.56429398148</s:v>
      </s:c>
      <s:c r="L358" s="22">
        <s:f>'2'!F359</s:f>
        <s:v>46247.54603009259</s:v>
      </s:c>
      <s:c r="M358" s="22">
        <s:f>'3'!F359</s:f>
        <s:v>46247.52862268518</s:v>
      </s:c>
      <s:c r="N358" s="22">
        <s:f>'4'!F359</s:f>
        <s:v>46247.48273148148</s:v>
      </s:c>
      <s:c r="O358" s="22">
        <s:f>'5'!F359</s:f>
        <s:v>46247.45438657407</s:v>
      </s:c>
      <s:c r="P358" s="22">
        <s:f>'6'!F359</s:f>
        <s:v>46247.43493055556</s:v>
      </s:c>
      <s:c r="Q358" s="22">
        <s:f>'7'!F359</s:f>
        <s:v>46247.41228009259</s:v>
      </s:c>
      <s:c r="R358" s="22">
        <s:f>'8'!F359</s:f>
        <s:v>46247.388090277775</s:v>
      </s:c>
      <s:c r="S358" s="22">
        <s:f>'9'!F359</s:f>
        <s:v>46247.37027777778</s:v>
      </s:c>
      <s:c r="T358" s="22">
        <s:f>'10'!F359</s:f>
        <s:v>46247.34105324074</s:v>
      </s:c>
      <s:c r="U358" s="23">
        <s:f>'자료구성'!$B$2</s:f>
        <s:v>46247.0</s:v>
      </s:c>
    </s:row>
    <s:row r="359">
      <s:c r="A359" s="0" t="n">
        <s:v>1786</s:v>
      </s:c>
      <s:c r="B359" s="0" t="n">
        <s:v>1558</s:v>
      </s:c>
      <s:c r="C359" s="0" t="n">
        <s:v>1714</s:v>
      </s:c>
      <s:c r="D359" s="0" t="n">
        <s:v>763</s:v>
      </s:c>
      <s:c r="E359" s="0" t="n">
        <s:v>1477</s:v>
      </s:c>
      <s:c r="F359" s="0" t="n">
        <s:v>3201</s:v>
      </s:c>
      <s:c r="G359" s="0" t="n">
        <s:v>4742</s:v>
      </s:c>
      <s:c r="H359" s="0" t="n">
        <s:v>4471</s:v>
      </s:c>
      <s:c r="I359" s="0" t="n">
        <s:v>1407</s:v>
      </s:c>
      <s:c r="J359" s="0" t="n">
        <s:v>1608</s:v>
      </s:c>
      <s:c r="K359" s="22">
        <s:f>'1'!F360</s:f>
        <s:v>46247.564305555556</s:v>
      </s:c>
      <s:c r="L359" s="22">
        <s:f>'2'!F360</s:f>
        <s:v>46247.54604166667</s:v>
      </s:c>
      <s:c r="M359" s="22">
        <s:f>'3'!F360</s:f>
        <s:v>46247.52863425926</s:v>
      </s:c>
      <s:c r="N359" s="22">
        <s:f>'4'!F360</s:f>
        <s:v>46247.48274305555</s:v>
      </s:c>
      <s:c r="O359" s="22">
        <s:f>'5'!F360</s:f>
        <s:v>46247.45439814815</s:v>
      </s:c>
      <s:c r="P359" s="22">
        <s:f>'6'!F360</s:f>
        <s:v>46247.43494212963</s:v>
      </s:c>
      <s:c r="Q359" s="22">
        <s:f>'7'!F360</s:f>
        <s:v>46247.41229166667</s:v>
      </s:c>
      <s:c r="R359" s="22">
        <s:f>'8'!F360</s:f>
        <s:v>46247.38810185185</s:v>
      </s:c>
      <s:c r="S359" s="22">
        <s:f>'9'!F360</s:f>
        <s:v>46247.37028935185</s:v>
      </s:c>
      <s:c r="T359" s="22">
        <s:f>'10'!F360</s:f>
        <s:v>46247.34106481481</s:v>
      </s:c>
      <s:c r="U359" s="23">
        <s:f>'자료구성'!$B$2</s:f>
        <s:v>46247.0</s:v>
      </s:c>
    </s:row>
    <s:row r="360">
      <s:c r="A360" s="0" t="n">
        <s:v>1774</s:v>
      </s:c>
      <s:c r="B360" s="0" t="n">
        <s:v>1547</s:v>
      </s:c>
      <s:c r="C360" s="0" t="n">
        <s:v>1686</s:v>
      </s:c>
      <s:c r="D360" s="0" t="n">
        <s:v>745</s:v>
      </s:c>
      <s:c r="E360" s="0" t="n">
        <s:v>1465</s:v>
      </s:c>
      <s:c r="F360" s="0" t="n">
        <s:v>3188</s:v>
      </s:c>
      <s:c r="G360" s="0" t="n">
        <s:v>4869</s:v>
      </s:c>
      <s:c r="H360" s="0" t="n">
        <s:v>4502</s:v>
      </s:c>
      <s:c r="I360" s="0" t="n">
        <s:v>1447</s:v>
      </s:c>
      <s:c r="J360" s="0" t="n">
        <s:v>1615</s:v>
      </s:c>
      <s:c r="K360" s="22">
        <s:f>'1'!F361</s:f>
        <s:v>46247.56431712963</s:v>
      </s:c>
      <s:c r="L360" s="22">
        <s:f>'2'!F361</s:f>
        <s:v>46247.54605324074</s:v>
      </s:c>
      <s:c r="M360" s="22">
        <s:f>'3'!F361</s:f>
        <s:v>46247.528645833336</s:v>
      </s:c>
      <s:c r="N360" s="22">
        <s:f>'4'!F361</s:f>
        <s:v>46247.48275462963</s:v>
      </s:c>
      <s:c r="O360" s="22">
        <s:f>'5'!F361</s:f>
        <s:v>46247.454409722224</s:v>
      </s:c>
      <s:c r="P360" s="22">
        <s:f>'6'!F361</s:f>
        <s:v>46247.434953703705</s:v>
      </s:c>
      <s:c r="Q360" s="22">
        <s:f>'7'!F361</s:f>
        <s:v>46247.412303240744</s:v>
      </s:c>
      <s:c r="R360" s="22">
        <s:f>'8'!F361</s:f>
        <s:v>46247.38811342593</s:v>
      </s:c>
      <s:c r="S360" s="22">
        <s:f>'9'!F361</s:f>
        <s:v>46247.370300925926</s:v>
      </s:c>
      <s:c r="T360" s="22">
        <s:f>'10'!F361</s:f>
        <s:v>46247.34107638889</s:v>
      </s:c>
      <s:c r="U360" s="23">
        <s:f>'자료구성'!$B$2</s:f>
        <s:v>46247.0</s:v>
      </s:c>
    </s:row>
    <s:row r="361">
      <s:c r="A361" s="0" t="n">
        <s:v>1773</s:v>
      </s:c>
      <s:c r="B361" s="0" t="n">
        <s:v>1553</s:v>
      </s:c>
      <s:c r="C361" s="0" t="n">
        <s:v>1683</s:v>
      </s:c>
      <s:c r="D361" s="0" t="n">
        <s:v>734</s:v>
      </s:c>
      <s:c r="E361" s="0" t="n">
        <s:v>1467</s:v>
      </s:c>
      <s:c r="F361" s="0" t="n">
        <s:v>3148</s:v>
      </s:c>
      <s:c r="G361" s="0" t="n">
        <s:v>4923</s:v>
      </s:c>
      <s:c r="H361" s="0" t="n">
        <s:v>4583</s:v>
      </s:c>
      <s:c r="I361" s="0" t="n">
        <s:v>1475</s:v>
      </s:c>
      <s:c r="J361" s="0" t="n">
        <s:v>1613</s:v>
      </s:c>
      <s:c r="K361" s="22">
        <s:f>'1'!F362</s:f>
        <s:v>46247.5643287037</s:v>
      </s:c>
      <s:c r="L361" s="22">
        <s:f>'2'!F362</s:f>
        <s:v>46247.546064814815</s:v>
      </s:c>
      <s:c r="M361" s="22">
        <s:f>'3'!F362</s:f>
        <s:v>46247.528657407405</s:v>
      </s:c>
      <s:c r="N361" s="22">
        <s:f>'4'!F362</s:f>
        <s:v>46247.482766203706</s:v>
      </s:c>
      <s:c r="O361" s="22">
        <s:f>'5'!F362</s:f>
        <s:v>46247.454421296294</s:v>
      </s:c>
      <s:c r="P361" s="22">
        <s:f>'6'!F362</s:f>
        <s:v>46247.434965277775</s:v>
      </s:c>
      <s:c r="Q361" s="22">
        <s:f>'7'!F362</s:f>
        <s:v>46247.412314814814</s:v>
      </s:c>
      <s:c r="R361" s="22">
        <s:f>'8'!F362</s:f>
        <s:v>46247.388125</s:v>
      </s:c>
      <s:c r="S361" s="22">
        <s:f>'9'!F362</s:f>
        <s:v>46247.3703125</s:v>
      </s:c>
      <s:c r="T361" s="22">
        <s:f>'10'!F362</s:f>
        <s:v>46247.34108796297</s:v>
      </s:c>
      <s:c r="U361" s="23">
        <s:f>'자료구성'!$B$2</s:f>
        <s:v>46247.0</s:v>
      </s:c>
    </s:row>
    <s:row r="362">
      <s:c r="A362" s="0" t="n">
        <s:v>1754</s:v>
      </s:c>
      <s:c r="B362" s="0" t="n">
        <s:v>1566</s:v>
      </s:c>
      <s:c r="C362" s="0" t="n">
        <s:v>1669</s:v>
      </s:c>
      <s:c r="D362" s="0" t="n">
        <s:v>707</s:v>
      </s:c>
      <s:c r="E362" s="0" t="n">
        <s:v>1476</s:v>
      </s:c>
      <s:c r="F362" s="0" t="n">
        <s:v>3127</s:v>
      </s:c>
      <s:c r="G362" s="0" t="n">
        <s:v>4983</s:v>
      </s:c>
      <s:c r="H362" s="0" t="n">
        <s:v>4658</s:v>
      </s:c>
      <s:c r="I362" s="0" t="n">
        <s:v>1475</s:v>
      </s:c>
      <s:c r="J362" s="0" t="n">
        <s:v>1597</s:v>
      </s:c>
      <s:c r="K362" s="22">
        <s:f>'1'!F363</s:f>
        <s:v>46247.56434027778</s:v>
      </s:c>
      <s:c r="L362" s="22">
        <s:f>'2'!F363</s:f>
        <s:v>46247.54607638889</s:v>
      </s:c>
      <s:c r="M362" s="22">
        <s:f>'3'!F363</s:f>
        <s:v>46247.52866898148</s:v>
      </s:c>
      <s:c r="N362" s="22">
        <s:f>'4'!F363</s:f>
        <s:v>46247.482777777775</s:v>
      </s:c>
      <s:c r="O362" s="22">
        <s:f>'5'!F363</s:f>
        <s:v>46247.45443287037</s:v>
      </s:c>
      <s:c r="P362" s="22">
        <s:f>'6'!F363</s:f>
        <s:v>46247.43497685185</s:v>
      </s:c>
      <s:c r="Q362" s="22">
        <s:f>'7'!F363</s:f>
        <s:v>46247.41232638889</s:v>
      </s:c>
      <s:c r="R362" s="22">
        <s:f>'8'!F363</s:f>
        <s:v>46247.388136574074</s:v>
      </s:c>
      <s:c r="S362" s="22">
        <s:f>'9'!F363</s:f>
        <s:v>46247.37032407407</s:v>
      </s:c>
      <s:c r="T362" s="22">
        <s:f>'10'!F363</s:f>
        <s:v>46247.341099537036</s:v>
      </s:c>
      <s:c r="U362" s="23">
        <s:f>'자료구성'!$B$2</s:f>
        <s:v>46247.0</s:v>
      </s:c>
    </s:row>
    <s:row r="363">
      <s:c r="A363" s="0" t="n">
        <s:v>1766</s:v>
      </s:c>
      <s:c r="B363" s="0" t="n">
        <s:v>1533</s:v>
      </s:c>
      <s:c r="C363" s="0" t="n">
        <s:v>1670</s:v>
      </s:c>
      <s:c r="D363" s="0" t="n">
        <s:v>708</s:v>
      </s:c>
      <s:c r="E363" s="0" t="n">
        <s:v>1484</s:v>
      </s:c>
      <s:c r="F363" s="0" t="n">
        <s:v>3067</s:v>
      </s:c>
      <s:c r="G363" s="0" t="n">
        <s:v>5063</s:v>
      </s:c>
      <s:c r="H363" s="0" t="n">
        <s:v>4729</s:v>
      </s:c>
      <s:c r="I363" s="0" t="n">
        <s:v>1471</s:v>
      </s:c>
      <s:c r="J363" s="0" t="n">
        <s:v>1610</s:v>
      </s:c>
      <s:c r="K363" s="22">
        <s:f>'1'!F364</s:f>
        <s:v>46247.564351851855</s:v>
      </s:c>
      <s:c r="L363" s="22">
        <s:f>'2'!F364</s:f>
        <s:v>46247.54608796296</s:v>
      </s:c>
      <s:c r="M363" s="22">
        <s:f>'3'!F364</s:f>
        <s:v>46247.52868055556</s:v>
      </s:c>
      <s:c r="N363" s="22">
        <s:f>'4'!F364</s:f>
        <s:v>46247.48278935185</s:v>
      </s:c>
      <s:c r="O363" s="22">
        <s:f>'5'!F364</s:f>
        <s:v>46247.45444444445</s:v>
      </s:c>
      <s:c r="P363" s="22">
        <s:f>'6'!F364</s:f>
        <s:v>46247.43498842593</s:v>
      </s:c>
      <s:c r="Q363" s="22">
        <s:f>'7'!F364</s:f>
        <s:v>46247.41233796296</s:v>
      </s:c>
      <s:c r="R363" s="22">
        <s:f>'8'!F364</s:f>
        <s:v>46247.38814814815</s:v>
      </s:c>
      <s:c r="S363" s="22">
        <s:f>'9'!F364</s:f>
        <s:v>46247.37033564815</s:v>
      </s:c>
      <s:c r="T363" s="22">
        <s:f>'10'!F364</s:f>
        <s:v>46247.34111111111</s:v>
      </s:c>
      <s:c r="U363" s="23">
        <s:f>'자료구성'!$B$2</s:f>
        <s:v>46247.0</s:v>
      </s:c>
    </s:row>
    <s:row r="364">
      <s:c r="A364" s="0" t="n">
        <s:v>1780</s:v>
      </s:c>
      <s:c r="B364" s="0" t="n">
        <s:v>1544</s:v>
      </s:c>
      <s:c r="C364" s="0" t="n">
        <s:v>1646</s:v>
      </s:c>
      <s:c r="D364" s="0" t="n">
        <s:v>725</s:v>
      </s:c>
      <s:c r="E364" s="0" t="n">
        <s:v>1494</s:v>
      </s:c>
      <s:c r="F364" s="0" t="n">
        <s:v>3042</s:v>
      </s:c>
      <s:c r="G364" s="0" t="n">
        <s:v>5048</s:v>
      </s:c>
      <s:c r="H364" s="0" t="n">
        <s:v>4769</s:v>
      </s:c>
      <s:c r="I364" s="0" t="n">
        <s:v>1488</s:v>
      </s:c>
      <s:c r="J364" s="0" t="n">
        <s:v>1611</s:v>
      </s:c>
      <s:c r="K364" s="22">
        <s:f>'1'!F365</s:f>
        <s:v>46247.564363425925</s:v>
      </s:c>
      <s:c r="L364" s="22">
        <s:f>'2'!F365</s:f>
        <s:v>46247.54609953704</s:v>
      </s:c>
      <s:c r="M364" s="22">
        <s:f>'3'!F365</s:f>
        <s:v>46247.52869212963</s:v>
      </s:c>
      <s:c r="N364" s="22">
        <s:f>'4'!F365</s:f>
        <s:v>46247.48280092593</s:v>
      </s:c>
      <s:c r="O364" s="22">
        <s:f>'5'!F365</s:f>
        <s:v>46247.45445601852</s:v>
      </s:c>
      <s:c r="P364" s="22">
        <s:f>'6'!F365</s:f>
        <s:v>46247.435</s:v>
      </s:c>
      <s:c r="Q364" s="22">
        <s:f>'7'!F365</s:f>
        <s:v>46247.41234953704</s:v>
      </s:c>
      <s:c r="R364" s="22">
        <s:f>'8'!F365</s:f>
        <s:v>46247.38815972222</s:v>
      </s:c>
      <s:c r="S364" s="22">
        <s:f>'9'!F365</s:f>
        <s:v>46247.37034722222</s:v>
      </s:c>
      <s:c r="T364" s="22">
        <s:f>'10'!F365</s:f>
        <s:v>46247.34112268518</s:v>
      </s:c>
      <s:c r="U364" s="23">
        <s:f>'자료구성'!$B$2</s:f>
        <s:v>46247.0</s:v>
      </s:c>
    </s:row>
    <s:row r="365">
      <s:c r="A365" s="0" t="n">
        <s:v>1815</s:v>
      </s:c>
      <s:c r="B365" s="0" t="n">
        <s:v>1579</s:v>
      </s:c>
      <s:c r="C365" s="0" t="n">
        <s:v>1631</s:v>
      </s:c>
      <s:c r="D365" s="0" t="n">
        <s:v>814</s:v>
      </s:c>
      <s:c r="E365" s="0" t="n">
        <s:v>1507</s:v>
      </s:c>
      <s:c r="F365" s="0" t="n">
        <s:v>2981</s:v>
      </s:c>
      <s:c r="G365" s="0" t="n">
        <s:v>5023</s:v>
      </s:c>
      <s:c r="H365" s="0" t="n">
        <s:v>4861</s:v>
      </s:c>
      <s:c r="I365" s="0" t="n">
        <s:v>1512</s:v>
      </s:c>
      <s:c r="J365" s="0" t="n">
        <s:v>1650</s:v>
      </s:c>
      <s:c r="K365" s="22">
        <s:f>'1'!F366</s:f>
        <s:v>46247.564375</s:v>
      </s:c>
      <s:c r="L365" s="22">
        <s:f>'2'!F366</s:f>
        <s:v>46247.546111111114</s:v>
      </s:c>
      <s:c r="M365" s="22">
        <s:f>'3'!F366</s:f>
        <s:v>46247.528703703705</s:v>
      </s:c>
      <s:c r="N365" s="22">
        <s:f>'4'!F366</s:f>
        <s:v>46247.4828125</s:v>
      </s:c>
      <s:c r="O365" s="22">
        <s:f>'5'!F366</s:f>
        <s:v>46247.45446759259</s:v>
      </s:c>
      <s:c r="P365" s="22">
        <s:f>'6'!F366</s:f>
        <s:v>46247.435011574074</s:v>
      </s:c>
      <s:c r="Q365" s="22">
        <s:f>'7'!F366</s:f>
        <s:v>46247.41236111111</s:v>
      </s:c>
      <s:c r="R365" s="22">
        <s:f>'8'!F366</s:f>
        <s:v>46247.3881712963</s:v>
      </s:c>
      <s:c r="S365" s="22">
        <s:f>'9'!F366</s:f>
        <s:v>46247.370358796295</s:v>
      </s:c>
      <s:c r="T365" s="22">
        <s:f>'10'!F366</s:f>
        <s:v>46247.34113425926</s:v>
      </s:c>
      <s:c r="U365" s="23">
        <s:f>'자료구성'!$B$2</s:f>
        <s:v>46247.0</s:v>
      </s:c>
    </s:row>
    <s:row r="366">
      <s:c r="A366" s="0" t="n">
        <s:v>1886</s:v>
      </s:c>
      <s:c r="B366" s="0" t="n">
        <s:v>1594</s:v>
      </s:c>
      <s:c r="C366" s="0" t="n">
        <s:v>1629</s:v>
      </s:c>
      <s:c r="D366" s="0" t="n">
        <s:v>865</s:v>
      </s:c>
      <s:c r="E366" s="0" t="n">
        <s:v>1479</s:v>
      </s:c>
      <s:c r="F366" s="0" t="n">
        <s:v>2912</s:v>
      </s:c>
      <s:c r="G366" s="0" t="n">
        <s:v>4921</s:v>
      </s:c>
      <s:c r="H366" s="0" t="n">
        <s:v>4939</s:v>
      </s:c>
      <s:c r="I366" s="0" t="n">
        <s:v>1511</s:v>
      </s:c>
      <s:c r="J366" s="0" t="n">
        <s:v>1732</s:v>
      </s:c>
      <s:c r="K366" s="22">
        <s:f>'1'!F367</s:f>
        <s:v>46247.56438657407</s:v>
      </s:c>
      <s:c r="L366" s="22">
        <s:f>'2'!F367</s:f>
        <s:v>46247.546122685184</s:v>
      </s:c>
      <s:c r="M366" s="22">
        <s:f>'3'!F367</s:f>
        <s:v>46247.528715277775</s:v>
      </s:c>
      <s:c r="N366" s="22">
        <s:f>'4'!F367</s:f>
        <s:v>46247.482824074075</s:v>
      </s:c>
      <s:c r="O366" s="22">
        <s:f>'5'!F367</s:f>
        <s:v>46247.45447916666</s:v>
      </s:c>
      <s:c r="P366" s="22">
        <s:f>'6'!F367</s:f>
        <s:v>46247.43502314815</s:v>
      </s:c>
      <s:c r="Q366" s="22">
        <s:f>'7'!F367</s:f>
        <s:v>46247.41237268518</s:v>
      </s:c>
      <s:c r="R366" s="22">
        <s:f>'8'!F367</s:f>
        <s:v>46247.38818287037</s:v>
      </s:c>
      <s:c r="S366" s="22">
        <s:f>'9'!F367</s:f>
        <s:v>46247.37037037037</s:v>
      </s:c>
      <s:c r="T366" s="22">
        <s:f>'10'!F367</s:f>
        <s:v>46247.341145833336</s:v>
      </s:c>
      <s:c r="U366" s="23">
        <s:f>'자료구성'!$B$2</s:f>
        <s:v>46247.0</s:v>
      </s:c>
    </s:row>
    <s:row r="367">
      <s:c r="A367" s="0" t="n">
        <s:v>1940</s:v>
      </s:c>
      <s:c r="B367" s="0" t="n">
        <s:v>1634</s:v>
      </s:c>
      <s:c r="C367" s="0" t="n">
        <s:v>1614</s:v>
      </s:c>
      <s:c r="D367" s="0" t="n">
        <s:v>888</s:v>
      </s:c>
      <s:c r="E367" s="0" t="n">
        <s:v>1466</s:v>
      </s:c>
      <s:c r="F367" s="0" t="n">
        <s:v>2883</s:v>
      </s:c>
      <s:c r="G367" s="0" t="n">
        <s:v>4794</s:v>
      </s:c>
      <s:c r="H367" s="0" t="n">
        <s:v>4950</s:v>
      </s:c>
      <s:c r="I367" s="0" t="n">
        <s:v>1509</s:v>
      </s:c>
      <s:c r="J367" s="0" t="n">
        <s:v>1756</s:v>
      </s:c>
      <s:c r="K367" s="22">
        <s:f>'1'!F368</s:f>
        <s:v>46247.56439814815</s:v>
      </s:c>
      <s:c r="L367" s="22">
        <s:f>'2'!F368</s:f>
        <s:v>46247.54613425926</s:v>
      </s:c>
      <s:c r="M367" s="22">
        <s:f>'3'!F368</s:f>
        <s:v>46247.52872685185</s:v>
      </s:c>
      <s:c r="N367" s="22">
        <s:f>'4'!F368</s:f>
        <s:v>46247.482835648145</s:v>
      </s:c>
      <s:c r="O367" s="22">
        <s:f>'5'!F368</s:f>
        <s:v>46247.45449074074</s:v>
      </s:c>
      <s:c r="P367" s="22">
        <s:f>'6'!F368</s:f>
        <s:v>46247.43503472222</s:v>
      </s:c>
      <s:c r="Q367" s="22">
        <s:f>'7'!F368</s:f>
        <s:v>46247.41238425926</s:v>
      </s:c>
      <s:c r="R367" s="22">
        <s:f>'8'!F368</s:f>
        <s:v>46247.388194444444</s:v>
      </s:c>
      <s:c r="S367" s="22">
        <s:f>'9'!F368</s:f>
        <s:v>46247.37038194444</s:v>
      </s:c>
      <s:c r="T367" s="22">
        <s:f>'10'!F368</s:f>
        <s:v>46247.341157407405</s:v>
      </s:c>
      <s:c r="U367" s="23">
        <s:f>'자료구성'!$B$2</s:f>
        <s:v>46247.0</s:v>
      </s:c>
    </s:row>
    <s:row r="368">
      <s:c r="A368" s="0" t="n">
        <s:v>1993</s:v>
      </s:c>
      <s:c r="B368" s="0" t="n">
        <s:v>1674</s:v>
      </s:c>
      <s:c r="C368" s="0" t="n">
        <s:v>1607</s:v>
      </s:c>
      <s:c r="D368" s="0" t="n">
        <s:v>906</s:v>
      </s:c>
      <s:c r="E368" s="0" t="n">
        <s:v>1450</s:v>
      </s:c>
      <s:c r="F368" s="0" t="n">
        <s:v>2869</s:v>
      </s:c>
      <s:c r="G368" s="0" t="n">
        <s:v>4628</s:v>
      </s:c>
      <s:c r="H368" s="0" t="n">
        <s:v>4928</s:v>
      </s:c>
      <s:c r="I368" s="0" t="n">
        <s:v>1516</s:v>
      </s:c>
      <s:c r="J368" s="0" t="n">
        <s:v>1763</s:v>
      </s:c>
      <s:c r="K368" s="22">
        <s:f>'1'!F369</s:f>
        <s:v>46247.564409722225</s:v>
      </s:c>
      <s:c r="L368" s="22">
        <s:f>'2'!F369</s:f>
        <s:v>46247.54614583333</s:v>
      </s:c>
      <s:c r="M368" s="22">
        <s:f>'3'!F369</s:f>
        <s:v>46247.52873842593</s:v>
      </s:c>
      <s:c r="N368" s="22">
        <s:f>'4'!F369</s:f>
        <s:v>46247.48284722222</s:v>
      </s:c>
      <s:c r="O368" s="22">
        <s:f>'5'!F369</s:f>
        <s:v>46247.45450231482</s:v>
      </s:c>
      <s:c r="P368" s="22">
        <s:f>'6'!F369</s:f>
        <s:v>46247.4350462963</s:v>
      </s:c>
      <s:c r="Q368" s="22">
        <s:f>'7'!F369</s:f>
        <s:v>46247.41239583334</s:v>
      </s:c>
      <s:c r="R368" s="22">
        <s:f>'8'!F369</s:f>
        <s:v>46247.38820601852</s:v>
      </s:c>
      <s:c r="S368" s="22">
        <s:f>'9'!F369</s:f>
        <s:v>46247.37039351852</s:v>
      </s:c>
      <s:c r="T368" s="22">
        <s:f>'10'!F369</s:f>
        <s:v>46247.34116898148</s:v>
      </s:c>
      <s:c r="U368" s="23">
        <s:f>'자료구성'!$B$2</s:f>
        <s:v>46247.0</s:v>
      </s:c>
    </s:row>
    <s:row r="369">
      <s:c r="A369" s="0" t="n">
        <s:v>2002</s:v>
      </s:c>
      <s:c r="B369" s="0" t="n">
        <s:v>1769</s:v>
      </s:c>
      <s:c r="C369" s="0" t="n">
        <s:v>1619</s:v>
      </s:c>
      <s:c r="D369" s="0" t="n">
        <s:v>910</s:v>
      </s:c>
      <s:c r="E369" s="0" t="n">
        <s:v>1450</s:v>
      </s:c>
      <s:c r="F369" s="0" t="n">
        <s:v>2836</s:v>
      </s:c>
      <s:c r="G369" s="0" t="n">
        <s:v>4525</s:v>
      </s:c>
      <s:c r="H369" s="0" t="n">
        <s:v>4929</s:v>
      </s:c>
      <s:c r="I369" s="0" t="n">
        <s:v>1522</s:v>
      </s:c>
      <s:c r="J369" s="0" t="n">
        <s:v>1761</s:v>
      </s:c>
      <s:c r="K369" s="22">
        <s:f>'1'!F370</s:f>
        <s:v>46247.564421296294</s:v>
      </s:c>
      <s:c r="L369" s="22">
        <s:f>'2'!F370</s:f>
        <s:v>46247.54615740741</s:v>
      </s:c>
      <s:c r="M369" s="22">
        <s:f>'3'!F370</s:f>
        <s:v>46247.52875</s:v>
      </s:c>
      <s:c r="N369" s="22">
        <s:f>'4'!F370</s:f>
        <s:v>46247.4828587963</s:v>
      </s:c>
      <s:c r="O369" s="22">
        <s:f>'5'!F370</s:f>
        <s:v>46247.454513888886</s:v>
      </s:c>
      <s:c r="P369" s="22">
        <s:f>'6'!F370</s:f>
        <s:v>46247.43505787037</s:v>
      </s:c>
      <s:c r="Q369" s="22">
        <s:f>'7'!F370</s:f>
        <s:v>46247.412407407406</s:v>
      </s:c>
      <s:c r="R369" s="22">
        <s:f>'8'!F370</s:f>
        <s:v>46247.38821759259</s:v>
      </s:c>
      <s:c r="S369" s="22">
        <s:f>'9'!F370</s:f>
        <s:v>46247.370405092595</s:v>
      </s:c>
      <s:c r="T369" s="22">
        <s:f>'10'!F370</s:f>
        <s:v>46247.34118055556</s:v>
      </s:c>
      <s:c r="U369" s="23">
        <s:f>'자료구성'!$B$2</s:f>
        <s:v>46247.0</s:v>
      </s:c>
    </s:row>
    <s:row r="370">
      <s:c r="A370" s="0" t="n">
        <s:v>2005</s:v>
      </s:c>
      <s:c r="B370" s="0" t="n">
        <s:v>1772</s:v>
      </s:c>
      <s:c r="C370" s="0" t="n">
        <s:v>1621</s:v>
      </s:c>
      <s:c r="D370" s="0" t="n">
        <s:v>925</s:v>
      </s:c>
      <s:c r="E370" s="0" t="n">
        <s:v>1440</s:v>
      </s:c>
      <s:c r="F370" s="0" t="n">
        <s:v>2827</s:v>
      </s:c>
      <s:c r="G370" s="0" t="n">
        <s:v>4568</s:v>
      </s:c>
      <s:c r="H370" s="0" t="n">
        <s:v>4952</s:v>
      </s:c>
      <s:c r="I370" s="0" t="n">
        <s:v>1522</s:v>
      </s:c>
      <s:c r="J370" s="0" t="n">
        <s:v>1749</s:v>
      </s:c>
      <s:c r="K370" s="22">
        <s:f>'1'!F371</s:f>
        <s:v>46247.56443287037</s:v>
      </s:c>
      <s:c r="L370" s="22">
        <s:f>'2'!F371</s:f>
        <s:v>46247.546168981484</s:v>
      </s:c>
      <s:c r="M370" s="22">
        <s:f>'3'!F371</s:f>
        <s:v>46247.528761574074</s:v>
      </s:c>
      <s:c r="N370" s="22">
        <s:f>'4'!F371</s:f>
        <s:v>46247.48287037037</s:v>
      </s:c>
      <s:c r="O370" s="22">
        <s:f>'5'!F371</s:f>
        <s:v>46247.45452546296</s:v>
      </s:c>
      <s:c r="P370" s="22">
        <s:f>'6'!F371</s:f>
        <s:v>46247.435069444444</s:v>
      </s:c>
      <s:c r="Q370" s="22">
        <s:f>'7'!F371</s:f>
        <s:v>46247.41241898148</s:v>
      </s:c>
      <s:c r="R370" s="22">
        <s:f>'8'!F371</s:f>
        <s:v>46247.38822916667</s:v>
      </s:c>
      <s:c r="S370" s="22">
        <s:f>'9'!F371</s:f>
        <s:v>46247.370416666665</s:v>
      </s:c>
      <s:c r="T370" s="22">
        <s:f>'10'!F371</s:f>
        <s:v>46247.34119212963</s:v>
      </s:c>
      <s:c r="U370" s="23">
        <s:f>'자료구성'!$B$2</s:f>
        <s:v>46247.0</s:v>
      </s:c>
    </s:row>
    <s:row r="371">
      <s:c r="A371" s="0" t="n">
        <s:v>1997</s:v>
      </s:c>
      <s:c r="B371" s="0" t="n">
        <s:v>1764</s:v>
      </s:c>
      <s:c r="C371" s="0" t="n">
        <s:v>1660</s:v>
      </s:c>
      <s:c r="D371" s="0" t="n">
        <s:v>936</s:v>
      </s:c>
      <s:c r="E371" s="0" t="n">
        <s:v>1426</s:v>
      </s:c>
      <s:c r="F371" s="0" t="n">
        <s:v>2809</s:v>
      </s:c>
      <s:c r="G371" s="0" t="n">
        <s:v>4751</s:v>
      </s:c>
      <s:c r="H371" s="0" t="n">
        <s:v>5028</s:v>
      </s:c>
      <s:c r="I371" s="0" t="n">
        <s:v>1534</s:v>
      </s:c>
      <s:c r="J371" s="0" t="n">
        <s:v>1750</s:v>
      </s:c>
      <s:c r="K371" s="22">
        <s:f>'1'!F372</s:f>
        <s:v>46247.56444444445</s:v>
      </s:c>
      <s:c r="L371" s="22">
        <s:f>'2'!F372</s:f>
        <s:v>46247.54618055555</s:v>
      </s:c>
      <s:c r="M371" s="22">
        <s:f>'3'!F372</s:f>
        <s:v>46247.52877314815</s:v>
      </s:c>
      <s:c r="N371" s="22">
        <s:f>'4'!F372</s:f>
        <s:v>46247.482881944445</s:v>
      </s:c>
      <s:c r="O371" s="22">
        <s:f>'5'!F372</s:f>
        <s:v>46247.45453703704</s:v>
      </s:c>
      <s:c r="P371" s="22">
        <s:f>'6'!F372</s:f>
        <s:v>46247.43508101852</s:v>
      </s:c>
      <s:c r="Q371" s="22">
        <s:f>'7'!F372</s:f>
        <s:v>46247.41243055555</s:v>
      </s:c>
      <s:c r="R371" s="22">
        <s:f>'8'!F372</s:f>
        <s:v>46247.388240740744</s:v>
      </s:c>
      <s:c r="S371" s="22">
        <s:f>'9'!F372</s:f>
        <s:v>46247.37042824074</s:v>
      </s:c>
      <s:c r="T371" s="22">
        <s:f>'10'!F372</s:f>
        <s:v>46247.341203703705</s:v>
      </s:c>
      <s:c r="U371" s="23">
        <s:f>'자료구성'!$B$2</s:f>
        <s:v>46247.0</s:v>
      </s:c>
    </s:row>
    <s:row r="372">
      <s:c r="A372" s="0" t="n">
        <s:v>1981</s:v>
      </s:c>
      <s:c r="B372" s="0" t="n">
        <s:v>1725</s:v>
      </s:c>
      <s:c r="C372" s="0" t="n">
        <s:v>1670</s:v>
      </s:c>
      <s:c r="D372" s="0" t="n">
        <s:v>942</s:v>
      </s:c>
      <s:c r="E372" s="0" t="n">
        <s:v>1428</s:v>
      </s:c>
      <s:c r="F372" s="0" t="n">
        <s:v>2782</s:v>
      </s:c>
      <s:c r="G372" s="0" t="n">
        <s:v>4941</s:v>
      </s:c>
      <s:c r="H372" s="0" t="n">
        <s:v>5182</s:v>
      </s:c>
      <s:c r="I372" s="0" t="n">
        <s:v>1529</s:v>
      </s:c>
      <s:c r="J372" s="0" t="n">
        <s:v>1752</s:v>
      </s:c>
      <s:c r="K372" s="22">
        <s:f>'1'!F373</s:f>
        <s:v>46247.56445601852</s:v>
      </s:c>
      <s:c r="L372" s="22">
        <s:f>'2'!F373</s:f>
        <s:v>46247.54619212963</s:v>
      </s:c>
      <s:c r="M372" s="22">
        <s:f>'3'!F373</s:f>
        <s:v>46247.52878472222</s:v>
      </s:c>
      <s:c r="N372" s="22">
        <s:f>'4'!F373</s:f>
        <s:v>46247.48289351852</s:v>
      </s:c>
      <s:c r="O372" s="22">
        <s:f>'5'!F373</s:f>
        <s:v>46247.45454861111</s:v>
      </s:c>
      <s:c r="P372" s="22">
        <s:f>'6'!F373</s:f>
        <s:v>46247.43509259259</s:v>
      </s:c>
      <s:c r="Q372" s="22">
        <s:f>'7'!F373</s:f>
        <s:v>46247.41244212963</s:v>
      </s:c>
      <s:c r="R372" s="22">
        <s:f>'8'!F373</s:f>
        <s:v>46247.38825231481</s:v>
      </s:c>
      <s:c r="S372" s="22">
        <s:f>'9'!F373</s:f>
        <s:v>46247.37043981482</s:v>
      </s:c>
      <s:c r="T372" s="22">
        <s:f>'10'!F373</s:f>
        <s:v>46247.341215277775</s:v>
      </s:c>
      <s:c r="U372" s="23">
        <s:f>'자료구성'!$B$2</s:f>
        <s:v>46247.0</s:v>
      </s:c>
    </s:row>
    <s:row r="373">
      <s:c r="A373" s="0" t="n">
        <s:v>1939</s:v>
      </s:c>
      <s:c r="B373" s="0" t="n">
        <s:v>1669</s:v>
      </s:c>
      <s:c r="C373" s="0" t="n">
        <s:v>1682</s:v>
      </s:c>
      <s:c r="D373" s="0" t="n">
        <s:v>942</s:v>
      </s:c>
      <s:c r="E373" s="0" t="n">
        <s:v>1422</s:v>
      </s:c>
      <s:c r="F373" s="0" t="n">
        <s:v>2777</s:v>
      </s:c>
      <s:c r="G373" s="0" t="n">
        <s:v>5004</s:v>
      </s:c>
      <s:c r="H373" s="0" t="n">
        <s:v>5334</s:v>
      </s:c>
      <s:c r="I373" s="0" t="n">
        <s:v>1554</s:v>
      </s:c>
      <s:c r="J373" s="0" t="n">
        <s:v>1776</s:v>
      </s:c>
      <s:c r="K373" s="22">
        <s:f>'1'!F374</s:f>
        <s:v>46247.564467592594</s:v>
      </s:c>
      <s:c r="L373" s="22">
        <s:f>'2'!F374</s:f>
        <s:v>46247.54620370371</s:v>
      </s:c>
      <s:c r="M373" s="22">
        <s:f>'3'!F374</s:f>
        <s:v>46247.5287962963</s:v>
      </s:c>
      <s:c r="N373" s="22">
        <s:f>'4'!F374</s:f>
        <s:v>46247.48290509259</s:v>
      </s:c>
      <s:c r="O373" s="22">
        <s:f>'5'!F374</s:f>
        <s:v>46247.454560185186</s:v>
      </s:c>
      <s:c r="P373" s="22">
        <s:f>'6'!F374</s:f>
        <s:v>46247.43510416667</s:v>
      </s:c>
      <s:c r="Q373" s="22">
        <s:f>'7'!F374</s:f>
        <s:v>46247.412453703706</s:v>
      </s:c>
      <s:c r="R373" s="22">
        <s:f>'8'!F374</s:f>
        <s:v>46247.38826388889</s:v>
      </s:c>
      <s:c r="S373" s="22">
        <s:f>'9'!F374</s:f>
        <s:v>46247.37045138889</s:v>
      </s:c>
      <s:c r="T373" s="22">
        <s:f>'10'!F374</s:f>
        <s:v>46247.34122685185</s:v>
      </s:c>
      <s:c r="U373" s="23">
        <s:f>'자료구성'!$B$2</s:f>
        <s:v>46247.0</s:v>
      </s:c>
    </s:row>
    <s:row r="374">
      <s:c r="A374" s="0" t="n">
        <s:v>1905</s:v>
      </s:c>
      <s:c r="B374" s="0" t="n">
        <s:v>1643</s:v>
      </s:c>
      <s:c r="C374" s="0" t="n">
        <s:v>1717</s:v>
      </s:c>
      <s:c r="D374" s="0" t="n">
        <s:v>964</s:v>
      </s:c>
      <s:c r="E374" s="0" t="n">
        <s:v>1417</s:v>
      </s:c>
      <s:c r="F374" s="0" t="n">
        <s:v>2786</s:v>
      </s:c>
      <s:c r="G374" s="0" t="n">
        <s:v>4969</s:v>
      </s:c>
      <s:c r="H374" s="0" t="n">
        <s:v>5382</s:v>
      </s:c>
      <s:c r="I374" s="0" t="n">
        <s:v>1544</s:v>
      </s:c>
      <s:c r="J374" s="0" t="n">
        <s:v>1793</s:v>
      </s:c>
      <s:c r="K374" s="22">
        <s:f>'1'!F375</s:f>
        <s:v>46247.564479166664</s:v>
      </s:c>
      <s:c r="L374" s="22">
        <s:f>'2'!F375</s:f>
        <s:v>46247.546215277776</s:v>
      </s:c>
      <s:c r="M374" s="22">
        <s:f>'3'!F375</s:f>
        <s:v>46247.52880787037</s:v>
      </s:c>
      <s:c r="N374" s="22">
        <s:f>'4'!F375</s:f>
        <s:v>46247.48291666667</s:v>
      </s:c>
      <s:c r="O374" s="22">
        <s:f>'5'!F375</s:f>
        <s:v>46247.45457175926</s:v>
      </s:c>
      <s:c r="P374" s="22">
        <s:f>'6'!F375</s:f>
        <s:v>46247.435115740744</s:v>
      </s:c>
      <s:c r="Q374" s="22">
        <s:f>'7'!F375</s:f>
        <s:v>46247.412465277775</s:v>
      </s:c>
      <s:c r="R374" s="22">
        <s:f>'8'!F375</s:f>
        <s:v>46247.38827546296</s:v>
      </s:c>
      <s:c r="S374" s="22">
        <s:f>'9'!F375</s:f>
        <s:v>46247.370462962965</s:v>
      </s:c>
      <s:c r="T374" s="22">
        <s:f>'10'!F375</s:f>
        <s:v>46247.34123842593</s:v>
      </s:c>
      <s:c r="U374" s="23">
        <s:f>'자료구성'!$B$2</s:f>
        <s:v>46247.0</s:v>
      </s:c>
    </s:row>
    <s:row r="375">
      <s:c r="A375" s="0" t="n">
        <s:v>1873</s:v>
      </s:c>
      <s:c r="B375" s="0" t="n">
        <s:v>1584</s:v>
      </s:c>
      <s:c r="C375" s="0" t="n">
        <s:v>1755</s:v>
      </s:c>
      <s:c r="D375" s="0" t="n">
        <s:v>979</s:v>
      </s:c>
      <s:c r="E375" s="0" t="n">
        <s:v>1418</s:v>
      </s:c>
      <s:c r="F375" s="0" t="n">
        <s:v>2793</s:v>
      </s:c>
      <s:c r="G375" s="0" t="n">
        <s:v>4886</s:v>
      </s:c>
      <s:c r="H375" s="0" t="n">
        <s:v>5397</s:v>
      </s:c>
      <s:c r="I375" s="0" t="n">
        <s:v>1525</s:v>
      </s:c>
      <s:c r="J375" s="0" t="n">
        <s:v>1811</s:v>
      </s:c>
      <s:c r="K375" s="22">
        <s:f>'1'!F376</s:f>
        <s:v>46247.56449074074</s:v>
      </s:c>
      <s:c r="L375" s="22">
        <s:f>'2'!F376</s:f>
        <s:v>46247.54622685185</s:v>
      </s:c>
      <s:c r="M375" s="22">
        <s:f>'3'!F376</s:f>
        <s:v>46247.528819444444</s:v>
      </s:c>
      <s:c r="N375" s="22">
        <s:f>'4'!F376</s:f>
        <s:v>46247.48292824074</s:v>
      </s:c>
      <s:c r="O375" s="22">
        <s:f>'5'!F376</s:f>
        <s:v>46247.45458333333</s:v>
      </s:c>
      <s:c r="P375" s="22">
        <s:f>'6'!F376</s:f>
        <s:v>46247.43512731481</s:v>
      </s:c>
      <s:c r="Q375" s="22">
        <s:f>'7'!F376</s:f>
        <s:v>46247.41247685185</s:v>
      </s:c>
      <s:c r="R375" s="22">
        <s:f>'8'!F376</s:f>
        <s:v>46247.388287037036</s:v>
      </s:c>
      <s:c r="S375" s="22">
        <s:f>'9'!F376</s:f>
        <s:v>46247.370474537034</s:v>
      </s:c>
      <s:c r="T375" s="22">
        <s:f>'10'!F376</s:f>
        <s:v>46247.34125</s:v>
      </s:c>
      <s:c r="U375" s="23">
        <s:f>'자료구성'!$B$2</s:f>
        <s:v>46247.0</s:v>
      </s:c>
    </s:row>
    <s:row r="376">
      <s:c r="A376" s="0" t="n">
        <s:v>1847</s:v>
      </s:c>
      <s:c r="B376" s="0" t="n">
        <s:v>1542</s:v>
      </s:c>
      <s:c r="C376" s="0" t="n">
        <s:v>1791</s:v>
      </s:c>
      <s:c r="D376" s="0" t="n">
        <s:v>988</s:v>
      </s:c>
      <s:c r="E376" s="0" t="n">
        <s:v>1431</s:v>
      </s:c>
      <s:c r="F376" s="0" t="n">
        <s:v>2818</s:v>
      </s:c>
      <s:c r="G376" s="0" t="n">
        <s:v>4808</s:v>
      </s:c>
      <s:c r="H376" s="0" t="n">
        <s:v>5393</s:v>
      </s:c>
      <s:c r="I376" s="0" t="n">
        <s:v>1479</s:v>
      </s:c>
      <s:c r="J376" s="0" t="n">
        <s:v>1844</s:v>
      </s:c>
      <s:c r="K376" s="22">
        <s:f>'1'!F377</s:f>
        <s:v>46247.56450231482</s:v>
      </s:c>
      <s:c r="L376" s="22">
        <s:f>'2'!F377</s:f>
        <s:v>46247.54623842592</s:v>
      </s:c>
      <s:c r="M376" s="22">
        <s:f>'3'!F377</s:f>
        <s:v>46247.52883101852</s:v>
      </s:c>
      <s:c r="N376" s="22">
        <s:f>'4'!F377</s:f>
        <s:v>46247.482939814814</s:v>
      </s:c>
      <s:c r="O376" s="22">
        <s:f>'5'!F377</s:f>
        <s:v>46247.45459490741</s:v>
      </s:c>
      <s:c r="P376" s="22">
        <s:f>'6'!F377</s:f>
        <s:v>46247.43513888889</s:v>
      </s:c>
      <s:c r="Q376" s="22">
        <s:f>'7'!F377</s:f>
        <s:v>46247.41248842593</s:v>
      </s:c>
      <s:c r="R376" s="22">
        <s:f>'8'!F377</s:f>
        <s:v>46247.38829861111</s:v>
      </s:c>
      <s:c r="S376" s="22">
        <s:f>'9'!F377</s:f>
        <s:v>46247.37048611111</s:v>
      </s:c>
      <s:c r="T376" s="22">
        <s:f>'10'!F377</s:f>
        <s:v>46247.341261574074</s:v>
      </s:c>
      <s:c r="U376" s="23">
        <s:f>'자료구성'!$B$2</s:f>
        <s:v>46247.0</s:v>
      </s:c>
    </s:row>
    <s:row r="377">
      <s:c r="A377" s="0" t="n">
        <s:v>1841</s:v>
      </s:c>
      <s:c r="B377" s="0" t="n">
        <s:v>1514</s:v>
      </s:c>
      <s:c r="C377" s="0" t="n">
        <s:v>1808</s:v>
      </s:c>
      <s:c r="D377" s="0" t="n">
        <s:v>984</s:v>
      </s:c>
      <s:c r="E377" s="0" t="n">
        <s:v>1426</s:v>
      </s:c>
      <s:c r="F377" s="0" t="n">
        <s:v>2812</s:v>
      </s:c>
      <s:c r="G377" s="0" t="n">
        <s:v>4764</s:v>
      </s:c>
      <s:c r="H377" s="0" t="n">
        <s:v>5435</s:v>
      </s:c>
      <s:c r="I377" s="0" t="n">
        <s:v>1457</s:v>
      </s:c>
      <s:c r="J377" s="0" t="n">
        <s:v>1877</s:v>
      </s:c>
      <s:c r="K377" s="22">
        <s:f>'1'!F378</s:f>
        <s:v>46247.56451388889</s:v>
      </s:c>
      <s:c r="L377" s="22">
        <s:f>'2'!F378</s:f>
        <s:v>46247.54625</s:v>
      </s:c>
      <s:c r="M377" s="22">
        <s:f>'3'!F378</s:f>
        <s:v>46247.52884259259</s:v>
      </s:c>
      <s:c r="N377" s="22">
        <s:f>'4'!F378</s:f>
        <s:v>46247.48295138889</s:v>
      </s:c>
      <s:c r="O377" s="22">
        <s:f>'5'!F378</s:f>
        <s:v>46247.45460648148</s:v>
      </s:c>
      <s:c r="P377" s="22">
        <s:f>'6'!F378</s:f>
        <s:v>46247.43515046296</s:v>
      </s:c>
      <s:c r="Q377" s="22">
        <s:f>'7'!F378</s:f>
        <s:v>46247.4125</s:v>
      </s:c>
      <s:c r="R377" s="22">
        <s:f>'8'!F378</s:f>
        <s:v>46247.38831018518</s:v>
      </s:c>
      <s:c r="S377" s="22">
        <s:f>'9'!F378</s:f>
        <s:v>46247.37049768519</s:v>
      </s:c>
      <s:c r="T377" s="22">
        <s:f>'10'!F378</s:f>
        <s:v>46247.34127314815</s:v>
      </s:c>
      <s:c r="U377" s="23">
        <s:f>'자료구성'!$B$2</s:f>
        <s:v>46247.0</s:v>
      </s:c>
    </s:row>
    <s:row r="378">
      <s:c r="A378" s="0" t="n">
        <s:v>1853</s:v>
      </s:c>
      <s:c r="B378" s="0" t="n">
        <s:v>1471</s:v>
      </s:c>
      <s:c r="C378" s="0" t="n">
        <s:v>1853</s:v>
      </s:c>
      <s:c r="D378" s="0" t="n">
        <s:v>993</s:v>
      </s:c>
      <s:c r="E378" s="0" t="n">
        <s:v>1428</s:v>
      </s:c>
      <s:c r="F378" s="0" t="n">
        <s:v>2786</s:v>
      </s:c>
      <s:c r="G378" s="0" t="n">
        <s:v>4727</s:v>
      </s:c>
      <s:c r="H378" s="0" t="n">
        <s:v>5446</s:v>
      </s:c>
      <s:c r="I378" s="0" t="n">
        <s:v>1444</s:v>
      </s:c>
      <s:c r="J378" s="0" t="n">
        <s:v>1904</s:v>
      </s:c>
      <s:c r="K378" s="22">
        <s:f>'1'!F379</s:f>
        <s:v>46247.56452546296</s:v>
      </s:c>
      <s:c r="L378" s="22">
        <s:f>'2'!F379</s:f>
        <s:v>46247.546261574076</s:v>
      </s:c>
      <s:c r="M378" s="22">
        <s:f>'3'!F379</s:f>
        <s:v>46247.52885416667</s:v>
      </s:c>
      <s:c r="N378" s="22">
        <s:f>'4'!F379</s:f>
        <s:v>46247.48296296296</s:v>
      </s:c>
      <s:c r="O378" s="22">
        <s:f>'5'!F379</s:f>
        <s:v>46247.454618055555</s:v>
      </s:c>
      <s:c r="P378" s="22">
        <s:f>'6'!F379</s:f>
        <s:v>46247.435162037036</s:v>
      </s:c>
      <s:c r="Q378" s="22">
        <s:f>'7'!F379</s:f>
        <s:v>46247.412511574075</s:v>
      </s:c>
      <s:c r="R378" s="22">
        <s:f>'8'!F379</s:f>
        <s:v>46247.38832175926</s:v>
      </s:c>
      <s:c r="S378" s="22">
        <s:f>'9'!F379</s:f>
        <s:v>46247.37050925926</s:v>
      </s:c>
      <s:c r="T378" s="22">
        <s:f>'10'!F379</s:f>
        <s:v>46247.34128472222</s:v>
      </s:c>
      <s:c r="U378" s="23">
        <s:f>'자료구성'!$B$2</s:f>
        <s:v>46247.0</s:v>
      </s:c>
    </s:row>
    <s:row r="379">
      <s:c r="A379" s="0" t="n">
        <s:v>1850</s:v>
      </s:c>
      <s:c r="B379" s="0" t="n">
        <s:v>1392</s:v>
      </s:c>
      <s:c r="C379" s="0" t="n">
        <s:v>1875</s:v>
      </s:c>
      <s:c r="D379" s="0" t="n">
        <s:v>991</s:v>
      </s:c>
      <s:c r="E379" s="0" t="n">
        <s:v>1424</s:v>
      </s:c>
      <s:c r="F379" s="0" t="n">
        <s:v>2781</s:v>
      </s:c>
      <s:c r="G379" s="0" t="n">
        <s:v>4622</s:v>
      </s:c>
      <s:c r="H379" s="0" t="n">
        <s:v>5495</s:v>
      </s:c>
      <s:c r="I379" s="0" t="n">
        <s:v>1413</s:v>
      </s:c>
      <s:c r="J379" s="0" t="n">
        <s:v>1975</s:v>
      </s:c>
      <s:c r="K379" s="22">
        <s:f>'1'!F380</s:f>
        <s:v>46247.56453703704</s:v>
      </s:c>
      <s:c r="L379" s="22">
        <s:f>'2'!F380</s:f>
        <s:v>46247.546273148146</s:v>
      </s:c>
      <s:c r="M379" s="22">
        <s:f>'3'!F380</s:f>
        <s:v>46247.528865740744</s:v>
      </s:c>
      <s:c r="N379" s="22">
        <s:f>'4'!F380</s:f>
        <s:v>46247.48297453704</s:v>
      </s:c>
      <s:c r="O379" s="22">
        <s:f>'5'!F380</s:f>
        <s:v>46247.45462962963</s:v>
      </s:c>
      <s:c r="P379" s="22">
        <s:f>'6'!F380</s:f>
        <s:v>46247.43517361111</s:v>
      </s:c>
      <s:c r="Q379" s="22">
        <s:f>'7'!F380</s:f>
        <s:v>46247.412523148145</s:v>
      </s:c>
      <s:c r="R379" s="22">
        <s:f>'8'!F380</s:f>
        <s:v>46247.388333333336</s:v>
      </s:c>
      <s:c r="S379" s="22">
        <s:f>'9'!F380</s:f>
        <s:v>46247.370520833334</s:v>
      </s:c>
      <s:c r="T379" s="22">
        <s:f>'10'!F380</s:f>
        <s:v>46247.3412962963</s:v>
      </s:c>
      <s:c r="U379" s="23">
        <s:f>'자료구성'!$B$2</s:f>
        <s:v>46247.0</s:v>
      </s:c>
    </s:row>
    <s:row r="380">
      <s:c r="A380" s="0" t="n">
        <s:v>1858</s:v>
      </s:c>
      <s:c r="B380" s="0" t="n">
        <s:v>1318</s:v>
      </s:c>
      <s:c r="C380" s="0" t="n">
        <s:v>1891</s:v>
      </s:c>
      <s:c r="D380" s="0" t="n">
        <s:v>0</s:v>
      </s:c>
      <s:c r="E380" s="0" t="n">
        <s:v>1436</s:v>
      </s:c>
      <s:c r="F380" s="0" t="n">
        <s:v>2807</s:v>
      </s:c>
      <s:c r="G380" s="0" t="n">
        <s:v>4508</s:v>
      </s:c>
      <s:c r="H380" s="0" t="n">
        <s:v>5496</s:v>
      </s:c>
      <s:c r="I380" s="0" t="n">
        <s:v>1412</s:v>
      </s:c>
      <s:c r="J380" s="0" t="n">
        <s:v>2014</s:v>
      </s:c>
      <s:c r="K380" s="22">
        <s:f>'1'!F381</s:f>
        <s:v>46247.56454861111</s:v>
      </s:c>
      <s:c r="L380" s="22">
        <s:f>'2'!F381</s:f>
        <s:v>46247.54628472222</s:v>
      </s:c>
      <s:c r="M380" s="22">
        <s:f>'3'!F381</s:f>
        <s:v>46247.52887731481</s:v>
      </s:c>
      <s:c r="N380" s="22">
        <s:f>'4'!F381</s:f>
        <s:v>46247.482986111114</s:v>
      </s:c>
      <s:c r="O380" s="22">
        <s:f>'5'!F381</s:f>
        <s:v>46247.4546412037</s:v>
      </s:c>
      <s:c r="P380" s="22">
        <s:f>'6'!F381</s:f>
        <s:v>46247.43518518518</s:v>
      </s:c>
      <s:c r="Q380" s="22">
        <s:f>'7'!F381</s:f>
        <s:v>46247.41253472222</s:v>
      </s:c>
      <s:c r="R380" s="22">
        <s:f>'8'!F381</s:f>
        <s:v>46247.388344907406</s:v>
      </s:c>
      <s:c r="S380" s="22">
        <s:f>'9'!F381</s:f>
        <s:v>46247.37053240741</s:v>
      </s:c>
      <s:c r="T380" s="22">
        <s:f>'10'!F381</s:f>
        <s:v>46247.34130787037</s:v>
      </s:c>
      <s:c r="U380" s="23">
        <s:f>'자료구성'!$B$2</s:f>
        <s:v>46247.0</s:v>
      </s:c>
    </s:row>
    <s:row r="381">
      <s:c r="A381" s="0" t="n">
        <s:v>1865</s:v>
      </s:c>
      <s:c r="B381" s="0" t="n">
        <s:v>1264</s:v>
      </s:c>
      <s:c r="C381" s="0" t="n">
        <s:v>1904</s:v>
      </s:c>
      <s:c r="D381" s="0" t="n">
        <s:v>32</s:v>
      </s:c>
      <s:c r="E381" s="0" t="n">
        <s:v>1454</s:v>
      </s:c>
      <s:c r="F381" s="0" t="n">
        <s:v>2822</s:v>
      </s:c>
      <s:c r="G381" s="0" t="n">
        <s:v>4442</s:v>
      </s:c>
      <s:c r="H381" s="0" t="n">
        <s:v>5526</s:v>
      </s:c>
      <s:c r="I381" s="0" t="n">
        <s:v>1404</s:v>
      </s:c>
      <s:c r="J381" s="0" t="n">
        <s:v>2034</s:v>
      </s:c>
      <s:c r="K381" s="22">
        <s:f>'1'!F382</s:f>
        <s:v>46247.56456018519</s:v>
      </s:c>
      <s:c r="L381" s="22">
        <s:f>'2'!F382</s:f>
        <s:v>46247.5462962963</s:v>
      </s:c>
      <s:c r="M381" s="22">
        <s:f>'3'!F382</s:f>
        <s:v>46247.52888888889</s:v>
      </s:c>
      <s:c r="N381" s="22">
        <s:f>'4'!F382</s:f>
        <s:v>46247.48299768518</s:v>
      </s:c>
      <s:c r="O381" s="22">
        <s:f>'5'!F382</s:f>
        <s:v>46247.45465277778</s:v>
      </s:c>
      <s:c r="P381" s="22">
        <s:f>'6'!F382</s:f>
        <s:v>46247.43519675926</s:v>
      </s:c>
      <s:c r="Q381" s="22">
        <s:f>'7'!F382</s:f>
        <s:v>46247.4125462963</s:v>
      </s:c>
      <s:c r="R381" s="22">
        <s:f>'8'!F382</s:f>
        <s:v>46247.38835648148</s:v>
      </s:c>
      <s:c r="S381" s="22">
        <s:f>'9'!F382</s:f>
        <s:v>46247.37054398148</s:v>
      </s:c>
      <s:c r="T381" s="22">
        <s:f>'10'!F382</s:f>
        <s:v>46247.341319444444</s:v>
      </s:c>
      <s:c r="U381" s="23">
        <s:f>'자료구성'!$B$2</s:f>
        <s:v>46247.0</s:v>
      </s:c>
    </s:row>
    <s:row r="382">
      <s:c r="A382" s="0" t="n">
        <s:v>1861</s:v>
      </s:c>
      <s:c r="B382" s="0" t="n">
        <s:v>1237</s:v>
      </s:c>
      <s:c r="C382" s="0" t="n">
        <s:v>1897</s:v>
      </s:c>
      <s:c r="D382" s="0" t="n">
        <s:v>46</s:v>
      </s:c>
      <s:c r="E382" s="0" t="n">
        <s:v>1454</s:v>
      </s:c>
      <s:c r="F382" s="0" t="n">
        <s:v>2846</s:v>
      </s:c>
      <s:c r="G382" s="0" t="n">
        <s:v>4382</s:v>
      </s:c>
      <s:c r="H382" s="0" t="n">
        <s:v>5537</s:v>
      </s:c>
      <s:c r="I382" s="0" t="n">
        <s:v>1379</s:v>
      </s:c>
      <s:c r="J382" s="0" t="n">
        <s:v>2003</s:v>
      </s:c>
      <s:c r="K382" s="22">
        <s:f>'1'!F383</s:f>
        <s:v>46247.564571759256</s:v>
      </s:c>
      <s:c r="L382" s="22">
        <s:f>'2'!F383</s:f>
        <s:v>46247.54630787037</s:v>
      </s:c>
      <s:c r="M382" s="22">
        <s:f>'3'!F383</s:f>
        <s:v>46247.52890046296</s:v>
      </s:c>
      <s:c r="N382" s="22">
        <s:f>'4'!F383</s:f>
        <s:v>46247.48300925926</s:v>
      </s:c>
      <s:c r="O382" s="22">
        <s:f>'5'!F383</s:f>
        <s:v>46247.454664351855</s:v>
      </s:c>
      <s:c r="P382" s="22">
        <s:f>'6'!F383</s:f>
        <s:v>46247.435208333336</s:v>
      </s:c>
      <s:c r="Q382" s="22">
        <s:f>'7'!F383</s:f>
        <s:v>46247.41255787037</s:v>
      </s:c>
      <s:c r="R382" s="22">
        <s:f>'8'!F383</s:f>
        <s:v>46247.38836805556</s:v>
      </s:c>
      <s:c r="S382" s="22">
        <s:f>'9'!F383</s:f>
        <s:v>46247.37055555556</s:v>
      </s:c>
      <s:c r="T382" s="22">
        <s:f>'10'!F383</s:f>
        <s:v>46247.34133101852</s:v>
      </s:c>
      <s:c r="U382" s="23">
        <s:f>'자료구성'!$B$2</s:f>
        <s:v>46247.0</s:v>
      </s:c>
    </s:row>
    <s:row r="383">
      <s:c r="A383" s="0" t="n">
        <s:v>1867</s:v>
      </s:c>
      <s:c r="B383" s="0" t="n">
        <s:v>1240</s:v>
      </s:c>
      <s:c r="C383" s="0" t="n">
        <s:v>1885</s:v>
      </s:c>
      <s:c r="D383" s="0" t="n">
        <s:v>8</s:v>
      </s:c>
      <s:c r="E383" s="0" t="n">
        <s:v>1431</s:v>
      </s:c>
      <s:c r="F383" s="0" t="n">
        <s:v>2864</s:v>
      </s:c>
      <s:c r="G383" s="0" t="n">
        <s:v>4448</s:v>
      </s:c>
      <s:c r="H383" s="0" t="n">
        <s:v>5653</s:v>
      </s:c>
      <s:c r="I383" s="0" t="n">
        <s:v>1379</s:v>
      </s:c>
      <s:c r="J383" s="0" t="n">
        <s:v>1971</s:v>
      </s:c>
      <s:c r="K383" s="22">
        <s:f>'1'!F384</s:f>
        <s:v>46247.56458333333</s:v>
      </s:c>
      <s:c r="L383" s="22">
        <s:f>'2'!F384</s:f>
        <s:v>46247.546319444446</s:v>
      </s:c>
      <s:c r="M383" s="22">
        <s:f>'3'!F384</s:f>
        <s:v>46247.528912037036</s:v>
      </s:c>
      <s:c r="N383" s="22">
        <s:f>'4'!F384</s:f>
        <s:v>46247.48302083334</s:v>
      </s:c>
      <s:c r="O383" s="22">
        <s:f>'5'!F384</s:f>
        <s:v>46247.454675925925</s:v>
      </s:c>
      <s:c r="P383" s="22">
        <s:f>'6'!F384</s:f>
        <s:v>46247.435219907406</s:v>
      </s:c>
      <s:c r="Q383" s="22">
        <s:f>'7'!F384</s:f>
        <s:v>46247.412569444445</s:v>
      </s:c>
      <s:c r="R383" s="22">
        <s:f>'8'!F384</s:f>
        <s:v>46247.38837962963</s:v>
      </s:c>
      <s:c r="S383" s="22">
        <s:f>'9'!F384</s:f>
        <s:v>46247.37056712963</s:v>
      </s:c>
      <s:c r="T383" s="22">
        <s:f>'10'!F384</s:f>
        <s:v>46247.34134259259</s:v>
      </s:c>
      <s:c r="U383" s="23">
        <s:f>'자료구성'!$B$2</s:f>
        <s:v>46247.0</s:v>
      </s:c>
    </s:row>
    <s:row r="384">
      <s:c r="A384" s="0" t="n">
        <s:v>1873</s:v>
      </s:c>
      <s:c r="B384" s="0" t="n">
        <s:v>1226</s:v>
      </s:c>
      <s:c r="C384" s="0" t="n">
        <s:v>1869</s:v>
      </s:c>
      <s:c r="D384" s="0" t="n">
        <s:v>983</s:v>
      </s:c>
      <s:c r="E384" s="0" t="n">
        <s:v>1420</s:v>
      </s:c>
      <s:c r="F384" s="0" t="n">
        <s:v>2846</s:v>
      </s:c>
      <s:c r="G384" s="0" t="n">
        <s:v>4463</s:v>
      </s:c>
      <s:c r="H384" s="0" t="n">
        <s:v>5692</s:v>
      </s:c>
      <s:c r="I384" s="0" t="n">
        <s:v>1402</s:v>
      </s:c>
      <s:c r="J384" s="0" t="n">
        <s:v>1946</s:v>
      </s:c>
      <s:c r="K384" s="22">
        <s:f>'1'!F385</s:f>
        <s:v>46247.56459490741</s:v>
      </s:c>
      <s:c r="L384" s="22">
        <s:f>'2'!F385</s:f>
        <s:v>46247.546331018515</s:v>
      </s:c>
      <s:c r="M384" s="22">
        <s:f>'3'!F385</s:f>
        <s:v>46247.52892361111</s:v>
      </s:c>
      <s:c r="N384" s="22">
        <s:f>'4'!F385</s:f>
        <s:v>46247.48303240741</s:v>
      </s:c>
      <s:c r="O384" s="22">
        <s:f>'5'!F385</s:f>
        <s:v>46247.4546875</s:v>
      </s:c>
      <s:c r="P384" s="22">
        <s:f>'6'!F385</s:f>
        <s:v>46247.43523148148</s:v>
      </s:c>
      <s:c r="Q384" s="22">
        <s:f>'7'!F385</s:f>
        <s:v>46247.41258101852</s:v>
      </s:c>
      <s:c r="R384" s="22">
        <s:f>'8'!F385</s:f>
        <s:v>46247.388391203705</s:v>
      </s:c>
      <s:c r="S384" s="22">
        <s:f>'9'!F385</s:f>
        <s:v>46247.3705787037</s:v>
      </s:c>
      <s:c r="T384" s="22">
        <s:f>'10'!F385</s:f>
        <s:v>46247.34135416667</s:v>
      </s:c>
      <s:c r="U384" s="23">
        <s:f>'자료구성'!$B$2</s:f>
        <s:v>46247.0</s:v>
      </s:c>
    </s:row>
    <s:row r="385">
      <s:c r="A385" s="0" t="n">
        <s:v>1890</s:v>
      </s:c>
      <s:c r="B385" s="0" t="n">
        <s:v>1248</s:v>
      </s:c>
      <s:c r="C385" s="0" t="n">
        <s:v>1866</s:v>
      </s:c>
      <s:c r="D385" s="0" t="n">
        <s:v>976</s:v>
      </s:c>
      <s:c r="E385" s="0" t="n">
        <s:v>1423</s:v>
      </s:c>
      <s:c r="F385" s="0" t="n">
        <s:v>2868</s:v>
      </s:c>
      <s:c r="G385" s="0" t="n">
        <s:v>4417</s:v>
      </s:c>
      <s:c r="H385" s="0" t="n">
        <s:v>5725</s:v>
      </s:c>
      <s:c r="I385" s="0" t="n">
        <s:v>1430</s:v>
      </s:c>
      <s:c r="J385" s="0" t="n">
        <s:v>1916</s:v>
      </s:c>
      <s:c r="K385" s="22">
        <s:f>'1'!F386</s:f>
        <s:v>46247.56460648148</s:v>
      </s:c>
      <s:c r="L385" s="22">
        <s:f>'2'!F386</s:f>
        <s:v>46247.54634259259</s:v>
      </s:c>
      <s:c r="M385" s="22">
        <s:f>'3'!F386</s:f>
        <s:v>46247.52893518518</s:v>
      </s:c>
      <s:c r="N385" s="22">
        <s:f>'4'!F386</s:f>
        <s:v>46247.48304398148</s:v>
      </s:c>
      <s:c r="O385" s="22">
        <s:f>'5'!F386</s:f>
        <s:v>46247.45469907407</s:v>
      </s:c>
      <s:c r="P385" s="22">
        <s:f>'6'!F386</s:f>
        <s:v>46247.43524305556</s:v>
      </s:c>
      <s:c r="Q385" s="22">
        <s:f>'7'!F386</s:f>
        <s:v>46247.41259259259</s:v>
      </s:c>
      <s:c r="R385" s="22">
        <s:f>'8'!F386</s:f>
        <s:v>46247.388402777775</s:v>
      </s:c>
      <s:c r="S385" s="22">
        <s:f>'9'!F386</s:f>
        <s:v>46247.37059027778</s:v>
      </s:c>
      <s:c r="T385" s="22">
        <s:f>'10'!F386</s:f>
        <s:v>46247.341365740744</s:v>
      </s:c>
      <s:c r="U385" s="23">
        <s:f>'자료구성'!$B$2</s:f>
        <s:v>46247.0</s:v>
      </s:c>
    </s:row>
    <s:row r="386">
      <s:c r="A386" s="0" t="n">
        <s:v>1915</s:v>
      </s:c>
      <s:c r="B386" s="0" t="n">
        <s:v>1273</s:v>
      </s:c>
      <s:c r="C386" s="0" t="n">
        <s:v>1871</s:v>
      </s:c>
      <s:c r="D386" s="0" t="n">
        <s:v>989</s:v>
      </s:c>
      <s:c r="E386" s="0" t="n">
        <s:v>1448</s:v>
      </s:c>
      <s:c r="F386" s="0" t="n">
        <s:v>2865</s:v>
      </s:c>
      <s:c r="G386" s="0" t="n">
        <s:v>4360</s:v>
      </s:c>
      <s:c r="H386" s="0" t="n">
        <s:v>5746</s:v>
      </s:c>
      <s:c r="I386" s="0" t="n">
        <s:v>1437</s:v>
      </s:c>
      <s:c r="J386" s="0" t="n">
        <s:v>1919</s:v>
      </s:c>
      <s:c r="K386" s="22">
        <s:f>'1'!F387</s:f>
        <s:v>46247.564618055556</s:v>
      </s:c>
      <s:c r="L386" s="22">
        <s:f>'2'!F387</s:f>
        <s:v>46247.54635416667</s:v>
      </s:c>
      <s:c r="M386" s="22">
        <s:f>'3'!F387</s:f>
        <s:v>46247.52894675926</s:v>
      </s:c>
      <s:c r="N386" s="22">
        <s:f>'4'!F387</s:f>
        <s:v>46247.48305555555</s:v>
      </s:c>
      <s:c r="O386" s="22">
        <s:f>'5'!F387</s:f>
        <s:v>46247.45471064815</s:v>
      </s:c>
      <s:c r="P386" s="22">
        <s:f>'6'!F387</s:f>
        <s:v>46247.43525462963</s:v>
      </s:c>
      <s:c r="Q386" s="22">
        <s:f>'7'!F387</s:f>
        <s:v>46247.41260416667</s:v>
      </s:c>
      <s:c r="R386" s="22">
        <s:f>'8'!F387</s:f>
        <s:v>46247.38841435185</s:v>
      </s:c>
      <s:c r="S386" s="22">
        <s:f>'9'!F387</s:f>
        <s:v>46247.37060185185</s:v>
      </s:c>
      <s:c r="T386" s="22">
        <s:f>'10'!F387</s:f>
        <s:v>46247.34137731481</s:v>
      </s:c>
      <s:c r="U386" s="23">
        <s:f>'자료구성'!$B$2</s:f>
        <s:v>46247.0</s:v>
      </s:c>
    </s:row>
    <s:row r="387">
      <s:c r="A387" s="0" t="n">
        <s:v>1924</s:v>
      </s:c>
      <s:c r="B387" s="0" t="n">
        <s:v>1244</s:v>
      </s:c>
      <s:c r="C387" s="0" t="n">
        <s:v>1846</s:v>
      </s:c>
      <s:c r="D387" s="0" t="n">
        <s:v>981</s:v>
      </s:c>
      <s:c r="E387" s="0" t="n">
        <s:v>1462</s:v>
      </s:c>
      <s:c r="F387" s="0" t="n">
        <s:v>2871</s:v>
      </s:c>
      <s:c r="G387" s="0" t="n">
        <s:v>4272</s:v>
      </s:c>
      <s:c r="H387" s="0" t="n">
        <s:v>5658</s:v>
      </s:c>
      <s:c r="I387" s="0" t="n">
        <s:v>1435</s:v>
      </s:c>
      <s:c r="J387" s="0" t="n">
        <s:v>1948</s:v>
      </s:c>
      <s:c r="K387" s="22">
        <s:f>'1'!F388</s:f>
        <s:v>46247.56462962963</s:v>
      </s:c>
      <s:c r="L387" s="22">
        <s:f>'2'!F388</s:f>
        <s:v>46247.54636574074</s:v>
      </s:c>
      <s:c r="M387" s="22">
        <s:f>'3'!F388</s:f>
        <s:v>46247.528958333336</s:v>
      </s:c>
      <s:c r="N387" s="22">
        <s:f>'4'!F388</s:f>
        <s:v>46247.48306712963</s:v>
      </s:c>
      <s:c r="O387" s="22">
        <s:f>'5'!F388</s:f>
        <s:v>46247.454722222225</s:v>
      </s:c>
      <s:c r="P387" s="22">
        <s:f>'6'!F388</s:f>
        <s:v>46247.435266203705</s:v>
      </s:c>
      <s:c r="Q387" s="22">
        <s:f>'7'!F388</s:f>
        <s:v>46247.41261574074</s:v>
      </s:c>
      <s:c r="R387" s="22">
        <s:f>'8'!F388</s:f>
        <s:v>46247.38842592593</s:v>
      </s:c>
      <s:c r="S387" s="22">
        <s:f>'9'!F388</s:f>
        <s:v>46247.37061342593</s:v>
      </s:c>
      <s:c r="T387" s="22">
        <s:f>'10'!F388</s:f>
        <s:v>46247.34138888889</s:v>
      </s:c>
      <s:c r="U387" s="23">
        <s:f>'자료구성'!$B$2</s:f>
        <s:v>46247.0</s:v>
      </s:c>
    </s:row>
    <s:row r="388">
      <s:c r="A388" s="0" t="n">
        <s:v>1935</s:v>
      </s:c>
      <s:c r="B388" s="0" t="n">
        <s:v>1227</s:v>
      </s:c>
      <s:c r="C388" s="0" t="n">
        <s:v>1838</s:v>
      </s:c>
      <s:c r="D388" s="0" t="n">
        <s:v>972</s:v>
      </s:c>
      <s:c r="E388" s="0" t="n">
        <s:v>1466</s:v>
      </s:c>
      <s:c r="F388" s="0" t="n">
        <s:v>2838</s:v>
      </s:c>
      <s:c r="G388" s="0" t="n">
        <s:v>4231</s:v>
      </s:c>
      <s:c r="H388" s="0" t="n">
        <s:v>5417</s:v>
      </s:c>
      <s:c r="I388" s="0" t="n">
        <s:v>1426</s:v>
      </s:c>
      <s:c r="J388" s="0" t="n">
        <s:v>1958</s:v>
      </s:c>
      <s:c r="K388" s="22">
        <s:f>'1'!F389</s:f>
        <s:v>46247.5646412037</s:v>
      </s:c>
      <s:c r="L388" s="22">
        <s:f>'2'!F389</s:f>
        <s:v>46247.546377314815</s:v>
      </s:c>
      <s:c r="M388" s="22">
        <s:f>'3'!F389</s:f>
        <s:v>46247.528969907406</s:v>
      </s:c>
      <s:c r="N388" s="22">
        <s:f>'4'!F389</s:f>
        <s:v>46247.483078703706</s:v>
      </s:c>
      <s:c r="O388" s="22">
        <s:f>'5'!F389</s:f>
        <s:v>46247.454733796294</s:v>
      </s:c>
      <s:c r="P388" s="22">
        <s:f>'6'!F389</s:f>
        <s:v>46247.435277777775</s:v>
      </s:c>
      <s:c r="Q388" s="22">
        <s:f>'7'!F389</s:f>
        <s:v>46247.412627314814</s:v>
      </s:c>
      <s:c r="R388" s="22">
        <s:f>'8'!F389</s:f>
        <s:v>46247.3884375</s:v>
      </s:c>
      <s:c r="S388" s="22">
        <s:f>'9'!F389</s:f>
        <s:v>46247.370625</s:v>
      </s:c>
      <s:c r="T388" s="22">
        <s:f>'10'!F389</s:f>
        <s:v>46247.34140046296</s:v>
      </s:c>
      <s:c r="U388" s="23">
        <s:f>'자료구성'!$B$2</s:f>
        <s:v>46247.0</s:v>
      </s:c>
    </s:row>
    <s:row r="389">
      <s:c r="A389" s="0" t="n">
        <s:v>1969</s:v>
      </s:c>
      <s:c r="B389" s="0" t="n">
        <s:v>1203</s:v>
      </s:c>
      <s:c r="C389" s="0" t="n">
        <s:v>1854</s:v>
      </s:c>
      <s:c r="D389" s="0" t="n">
        <s:v>974</s:v>
      </s:c>
      <s:c r="E389" s="0" t="n">
        <s:v>1458</s:v>
      </s:c>
      <s:c r="F389" s="0" t="n">
        <s:v>2838</s:v>
      </s:c>
      <s:c r="G389" s="0" t="n">
        <s:v>4255</s:v>
      </s:c>
      <s:c r="H389" s="0" t="n">
        <s:v>5201</s:v>
      </s:c>
      <s:c r="I389" s="0" t="n">
        <s:v>1422</s:v>
      </s:c>
      <s:c r="J389" s="0" t="n">
        <s:v>1958</s:v>
      </s:c>
      <s:c r="K389" s="22">
        <s:f>'1'!F390</s:f>
        <s:v>46247.56465277778</s:v>
      </s:c>
      <s:c r="L389" s="22">
        <s:f>'2'!F390</s:f>
        <s:v>46247.54638888889</s:v>
      </s:c>
      <s:c r="M389" s="22">
        <s:f>'3'!F390</s:f>
        <s:v>46247.52898148148</s:v>
      </s:c>
      <s:c r="N389" s="22">
        <s:f>'4'!F390</s:f>
        <s:v>46247.483090277776</s:v>
      </s:c>
      <s:c r="O389" s="22">
        <s:f>'5'!F390</s:f>
        <s:v>46247.45474537037</s:v>
      </s:c>
      <s:c r="P389" s="22">
        <s:f>'6'!F390</s:f>
        <s:v>46247.43528935185</s:v>
      </s:c>
      <s:c r="Q389" s="22">
        <s:f>'7'!F390</s:f>
        <s:v>46247.41263888889</s:v>
      </s:c>
      <s:c r="R389" s="22">
        <s:f>'8'!F390</s:f>
        <s:v>46247.388449074075</s:v>
      </s:c>
      <s:c r="S389" s="22">
        <s:f>'9'!F390</s:f>
        <s:v>46247.37063657407</s:v>
      </s:c>
      <s:c r="T389" s="22">
        <s:f>'10'!F390</s:f>
        <s:v>46247.341412037036</s:v>
      </s:c>
      <s:c r="U389" s="23">
        <s:f>'자료구성'!$B$2</s:f>
        <s:v>46247.0</s:v>
      </s:c>
    </s:row>
    <s:row r="390">
      <s:c r="A390" s="0" t="n">
        <s:v>1985</s:v>
      </s:c>
      <s:c r="B390" s="0" t="n">
        <s:v>1192</s:v>
      </s:c>
      <s:c r="C390" s="0" t="n">
        <s:v>1899</s:v>
      </s:c>
      <s:c r="D390" s="0" t="n">
        <s:v>966</s:v>
      </s:c>
      <s:c r="E390" s="0" t="n">
        <s:v>1466</s:v>
      </s:c>
      <s:c r="F390" s="0" t="n">
        <s:v>2839</s:v>
      </s:c>
      <s:c r="G390" s="0" t="n">
        <s:v>4289</s:v>
      </s:c>
      <s:c r="H390" s="0" t="n">
        <s:v>5160</s:v>
      </s:c>
      <s:c r="I390" s="0" t="n">
        <s:v>1422</s:v>
      </s:c>
      <s:c r="J390" s="0" t="n">
        <s:v>1972</s:v>
      </s:c>
      <s:c r="K390" s="22">
        <s:f>'1'!F391</s:f>
        <s:v>46247.56466435185</s:v>
      </s:c>
      <s:c r="L390" s="22">
        <s:f>'2'!F391</s:f>
        <s:v>46247.54640046296</s:v>
      </s:c>
      <s:c r="M390" s="22">
        <s:f>'3'!F391</s:f>
        <s:v>46247.52899305556</s:v>
      </s:c>
      <s:c r="N390" s="22">
        <s:f>'4'!F391</s:f>
        <s:v>46247.48310185185</s:v>
      </s:c>
      <s:c r="O390" s="22">
        <s:f>'5'!F391</s:f>
        <s:v>46247.45475694445</s:v>
      </s:c>
      <s:c r="P390" s="22">
        <s:f>'6'!F391</s:f>
        <s:v>46247.43530092593</s:v>
      </s:c>
      <s:c r="Q390" s="22">
        <s:f>'7'!F391</s:f>
        <s:v>46247.41265046296</s:v>
      </s:c>
      <s:c r="R390" s="22">
        <s:f>'8'!F391</s:f>
        <s:v>46247.38846064815</s:v>
      </s:c>
      <s:c r="S390" s="22">
        <s:f>'9'!F391</s:f>
        <s:v>46247.37064814815</s:v>
      </s:c>
      <s:c r="T390" s="22">
        <s:f>'10'!F391</s:f>
        <s:v>46247.34142361111</s:v>
      </s:c>
      <s:c r="U390" s="23">
        <s:f>'자료구성'!$B$2</s:f>
        <s:v>46247.0</s:v>
      </s:c>
    </s:row>
    <s:row r="391">
      <s:c r="A391" s="0" t="n">
        <s:v>2022</s:v>
      </s:c>
      <s:c r="B391" s="0" t="n">
        <s:v>1178</s:v>
      </s:c>
      <s:c r="C391" s="0" t="n">
        <s:v>1945</s:v>
      </s:c>
      <s:c r="D391" s="0" t="n">
        <s:v>975</s:v>
      </s:c>
      <s:c r="E391" s="0" t="n">
        <s:v>1474</s:v>
      </s:c>
      <s:c r="F391" s="0" t="n">
        <s:v>2875</s:v>
      </s:c>
      <s:c r="G391" s="0" t="n">
        <s:v>4322</s:v>
      </s:c>
      <s:c r="H391" s="0" t="n">
        <s:v>5281</s:v>
      </s:c>
      <s:c r="I391" s="0" t="n">
        <s:v>1416</s:v>
      </s:c>
      <s:c r="J391" s="0" t="n">
        <s:v>1930</s:v>
      </s:c>
      <s:c r="K391" s="22">
        <s:f>'1'!F392</s:f>
        <s:v>46247.564675925925</s:v>
      </s:c>
      <s:c r="L391" s="22">
        <s:f>'2'!F392</s:f>
        <s:v>46247.54641203704</s:v>
      </s:c>
      <s:c r="M391" s="22">
        <s:f>'3'!F392</s:f>
        <s:v>46247.52900462963</s:v>
      </s:c>
      <s:c r="N391" s="22">
        <s:f>'4'!F392</s:f>
        <s:v>46247.48311342593</s:v>
      </s:c>
      <s:c r="O391" s="22">
        <s:f>'5'!F392</s:f>
        <s:v>46247.45476851852</s:v>
      </s:c>
      <s:c r="P391" s="22">
        <s:f>'6'!F392</s:f>
        <s:v>46247.4353125</s:v>
      </s:c>
      <s:c r="Q391" s="22">
        <s:f>'7'!F392</s:f>
        <s:v>46247.41266203704</s:v>
      </s:c>
      <s:c r="R391" s="22">
        <s:f>'8'!F392</s:f>
        <s:v>46247.38847222222</s:v>
      </s:c>
      <s:c r="S391" s="22">
        <s:f>'9'!F392</s:f>
        <s:v>46247.37065972222</s:v>
      </s:c>
      <s:c r="T391" s="22">
        <s:f>'10'!F392</s:f>
        <s:v>46247.34143518518</s:v>
      </s:c>
      <s:c r="U391" s="23">
        <s:f>'자료구성'!$B$2</s:f>
        <s:v>46247.0</s:v>
      </s:c>
    </s:row>
    <s:row r="392">
      <s:c r="A392" s="0" t="n">
        <s:v>2046</s:v>
      </s:c>
      <s:c r="B392" s="0" t="n">
        <s:v>1152</s:v>
      </s:c>
      <s:c r="C392" s="0" t="n">
        <s:v>2001</s:v>
      </s:c>
      <s:c r="D392" s="0" t="n">
        <s:v>1</s:v>
      </s:c>
      <s:c r="E392" s="0" t="n">
        <s:v>1475</s:v>
      </s:c>
      <s:c r="F392" s="0" t="n">
        <s:v>2915</s:v>
      </s:c>
      <s:c r="G392" s="0" t="n">
        <s:v>4326</s:v>
      </s:c>
      <s:c r="H392" s="0" t="n">
        <s:v>5464</s:v>
      </s:c>
      <s:c r="I392" s="0" t="n">
        <s:v>1425</s:v>
      </s:c>
      <s:c r="J392" s="0" t="n">
        <s:v>1880</s:v>
      </s:c>
      <s:c r="K392" s="22">
        <s:f>'1'!F393</s:f>
        <s:v>46247.5646875</s:v>
      </s:c>
      <s:c r="L392" s="22">
        <s:f>'2'!F393</s:f>
        <s:v>46247.546423611115</s:v>
      </s:c>
      <s:c r="M392" s="22">
        <s:f>'3'!F393</s:f>
        <s:v>46247.529016203705</s:v>
      </s:c>
      <s:c r="N392" s="22">
        <s:f>'4'!F393</s:f>
        <s:v>46247.483125</s:v>
      </s:c>
      <s:c r="O392" s="22">
        <s:f>'5'!F393</s:f>
        <s:v>46247.454780092594</s:v>
      </s:c>
      <s:c r="P392" s="22">
        <s:f>'6'!F393</s:f>
        <s:v>46247.435324074075</s:v>
      </s:c>
      <s:c r="Q392" s="22">
        <s:f>'7'!F393</s:f>
        <s:v>46247.412673611114</s:v>
      </s:c>
      <s:c r="R392" s="22">
        <s:f>'8'!F393</s:f>
        <s:v>46247.3884837963</s:v>
      </s:c>
      <s:c r="S392" s="22">
        <s:f>'9'!F393</s:f>
        <s:v>46247.370671296296</s:v>
      </s:c>
      <s:c r="T392" s="22">
        <s:f>'10'!F393</s:f>
        <s:v>46247.34144675926</s:v>
      </s:c>
      <s:c r="U392" s="23">
        <s:f>'자료구성'!$B$2</s:f>
        <s:v>46247.0</s:v>
      </s:c>
    </s:row>
    <s:row r="393">
      <s:c r="A393" s="0" t="n">
        <s:v>2063</s:v>
      </s:c>
      <s:c r="B393" s="0" t="n">
        <s:v>1131</s:v>
      </s:c>
      <s:c r="C393" s="0" t="n">
        <s:v>2060</s:v>
      </s:c>
      <s:c r="D393" s="0" t="n">
        <s:v>14</s:v>
      </s:c>
      <s:c r="E393" s="0" t="n">
        <s:v>1487</s:v>
      </s:c>
      <s:c r="F393" s="0" t="n">
        <s:v>2954</s:v>
      </s:c>
      <s:c r="G393" s="0" t="n">
        <s:v>4327</s:v>
      </s:c>
      <s:c r="H393" s="0" t="n">
        <s:v>5631</s:v>
      </s:c>
      <s:c r="I393" s="0" t="n">
        <s:v>1473</s:v>
      </s:c>
      <s:c r="J393" s="0" t="n">
        <s:v>1882</s:v>
      </s:c>
      <s:c r="K393" s="22">
        <s:f>'1'!F394</s:f>
        <s:v>46247.56469907407</s:v>
      </s:c>
      <s:c r="L393" s="22">
        <s:f>'2'!F394</s:f>
        <s:v>46247.546435185184</s:v>
      </s:c>
      <s:c r="M393" s="22">
        <s:f>'3'!F394</s:f>
        <s:v>46247.529027777775</s:v>
      </s:c>
      <s:c r="N393" s="22">
        <s:f>'4'!F394</s:f>
        <s:v>46247.483136574076</s:v>
      </s:c>
      <s:c r="O393" s="22">
        <s:f>'5'!F394</s:f>
        <s:v>46247.45479166666</s:v>
      </s:c>
      <s:c r="P393" s="22">
        <s:f>'6'!F394</s:f>
        <s:v>46247.43533564815</s:v>
      </s:c>
      <s:c r="Q393" s="22">
        <s:f>'7'!F394</s:f>
        <s:v>46247.41268518518</s:v>
      </s:c>
      <s:c r="R393" s="22">
        <s:f>'8'!F394</s:f>
        <s:v>46247.38849537037</s:v>
      </s:c>
      <s:c r="S393" s="22">
        <s:f>'9'!F394</s:f>
        <s:v>46247.37068287037</s:v>
      </s:c>
      <s:c r="T393" s="22">
        <s:f>'10'!F394</s:f>
        <s:v>46247.341458333336</s:v>
      </s:c>
      <s:c r="U393" s="23">
        <s:f>'자료구성'!$B$2</s:f>
        <s:v>46247.0</s:v>
      </s:c>
    </s:row>
    <s:row r="394">
      <s:c r="A394" s="0" t="n">
        <s:v>2055</s:v>
      </s:c>
      <s:c r="B394" s="0" t="n">
        <s:v>1110</s:v>
      </s:c>
      <s:c r="C394" s="0" t="n">
        <s:v>2102</s:v>
      </s:c>
      <s:c r="D394" s="0" t="n">
        <s:v>51</s:v>
      </s:c>
      <s:c r="E394" s="0" t="n">
        <s:v>1506</s:v>
      </s:c>
      <s:c r="F394" s="0" t="n">
        <s:v>2979</s:v>
      </s:c>
      <s:c r="G394" s="0" t="n">
        <s:v>4201</s:v>
      </s:c>
      <s:c r="H394" s="0" t="n">
        <s:v>5830</s:v>
      </s:c>
      <s:c r="I394" s="0" t="n">
        <s:v>1471</s:v>
      </s:c>
      <s:c r="J394" s="0" t="n">
        <s:v>1882</s:v>
      </s:c>
      <s:c r="K394" s="22">
        <s:f>'1'!F395</s:f>
        <s:v>46247.56471064815</s:v>
      </s:c>
      <s:c r="L394" s="22">
        <s:f>'2'!F395</s:f>
        <s:v>46247.54644675926</s:v>
      </s:c>
      <s:c r="M394" s="22">
        <s:f>'3'!F395</s:f>
        <s:v>46247.52903935185</s:v>
      </s:c>
      <s:c r="N394" s="22">
        <s:f>'4'!F395</s:f>
        <s:v>46247.483148148145</s:v>
      </s:c>
      <s:c r="O394" s="22">
        <s:f>'5'!F395</s:f>
        <s:v>46247.45480324074</s:v>
      </s:c>
      <s:c r="P394" s="22">
        <s:f>'6'!F395</s:f>
        <s:v>46247.43534722222</s:v>
      </s:c>
      <s:c r="Q394" s="22">
        <s:f>'7'!F395</s:f>
        <s:v>46247.41269675926</s:v>
      </s:c>
      <s:c r="R394" s="22">
        <s:f>'8'!F395</s:f>
        <s:v>46247.388506944444</s:v>
      </s:c>
      <s:c r="S394" s="22">
        <s:f>'9'!F395</s:f>
        <s:v>46247.37069444444</s:v>
      </s:c>
      <s:c r="T394" s="22">
        <s:f>'10'!F395</s:f>
        <s:v>46247.341469907406</s:v>
      </s:c>
      <s:c r="U394" s="23">
        <s:f>'자료구성'!$B$2</s:f>
        <s:v>46247.0</s:v>
      </s:c>
    </s:row>
    <s:row r="395">
      <s:c r="A395" s="0" t="n">
        <s:v>2049</s:v>
      </s:c>
      <s:c r="B395" s="0" t="n">
        <s:v>1082</s:v>
      </s:c>
      <s:c r="C395" s="0" t="n">
        <s:v>2099</s:v>
      </s:c>
      <s:c r="D395" s="0" t="n">
        <s:v>71</s:v>
      </s:c>
      <s:c r="E395" s="0" t="n">
        <s:v>1526</s:v>
      </s:c>
      <s:c r="F395" s="0" t="n">
        <s:v>3016</s:v>
      </s:c>
      <s:c r="G395" s="0" t="n">
        <s:v>4109</s:v>
      </s:c>
      <s:c r="H395" s="0" t="n">
        <s:v>5931</s:v>
      </s:c>
      <s:c r="I395" s="0" t="n">
        <s:v>1450</s:v>
      </s:c>
      <s:c r="J395" s="0" t="n">
        <s:v>1793</s:v>
      </s:c>
      <s:c r="K395" s="22">
        <s:f>'1'!F396</s:f>
        <s:v>46247.564722222225</s:v>
      </s:c>
      <s:c r="L395" s="22">
        <s:f>'2'!F396</s:f>
        <s:v>46247.54645833333</s:v>
      </s:c>
      <s:c r="M395" s="22">
        <s:f>'3'!F396</s:f>
        <s:v>46247.52905092593</s:v>
      </s:c>
      <s:c r="N395" s="22">
        <s:f>'4'!F396</s:f>
        <s:v>46247.48315972222</s:v>
      </s:c>
      <s:c r="O395" s="22">
        <s:f>'5'!F396</s:f>
        <s:v>46247.45481481482</s:v>
      </s:c>
      <s:c r="P395" s="22">
        <s:f>'6'!F396</s:f>
        <s:v>46247.4353587963</s:v>
      </s:c>
      <s:c r="Q395" s="22">
        <s:f>'7'!F396</s:f>
        <s:v>46247.41270833334</s:v>
      </s:c>
      <s:c r="R395" s="22">
        <s:f>'8'!F396</s:f>
        <s:v>46247.38851851852</s:v>
      </s:c>
      <s:c r="S395" s="22">
        <s:f>'9'!F396</s:f>
        <s:v>46247.37070601852</s:v>
      </s:c>
      <s:c r="T395" s="22">
        <s:f>'10'!F396</s:f>
        <s:v>46247.34148148148</s:v>
      </s:c>
      <s:c r="U395" s="23">
        <s:f>'자료구성'!$B$2</s:f>
        <s:v>46247.0</s:v>
      </s:c>
    </s:row>
    <s:row r="396">
      <s:c r="A396" s="0" t="n">
        <s:v>2039</s:v>
      </s:c>
      <s:c r="B396" s="0" t="n">
        <s:v>1065</s:v>
      </s:c>
      <s:c r="C396" s="0" t="n">
        <s:v>2102</s:v>
      </s:c>
      <s:c r="D396" s="0" t="n">
        <s:v>74</s:v>
      </s:c>
      <s:c r="E396" s="0" t="n">
        <s:v>1545</s:v>
      </s:c>
      <s:c r="F396" s="0" t="n">
        <s:v>3041</s:v>
      </s:c>
      <s:c r="G396" s="0" t="n">
        <s:v>4064</s:v>
      </s:c>
      <s:c r="H396" s="0" t="n">
        <s:v>5965</s:v>
      </s:c>
      <s:c r="I396" s="0" t="n">
        <s:v>1438</s:v>
      </s:c>
      <s:c r="J396" s="0" t="n">
        <s:v>1751</s:v>
      </s:c>
      <s:c r="K396" s="22">
        <s:f>'1'!F397</s:f>
        <s:v>46247.564733796295</s:v>
      </s:c>
      <s:c r="L396" s="22">
        <s:f>'2'!F397</s:f>
        <s:v>46247.54646990741</s:v>
      </s:c>
      <s:c r="M396" s="22">
        <s:f>'3'!F397</s:f>
        <s:v>46247.5290625</s:v>
      </s:c>
      <s:c r="N396" s="22">
        <s:f>'4'!F397</s:f>
        <s:v>46247.4831712963</s:v>
      </s:c>
      <s:c r="O396" s="22">
        <s:f>'5'!F397</s:f>
        <s:v>46247.45482638889</s:v>
      </s:c>
      <s:c r="P396" s="22">
        <s:f>'6'!F397</s:f>
        <s:v>46247.43537037037</s:v>
      </s:c>
      <s:c r="Q396" s="22">
        <s:f>'7'!F397</s:f>
        <s:v>46247.41271990741</s:v>
      </s:c>
      <s:c r="R396" s="22">
        <s:f>'8'!F397</s:f>
        <s:v>46247.38853009259</s:v>
      </s:c>
      <s:c r="S396" s="22">
        <s:f>'9'!F397</s:f>
        <s:v>46247.370717592596</s:v>
      </s:c>
      <s:c r="T396" s="22">
        <s:f>'10'!F397</s:f>
        <s:v>46247.34149305556</s:v>
      </s:c>
      <s:c r="U396" s="23">
        <s:f>'자료구성'!$B$2</s:f>
        <s:v>46247.0</s:v>
      </s:c>
    </s:row>
    <s:row r="397">
      <s:c r="A397" s="0" t="n">
        <s:v>2037</s:v>
      </s:c>
      <s:c r="B397" s="0" t="n">
        <s:v>1048</s:v>
      </s:c>
      <s:c r="C397" s="0" t="n">
        <s:v>2117</s:v>
      </s:c>
      <s:c r="D397" s="0" t="n">
        <s:v>28</s:v>
      </s:c>
      <s:c r="E397" s="0" t="n">
        <s:v>1552</s:v>
      </s:c>
      <s:c r="F397" s="0" t="n">
        <s:v>3131</s:v>
      </s:c>
      <s:c r="G397" s="0" t="n">
        <s:v>4048</s:v>
      </s:c>
      <s:c r="H397" s="0" t="n">
        <s:v>5926</s:v>
      </s:c>
      <s:c r="I397" s="0" t="n">
        <s:v>1436</s:v>
      </s:c>
      <s:c r="J397" s="0" t="n">
        <s:v>1696</s:v>
      </s:c>
      <s:c r="K397" s="22">
        <s:f>'1'!F398</s:f>
        <s:v>46247.56474537037</s:v>
      </s:c>
      <s:c r="L397" s="22">
        <s:f>'2'!F398</s:f>
        <s:v>46247.546481481484</s:v>
      </s:c>
      <s:c r="M397" s="22">
        <s:f>'3'!F398</s:f>
        <s:v>46247.529074074075</s:v>
      </s:c>
      <s:c r="N397" s="22">
        <s:f>'4'!F398</s:f>
        <s:v>46247.48318287037</s:v>
      </s:c>
      <s:c r="O397" s="22">
        <s:f>'5'!F398</s:f>
        <s:v>46247.45483796296</s:v>
      </s:c>
      <s:c r="P397" s="22">
        <s:f>'6'!F398</s:f>
        <s:v>46247.435381944444</s:v>
      </s:c>
      <s:c r="Q397" s="22">
        <s:f>'7'!F398</s:f>
        <s:v>46247.41273148148</s:v>
      </s:c>
      <s:c r="R397" s="22">
        <s:f>'8'!F398</s:f>
        <s:v>46247.38854166667</s:v>
      </s:c>
      <s:c r="S397" s="22">
        <s:f>'9'!F398</s:f>
        <s:v>46247.370729166665</s:v>
      </s:c>
      <s:c r="T397" s="22">
        <s:f>'10'!F398</s:f>
        <s:v>46247.34150462963</s:v>
      </s:c>
      <s:c r="U397" s="23">
        <s:f>'자료구성'!$B$2</s:f>
        <s:v>46247.0</s:v>
      </s:c>
    </s:row>
    <s:row r="398">
      <s:c r="A398" s="0" t="n">
        <s:v>1983</s:v>
      </s:c>
      <s:c r="B398" s="0" t="n">
        <s:v>1048</s:v>
      </s:c>
      <s:c r="C398" s="0" t="n">
        <s:v>2103</s:v>
      </s:c>
      <s:c r="D398" s="0" t="n">
        <s:v>972</s:v>
      </s:c>
      <s:c r="E398" s="0" t="n">
        <s:v>1571</s:v>
      </s:c>
      <s:c r="F398" s="0" t="n">
        <s:v>3170</s:v>
      </s:c>
      <s:c r="G398" s="0" t="n">
        <s:v>4048</s:v>
      </s:c>
      <s:c r="H398" s="0" t="n">
        <s:v>5996</s:v>
      </s:c>
      <s:c r="I398" s="0" t="n">
        <s:v>1451</s:v>
      </s:c>
      <s:c r="J398" s="0" t="n">
        <s:v>1692</s:v>
      </s:c>
      <s:c r="K398" s="22">
        <s:f>'1'!F399</s:f>
        <s:v>46247.56475694444</s:v>
      </s:c>
      <s:c r="L398" s="22">
        <s:f>'2'!F399</s:f>
        <s:v>46247.54649305555</s:v>
      </s:c>
      <s:c r="M398" s="22">
        <s:f>'3'!F399</s:f>
        <s:v>46247.52908564815</s:v>
      </s:c>
      <s:c r="N398" s="22">
        <s:f>'4'!F399</s:f>
        <s:v>46247.483194444445</s:v>
      </s:c>
      <s:c r="O398" s="22">
        <s:f>'5'!F399</s:f>
        <s:v>46247.45484953704</s:v>
      </s:c>
      <s:c r="P398" s="22">
        <s:f>'6'!F399</s:f>
        <s:v>46247.43539351852</s:v>
      </s:c>
      <s:c r="Q398" s="22">
        <s:f>'7'!F399</s:f>
        <s:v>46247.41274305555</s:v>
      </s:c>
      <s:c r="R398" s="22">
        <s:f>'8'!F399</s:f>
        <s:v>46247.388553240744</s:v>
      </s:c>
      <s:c r="S398" s="22">
        <s:f>'9'!F399</s:f>
        <s:v>46247.37074074074</s:v>
      </s:c>
      <s:c r="T398" s="22">
        <s:f>'10'!F399</s:f>
        <s:v>46247.341516203705</s:v>
      </s:c>
      <s:c r="U398" s="23">
        <s:f>'자료구성'!$B$2</s:f>
        <s:v>46247.0</s:v>
      </s:c>
    </s:row>
    <s:row r="399">
      <s:c r="A399" s="0" t="n">
        <s:v>1927</s:v>
      </s:c>
      <s:c r="B399" s="0" t="n">
        <s:v>1018</s:v>
      </s:c>
      <s:c r="C399" s="0" t="n">
        <s:v>2101</s:v>
      </s:c>
      <s:c r="D399" s="0" t="n">
        <s:v>919</s:v>
      </s:c>
      <s:c r="E399" s="0" t="n">
        <s:v>1576</s:v>
      </s:c>
      <s:c r="F399" s="0" t="n">
        <s:v>3137</s:v>
      </s:c>
      <s:c r="G399" s="0" t="n">
        <s:v>3897</s:v>
      </s:c>
      <s:c r="H399" s="0" t="n">
        <s:v>5959</s:v>
      </s:c>
      <s:c r="I399" s="0" t="n">
        <s:v>1418</s:v>
      </s:c>
      <s:c r="J399" s="0" t="n">
        <s:v>1688</s:v>
      </s:c>
      <s:c r="K399" s="22">
        <s:f>'1'!F400</s:f>
        <s:v>46247.56476851852</s:v>
      </s:c>
      <s:c r="L399" s="22">
        <s:f>'2'!F400</s:f>
        <s:v>46247.54650462963</s:v>
      </s:c>
      <s:c r="M399" s="22">
        <s:f>'3'!F400</s:f>
        <s:v>46247.52909722222</s:v>
      </s:c>
      <s:c r="N399" s="22">
        <s:f>'4'!F400</s:f>
        <s:v>46247.48320601852</s:v>
      </s:c>
      <s:c r="O399" s="22">
        <s:f>'5'!F400</s:f>
        <s:v>46247.45486111111</s:v>
      </s:c>
      <s:c r="P399" s="22">
        <s:f>'6'!F400</s:f>
        <s:v>46247.43540509259</s:v>
      </s:c>
      <s:c r="Q399" s="22">
        <s:f>'7'!F400</s:f>
        <s:v>46247.41275462963</s:v>
      </s:c>
      <s:c r="R399" s="22">
        <s:f>'8'!F400</s:f>
        <s:v>46247.38856481481</s:v>
      </s:c>
      <s:c r="S399" s="22">
        <s:f>'9'!F400</s:f>
        <s:v>46247.37075231481</s:v>
      </s:c>
      <s:c r="T399" s="22">
        <s:f>'10'!F400</s:f>
        <s:v>46247.341527777775</s:v>
      </s:c>
      <s:c r="U399" s="23">
        <s:f>'자료구성'!$B$2</s:f>
        <s:v>46247.0</s:v>
      </s:c>
    </s:row>
    <s:row r="400">
      <s:c r="A400" s="0" t="n">
        <s:v>1876</s:v>
      </s:c>
      <s:c r="B400" s="0" t="n">
        <s:v>1011</s:v>
      </s:c>
      <s:c r="C400" s="0" t="n">
        <s:v>2090</s:v>
      </s:c>
      <s:c r="D400" s="0" t="n">
        <s:v>892</s:v>
      </s:c>
      <s:c r="E400" s="0" t="n">
        <s:v>1596</s:v>
      </s:c>
      <s:c r="F400" s="0" t="n">
        <s:v>3179</s:v>
      </s:c>
      <s:c r="G400" s="0" t="n">
        <s:v>3754</s:v>
      </s:c>
      <s:c r="H400" s="0" t="n">
        <s:v>5973</s:v>
      </s:c>
      <s:c r="I400" s="0" t="n">
        <s:v>1413</s:v>
      </s:c>
      <s:c r="J400" s="0" t="n">
        <s:v>1673</s:v>
      </s:c>
      <s:c r="K400" s="22">
        <s:f>'1'!F401</s:f>
        <s:v>46247.564780092594</s:v>
      </s:c>
      <s:c r="L400" s="22">
        <s:f>'2'!F401</s:f>
        <s:v>46247.54651620371</s:v>
      </s:c>
      <s:c r="M400" s="22">
        <s:f>'3'!F401</s:f>
        <s:v>46247.5291087963</s:v>
      </s:c>
      <s:c r="N400" s="22">
        <s:f>'4'!F401</s:f>
        <s:v>46247.48321759259</s:v>
      </s:c>
      <s:c r="O400" s="22">
        <s:f>'5'!F401</s:f>
        <s:v>46247.454872685186</s:v>
      </s:c>
      <s:c r="P400" s="22">
        <s:f>'6'!F401</s:f>
        <s:v>46247.43541666667</s:v>
      </s:c>
      <s:c r="Q400" s="22">
        <s:f>'7'!F401</s:f>
        <s:v>46247.412766203706</s:v>
      </s:c>
      <s:c r="R400" s="22">
        <s:f>'8'!F401</s:f>
        <s:v>46247.38857638889</s:v>
      </s:c>
      <s:c r="S400" s="22">
        <s:f>'9'!F401</s:f>
        <s:v>46247.37076388889</s:v>
      </s:c>
      <s:c r="T400" s="22">
        <s:f>'10'!F401</s:f>
        <s:v>46247.34153935185</s:v>
      </s:c>
      <s:c r="U400" s="23">
        <s:f>'자료구성'!$B$2</s:f>
        <s:v>46247.0</s:v>
      </s:c>
    </s:row>
    <s:row r="401">
      <s:c r="A401" s="0" t="n">
        <s:v>1841</s:v>
      </s:c>
      <s:c r="B401" s="0" t="n">
        <s:v>1005</s:v>
      </s:c>
      <s:c r="C401" s="0" t="n">
        <s:v>2058</s:v>
      </s:c>
      <s:c r="D401" s="0" t="n">
        <s:v>869</s:v>
      </s:c>
      <s:c r="E401" s="0" t="n">
        <s:v>1600</s:v>
      </s:c>
      <s:c r="F401" s="0" t="n">
        <s:v>3172</s:v>
      </s:c>
      <s:c r="G401" s="0" t="n">
        <s:v>3672</s:v>
      </s:c>
      <s:c r="H401" s="0" t="n">
        <s:v>6058</s:v>
      </s:c>
      <s:c r="I401" s="0" t="n">
        <s:v>1427</s:v>
      </s:c>
      <s:c r="J401" s="0" t="n">
        <s:v>1673</s:v>
      </s:c>
      <s:c r="K401" s="22">
        <s:f>'1'!F402</s:f>
        <s:v>46247.564791666664</s:v>
      </s:c>
      <s:c r="L401" s="22">
        <s:f>'2'!F402</s:f>
        <s:v>46247.54652777778</s:v>
      </s:c>
      <s:c r="M401" s="22">
        <s:f>'3'!F402</s:f>
        <s:v>46247.52912037037</s:v>
      </s:c>
      <s:c r="N401" s="22">
        <s:f>'4'!F402</s:f>
        <s:v>46247.48322916667</s:v>
      </s:c>
      <s:c r="O401" s="22">
        <s:f>'5'!F402</s:f>
        <s:v>46247.454884259256</s:v>
      </s:c>
      <s:c r="P401" s="22">
        <s:f>'6'!F402</s:f>
        <s:v>46247.435428240744</s:v>
      </s:c>
      <s:c r="Q401" s="22">
        <s:f>'7'!F402</s:f>
        <s:v>46247.412777777776</s:v>
      </s:c>
      <s:c r="R401" s="22">
        <s:f>'8'!F402</s:f>
        <s:v>46247.38858796296</s:v>
      </s:c>
      <s:c r="S401" s="22">
        <s:f>'9'!F402</s:f>
        <s:v>46247.370775462965</s:v>
      </s:c>
      <s:c r="T401" s="22">
        <s:f>'10'!F402</s:f>
        <s:v>46247.34155092593</s:v>
      </s:c>
      <s:c r="U401" s="23">
        <s:f>'자료구성'!$B$2</s:f>
        <s:v>46247.0</s:v>
      </s:c>
    </s:row>
    <s:row r="402">
      <s:c r="A402" s="0" t="n">
        <s:v>1830</s:v>
      </s:c>
      <s:c r="B402" s="0" t="n">
        <s:v>1003</s:v>
      </s:c>
      <s:c r="C402" s="0" t="n">
        <s:v>2028</s:v>
      </s:c>
      <s:c r="D402" s="0" t="n">
        <s:v>849</s:v>
      </s:c>
      <s:c r="E402" s="0" t="n">
        <s:v>1631</s:v>
      </s:c>
      <s:c r="F402" s="0" t="n">
        <s:v>3180</s:v>
      </s:c>
      <s:c r="G402" s="0" t="n">
        <s:v>3566</s:v>
      </s:c>
      <s:c r="H402" s="0" t="n">
        <s:v>6241</s:v>
      </s:c>
      <s:c r="I402" s="0" t="n">
        <s:v>1472</s:v>
      </s:c>
      <s:c r="J402" s="0" t="n">
        <s:v>1621</s:v>
      </s:c>
      <s:c r="K402" s="22">
        <s:f>'1'!F403</s:f>
        <s:v>46247.56480324074</s:v>
      </s:c>
      <s:c r="L402" s="22">
        <s:f>'2'!F403</s:f>
        <s:v>46247.54653935185</s:v>
      </s:c>
      <s:c r="M402" s="22">
        <s:f>'3'!F403</s:f>
        <s:v>46247.529131944444</s:v>
      </s:c>
      <s:c r="N402" s="22">
        <s:f>'4'!F403</s:f>
        <s:v>46247.48324074074</s:v>
      </s:c>
      <s:c r="O402" s="22">
        <s:f>'5'!F403</s:f>
        <s:v>46247.45489583333</s:v>
      </s:c>
      <s:c r="P402" s="22">
        <s:f>'6'!F403</s:f>
        <s:v>46247.43543981481</s:v>
      </s:c>
      <s:c r="Q402" s="22">
        <s:f>'7'!F403</s:f>
        <s:v>46247.41278935185</s:v>
      </s:c>
      <s:c r="R402" s="22">
        <s:f>'8'!F403</s:f>
        <s:v>46247.38859953704</s:v>
      </s:c>
      <s:c r="S402" s="22">
        <s:f>'9'!F403</s:f>
        <s:v>46247.370787037034</s:v>
      </s:c>
      <s:c r="T402" s="22">
        <s:f>'10'!F403</s:f>
        <s:v>46247.3415625</s:v>
      </s:c>
      <s:c r="U402" s="23">
        <s:f>'자료구성'!$B$2</s:f>
        <s:v>46247.0</s:v>
      </s:c>
    </s:row>
    <s:row r="403">
      <s:c r="A403" s="0" t="n">
        <s:v>1766</s:v>
      </s:c>
      <s:c r="B403" s="0" t="n">
        <s:v>995</s:v>
      </s:c>
      <s:c r="C403" s="0" t="n">
        <s:v>2024</s:v>
      </s:c>
      <s:c r="D403" s="0" t="n">
        <s:v>807</s:v>
      </s:c>
      <s:c r="E403" s="0" t="n">
        <s:v>1634</s:v>
      </s:c>
      <s:c r="F403" s="0" t="n">
        <s:v>3216</s:v>
      </s:c>
      <s:c r="G403" s="0" t="n">
        <s:v>3574</s:v>
      </s:c>
      <s:c r="H403" s="0" t="n">
        <s:v>6500</s:v>
      </s:c>
      <s:c r="I403" s="0" t="n">
        <s:v>1505</s:v>
      </s:c>
      <s:c r="J403" s="0" t="n">
        <s:v>1610</s:v>
      </s:c>
      <s:c r="K403" s="22">
        <s:f>'1'!F404</s:f>
        <s:v>46247.56481481482</s:v>
      </s:c>
      <s:c r="L403" s="22">
        <s:f>'2'!F404</s:f>
        <s:v>46247.54655092592</s:v>
      </s:c>
      <s:c r="M403" s="22">
        <s:f>'3'!F404</s:f>
        <s:v>46247.52914351852</s:v>
      </s:c>
      <s:c r="N403" s="22">
        <s:f>'4'!F404</s:f>
        <s:v>46247.483252314814</s:v>
      </s:c>
      <s:c r="O403" s="22">
        <s:f>'5'!F404</s:f>
        <s:v>46247.45490740741</s:v>
      </s:c>
      <s:c r="P403" s="22">
        <s:f>'6'!F404</s:f>
        <s:v>46247.43545138889</s:v>
      </s:c>
      <s:c r="Q403" s="22">
        <s:f>'7'!F404</s:f>
        <s:v>46247.41280092593</s:v>
      </s:c>
      <s:c r="R403" s="22">
        <s:f>'8'!F404</s:f>
        <s:v>46247.38861111111</s:v>
      </s:c>
      <s:c r="S403" s="22">
        <s:f>'9'!F404</s:f>
        <s:v>46247.37079861111</s:v>
      </s:c>
      <s:c r="T403" s="22">
        <s:f>'10'!F404</s:f>
        <s:v>46247.341574074075</s:v>
      </s:c>
      <s:c r="U403" s="23">
        <s:f>'자료구성'!$B$2</s:f>
        <s:v>46247.0</s:v>
      </s:c>
    </s:row>
    <s:row r="404">
      <s:c r="A404" s="0" t="n">
        <s:v>1777</s:v>
      </s:c>
      <s:c r="B404" s="0" t="n">
        <s:v>1010</s:v>
      </s:c>
      <s:c r="C404" s="0" t="n">
        <s:v>2007</s:v>
      </s:c>
      <s:c r="D404" s="0" t="n">
        <s:v>748</s:v>
      </s:c>
      <s:c r="E404" s="0" t="n">
        <s:v>1635</s:v>
      </s:c>
      <s:c r="F404" s="0" t="n">
        <s:v>3281</s:v>
      </s:c>
      <s:c r="G404" s="0" t="n">
        <s:v>3668</s:v>
      </s:c>
      <s:c r="H404" s="0" t="n">
        <s:v>6700</s:v>
      </s:c>
      <s:c r="I404" s="0" t="n">
        <s:v>1518</s:v>
      </s:c>
      <s:c r="J404" s="0" t="n">
        <s:v>1583</s:v>
      </s:c>
      <s:c r="K404" s="22">
        <s:f>'1'!F405</s:f>
        <s:v>46247.56482638889</s:v>
      </s:c>
      <s:c r="L404" s="22">
        <s:f>'2'!F405</s:f>
        <s:v>46247.5465625</s:v>
      </s:c>
      <s:c r="M404" s="22">
        <s:f>'3'!F405</s:f>
        <s:v>46247.52915509259</s:v>
      </s:c>
      <s:c r="N404" s="22">
        <s:f>'4'!F405</s:f>
        <s:v>46247.48326388889</s:v>
      </s:c>
      <s:c r="O404" s="22">
        <s:f>'5'!F405</s:f>
        <s:v>46247.45491898148</s:v>
      </s:c>
      <s:c r="P404" s="22">
        <s:f>'6'!F405</s:f>
        <s:v>46247.43546296296</s:v>
      </s:c>
      <s:c r="Q404" s="22">
        <s:f>'7'!F405</s:f>
        <s:v>46247.4128125</s:v>
      </s:c>
      <s:c r="R404" s="22">
        <s:f>'8'!F405</s:f>
        <s:v>46247.38862268518</s:v>
      </s:c>
      <s:c r="S404" s="22">
        <s:f>'9'!F405</s:f>
        <s:v>46247.37081018519</s:v>
      </s:c>
      <s:c r="T404" s="22">
        <s:f>'10'!F405</s:f>
        <s:v>46247.34158564815</s:v>
      </s:c>
      <s:c r="U404" s="23">
        <s:f>'자료구성'!$B$2</s:f>
        <s:v>46247.0</s:v>
      </s:c>
    </s:row>
    <s:row r="405">
      <s:c r="A405" s="0" t="n">
        <s:v>1790</s:v>
      </s:c>
      <s:c r="B405" s="0" t="n">
        <s:v>995</s:v>
      </s:c>
      <s:c r="C405" s="0" t="n">
        <s:v>1986</s:v>
      </s:c>
      <s:c r="D405" s="0" t="n">
        <s:v>723</s:v>
      </s:c>
      <s:c r="E405" s="0" t="n">
        <s:v>1628</s:v>
      </s:c>
      <s:c r="F405" s="0" t="n">
        <s:v>3331</s:v>
      </s:c>
      <s:c r="G405" s="0" t="n">
        <s:v>3757</s:v>
      </s:c>
      <s:c r="H405" s="0" t="n">
        <s:v>6861</s:v>
      </s:c>
      <s:c r="I405" s="0" t="n">
        <s:v>1517</s:v>
      </s:c>
      <s:c r="J405" s="0" t="n">
        <s:v>1548</s:v>
      </s:c>
      <s:c r="K405" s="22">
        <s:f>'1'!F406</s:f>
        <s:v>46247.564837962964</s:v>
      </s:c>
      <s:c r="L405" s="22">
        <s:f>'2'!F406</s:f>
        <s:v>46247.54657407408</s:v>
      </s:c>
      <s:c r="M405" s="22">
        <s:f>'3'!F406</s:f>
        <s:v>46247.52916666667</s:v>
      </s:c>
      <s:c r="N405" s="22">
        <s:f>'4'!F406</s:f>
        <s:v>46247.48327546296</s:v>
      </s:c>
      <s:c r="O405" s="22">
        <s:f>'5'!F406</s:f>
        <s:v>46247.454930555556</s:v>
      </s:c>
      <s:c r="P405" s="22">
        <s:f>'6'!F406</s:f>
        <s:v>46247.43547453704</s:v>
      </s:c>
      <s:c r="Q405" s="22">
        <s:f>'7'!F406</s:f>
        <s:v>46247.412824074076</s:v>
      </s:c>
      <s:c r="R405" s="22">
        <s:f>'8'!F406</s:f>
        <s:v>46247.38863425926</s:v>
      </s:c>
      <s:c r="S405" s="22">
        <s:f>'9'!F406</s:f>
        <s:v>46247.37082175926</s:v>
      </s:c>
      <s:c r="T405" s="22">
        <s:f>'10'!F406</s:f>
        <s:v>46247.34159722222</s:v>
      </s:c>
      <s:c r="U405" s="23">
        <s:f>'자료구성'!$B$2</s:f>
        <s:v>46247.0</s:v>
      </s:c>
    </s:row>
    <s:row r="406">
      <s:c r="A406" s="0" t="n">
        <s:v>1787</s:v>
      </s:c>
      <s:c r="B406" s="0" t="n">
        <s:v>989</s:v>
      </s:c>
      <s:c r="C406" s="0" t="n">
        <s:v>1981</s:v>
      </s:c>
      <s:c r="D406" s="0" t="n">
        <s:v>729</s:v>
      </s:c>
      <s:c r="E406" s="0" t="n">
        <s:v>1626</s:v>
      </s:c>
      <s:c r="F406" s="0" t="n">
        <s:v>3403</s:v>
      </s:c>
      <s:c r="G406" s="0" t="n">
        <s:v>3910</s:v>
      </s:c>
      <s:c r="H406" s="0" t="n">
        <s:v>7006</s:v>
      </s:c>
      <s:c r="I406" s="0" t="n">
        <s:v>1531</s:v>
      </s:c>
      <s:c r="J406" s="0" t="n">
        <s:v>1539</s:v>
      </s:c>
      <s:c r="K406" s="22">
        <s:f>'1'!F407</s:f>
        <s:v>46247.56484953704</s:v>
      </s:c>
      <s:c r="L406" s="22">
        <s:f>'2'!F407</s:f>
        <s:v>46247.546585648146</s:v>
      </s:c>
      <s:c r="M406" s="22">
        <s:f>'3'!F407</s:f>
        <s:v>46247.529178240744</s:v>
      </s:c>
      <s:c r="N406" s="22">
        <s:f>'4'!F407</s:f>
        <s:v>46247.48328703704</s:v>
      </s:c>
      <s:c r="O406" s="22">
        <s:f>'5'!F407</s:f>
        <s:v>46247.45494212963</s:v>
      </s:c>
      <s:c r="P406" s="22">
        <s:f>'6'!F407</s:f>
        <s:v>46247.43548611111</s:v>
      </s:c>
      <s:c r="Q406" s="22">
        <s:f>'7'!F407</s:f>
        <s:v>46247.412835648145</s:v>
      </s:c>
      <s:c r="R406" s="22">
        <s:f>'8'!F407</s:f>
        <s:v>46247.388645833336</s:v>
      </s:c>
      <s:c r="S406" s="22">
        <s:f>'9'!F407</s:f>
        <s:v>46247.370833333334</s:v>
      </s:c>
      <s:c r="T406" s="22">
        <s:f>'10'!F407</s:f>
        <s:v>46247.3416087963</s:v>
      </s:c>
      <s:c r="U406" s="23">
        <s:f>'자료구성'!$B$2</s:f>
        <s:v>46247.0</s:v>
      </s:c>
    </s:row>
    <s:row r="407">
      <s:c r="A407" s="0" t="n">
        <s:v>1798</s:v>
      </s:c>
      <s:c r="B407" s="0" t="n">
        <s:v>985</s:v>
      </s:c>
      <s:c r="C407" s="0" t="n">
        <s:v>1995</s:v>
      </s:c>
      <s:c r="D407" s="0" t="n">
        <s:v>767</s:v>
      </s:c>
      <s:c r="E407" s="0" t="n">
        <s:v>1620</s:v>
      </s:c>
      <s:c r="F407" s="0" t="n">
        <s:v>3491</s:v>
      </s:c>
      <s:c r="G407" s="0" t="n">
        <s:v>3998</s:v>
      </s:c>
      <s:c r="H407" s="0" t="n">
        <s:v>7132</s:v>
      </s:c>
      <s:c r="I407" s="0" t="n">
        <s:v>1545</s:v>
      </s:c>
      <s:c r="J407" s="0" t="n">
        <s:v>1523</s:v>
      </s:c>
      <s:c r="K407" s="22">
        <s:f>'1'!F408</s:f>
        <s:v>46247.56486111111</s:v>
      </s:c>
      <s:c r="L407" s="22">
        <s:f>'2'!F408</s:f>
        <s:v>46247.54659722222</s:v>
      </s:c>
      <s:c r="M407" s="22">
        <s:f>'3'!F408</s:f>
        <s:v>46247.52918981481</s:v>
      </s:c>
      <s:c r="N407" s="22">
        <s:f>'4'!F408</s:f>
        <s:v>46247.483298611114</s:v>
      </s:c>
      <s:c r="O407" s="22">
        <s:f>'5'!F408</s:f>
        <s:v>46247.4549537037</s:v>
      </s:c>
      <s:c r="P407" s="22">
        <s:f>'6'!F408</s:f>
        <s:v>46247.43549768518</s:v>
      </s:c>
      <s:c r="Q407" s="22">
        <s:f>'7'!F408</s:f>
        <s:v>46247.41284722222</s:v>
      </s:c>
      <s:c r="R407" s="22">
        <s:f>'8'!F408</s:f>
        <s:v>46247.388657407406</s:v>
      </s:c>
      <s:c r="S407" s="22">
        <s:f>'9'!F408</s:f>
        <s:v>46247.370844907404</s:v>
      </s:c>
      <s:c r="T407" s="22">
        <s:f>'10'!F408</s:f>
        <s:v>46247.34162037037</s:v>
      </s:c>
      <s:c r="U407" s="23">
        <s:f>'자료구성'!$B$2</s:f>
        <s:v>46247.0</s:v>
      </s:c>
    </s:row>
    <s:row r="408">
      <s:c r="A408" s="0" t="n">
        <s:v>1803</s:v>
      </s:c>
      <s:c r="B408" s="0" t="n">
        <s:v>974</s:v>
      </s:c>
      <s:c r="C408" s="0" t="n">
        <s:v>2015</s:v>
      </s:c>
      <s:c r="D408" s="0" t="n">
        <s:v>852</s:v>
      </s:c>
      <s:c r="E408" s="0" t="n">
        <s:v>1616</s:v>
      </s:c>
      <s:c r="F408" s="0" t="n">
        <s:v>3577</s:v>
      </s:c>
      <s:c r="G408" s="0" t="n">
        <s:v>4082</s:v>
      </s:c>
      <s:c r="H408" s="0" t="n">
        <s:v>7270</s:v>
      </s:c>
      <s:c r="I408" s="0" t="n">
        <s:v>1574</s:v>
      </s:c>
      <s:c r="J408" s="0" t="n">
        <s:v>1488</s:v>
      </s:c>
      <s:c r="K408" s="22">
        <s:f>'1'!F409</s:f>
        <s:v>46247.56487268519</s:v>
      </s:c>
      <s:c r="L408" s="22">
        <s:f>'2'!F409</s:f>
        <s:v>46247.5466087963</s:v>
      </s:c>
      <s:c r="M408" s="22">
        <s:f>'3'!F409</s:f>
        <s:v>46247.52920138889</s:v>
      </s:c>
      <s:c r="N408" s="22">
        <s:f>'4'!F409</s:f>
        <s:v>46247.483310185184</s:v>
      </s:c>
      <s:c r="O408" s="22">
        <s:f>'5'!F409</s:f>
        <s:v>46247.45496527778</s:v>
      </s:c>
      <s:c r="P408" s="22">
        <s:f>'6'!F409</s:f>
        <s:v>46247.43550925926</s:v>
      </s:c>
      <s:c r="Q408" s="22">
        <s:f>'7'!F409</s:f>
        <s:v>46247.4128587963</s:v>
      </s:c>
      <s:c r="R408" s="22">
        <s:f>'8'!F409</s:f>
        <s:v>46247.38866898148</s:v>
      </s:c>
      <s:c r="S408" s="22">
        <s:f>'9'!F409</s:f>
        <s:v>46247.37085648148</s:v>
      </s:c>
      <s:c r="T408" s="22">
        <s:f>'10'!F409</s:f>
        <s:v>46247.341631944444</s:v>
      </s:c>
      <s:c r="U408" s="23">
        <s:f>'자료구성'!$B$2</s:f>
        <s:v>46247.0</s:v>
      </s:c>
    </s:row>
    <s:row r="409">
      <s:c r="A409" s="0" t="n">
        <s:v>1762</s:v>
      </s:c>
      <s:c r="B409" s="0" t="n">
        <s:v>977</s:v>
      </s:c>
      <s:c r="C409" s="0" t="n">
        <s:v>2010</s:v>
      </s:c>
      <s:c r="D409" s="0" t="n">
        <s:v>905</s:v>
      </s:c>
      <s:c r="E409" s="0" t="n">
        <s:v>1617</s:v>
      </s:c>
      <s:c r="F409" s="0" t="n">
        <s:v>3666</s:v>
      </s:c>
      <s:c r="G409" s="0" t="n">
        <s:v>4158</s:v>
      </s:c>
      <s:c r="H409" s="0" t="n">
        <s:v>7367</s:v>
      </s:c>
      <s:c r="I409" s="0" t="n">
        <s:v>1616</s:v>
      </s:c>
      <s:c r="J409" s="0" t="n">
        <s:v>1481</s:v>
      </s:c>
      <s:c r="K409" s="22">
        <s:f>'1'!F410</s:f>
        <s:v>46247.564884259256</s:v>
      </s:c>
      <s:c r="L409" s="22">
        <s:f>'2'!F410</s:f>
        <s:v>46247.54662037037</s:v>
      </s:c>
      <s:c r="M409" s="22">
        <s:f>'3'!F410</s:f>
        <s:v>46247.52921296296</s:v>
      </s:c>
      <s:c r="N409" s="22">
        <s:f>'4'!F410</s:f>
        <s:v>46247.48332175926</s:v>
      </s:c>
      <s:c r="O409" s="22">
        <s:f>'5'!F410</s:f>
        <s:v>46247.454976851855</s:v>
      </s:c>
      <s:c r="P409" s="22">
        <s:f>'6'!F410</s:f>
        <s:v>46247.435520833336</s:v>
      </s:c>
      <s:c r="Q409" s="22">
        <s:f>'7'!F410</s:f>
        <s:v>46247.41287037037</s:v>
      </s:c>
      <s:c r="R409" s="22">
        <s:f>'8'!F410</s:f>
        <s:v>46247.38868055555</s:v>
      </s:c>
      <s:c r="S409" s="22">
        <s:f>'9'!F410</s:f>
        <s:v>46247.37086805556</s:v>
      </s:c>
      <s:c r="T409" s="22">
        <s:f>'10'!F410</s:f>
        <s:v>46247.34164351852</s:v>
      </s:c>
      <s:c r="U409" s="23">
        <s:f>'자료구성'!$B$2</s:f>
        <s:v>46247.0</s:v>
      </s:c>
    </s:row>
    <s:row r="410">
      <s:c r="A410" s="0" t="n">
        <s:v>1692</s:v>
      </s:c>
      <s:c r="B410" s="0" t="n">
        <s:v>990</s:v>
      </s:c>
      <s:c r="C410" s="0" t="n">
        <s:v>2006</s:v>
      </s:c>
      <s:c r="D410" s="0" t="n">
        <s:v>911</s:v>
      </s:c>
      <s:c r="E410" s="0" t="n">
        <s:v>1639</s:v>
      </s:c>
      <s:c r="F410" s="0" t="n">
        <s:v>3732</s:v>
      </s:c>
      <s:c r="G410" s="0" t="n">
        <s:v>4159</s:v>
      </s:c>
      <s:c r="H410" s="0" t="n">
        <s:v>7483</s:v>
      </s:c>
      <s:c r="I410" s="0" t="n">
        <s:v>1627</s:v>
      </s:c>
      <s:c r="J410" s="0" t="n">
        <s:v>1478</s:v>
      </s:c>
      <s:c r="K410" s="22">
        <s:f>'1'!F411</s:f>
        <s:v>46247.56489583333</s:v>
      </s:c>
      <s:c r="L410" s="22">
        <s:f>'2'!F411</s:f>
        <s:v>46247.546631944446</s:v>
      </s:c>
      <s:c r="M410" s="22">
        <s:f>'3'!F411</s:f>
        <s:v>46247.52922453704</s:v>
      </s:c>
      <s:c r="N410" s="22">
        <s:f>'4'!F411</s:f>
        <s:v>46247.48333333333</s:v>
      </s:c>
      <s:c r="O410" s="22">
        <s:f>'5'!F411</s:f>
        <s:v>46247.454988425925</s:v>
      </s:c>
      <s:c r="P410" s="22">
        <s:f>'6'!F411</s:f>
        <s:v>46247.435532407406</s:v>
      </s:c>
      <s:c r="Q410" s="22">
        <s:f>'7'!F411</s:f>
        <s:v>46247.412881944445</s:v>
      </s:c>
      <s:c r="R410" s="22">
        <s:f>'8'!F411</s:f>
        <s:v>46247.38869212963</s:v>
      </s:c>
      <s:c r="S410" s="22">
        <s:f>'9'!F411</s:f>
        <s:v>46247.37087962963</s:v>
      </s:c>
      <s:c r="T410" s="22">
        <s:f>'10'!F411</s:f>
        <s:v>46247.34165509259</s:v>
      </s:c>
      <s:c r="U410" s="23">
        <s:f>'자료구성'!$B$2</s:f>
        <s:v>46247.0</s:v>
      </s:c>
    </s:row>
    <s:row r="411">
      <s:c r="A411" s="0" t="n">
        <s:v>1641</s:v>
      </s:c>
      <s:c r="B411" s="0" t="n">
        <s:v>994</s:v>
      </s:c>
      <s:c r="C411" s="0" t="n">
        <s:v>2053</s:v>
      </s:c>
      <s:c r="D411" s="0" t="n">
        <s:v>948</s:v>
      </s:c>
      <s:c r="E411" s="0" t="n">
        <s:v>1648</s:v>
      </s:c>
      <s:c r="F411" s="0" t="n">
        <s:v>3799</s:v>
      </s:c>
      <s:c r="G411" s="0" t="n">
        <s:v>4121</s:v>
      </s:c>
      <s:c r="H411" s="0" t="n">
        <s:v>7523</s:v>
      </s:c>
      <s:c r="I411" s="0" t="n">
        <s:v>1643</s:v>
      </s:c>
      <s:c r="J411" s="0" t="n">
        <s:v>1444</s:v>
      </s:c>
      <s:c r="K411" s="22">
        <s:f>'1'!F412</s:f>
        <s:v>46247.56490740741</s:v>
      </s:c>
      <s:c r="L411" s="22">
        <s:f>'2'!F412</s:f>
        <s:v>46247.546643518515</s:v>
      </s:c>
      <s:c r="M411" s="22">
        <s:f>'3'!F412</s:f>
        <s:v>46247.52923611111</s:v>
      </s:c>
      <s:c r="N411" s="22">
        <s:f>'4'!F412</s:f>
        <s:v>46247.48334490741</s:v>
      </s:c>
      <s:c r="O411" s="22">
        <s:f>'5'!F412</s:f>
        <s:v>46247.455</s:v>
      </s:c>
      <s:c r="P411" s="22">
        <s:f>'6'!F412</s:f>
        <s:v>46247.43554398148</s:v>
      </s:c>
      <s:c r="Q411" s="22">
        <s:f>'7'!F412</s:f>
        <s:v>46247.41289351852</s:v>
      </s:c>
      <s:c r="R411" s="22">
        <s:f>'8'!F412</s:f>
        <s:v>46247.388703703706</s:v>
      </s:c>
      <s:c r="S411" s="22">
        <s:f>'9'!F412</s:f>
        <s:v>46247.370891203704</s:v>
      </s:c>
      <s:c r="T411" s="22">
        <s:f>'10'!F412</s:f>
        <s:v>46247.34166666667</s:v>
      </s:c>
      <s:c r="U411" s="23">
        <s:f>'자료구성'!$B$2</s:f>
        <s:v>46247.0</s:v>
      </s:c>
    </s:row>
    <s:row r="412">
      <s:c r="A412" s="0" t="n">
        <s:v>1592</s:v>
      </s:c>
      <s:c r="B412" s="0" t="n">
        <s:v>991</s:v>
      </s:c>
      <s:c r="C412" s="0" t="n">
        <s:v>2162</s:v>
      </s:c>
      <s:c r="D412" s="0" t="n">
        <s:v>989</s:v>
      </s:c>
      <s:c r="E412" s="0" t="n">
        <s:v>1654</s:v>
      </s:c>
      <s:c r="F412" s="0" t="n">
        <s:v>3844</s:v>
      </s:c>
      <s:c r="G412" s="0" t="n">
        <s:v>4138</s:v>
      </s:c>
      <s:c r="H412" s="0" t="n">
        <s:v>7502</s:v>
      </s:c>
      <s:c r="I412" s="0" t="n">
        <s:v>1667</s:v>
      </s:c>
      <s:c r="J412" s="0" t="n">
        <s:v>1444</s:v>
      </s:c>
      <s:c r="K412" s="22">
        <s:f>'1'!F413</s:f>
        <s:v>46247.56491898148</s:v>
      </s:c>
      <s:c r="L412" s="22">
        <s:f>'2'!F413</s:f>
        <s:v>46247.54665509259</s:v>
      </s:c>
      <s:c r="M412" s="22">
        <s:f>'3'!F413</s:f>
        <s:v>46247.52924768518</s:v>
      </s:c>
      <s:c r="N412" s="22">
        <s:f>'4'!F413</s:f>
        <s:v>46247.48335648148</s:v>
      </s:c>
      <s:c r="O412" s="22">
        <s:f>'5'!F413</s:f>
        <s:v>46247.45501157407</s:v>
      </s:c>
      <s:c r="P412" s="22">
        <s:f>'6'!F413</s:f>
        <s:v>46247.43555555555</s:v>
      </s:c>
      <s:c r="Q412" s="22">
        <s:f>'7'!F413</s:f>
        <s:v>46247.41290509259</s:v>
      </s:c>
      <s:c r="R412" s="22">
        <s:f>'8'!F413</s:f>
        <s:v>46247.388715277775</s:v>
      </s:c>
      <s:c r="S412" s="22">
        <s:f>'9'!F413</s:f>
        <s:v>46247.37090277778</s:v>
      </s:c>
      <s:c r="T412" s="22">
        <s:f>'10'!F413</s:f>
        <s:v>46247.341678240744</s:v>
      </s:c>
      <s:c r="U412" s="23">
        <s:f>'자료구성'!$B$2</s:f>
        <s:v>46247.0</s:v>
      </s:c>
    </s:row>
    <s:row r="413">
      <s:c r="A413" s="0" t="n">
        <s:v>1549</s:v>
      </s:c>
      <s:c r="B413" s="0" t="n">
        <s:v>1012</s:v>
      </s:c>
      <s:c r="C413" s="0" t="n">
        <s:v>2192</s:v>
      </s:c>
      <s:c r="D413" s="0" t="n">
        <s:v>21</s:v>
      </s:c>
      <s:c r="E413" s="0" t="n">
        <s:v>1661</s:v>
      </s:c>
      <s:c r="F413" s="0" t="n">
        <s:v>3896</s:v>
      </s:c>
      <s:c r="G413" s="0" t="n">
        <s:v>4148</s:v>
      </s:c>
      <s:c r="H413" s="0" t="n">
        <s:v>7554</s:v>
      </s:c>
      <s:c r="I413" s="0" t="n">
        <s:v>1701</s:v>
      </s:c>
      <s:c r="J413" s="0" t="n">
        <s:v>1400</s:v>
      </s:c>
      <s:c r="K413" s="22">
        <s:f>'1'!F414</s:f>
        <s:v>46247.564930555556</s:v>
      </s:c>
      <s:c r="L413" s="22">
        <s:f>'2'!F414</s:f>
        <s:v>46247.54666666667</s:v>
      </s:c>
      <s:c r="M413" s="22">
        <s:f>'3'!F414</s:f>
        <s:v>46247.52925925926</s:v>
      </s:c>
      <s:c r="N413" s="22">
        <s:f>'4'!F414</s:f>
        <s:v>46247.48336805555</s:v>
      </s:c>
      <s:c r="O413" s="22">
        <s:f>'5'!F414</s:f>
        <s:v>46247.45502314815</s:v>
      </s:c>
      <s:c r="P413" s="22">
        <s:f>'6'!F414</s:f>
        <s:v>46247.43556712963</s:v>
      </s:c>
      <s:c r="Q413" s="22">
        <s:f>'7'!F414</s:f>
        <s:v>46247.41291666667</s:v>
      </s:c>
      <s:c r="R413" s="22">
        <s:f>'8'!F414</s:f>
        <s:v>46247.38872685185</s:v>
      </s:c>
      <s:c r="S413" s="22">
        <s:f>'9'!F414</s:f>
        <s:v>46247.37091435185</s:v>
      </s:c>
      <s:c r="T413" s="22">
        <s:f>'10'!F414</s:f>
        <s:v>46247.34168981481</s:v>
      </s:c>
      <s:c r="U413" s="23">
        <s:f>'자료구성'!$B$2</s:f>
        <s:v>46247.0</s:v>
      </s:c>
    </s:row>
    <s:row r="414">
      <s:c r="A414" s="0" t="n">
        <s:v>1538</s:v>
      </s:c>
      <s:c r="B414" s="0" t="n">
        <s:v>1021</s:v>
      </s:c>
      <s:c r="C414" s="0" t="n">
        <s:v>2185</s:v>
      </s:c>
      <s:c r="D414" s="0" t="n">
        <s:v>28</s:v>
      </s:c>
      <s:c r="E414" s="0" t="n">
        <s:v>1657</s:v>
      </s:c>
      <s:c r="F414" s="0" t="n">
        <s:v>3891</s:v>
      </s:c>
      <s:c r="G414" s="0" t="n">
        <s:v>4081</s:v>
      </s:c>
      <s:c r="H414" s="0" t="n">
        <s:v>7540</s:v>
      </s:c>
      <s:c r="I414" s="0" t="n">
        <s:v>1711</s:v>
      </s:c>
      <s:c r="J414" s="0" t="n">
        <s:v>1395</s:v>
      </s:c>
      <s:c r="K414" s="22">
        <s:f>'1'!F415</s:f>
        <s:v>46247.56494212963</s:v>
      </s:c>
      <s:c r="L414" s="22">
        <s:f>'2'!F415</s:f>
        <s:v>46247.54667824074</s:v>
      </s:c>
      <s:c r="M414" s="22">
        <s:f>'3'!F415</s:f>
        <s:v>46247.529270833336</s:v>
      </s:c>
      <s:c r="N414" s="22">
        <s:f>'4'!F415</s:f>
        <s:v>46247.48337962963</s:v>
      </s:c>
      <s:c r="O414" s="22">
        <s:f>'5'!F415</s:f>
        <s:v>46247.455034722225</s:v>
      </s:c>
      <s:c r="P414" s="22">
        <s:f>'6'!F415</s:f>
        <s:v>46247.435578703706</s:v>
      </s:c>
      <s:c r="Q414" s="22">
        <s:f>'7'!F415</s:f>
        <s:v>46247.41292824074</s:v>
      </s:c>
      <s:c r="R414" s="22">
        <s:f>'8'!F415</s:f>
        <s:v>46247.38873842593</s:v>
      </s:c>
      <s:c r="S414" s="22">
        <s:f>'9'!F415</s:f>
        <s:v>46247.37092592593</s:v>
      </s:c>
      <s:c r="T414" s="22">
        <s:f>'10'!F415</s:f>
        <s:v>46247.34170138889</s:v>
      </s:c>
      <s:c r="U414" s="23">
        <s:f>'자료구성'!$B$2</s:f>
        <s:v>46247.0</s:v>
      </s:c>
    </s:row>
    <s:row r="415">
      <s:c r="A415" s="0" t="n">
        <s:v>1510</s:v>
      </s:c>
      <s:c r="B415" s="0" t="n">
        <s:v>1011</s:v>
      </s:c>
      <s:c r="C415" s="0" t="n">
        <s:v>2171</s:v>
      </s:c>
      <s:c r="D415" s="0" t="n">
        <s:v>22</s:v>
      </s:c>
      <s:c r="E415" s="0" t="n">
        <s:v>1654</s:v>
      </s:c>
      <s:c r="F415" s="0" t="n">
        <s:v>3873</s:v>
      </s:c>
      <s:c r="G415" s="0" t="n">
        <s:v>3983</s:v>
      </s:c>
      <s:c r="H415" s="0" t="n">
        <s:v>7537</s:v>
      </s:c>
      <s:c r="I415" s="0" t="n">
        <s:v>1723</s:v>
      </s:c>
      <s:c r="J415" s="0" t="n">
        <s:v>1371</s:v>
      </s:c>
      <s:c r="K415" s="22">
        <s:f>'1'!F416</s:f>
        <s:v>46247.5649537037</s:v>
      </s:c>
      <s:c r="L415" s="22">
        <s:f>'2'!F416</s:f>
        <s:v>46247.546689814815</s:v>
      </s:c>
      <s:c r="M415" s="22">
        <s:f>'3'!F416</s:f>
        <s:v>46247.529282407406</s:v>
      </s:c>
      <s:c r="N415" s="22">
        <s:f>'4'!F416</s:f>
        <s:v>46247.48339120371</s:v>
      </s:c>
      <s:c r="O415" s="22">
        <s:f>'5'!F416</s:f>
        <s:v>46247.455046296294</s:v>
      </s:c>
      <s:c r="P415" s="22">
        <s:f>'6'!F416</s:f>
        <s:v>46247.435590277775</s:v>
      </s:c>
      <s:c r="Q415" s="22">
        <s:f>'7'!F416</s:f>
        <s:v>46247.412939814814</s:v>
      </s:c>
      <s:c r="R415" s="22">
        <s:f>'8'!F416</s:f>
        <s:v>46247.38875</s:v>
      </s:c>
      <s:c r="S415" s="22">
        <s:f>'9'!F416</s:f>
        <s:v>46247.3709375</s:v>
      </s:c>
      <s:c r="T415" s="22">
        <s:f>'10'!F416</s:f>
        <s:v>46247.34171296296</s:v>
      </s:c>
      <s:c r="U415" s="23">
        <s:f>'자료구성'!$B$2</s:f>
        <s:v>46247.0</s:v>
      </s:c>
    </s:row>
    <s:row r="416">
      <s:c r="A416" s="0" t="n">
        <s:v>1472</s:v>
      </s:c>
      <s:c r="B416" s="0" t="n">
        <s:v>1019</s:v>
      </s:c>
      <s:c r="C416" s="0" t="n">
        <s:v>2139</s:v>
      </s:c>
      <s:c r="D416" s="0" t="n">
        <s:v>6</s:v>
      </s:c>
      <s:c r="E416" s="0" t="n">
        <s:v>1656</s:v>
      </s:c>
      <s:c r="F416" s="0" t="n">
        <s:v>3829</s:v>
      </s:c>
      <s:c r="G416" s="0" t="n">
        <s:v>3983</s:v>
      </s:c>
      <s:c r="H416" s="0" t="n">
        <s:v>7433</s:v>
      </s:c>
      <s:c r="I416" s="0" t="n">
        <s:v>1702</s:v>
      </s:c>
      <s:c r="J416" s="0" t="n">
        <s:v>1371</s:v>
      </s:c>
      <s:c r="K416" s="22">
        <s:f>'1'!F417</s:f>
        <s:v>46247.56496527778</s:v>
      </s:c>
      <s:c r="L416" s="22">
        <s:f>'2'!F417</s:f>
        <s:v>46247.54670138889</s:v>
      </s:c>
      <s:c r="M416" s="22">
        <s:f>'3'!F417</s:f>
        <s:v>46247.52929398148</s:v>
      </s:c>
      <s:c r="N416" s="22">
        <s:f>'4'!F417</s:f>
        <s:v>46247.483402777776</s:v>
      </s:c>
      <s:c r="O416" s="22">
        <s:f>'5'!F417</s:f>
        <s:v>46247.45505787037</s:v>
      </s:c>
      <s:c r="P416" s="22">
        <s:f>'6'!F417</s:f>
        <s:v>46247.43560185185</s:v>
      </s:c>
      <s:c r="Q416" s="22">
        <s:f>'7'!F417</s:f>
        <s:v>46247.41295138889</s:v>
      </s:c>
      <s:c r="R416" s="22">
        <s:f>'8'!F417</s:f>
        <s:v>46247.388761574075</s:v>
      </s:c>
      <s:c r="S416" s="22">
        <s:f>'9'!F417</s:f>
        <s:v>46247.37094907407</s:v>
      </s:c>
      <s:c r="T416" s="22">
        <s:f>'10'!F417</s:f>
        <s:v>46247.34172453704</s:v>
      </s:c>
      <s:c r="U416" s="23">
        <s:f>'자료구성'!$B$2</s:f>
        <s:v>46247.0</s:v>
      </s:c>
    </s:row>
    <s:row r="417">
      <s:c r="A417" s="0" t="n">
        <s:v>1435</s:v>
      </s:c>
      <s:c r="B417" s="0" t="n">
        <s:v>1061</s:v>
      </s:c>
      <s:c r="C417" s="0" t="n">
        <s:v>2124</s:v>
      </s:c>
      <s:c r="D417" s="0" t="n">
        <s:v>2</s:v>
      </s:c>
      <s:c r="E417" s="0" t="n">
        <s:v>1665</s:v>
      </s:c>
      <s:c r="F417" s="0" t="n">
        <s:v>3804</s:v>
      </s:c>
      <s:c r="G417" s="0" t="n">
        <s:v>3911</s:v>
      </s:c>
      <s:c r="H417" s="0" t="n">
        <s:v>7284</s:v>
      </s:c>
      <s:c r="I417" s="0" t="n">
        <s:v>1684</s:v>
      </s:c>
      <s:c r="J417" s="0" t="n">
        <s:v>1380</s:v>
      </s:c>
      <s:c r="K417" s="22">
        <s:f>'1'!F418</s:f>
        <s:v>46247.56497685185</s:v>
      </s:c>
      <s:c r="L417" s="22">
        <s:f>'2'!F418</s:f>
        <s:v>46247.54671296296</s:v>
      </s:c>
      <s:c r="M417" s="22">
        <s:f>'3'!F418</s:f>
        <s:v>46247.52930555555</s:v>
      </s:c>
      <s:c r="N417" s="22">
        <s:f>'4'!F418</s:f>
        <s:v>46247.48341435185</s:v>
      </s:c>
      <s:c r="O417" s="22">
        <s:f>'5'!F418</s:f>
        <s:v>46247.45506944445</s:v>
      </s:c>
      <s:c r="P417" s="22">
        <s:f>'6'!F418</s:f>
        <s:v>46247.43561342593</s:v>
      </s:c>
      <s:c r="Q417" s="22">
        <s:f>'7'!F418</s:f>
        <s:v>46247.41296296296</s:v>
      </s:c>
      <s:c r="R417" s="22">
        <s:f>'8'!F418</s:f>
        <s:v>46247.388773148145</s:v>
      </s:c>
      <s:c r="S417" s="22">
        <s:f>'9'!F418</s:f>
        <s:v>46247.37096064815</s:v>
      </s:c>
      <s:c r="T417" s="22">
        <s:f>'10'!F418</s:f>
        <s:v>46247.34173611111</s:v>
      </s:c>
      <s:c r="U417" s="23">
        <s:f>'자료구성'!$B$2</s:f>
        <s:v>46247.0</s:v>
      </s:c>
    </s:row>
    <s:row r="418">
      <s:c r="A418" s="0" t="n">
        <s:v>1418</s:v>
      </s:c>
      <s:c r="B418" s="0" t="n">
        <s:v>1122</s:v>
      </s:c>
      <s:c r="C418" s="0" t="n">
        <s:v>2094</s:v>
      </s:c>
      <s:c r="D418" s="0" t="n">
        <s:v>26</s:v>
      </s:c>
      <s:c r="E418" s="0" t="n">
        <s:v>1676</s:v>
      </s:c>
      <s:c r="F418" s="0" t="n">
        <s:v>3684</s:v>
      </s:c>
      <s:c r="G418" s="0" t="n">
        <s:v>3842</s:v>
      </s:c>
      <s:c r="H418" s="0" t="n">
        <s:v>7139</s:v>
      </s:c>
      <s:c r="I418" s="0" t="n">
        <s:v>1653</s:v>
      </s:c>
      <s:c r="J418" s="0" t="n">
        <s:v>1405</s:v>
      </s:c>
      <s:c r="K418" s="22">
        <s:f>'1'!F419</s:f>
        <s:v>46247.564988425926</s:v>
      </s:c>
      <s:c r="L418" s="22">
        <s:f>'2'!F419</s:f>
        <s:v>46247.54672453704</s:v>
      </s:c>
      <s:c r="M418" s="22">
        <s:f>'3'!F419</s:f>
        <s:v>46247.52931712963</s:v>
      </s:c>
      <s:c r="N418" s="22">
        <s:f>'4'!F419</s:f>
        <s:v>46247.48342592592</s:v>
      </s:c>
      <s:c r="O418" s="22">
        <s:f>'5'!F419</s:f>
        <s:v>46247.45508101852</s:v>
      </s:c>
      <s:c r="P418" s="22">
        <s:f>'6'!F419</s:f>
        <s:v>46247.435625</s:v>
      </s:c>
      <s:c r="Q418" s="22">
        <s:f>'7'!F419</s:f>
        <s:v>46247.41297453704</s:v>
      </s:c>
      <s:c r="R418" s="22">
        <s:f>'8'!F419</s:f>
        <s:v>46247.38878472222</s:v>
      </s:c>
      <s:c r="S418" s="22">
        <s:f>'9'!F419</s:f>
        <s:v>46247.37097222222</s:v>
      </s:c>
      <s:c r="T418" s="22">
        <s:f>'10'!F419</s:f>
        <s:v>46247.34174768518</s:v>
      </s:c>
      <s:c r="U418" s="23">
        <s:f>'자료구성'!$B$2</s:f>
        <s:v>46247.0</s:v>
      </s:c>
    </s:row>
    <s:row r="419">
      <s:c r="A419" s="0" t="n">
        <s:v>1408</s:v>
      </s:c>
      <s:c r="B419" s="0" t="n">
        <s:v>1187</s:v>
      </s:c>
      <s:c r="C419" s="0" t="n">
        <s:v>2089</s:v>
      </s:c>
      <s:c r="D419" s="0" t="n">
        <s:v>41</s:v>
      </s:c>
      <s:c r="E419" s="0" t="n">
        <s:v>1681</s:v>
      </s:c>
      <s:c r="F419" s="0" t="n">
        <s:v>3568</s:v>
      </s:c>
      <s:c r="G419" s="0" t="n">
        <s:v>3751</s:v>
      </s:c>
      <s:c r="H419" s="0" t="n">
        <s:v>7066</s:v>
      </s:c>
      <s:c r="I419" s="0" t="n">
        <s:v>1633</s:v>
      </s:c>
      <s:c r="J419" s="0" t="n">
        <s:v>1417</s:v>
      </s:c>
      <s:c r="K419" s="22">
        <s:f>'1'!F420</s:f>
        <s:v>46247.565</s:v>
      </s:c>
      <s:c r="L419" s="22">
        <s:f>'2'!F420</s:f>
        <s:v>46247.54673611111</s:v>
      </s:c>
      <s:c r="M419" s="22">
        <s:f>'3'!F420</s:f>
        <s:v>46247.529328703706</s:v>
      </s:c>
      <s:c r="N419" s="22">
        <s:f>'4'!F420</s:f>
        <s:v>46247.4834375</s:v>
      </s:c>
      <s:c r="O419" s="22">
        <s:f>'5'!F420</s:f>
        <s:v>46247.455092592594</s:v>
      </s:c>
      <s:c r="P419" s="22">
        <s:f>'6'!F420</s:f>
        <s:v>46247.435636574075</s:v>
      </s:c>
      <s:c r="Q419" s="22">
        <s:f>'7'!F420</s:f>
        <s:v>46247.412986111114</s:v>
      </s:c>
      <s:c r="R419" s="22">
        <s:f>'8'!F420</s:f>
        <s:v>46247.3887962963</s:v>
      </s:c>
      <s:c r="S419" s="22">
        <s:f>'9'!F420</s:f>
        <s:v>46247.370983796296</s:v>
      </s:c>
      <s:c r="T419" s="22">
        <s:f>'10'!F420</s:f>
        <s:v>46247.34175925926</s:v>
      </s:c>
      <s:c r="U419" s="23">
        <s:f>'자료구성'!$B$2</s:f>
        <s:v>46247.0</s:v>
      </s:c>
    </s:row>
    <s:row r="420">
      <s:c r="A420" s="0" t="n">
        <s:v>1408</s:v>
      </s:c>
      <s:c r="B420" s="0" t="n">
        <s:v>1256</s:v>
      </s:c>
      <s:c r="C420" s="0" t="n">
        <s:v>2077</s:v>
      </s:c>
      <s:c r="D420" s="0" t="n">
        <s:v>28</s:v>
      </s:c>
      <s:c r="E420" s="0" t="n">
        <s:v>1677</s:v>
      </s:c>
      <s:c r="F420" s="0" t="n">
        <s:v>3475</s:v>
      </s:c>
      <s:c r="G420" s="0" t="n">
        <s:v>3788</s:v>
      </s:c>
      <s:c r="H420" s="0" t="n">
        <s:v>7005</s:v>
      </s:c>
      <s:c r="I420" s="0" t="n">
        <s:v>1623</s:v>
      </s:c>
      <s:c r="J420" s="0" t="n">
        <s:v>1410</s:v>
      </s:c>
      <s:c r="K420" s="22">
        <s:f>'1'!F421</s:f>
        <s:v>46247.56501157407</s:v>
      </s:c>
      <s:c r="L420" s="22">
        <s:f>'2'!F421</s:f>
        <s:v>46247.546747685185</s:v>
      </s:c>
      <s:c r="M420" s="22">
        <s:f>'3'!F421</s:f>
        <s:v>46247.529340277775</s:v>
      </s:c>
      <s:c r="N420" s="22">
        <s:f>'4'!F421</s:f>
        <s:v>46247.483449074076</s:v>
      </s:c>
      <s:c r="O420" s="22">
        <s:f>'5'!F421</s:f>
        <s:v>46247.455104166664</s:v>
      </s:c>
      <s:c r="P420" s="22">
        <s:f>'6'!F421</s:f>
        <s:v>46247.435648148145</s:v>
      </s:c>
      <s:c r="Q420" s="22">
        <s:f>'7'!F421</s:f>
        <s:v>46247.412997685184</s:v>
      </s:c>
      <s:c r="R420" s="22">
        <s:f>'8'!F421</s:f>
        <s:v>46247.38880787037</s:v>
      </s:c>
      <s:c r="S420" s="22">
        <s:f>'9'!F421</s:f>
        <s:v>46247.37099537037</s:v>
      </s:c>
      <s:c r="T420" s="22">
        <s:f>'10'!F421</s:f>
        <s:v>46247.341770833336</s:v>
      </s:c>
      <s:c r="U420" s="23">
        <s:f>'자료구성'!$B$2</s:f>
        <s:v>46247.0</s:v>
      </s:c>
    </s:row>
    <s:row r="421">
      <s:c r="A421" s="0" t="n">
        <s:v>1423</s:v>
      </s:c>
      <s:c r="B421" s="0" t="n">
        <s:v>1282</s:v>
      </s:c>
      <s:c r="C421" s="0" t="n">
        <s:v>2082</s:v>
      </s:c>
      <s:c r="D421" s="0" t="n">
        <s:v>13</s:v>
      </s:c>
      <s:c r="E421" s="0" t="n">
        <s:v>1674</s:v>
      </s:c>
      <s:c r="F421" s="0" t="n">
        <s:v>3380</s:v>
      </s:c>
      <s:c r="G421" s="0" t="n">
        <s:v>3880</s:v>
      </s:c>
      <s:c r="H421" s="0" t="n">
        <s:v>6962</s:v>
      </s:c>
      <s:c r="I421" s="0" t="n">
        <s:v>1606</s:v>
      </s:c>
      <s:c r="J421" s="0" t="n">
        <s:v>1395</s:v>
      </s:c>
      <s:c r="K421" s="22">
        <s:f>'1'!F422</s:f>
        <s:v>46247.56502314815</s:v>
      </s:c>
      <s:c r="L421" s="22">
        <s:f>'2'!F422</s:f>
        <s:v>46247.54675925926</s:v>
      </s:c>
      <s:c r="M421" s="22">
        <s:f>'3'!F422</s:f>
        <s:v>46247.52935185185</s:v>
      </s:c>
      <s:c r="N421" s="22">
        <s:f>'4'!F422</s:f>
        <s:v>46247.483460648145</s:v>
      </s:c>
      <s:c r="O421" s="22">
        <s:f>'5'!F422</s:f>
        <s:v>46247.45511574074</s:v>
      </s:c>
      <s:c r="P421" s="22">
        <s:f>'6'!F422</s:f>
        <s:v>46247.43565972222</s:v>
      </s:c>
      <s:c r="Q421" s="22">
        <s:f>'7'!F422</s:f>
        <s:v>46247.41300925926</s:v>
      </s:c>
      <s:c r="R421" s="22">
        <s:f>'8'!F422</s:f>
        <s:v>46247.388819444444</s:v>
      </s:c>
      <s:c r="S421" s="22">
        <s:f>'9'!F422</s:f>
        <s:v>46247.37100694444</s:v>
      </s:c>
      <s:c r="T421" s="22">
        <s:f>'10'!F422</s:f>
        <s:v>46247.341782407406</s:v>
      </s:c>
      <s:c r="U421" s="23">
        <s:f>'자료구성'!$B$2</s:f>
        <s:v>46247.0</s:v>
      </s:c>
    </s:row>
    <s:row r="422">
      <s:c r="A422" s="0" t="n">
        <s:v>1438</s:v>
      </s:c>
      <s:c r="B422" s="0" t="n">
        <s:v>1272</s:v>
      </s:c>
      <s:c r="C422" s="0" t="n">
        <s:v>2120</s:v>
      </s:c>
      <s:c r="D422" s="0" t="n">
        <s:v>7</s:v>
      </s:c>
      <s:c r="E422" s="0" t="n">
        <s:v>1658</s:v>
      </s:c>
      <s:c r="F422" s="0" t="n">
        <s:v>3362</s:v>
      </s:c>
      <s:c r="G422" s="0" t="n">
        <s:v>4070</s:v>
      </s:c>
      <s:c r="H422" s="0" t="n">
        <s:v>6884</s:v>
      </s:c>
      <s:c r="I422" s="0" t="n">
        <s:v>1612</s:v>
      </s:c>
      <s:c r="J422" s="0" t="n">
        <s:v>1362</s:v>
      </s:c>
      <s:c r="K422" s="22">
        <s:f>'1'!F423</s:f>
        <s:v>46247.565034722225</s:v>
      </s:c>
      <s:c r="L422" s="22">
        <s:f>'2'!F423</s:f>
        <s:v>46247.54677083333</s:v>
      </s:c>
      <s:c r="M422" s="22">
        <s:f>'3'!F423</s:f>
        <s:v>46247.52936342593</s:v>
      </s:c>
      <s:c r="N422" s="22">
        <s:f>'4'!F423</s:f>
        <s:v>46247.48347222222</s:v>
      </s:c>
      <s:c r="O422" s="22">
        <s:f>'5'!F423</s:f>
        <s:v>46247.45512731482</s:v>
      </s:c>
      <s:c r="P422" s="22">
        <s:f>'6'!F423</s:f>
        <s:v>46247.4356712963</s:v>
      </s:c>
      <s:c r="Q422" s="22">
        <s:f>'7'!F423</s:f>
        <s:v>46247.41302083333</s:v>
      </s:c>
      <s:c r="R422" s="22">
        <s:f>'8'!F423</s:f>
        <s:v>46247.38883101852</s:v>
      </s:c>
      <s:c r="S422" s="22">
        <s:f>'9'!F423</s:f>
        <s:v>46247.37101851852</s:v>
      </s:c>
      <s:c r="T422" s="22">
        <s:f>'10'!F423</s:f>
        <s:v>46247.34179398148</s:v>
      </s:c>
      <s:c r="U422" s="23">
        <s:f>'자료구성'!$B$2</s:f>
        <s:v>46247.0</s:v>
      </s:c>
    </s:row>
    <s:row r="423">
      <s:c r="A423" s="0" t="n">
        <s:v>1461</s:v>
      </s:c>
      <s:c r="B423" s="0" t="n">
        <s:v>1233</s:v>
      </s:c>
      <s:c r="C423" s="0" t="n">
        <s:v>2101</s:v>
      </s:c>
      <s:c r="D423" s="0" t="n">
        <s:v>7</s:v>
      </s:c>
      <s:c r="E423" s="0" t="n">
        <s:v>1667</s:v>
      </s:c>
      <s:c r="F423" s="0" t="n">
        <s:v>3299</s:v>
      </s:c>
      <s:c r="G423" s="0" t="n">
        <s:v>3885</s:v>
      </s:c>
      <s:c r="H423" s="0" t="n">
        <s:v>6726</s:v>
      </s:c>
      <s:c r="I423" s="0" t="n">
        <s:v>1614</s:v>
      </s:c>
      <s:c r="J423" s="0" t="n">
        <s:v>1338</s:v>
      </s:c>
      <s:c r="K423" s="22">
        <s:f>'1'!F424</s:f>
        <s:v>46247.565046296295</s:v>
      </s:c>
      <s:c r="L423" s="22">
        <s:f>'2'!F424</s:f>
        <s:v>46247.54678240741</s:v>
      </s:c>
      <s:c r="M423" s="22">
        <s:f>'3'!F424</s:f>
        <s:v>46247.529375</s:v>
      </s:c>
      <s:c r="N423" s="22">
        <s:f>'4'!F424</s:f>
        <s:v>46247.4834837963</s:v>
      </s:c>
      <s:c r="O423" s="22">
        <s:f>'5'!F424</s:f>
        <s:v>46247.45513888889</s:v>
      </s:c>
      <s:c r="P423" s="22">
        <s:f>'6'!F424</s:f>
        <s:v>46247.43568287037</s:v>
      </s:c>
      <s:c r="Q423" s="22">
        <s:f>'7'!F424</s:f>
        <s:v>46247.41303240741</s:v>
      </s:c>
      <s:c r="R423" s="22">
        <s:f>'8'!F424</s:f>
        <s:v>46247.38884259259</s:v>
      </s:c>
      <s:c r="S423" s="22">
        <s:f>'9'!F424</s:f>
        <s:v>46247.371030092596</s:v>
      </s:c>
      <s:c r="T423" s="22">
        <s:f>'10'!F424</s:f>
        <s:v>46247.34180555555</s:v>
      </s:c>
      <s:c r="U423" s="23">
        <s:f>'자료구성'!$B$2</s:f>
        <s:v>46247.0</s:v>
      </s:c>
    </s:row>
    <s:row r="424">
      <s:c r="A424" s="0" t="n">
        <s:v>1462</s:v>
      </s:c>
      <s:c r="B424" s="0" t="n">
        <s:v>1227</s:v>
      </s:c>
      <s:c r="C424" s="0" t="n">
        <s:v>2070</s:v>
      </s:c>
      <s:c r="D424" s="0" t="n">
        <s:v>24</s:v>
      </s:c>
      <s:c r="E424" s="0" t="n">
        <s:v>1689</s:v>
      </s:c>
      <s:c r="F424" s="0" t="n">
        <s:v>3289</s:v>
      </s:c>
      <s:c r="G424" s="0" t="n">
        <s:v>3885</s:v>
      </s:c>
      <s:c r="H424" s="0" t="n">
        <s:v>6606</s:v>
      </s:c>
      <s:c r="I424" s="0" t="n">
        <s:v>1615</s:v>
      </s:c>
      <s:c r="J424" s="0" t="n">
        <s:v>1326</s:v>
      </s:c>
      <s:c r="K424" s="22">
        <s:f>'1'!F425</s:f>
        <s:v>46247.56505787037</s:v>
      </s:c>
      <s:c r="L424" s="22">
        <s:f>'2'!F425</s:f>
        <s:v>46247.546793981484</s:v>
      </s:c>
      <s:c r="M424" s="22">
        <s:f>'3'!F425</s:f>
        <s:v>46247.529386574075</s:v>
      </s:c>
      <s:c r="N424" s="22">
        <s:f>'4'!F425</s:f>
        <s:v>46247.48349537037</s:v>
      </s:c>
      <s:c r="O424" s="22">
        <s:f>'5'!F425</s:f>
        <s:v>46247.45515046296</s:v>
      </s:c>
      <s:c r="P424" s="22">
        <s:f>'6'!F425</s:f>
        <s:v>46247.435694444444</s:v>
      </s:c>
      <s:c r="Q424" s="22">
        <s:f>'7'!F425</s:f>
        <s:v>46247.41304398148</s:v>
      </s:c>
      <s:c r="R424" s="22">
        <s:f>'8'!F425</s:f>
        <s:v>46247.38885416667</s:v>
      </s:c>
      <s:c r="S424" s="22">
        <s:f>'9'!F425</s:f>
        <s:v>46247.371041666665</s:v>
      </s:c>
      <s:c r="T424" s="22">
        <s:f>'10'!F425</s:f>
        <s:v>46247.34181712963</s:v>
      </s:c>
      <s:c r="U424" s="23">
        <s:f>'자료구성'!$B$2</s:f>
        <s:v>46247.0</s:v>
      </s:c>
    </s:row>
    <s:row r="425">
      <s:c r="A425" s="0" t="n">
        <s:v>1446</s:v>
      </s:c>
      <s:c r="B425" s="0" t="n">
        <s:v>1238</s:v>
      </s:c>
      <s:c r="C425" s="0" t="n">
        <s:v>2065</s:v>
      </s:c>
      <s:c r="D425" s="0" t="n">
        <s:v>38</s:v>
      </s:c>
      <s:c r="E425" s="0" t="n">
        <s:v>1677</s:v>
      </s:c>
      <s:c r="F425" s="0" t="n">
        <s:v>3246</s:v>
      </s:c>
      <s:c r="G425" s="0" t="n">
        <s:v>3669</s:v>
      </s:c>
      <s:c r="H425" s="0" t="n">
        <s:v>6631</s:v>
      </s:c>
      <s:c r="I425" s="0" t="n">
        <s:v>1604</s:v>
      </s:c>
      <s:c r="J425" s="0" t="n">
        <s:v>1321</s:v>
      </s:c>
      <s:c r="K425" s="22">
        <s:f>'1'!F426</s:f>
        <s:v>46247.56506944444</s:v>
      </s:c>
      <s:c r="L425" s="22">
        <s:f>'2'!F426</s:f>
        <s:v>46247.546805555554</s:v>
      </s:c>
      <s:c r="M425" s="22">
        <s:f>'3'!F426</s:f>
        <s:v>46247.529398148145</s:v>
      </s:c>
      <s:c r="N425" s="22">
        <s:f>'4'!F426</s:f>
        <s:v>46247.483506944445</s:v>
      </s:c>
      <s:c r="O425" s="22">
        <s:f>'5'!F426</s:f>
        <s:v>46247.45516203704</s:v>
      </s:c>
      <s:c r="P425" s="22">
        <s:f>'6'!F426</s:f>
        <s:v>46247.43570601852</s:v>
      </s:c>
      <s:c r="Q425" s="22">
        <s:f>'7'!F426</s:f>
        <s:v>46247.41305555555</s:v>
      </s:c>
      <s:c r="R425" s="22">
        <s:f>'8'!F426</s:f>
        <s:v>46247.388865740744</s:v>
      </s:c>
      <s:c r="S425" s="22">
        <s:f>'9'!F426</s:f>
        <s:v>46247.37105324074</s:v>
      </s:c>
      <s:c r="T425" s="22">
        <s:f>'10'!F426</s:f>
        <s:v>46247.341828703706</s:v>
      </s:c>
      <s:c r="U425" s="23">
        <s:f>'자료구성'!$B$2</s:f>
        <s:v>46247.0</s:v>
      </s:c>
    </s:row>
    <s:row r="426">
      <s:c r="A426" s="0" t="n">
        <s:v>1434</s:v>
      </s:c>
      <s:c r="B426" s="0" t="n">
        <s:v>1223</s:v>
      </s:c>
      <s:c r="C426" s="0" t="n">
        <s:v>2052</s:v>
      </s:c>
      <s:c r="D426" s="0" t="n">
        <s:v>32</s:v>
      </s:c>
      <s:c r="E426" s="0" t="n">
        <s:v>1601</s:v>
      </s:c>
      <s:c r="F426" s="0" t="n">
        <s:v>3277</s:v>
      </s:c>
      <s:c r="G426" s="0" t="n">
        <s:v>3570</s:v>
      </s:c>
      <s:c r="H426" s="0" t="n">
        <s:v>6737</s:v>
      </s:c>
      <s:c r="I426" s="0" t="n">
        <s:v>1584</s:v>
      </s:c>
      <s:c r="J426" s="0" t="n">
        <s:v>1339</s:v>
      </s:c>
      <s:c r="K426" s="22">
        <s:f>'1'!F427</s:f>
        <s:v>46247.56508101852</s:v>
      </s:c>
      <s:c r="L426" s="22">
        <s:f>'2'!F427</s:f>
        <s:v>46247.54681712963</s:v>
      </s:c>
      <s:c r="M426" s="22">
        <s:f>'3'!F427</s:f>
        <s:v>46247.52940972222</s:v>
      </s:c>
      <s:c r="N426" s="22">
        <s:f>'4'!F427</s:f>
        <s:v>46247.48351851852</s:v>
      </s:c>
      <s:c r="O426" s="22">
        <s:f>'5'!F427</s:f>
        <s:v>46247.45517361111</s:v>
      </s:c>
      <s:c r="P426" s="22">
        <s:f>'6'!F427</s:f>
        <s:v>46247.43571759259</s:v>
      </s:c>
      <s:c r="Q426" s="22">
        <s:f>'7'!F427</s:f>
        <s:v>46247.41306712963</s:v>
      </s:c>
      <s:c r="R426" s="22">
        <s:f>'8'!F427</s:f>
        <s:v>46247.388877314814</s:v>
      </s:c>
      <s:c r="S426" s="22">
        <s:f>'9'!F427</s:f>
        <s:v>46247.37106481481</s:v>
      </s:c>
      <s:c r="T426" s="22">
        <s:f>'10'!F427</s:f>
        <s:v>46247.341840277775</s:v>
      </s:c>
      <s:c r="U426" s="23">
        <s:f>'자료구성'!$B$2</s:f>
        <s:v>46247.0</s:v>
      </s:c>
    </s:row>
    <s:row r="427">
      <s:c r="A427" s="0" t="n">
        <s:v>1408</s:v>
      </s:c>
      <s:c r="B427" s="0" t="n">
        <s:v>1195</s:v>
      </s:c>
      <s:c r="C427" s="0" t="n">
        <s:v>2027</s:v>
      </s:c>
      <s:c r="D427" s="0" t="n">
        <s:v>32</s:v>
      </s:c>
      <s:c r="E427" s="0" t="n">
        <s:v>1541</s:v>
      </s:c>
      <s:c r="F427" s="0" t="n">
        <s:v>3330</s:v>
      </s:c>
      <s:c r="G427" s="0" t="n">
        <s:v>3552</s:v>
      </s:c>
      <s:c r="H427" s="0" t="n">
        <s:v>6725</s:v>
      </s:c>
      <s:c r="I427" s="0" t="n">
        <s:v>1582</s:v>
      </s:c>
      <s:c r="J427" s="0" t="n">
        <s:v>1356</s:v>
      </s:c>
      <s:c r="K427" s="22">
        <s:f>'1'!F428</s:f>
        <s:v>46247.565092592595</s:v>
      </s:c>
      <s:c r="L427" s="22">
        <s:f>'2'!F428</s:f>
        <s:v>46247.5468287037</s:v>
      </s:c>
      <s:c r="M427" s="22">
        <s:f>'3'!F428</s:f>
        <s:v>46247.5294212963</s:v>
      </s:c>
      <s:c r="N427" s="22">
        <s:f>'4'!F428</s:f>
        <s:v>46247.48353009259</s:v>
      </s:c>
      <s:c r="O427" s="22">
        <s:f>'5'!F428</s:f>
        <s:v>46247.45518518519</s:v>
      </s:c>
      <s:c r="P427" s="22">
        <s:f>'6'!F428</s:f>
        <s:v>46247.43572916667</s:v>
      </s:c>
      <s:c r="Q427" s="22">
        <s:f>'7'!F428</s:f>
        <s:v>46247.41307870371</s:v>
      </s:c>
      <s:c r="R427" s="22">
        <s:f>'8'!F428</s:f>
        <s:v>46247.38888888889</s:v>
      </s:c>
      <s:c r="S427" s="22">
        <s:f>'9'!F428</s:f>
        <s:v>46247.37107638889</s:v>
      </s:c>
      <s:c r="T427" s="22">
        <s:f>'10'!F428</s:f>
        <s:v>46247.34185185185</s:v>
      </s:c>
      <s:c r="U427" s="23">
        <s:f>'자료구성'!$B$2</s:f>
        <s:v>46247.0</s:v>
      </s:c>
    </s:row>
    <s:row r="428">
      <s:c r="A428" s="0" t="n">
        <s:v>1406</s:v>
      </s:c>
      <s:c r="B428" s="0" t="n">
        <s:v>1152</s:v>
      </s:c>
      <s:c r="C428" s="0" t="n">
        <s:v>2033</s:v>
      </s:c>
      <s:c r="D428" s="0" t="n">
        <s:v>26</s:v>
      </s:c>
      <s:c r="E428" s="0" t="n">
        <s:v>1492</s:v>
      </s:c>
      <s:c r="F428" s="0" t="n">
        <s:v>3358</s:v>
      </s:c>
      <s:c r="G428" s="0" t="n">
        <s:v>3586</s:v>
      </s:c>
      <s:c r="H428" s="0" t="n">
        <s:v>6668</s:v>
      </s:c>
      <s:c r="I428" s="0" t="n">
        <s:v>1579</s:v>
      </s:c>
      <s:c r="J428" s="0" t="n">
        <s:v>1346</s:v>
      </s:c>
      <s:c r="K428" s="22">
        <s:f>'1'!F429</s:f>
        <s:v>46247.565104166664</s:v>
      </s:c>
      <s:c r="L428" s="22">
        <s:f>'2'!F429</s:f>
        <s:v>46247.54684027778</s:v>
      </s:c>
      <s:c r="M428" s="22">
        <s:f>'3'!F429</s:f>
        <s:v>46247.52943287037</s:v>
      </s:c>
      <s:c r="N428" s="22">
        <s:f>'4'!F429</s:f>
        <s:v>46247.48354166667</s:v>
      </s:c>
      <s:c r="O428" s="22">
        <s:f>'5'!F429</s:f>
        <s:v>46247.455196759256</s:v>
      </s:c>
      <s:c r="P428" s="22">
        <s:f>'6'!F429</s:f>
        <s:v>46247.435740740744</s:v>
      </s:c>
      <s:c r="Q428" s="22">
        <s:f>'7'!F429</s:f>
        <s:v>46247.413090277776</s:v>
      </s:c>
      <s:c r="R428" s="22">
        <s:f>'8'!F429</s:f>
        <s:v>46247.38890046296</s:v>
      </s:c>
      <s:c r="S428" s="22">
        <s:f>'9'!F429</s:f>
        <s:v>46247.371087962965</s:v>
      </s:c>
      <s:c r="T428" s="22">
        <s:f>'10'!F429</s:f>
        <s:v>46247.34186342593</s:v>
      </s:c>
      <s:c r="U428" s="23">
        <s:f>'자료구성'!$B$2</s:f>
        <s:v>46247.0</s:v>
      </s:c>
    </s:row>
    <s:row r="429">
      <s:c r="A429" s="0" t="n">
        <s:v>1415</s:v>
      </s:c>
      <s:c r="B429" s="0" t="n">
        <s:v>1138</s:v>
      </s:c>
      <s:c r="C429" s="0" t="n">
        <s:v>2056</s:v>
      </s:c>
      <s:c r="D429" s="0" t="n">
        <s:v>38</s:v>
      </s:c>
      <s:c r="E429" s="0" t="n">
        <s:v>1477</s:v>
      </s:c>
      <s:c r="F429" s="0" t="n">
        <s:v>3414</s:v>
      </s:c>
      <s:c r="G429" s="0" t="n">
        <s:v>3630</s:v>
      </s:c>
      <s:c r="H429" s="0" t="n">
        <s:v>6624</s:v>
      </s:c>
      <s:c r="I429" s="0" t="n">
        <s:v>1588</s:v>
      </s:c>
      <s:c r="J429" s="0" t="n">
        <s:v>1337</s:v>
      </s:c>
      <s:c r="K429" s="22">
        <s:f>'1'!F430</s:f>
        <s:v>46247.56511574074</s:v>
      </s:c>
      <s:c r="L429" s="22">
        <s:f>'2'!F430</s:f>
        <s:v>46247.546851851854</s:v>
      </s:c>
      <s:c r="M429" s="22">
        <s:f>'3'!F430</s:f>
        <s:v>46247.529444444444</s:v>
      </s:c>
      <s:c r="N429" s="22">
        <s:f>'4'!F430</s:f>
        <s:v>46247.48355324074</s:v>
      </s:c>
      <s:c r="O429" s="22">
        <s:f>'5'!F430</s:f>
        <s:v>46247.45520833333</s:v>
      </s:c>
      <s:c r="P429" s="22">
        <s:f>'6'!F430</s:f>
        <s:v>46247.435752314814</s:v>
      </s:c>
      <s:c r="Q429" s="22">
        <s:f>'7'!F430</s:f>
        <s:v>46247.41310185185</s:v>
      </s:c>
      <s:c r="R429" s="22">
        <s:f>'8'!F430</s:f>
        <s:v>46247.38891203704</s:v>
      </s:c>
      <s:c r="S429" s="22">
        <s:f>'9'!F430</s:f>
        <s:v>46247.371099537035</s:v>
      </s:c>
      <s:c r="T429" s="22">
        <s:f>'10'!F430</s:f>
        <s:v>46247.341875</s:v>
      </s:c>
      <s:c r="U429" s="23">
        <s:f>'자료구성'!$B$2</s:f>
        <s:v>46247.0</s:v>
      </s:c>
    </s:row>
    <s:row r="430">
      <s:c r="A430" s="0" t="n">
        <s:v>1438</s:v>
      </s:c>
      <s:c r="B430" s="0" t="n">
        <s:v>1176</s:v>
      </s:c>
      <s:c r="C430" s="0" t="n">
        <s:v>2076</s:v>
      </s:c>
      <s:c r="D430" s="0" t="n">
        <s:v>34</s:v>
      </s:c>
      <s:c r="E430" s="0" t="n">
        <s:v>1468</s:v>
      </s:c>
      <s:c r="F430" s="0" t="n">
        <s:v>3472</s:v>
      </s:c>
      <s:c r="G430" s="0" t="n">
        <s:v>3654</s:v>
      </s:c>
      <s:c r="H430" s="0" t="n">
        <s:v>6584</s:v>
      </s:c>
      <s:c r="I430" s="0" t="n">
        <s:v>1586</s:v>
      </s:c>
      <s:c r="J430" s="0" t="n">
        <s:v>1355</s:v>
      </s:c>
      <s:c r="K430" s="22">
        <s:f>'1'!F431</s:f>
        <s:v>46247.56512731482</s:v>
      </s:c>
      <s:c r="L430" s="22">
        <s:f>'2'!F431</s:f>
        <s:v>46247.54686342592</s:v>
      </s:c>
      <s:c r="M430" s="22">
        <s:f>'3'!F431</s:f>
        <s:v>46247.52945601852</s:v>
      </s:c>
      <s:c r="N430" s="22">
        <s:f>'4'!F431</s:f>
        <s:v>46247.483564814815</s:v>
      </s:c>
      <s:c r="O430" s="22">
        <s:f>'5'!F431</s:f>
        <s:v>46247.45521990741</s:v>
      </s:c>
      <s:c r="P430" s="22">
        <s:f>'6'!F431</s:f>
        <s:v>46247.43576388889</s:v>
      </s:c>
      <s:c r="Q430" s="22">
        <s:f>'7'!F431</s:f>
        <s:v>46247.41311342592</s:v>
      </s:c>
      <s:c r="R430" s="22">
        <s:f>'8'!F431</s:f>
        <s:v>46247.38892361111</s:v>
      </s:c>
      <s:c r="S430" s="22">
        <s:f>'9'!F431</s:f>
        <s:v>46247.37111111111</s:v>
      </s:c>
      <s:c r="T430" s="22">
        <s:f>'10'!F431</s:f>
        <s:v>46247.341886574075</s:v>
      </s:c>
      <s:c r="U430" s="23">
        <s:f>'자료구성'!$B$2</s:f>
        <s:v>46247.0</s:v>
      </s:c>
    </s:row>
    <s:row r="431">
      <s:c r="A431" s="0" t="n">
        <s:v>1460</s:v>
      </s:c>
      <s:c r="B431" s="0" t="n">
        <s:v>1223</s:v>
      </s:c>
      <s:c r="C431" s="0" t="n">
        <s:v>2140</s:v>
      </s:c>
      <s:c r="D431" s="0" t="n">
        <s:v>35</s:v>
      </s:c>
      <s:c r="E431" s="0" t="n">
        <s:v>1491</s:v>
      </s:c>
      <s:c r="F431" s="0" t="n">
        <s:v>3577</s:v>
      </s:c>
      <s:c r="G431" s="0" t="n">
        <s:v>3789</s:v>
      </s:c>
      <s:c r="H431" s="0" t="n">
        <s:v>6485</s:v>
      </s:c>
      <s:c r="I431" s="0" t="n">
        <s:v>1588</s:v>
      </s:c>
      <s:c r="J431" s="0" t="n">
        <s:v>1350</s:v>
      </s:c>
      <s:c r="K431" s="22">
        <s:f>'1'!F432</s:f>
        <s:v>46247.56513888889</s:v>
      </s:c>
      <s:c r="L431" s="22">
        <s:f>'2'!F432</s:f>
        <s:v>46247.546875</s:v>
      </s:c>
      <s:c r="M431" s="22">
        <s:f>'3'!F432</s:f>
        <s:v>46247.52946759259</s:v>
      </s:c>
      <s:c r="N431" s="22">
        <s:f>'4'!F432</s:f>
        <s:v>46247.48357638889</s:v>
      </s:c>
      <s:c r="O431" s="22">
        <s:f>'5'!F432</s:f>
        <s:v>46247.45523148148</s:v>
      </s:c>
      <s:c r="P431" s="22">
        <s:f>'6'!F432</s:f>
        <s:v>46247.43577546296</s:v>
      </s:c>
      <s:c r="Q431" s="22">
        <s:f>'7'!F432</s:f>
        <s:v>46247.413125</s:v>
      </s:c>
      <s:c r="R431" s="22">
        <s:f>'8'!F432</s:f>
        <s:v>46247.38893518518</s:v>
      </s:c>
      <s:c r="S431" s="22">
        <s:f>'9'!F432</s:f>
        <s:v>46247.37112268519</s:v>
      </s:c>
      <s:c r="T431" s="22">
        <s:f>'10'!F432</s:f>
        <s:v>46247.341898148145</s:v>
      </s:c>
      <s:c r="U431" s="23">
        <s:f>'자료구성'!$B$2</s:f>
        <s:v>46247.0</s:v>
      </s:c>
    </s:row>
    <s:row r="432">
      <s:c r="A432" s="0" t="n">
        <s:v>1487</s:v>
      </s:c>
      <s:c r="B432" s="0" t="n">
        <s:v>1239</s:v>
      </s:c>
      <s:c r="C432" s="0" t="n">
        <s:v>2204</s:v>
      </s:c>
      <s:c r="D432" s="0" t="n">
        <s:v>26</s:v>
      </s:c>
      <s:c r="E432" s="0" t="n">
        <s:v>1530</s:v>
      </s:c>
      <s:c r="F432" s="0" t="n">
        <s:v>3710</s:v>
      </s:c>
      <s:c r="G432" s="0" t="n">
        <s:v>3810</s:v>
      </s:c>
      <s:c r="H432" s="0" t="n">
        <s:v>6357</s:v>
      </s:c>
      <s:c r="I432" s="0" t="n">
        <s:v>1590</s:v>
      </s:c>
      <s:c r="J432" s="0" t="n">
        <s:v>1340</s:v>
      </s:c>
      <s:c r="K432" s="22">
        <s:f>'1'!F433</s:f>
        <s:v>46247.565150462964</s:v>
      </s:c>
      <s:c r="L432" s="22">
        <s:f>'2'!F433</s:f>
        <s:v>46247.54688657408</s:v>
      </s:c>
      <s:c r="M432" s="22">
        <s:f>'3'!F433</s:f>
        <s:v>46247.52947916667</s:v>
      </s:c>
      <s:c r="N432" s="22">
        <s:f>'4'!F433</s:f>
        <s:v>46247.48358796296</s:v>
      </s:c>
      <s:c r="O432" s="22">
        <s:f>'5'!F433</s:f>
        <s:v>46247.455243055556</s:v>
      </s:c>
      <s:c r="P432" s="22">
        <s:f>'6'!F433</s:f>
        <s:v>46247.43578703704</s:v>
      </s:c>
      <s:c r="Q432" s="22">
        <s:f>'7'!F433</s:f>
        <s:v>46247.413136574076</s:v>
      </s:c>
      <s:c r="R432" s="22">
        <s:f>'8'!F433</s:f>
        <s:v>46247.38894675926</s:v>
      </s:c>
      <s:c r="S432" s="22">
        <s:f>'9'!F433</s:f>
        <s:v>46247.37113425926</s:v>
      </s:c>
      <s:c r="T432" s="22">
        <s:f>'10'!F433</s:f>
        <s:v>46247.34190972222</s:v>
      </s:c>
      <s:c r="U432" s="23">
        <s:f>'자료구성'!$B$2</s:f>
        <s:v>46247.0</s:v>
      </s:c>
    </s:row>
    <s:row r="433">
      <s:c r="A433" s="0" t="n">
        <s:v>1538</s:v>
      </s:c>
      <s:c r="B433" s="0" t="n">
        <s:v>1244</s:v>
      </s:c>
      <s:c r="C433" s="0" t="n">
        <s:v>2246</s:v>
      </s:c>
      <s:c r="D433" s="0" t="n">
        <s:v>20</s:v>
      </s:c>
      <s:c r="E433" s="0" t="n">
        <s:v>1500</s:v>
      </s:c>
      <s:c r="F433" s="0" t="n">
        <s:v>3794</s:v>
      </s:c>
      <s:c r="G433" s="0" t="n">
        <s:v>3811</s:v>
      </s:c>
      <s:c r="H433" s="0" t="n">
        <s:v>6239</s:v>
      </s:c>
      <s:c r="I433" s="0" t="n">
        <s:v>1586</s:v>
      </s:c>
      <s:c r="J433" s="0" t="n">
        <s:v>1339</s:v>
      </s:c>
      <s:c r="K433" s="22">
        <s:f>'1'!F434</s:f>
        <s:v>46247.56516203703</s:v>
      </s:c>
      <s:c r="L433" s="22">
        <s:f>'2'!F434</s:f>
        <s:v>46247.546898148146</s:v>
      </s:c>
      <s:c r="M433" s="22">
        <s:f>'3'!F434</s:f>
        <s:v>46247.529490740744</s:v>
      </s:c>
      <s:c r="N433" s="22">
        <s:f>'4'!F434</s:f>
        <s:v>46247.48359953704</s:v>
      </s:c>
      <s:c r="O433" s="22">
        <s:f>'5'!F434</s:f>
        <s:v>46247.45525462963</s:v>
      </s:c>
      <s:c r="P433" s="22">
        <s:f>'6'!F434</s:f>
        <s:v>46247.43579861111</s:v>
      </s:c>
      <s:c r="Q433" s="22">
        <s:f>'7'!F434</s:f>
        <s:v>46247.413148148145</s:v>
      </s:c>
      <s:c r="R433" s="22">
        <s:f>'8'!F434</s:f>
        <s:v>46247.38895833334</s:v>
      </s:c>
      <s:c r="S433" s="22">
        <s:f>'9'!F434</s:f>
        <s:v>46247.371145833335</s:v>
      </s:c>
      <s:c r="T433" s="22">
        <s:f>'10'!F434</s:f>
        <s:v>46247.3419212963</s:v>
      </s:c>
      <s:c r="U433" s="23">
        <s:f>'자료구성'!$B$2</s:f>
        <s:v>46247.0</s:v>
      </s:c>
    </s:row>
    <s:row r="434">
      <s:c r="A434" s="0" t="n">
        <s:v>1578</s:v>
      </s:c>
      <s:c r="B434" s="0" t="n">
        <s:v>1215</s:v>
      </s:c>
      <s:c r="C434" s="0" t="n">
        <s:v>2286</s:v>
      </s:c>
      <s:c r="D434" s="0" t="n">
        <s:v>959</s:v>
      </s:c>
      <s:c r="E434" s="0" t="n">
        <s:v>1471</s:v>
      </s:c>
      <s:c r="F434" s="0" t="n">
        <s:v>3886</s:v>
      </s:c>
      <s:c r="G434" s="0" t="n">
        <s:v>3844</s:v>
      </s:c>
      <s:c r="H434" s="0" t="n">
        <s:v>6157</s:v>
      </s:c>
      <s:c r="I434" s="0" t="n">
        <s:v>1615</s:v>
      </s:c>
      <s:c r="J434" s="0" t="n">
        <s:v>1359</s:v>
      </s:c>
      <s:c r="K434" s="22">
        <s:f>'1'!F435</s:f>
        <s:v>46247.56517361111</s:v>
      </s:c>
      <s:c r="L434" s="22">
        <s:f>'2'!F435</s:f>
        <s:v>46247.54690972222</s:v>
      </s:c>
      <s:c r="M434" s="22">
        <s:f>'3'!F435</s:f>
        <s:v>46247.529502314814</s:v>
      </s:c>
      <s:c r="N434" s="22">
        <s:f>'4'!F435</s:f>
        <s:v>46247.483611111114</s:v>
      </s:c>
      <s:c r="O434" s="22">
        <s:f>'5'!F435</s:f>
        <s:v>46247.4552662037</s:v>
      </s:c>
      <s:c r="P434" s="22">
        <s:f>'6'!F435</s:f>
        <s:v>46247.43581018518</s:v>
      </s:c>
      <s:c r="Q434" s="22">
        <s:f>'7'!F435</s:f>
        <s:v>46247.41315972222</s:v>
      </s:c>
      <s:c r="R434" s="22">
        <s:f>'8'!F435</s:f>
        <s:v>46247.388969907406</s:v>
      </s:c>
      <s:c r="S434" s="22">
        <s:f>'9'!F435</s:f>
        <s:v>46247.371157407404</s:v>
      </s:c>
      <s:c r="T434" s="22">
        <s:f>'10'!F435</s:f>
        <s:v>46247.34193287037</s:v>
      </s:c>
      <s:c r="U434" s="23">
        <s:f>'자료구성'!$B$2</s:f>
        <s:v>46247.0</s:v>
      </s:c>
    </s:row>
    <s:row r="435">
      <s:c r="A435" s="0" t="n">
        <s:v>1617</s:v>
      </s:c>
      <s:c r="B435" s="0" t="n">
        <s:v>1192</s:v>
      </s:c>
      <s:c r="C435" s="0" t="n">
        <s:v>2325</s:v>
      </s:c>
      <s:c r="D435" s="0" t="n">
        <s:v>905</s:v>
      </s:c>
      <s:c r="E435" s="0" t="n">
        <s:v>1443</s:v>
      </s:c>
      <s:c r="F435" s="0" t="n">
        <s:v>3947</s:v>
      </s:c>
      <s:c r="G435" s="0" t="n">
        <s:v>3990</s:v>
      </s:c>
      <s:c r="H435" s="0" t="n">
        <s:v>6095</s:v>
      </s:c>
      <s:c r="I435" s="0" t="n">
        <s:v>1618</s:v>
      </s:c>
      <s:c r="J435" s="0" t="n">
        <s:v>1387</s:v>
      </s:c>
      <s:c r="K435" s="22">
        <s:f>'1'!F436</s:f>
        <s:v>46247.56518518519</s:v>
      </s:c>
      <s:c r="L435" s="22">
        <s:f>'2'!F436</s:f>
        <s:v>46247.5469212963</s:v>
      </s:c>
      <s:c r="M435" s="22">
        <s:f>'3'!F436</s:f>
        <s:v>46247.52951388889</s:v>
      </s:c>
      <s:c r="N435" s="22">
        <s:f>'4'!F436</s:f>
        <s:v>46247.483622685184</s:v>
      </s:c>
      <s:c r="O435" s="22">
        <s:f>'5'!F436</s:f>
        <s:v>46247.45527777778</s:v>
      </s:c>
      <s:c r="P435" s="22">
        <s:f>'6'!F436</s:f>
        <s:v>46247.43582175926</s:v>
      </s:c>
      <s:c r="Q435" s="22">
        <s:f>'7'!F436</s:f>
        <s:v>46247.4131712963</s:v>
      </s:c>
      <s:c r="R435" s="22">
        <s:f>'8'!F436</s:f>
        <s:v>46247.38898148148</s:v>
      </s:c>
      <s:c r="S435" s="22">
        <s:f>'9'!F436</s:f>
        <s:v>46247.37116898148</s:v>
      </s:c>
      <s:c r="T435" s="22">
        <s:f>'10'!F436</s:f>
        <s:v>46247.341944444444</s:v>
      </s:c>
      <s:c r="U435" s="23">
        <s:f>'자료구성'!$B$2</s:f>
        <s:v>46247.0</s:v>
      </s:c>
    </s:row>
    <s:row r="436">
      <s:c r="A436" s="0" t="n">
        <s:v>1611</s:v>
      </s:c>
      <s:c r="B436" s="0" t="n">
        <s:v>1202</s:v>
      </s:c>
      <s:c r="C436" s="0" t="n">
        <s:v>2337</s:v>
      </s:c>
      <s:c r="D436" s="0" t="n">
        <s:v>867</s:v>
      </s:c>
      <s:c r="E436" s="0" t="n">
        <s:v>1432</s:v>
      </s:c>
      <s:c r="F436" s="0" t="n">
        <s:v>3889</s:v>
      </s:c>
      <s:c r="G436" s="0" t="n">
        <s:v>4153</s:v>
      </s:c>
      <s:c r="H436" s="0" t="n">
        <s:v>6047</s:v>
      </s:c>
      <s:c r="I436" s="0" t="n">
        <s:v>1637</s:v>
      </s:c>
      <s:c r="J436" s="0" t="n">
        <s:v>1434</s:v>
      </s:c>
      <s:c r="K436" s="22">
        <s:f>'1'!F437</s:f>
        <s:v>46247.56519675926</s:v>
      </s:c>
      <s:c r="L436" s="22">
        <s:f>'2'!F437</s:f>
        <s:v>46247.54693287037</s:v>
      </s:c>
      <s:c r="M436" s="22">
        <s:f>'3'!F437</s:f>
        <s:v>46247.52952546296</s:v>
      </s:c>
      <s:c r="N436" s="22">
        <s:f>'4'!F437</s:f>
        <s:v>46247.48363425926</s:v>
      </s:c>
      <s:c r="O436" s="22">
        <s:f>'5'!F437</s:f>
        <s:v>46247.45528935185</s:v>
      </s:c>
      <s:c r="P436" s="22">
        <s:f>'6'!F437</s:f>
        <s:v>46247.43583333334</s:v>
      </s:c>
      <s:c r="Q436" s="22">
        <s:f>'7'!F437</s:f>
        <s:v>46247.41318287037</s:v>
      </s:c>
      <s:c r="R436" s="22">
        <s:f>'8'!F437</s:f>
        <s:v>46247.38899305555</s:v>
      </s:c>
      <s:c r="S436" s="22">
        <s:f>'9'!F437</s:f>
        <s:v>46247.37118055556</s:v>
      </s:c>
      <s:c r="T436" s="22">
        <s:f>'10'!F437</s:f>
        <s:v>46247.34195601852</s:v>
      </s:c>
      <s:c r="U436" s="23">
        <s:f>'자료구성'!$B$2</s:f>
        <s:v>46247.0</s:v>
      </s:c>
    </s:row>
    <s:row r="437">
      <s:c r="A437" s="0" t="n">
        <s:v>1583</s:v>
      </s:c>
      <s:c r="B437" s="0" t="n">
        <s:v>1202</s:v>
      </s:c>
      <s:c r="C437" s="0" t="n">
        <s:v>2370</s:v>
      </s:c>
      <s:c r="D437" s="0" t="n">
        <s:v>823</s:v>
      </s:c>
      <s:c r="E437" s="0" t="n">
        <s:v>1428</s:v>
      </s:c>
      <s:c r="F437" s="0" t="n">
        <s:v>3808</s:v>
      </s:c>
      <s:c r="G437" s="0" t="n">
        <s:v>4191</s:v>
      </s:c>
      <s:c r="H437" s="0" t="n">
        <s:v>6032</s:v>
      </s:c>
      <s:c r="I437" s="0" t="n">
        <s:v>1671</s:v>
      </s:c>
      <s:c r="J437" s="0" t="n">
        <s:v>1451</s:v>
      </s:c>
      <s:c r="K437" s="22">
        <s:f>'1'!F438</s:f>
        <s:v>46247.56520833333</s:v>
      </s:c>
      <s:c r="L437" s="22">
        <s:f>'2'!F438</s:f>
        <s:v>46247.546944444446</s:v>
      </s:c>
      <s:c r="M437" s="22">
        <s:f>'3'!F438</s:f>
        <s:v>46247.52953703704</s:v>
      </s:c>
      <s:c r="N437" s="22">
        <s:f>'4'!F438</s:f>
        <s:v>46247.48364583333</s:v>
      </s:c>
      <s:c r="O437" s="22">
        <s:f>'5'!F438</s:f>
        <s:v>46247.455300925925</s:v>
      </s:c>
      <s:c r="P437" s="22">
        <s:f>'6'!F438</s:f>
        <s:v>46247.435844907406</s:v>
      </s:c>
      <s:c r="Q437" s="22">
        <s:f>'7'!F438</s:f>
        <s:v>46247.413194444445</s:v>
      </s:c>
      <s:c r="R437" s="22">
        <s:f>'8'!F438</s:f>
        <s:v>46247.38900462963</s:v>
      </s:c>
      <s:c r="S437" s="22">
        <s:f>'9'!F438</s:f>
        <s:v>46247.37119212963</s:v>
      </s:c>
      <s:c r="T437" s="22">
        <s:f>'10'!F438</s:f>
        <s:v>46247.34196759259</s:v>
      </s:c>
      <s:c r="U437" s="23">
        <s:f>'자료구성'!$B$2</s:f>
        <s:v>46247.0</s:v>
      </s:c>
    </s:row>
    <s:row r="438">
      <s:c r="A438" s="0" t="n">
        <s:v>1611</s:v>
      </s:c>
      <s:c r="B438" s="0" t="n">
        <s:v>1215</s:v>
      </s:c>
      <s:c r="C438" s="0" t="n">
        <s:v>2417</s:v>
      </s:c>
      <s:c r="D438" s="0" t="n">
        <s:v>807</s:v>
      </s:c>
      <s:c r="E438" s="0" t="n">
        <s:v>1389</s:v>
      </s:c>
      <s:c r="F438" s="0" t="n">
        <s:v>3757</s:v>
      </s:c>
      <s:c r="G438" s="0" t="n">
        <s:v>4205</s:v>
      </s:c>
      <s:c r="H438" s="0" t="n">
        <s:v>6022</s:v>
      </s:c>
      <s:c r="I438" s="0" t="n">
        <s:v>1700</s:v>
      </s:c>
      <s:c r="J438" s="0" t="n">
        <s:v>1463</s:v>
      </s:c>
      <s:c r="K438" s="22">
        <s:f>'1'!F439</s:f>
        <s:v>46247.56521990741</s:v>
      </s:c>
      <s:c r="L438" s="22">
        <s:f>'2'!F439</s:f>
        <s:v>46247.546956018516</s:v>
      </s:c>
      <s:c r="M438" s="22">
        <s:f>'3'!F439</s:f>
        <s:v>46247.52954861111</s:v>
      </s:c>
      <s:c r="N438" s="22">
        <s:f>'4'!F439</s:f>
        <s:v>46247.48365740741</s:v>
      </s:c>
      <s:c r="O438" s="22">
        <s:f>'5'!F439</s:f>
        <s:v>46247.4553125</s:v>
      </s:c>
      <s:c r="P438" s="22">
        <s:f>'6'!F439</s:f>
        <s:v>46247.43585648148</s:v>
      </s:c>
      <s:c r="Q438" s="22">
        <s:f>'7'!F439</s:f>
        <s:v>46247.41320601852</s:v>
      </s:c>
      <s:c r="R438" s="22">
        <s:f>'8'!F439</s:f>
        <s:v>46247.389016203706</s:v>
      </s:c>
      <s:c r="S438" s="22">
        <s:f>'9'!F439</s:f>
        <s:v>46247.371203703704</s:v>
      </s:c>
      <s:c r="T438" s="22">
        <s:f>'10'!F439</s:f>
        <s:v>46247.34197916667</s:v>
      </s:c>
      <s:c r="U438" s="23">
        <s:f>'자료구성'!$B$2</s:f>
        <s:v>46247.0</s:v>
      </s:c>
    </s:row>
    <s:row r="439">
      <s:c r="A439" s="0" t="n">
        <s:v>1705</s:v>
      </s:c>
      <s:c r="B439" s="0" t="n">
        <s:v>1210</s:v>
      </s:c>
      <s:c r="C439" s="0" t="n">
        <s:v>2474</s:v>
      </s:c>
      <s:c r="D439" s="0" t="n">
        <s:v>782</s:v>
      </s:c>
      <s:c r="E439" s="0" t="n">
        <s:v>1418</s:v>
      </s:c>
      <s:c r="F439" s="0" t="n">
        <s:v>3720</s:v>
      </s:c>
      <s:c r="G439" s="0" t="n">
        <s:v>4142</s:v>
      </s:c>
      <s:c r="H439" s="0" t="n">
        <s:v>5963</s:v>
      </s:c>
      <s:c r="I439" s="0" t="n">
        <s:v>1709</s:v>
      </s:c>
      <s:c r="J439" s="0" t="n">
        <s:v>1491</s:v>
      </s:c>
      <s:c r="K439" s="22">
        <s:f>'1'!F440</s:f>
        <s:v>46247.56523148148</s:v>
      </s:c>
      <s:c r="L439" s="22">
        <s:f>'2'!F440</s:f>
        <s:v>46247.54696759259</s:v>
      </s:c>
      <s:c r="M439" s="22">
        <s:f>'3'!F440</s:f>
        <s:v>46247.52956018518</s:v>
      </s:c>
      <s:c r="N439" s="22">
        <s:f>'4'!F440</s:f>
        <s:v>46247.483668981484</s:v>
      </s:c>
      <s:c r="O439" s="22">
        <s:f>'5'!F440</s:f>
        <s:v>46247.45532407407</s:v>
      </s:c>
      <s:c r="P439" s="22">
        <s:f>'6'!F440</s:f>
        <s:v>46247.43586805555</s:v>
      </s:c>
      <s:c r="Q439" s="22">
        <s:f>'7'!F440</s:f>
        <s:v>46247.41321759259</s:v>
      </s:c>
      <s:c r="R439" s="22">
        <s:f>'8'!F440</s:f>
        <s:v>46247.389027777775</s:v>
      </s:c>
      <s:c r="S439" s="22">
        <s:f>'9'!F440</s:f>
        <s:v>46247.37121527778</s:v>
      </s:c>
      <s:c r="T439" s="22">
        <s:f>'10'!F440</s:f>
        <s:v>46247.341990740744</s:v>
      </s:c>
      <s:c r="U439" s="23">
        <s:f>'자료구성'!$B$2</s:f>
        <s:v>46247.0</s:v>
      </s:c>
    </s:row>
    <s:row r="440">
      <s:c r="A440" s="0" t="n">
        <s:v>1770</s:v>
      </s:c>
      <s:c r="B440" s="0" t="n">
        <s:v>1217</s:v>
      </s:c>
      <s:c r="C440" s="0" t="n">
        <s:v>2562</s:v>
      </s:c>
      <s:c r="D440" s="0" t="n">
        <s:v>768</s:v>
      </s:c>
      <s:c r="E440" s="0" t="n">
        <s:v>1436</s:v>
      </s:c>
      <s:c r="F440" s="0" t="n">
        <s:v>3680</s:v>
      </s:c>
      <s:c r="G440" s="0" t="n">
        <s:v>3937</s:v>
      </s:c>
      <s:c r="H440" s="0" t="n">
        <s:v>5859</s:v>
      </s:c>
      <s:c r="I440" s="0" t="n">
        <s:v>1706</s:v>
      </s:c>
      <s:c r="J440" s="0" t="n">
        <s:v>1500</s:v>
      </s:c>
      <s:c r="K440" s="22">
        <s:f>'1'!F441</s:f>
        <s:v>46247.56524305556</s:v>
      </s:c>
      <s:c r="L440" s="22">
        <s:f>'2'!F441</s:f>
        <s:v>46247.54697916667</s:v>
      </s:c>
      <s:c r="M440" s="22">
        <s:f>'3'!F441</s:f>
        <s:v>46247.52957175926</s:v>
      </s:c>
      <s:c r="N440" s="22">
        <s:f>'4'!F441</s:f>
        <s:v>46247.48368055555</s:v>
      </s:c>
      <s:c r="O440" s="22">
        <s:f>'5'!F441</s:f>
        <s:v>46247.45533564815</s:v>
      </s:c>
      <s:c r="P440" s="22">
        <s:f>'6'!F441</s:f>
        <s:v>46247.43587962963</s:v>
      </s:c>
      <s:c r="Q440" s="22">
        <s:f>'7'!F441</s:f>
        <s:v>46247.41322916667</s:v>
      </s:c>
      <s:c r="R440" s="22">
        <s:f>'8'!F441</s:f>
        <s:v>46247.38903935185</s:v>
      </s:c>
      <s:c r="S440" s="22">
        <s:f>'9'!F441</s:f>
        <s:v>46247.37122685185</s:v>
      </s:c>
      <s:c r="T440" s="22">
        <s:f>'10'!F441</s:f>
        <s:v>46247.342002314814</s:v>
      </s:c>
      <s:c r="U440" s="23">
        <s:f>'자료구성'!$B$2</s:f>
        <s:v>46247.0</s:v>
      </s:c>
    </s:row>
    <s:row r="441">
      <s:c r="A441" s="0" t="n">
        <s:v>1818</s:v>
      </s:c>
      <s:c r="B441" s="0" t="n">
        <s:v>1211</s:v>
      </s:c>
      <s:c r="C441" s="0" t="n">
        <s:v>2667</s:v>
      </s:c>
      <s:c r="D441" s="0" t="n">
        <s:v>741</s:v>
      </s:c>
      <s:c r="E441" s="0" t="n">
        <s:v>1406</s:v>
      </s:c>
      <s:c r="F441" s="0" t="n">
        <s:v>3626</s:v>
      </s:c>
      <s:c r="G441" s="0" t="n">
        <s:v>3872</s:v>
      </s:c>
      <s:c r="H441" s="0" t="n">
        <s:v>5740</s:v>
      </s:c>
      <s:c r="I441" s="0" t="n">
        <s:v>1708</s:v>
      </s:c>
      <s:c r="J441" s="0" t="n">
        <s:v>1510</s:v>
      </s:c>
      <s:c r="K441" s="22">
        <s:f>'1'!F442</s:f>
        <s:v>46247.565254629626</s:v>
      </s:c>
      <s:c r="L441" s="22">
        <s:f>'2'!F442</s:f>
        <s:v>46247.54699074074</s:v>
      </s:c>
      <s:c r="M441" s="22">
        <s:f>'3'!F442</s:f>
        <s:v>46247.52958333334</s:v>
      </s:c>
      <s:c r="N441" s="22">
        <s:f>'4'!F442</s:f>
        <s:v>46247.48369212963</s:v>
      </s:c>
      <s:c r="O441" s="22">
        <s:f>'5'!F442</s:f>
        <s:v>46247.455347222225</s:v>
      </s:c>
      <s:c r="P441" s="22">
        <s:f>'6'!F442</s:f>
        <s:v>46247.435891203706</s:v>
      </s:c>
      <s:c r="Q441" s="22">
        <s:f>'7'!F442</s:f>
        <s:v>46247.41324074074</s:v>
      </s:c>
      <s:c r="R441" s="22">
        <s:f>'8'!F442</s:f>
        <s:v>46247.38905092593</s:v>
      </s:c>
      <s:c r="S441" s="22">
        <s:f>'9'!F442</s:f>
        <s:v>46247.37123842593</s:v>
      </s:c>
      <s:c r="T441" s="22">
        <s:f>'10'!F442</s:f>
        <s:v>46247.34201388889</s:v>
      </s:c>
      <s:c r="U441" s="23">
        <s:f>'자료구성'!$B$2</s:f>
        <s:v>46247.0</s:v>
      </s:c>
    </s:row>
    <s:row r="442">
      <s:c r="A442" s="0" t="n">
        <s:v>1865</s:v>
      </s:c>
      <s:c r="B442" s="0" t="n">
        <s:v>1228</s:v>
      </s:c>
      <s:c r="C442" s="0" t="n">
        <s:v>2739</s:v>
      </s:c>
      <s:c r="D442" s="0" t="n">
        <s:v>738</s:v>
      </s:c>
      <s:c r="E442" s="0" t="n">
        <s:v>1380</s:v>
      </s:c>
      <s:c r="F442" s="0" t="n">
        <s:v>3575</s:v>
      </s:c>
      <s:c r="G442" s="0" t="n">
        <s:v>3773</s:v>
      </s:c>
      <s:c r="H442" s="0" t="n">
        <s:v>5575</s:v>
      </s:c>
      <s:c r="I442" s="0" t="n">
        <s:v>1705</s:v>
      </s:c>
      <s:c r="J442" s="0" t="n">
        <s:v>1485</s:v>
      </s:c>
      <s:c r="K442" s="22">
        <s:f>'1'!F443</s:f>
        <s:v>46247.5652662037</s:v>
      </s:c>
      <s:c r="L442" s="22">
        <s:f>'2'!F443</s:f>
        <s:v>46247.547002314815</s:v>
      </s:c>
      <s:c r="M442" s="22">
        <s:f>'3'!F443</s:f>
        <s:v>46247.529594907406</s:v>
      </s:c>
      <s:c r="N442" s="22">
        <s:f>'4'!F443</s:f>
        <s:v>46247.48370370371</s:v>
      </s:c>
      <s:c r="O442" s="22">
        <s:f>'5'!F443</s:f>
        <s:v>46247.455358796295</s:v>
      </s:c>
      <s:c r="P442" s="22">
        <s:f>'6'!F443</s:f>
        <s:v>46247.435902777775</s:v>
      </s:c>
      <s:c r="Q442" s="22">
        <s:f>'7'!F443</s:f>
        <s:v>46247.413252314815</s:v>
      </s:c>
      <s:c r="R442" s="22">
        <s:f>'8'!F443</s:f>
        <s:v>46247.3890625</s:v>
      </s:c>
      <s:c r="S442" s="22">
        <s:f>'9'!F443</s:f>
        <s:v>46247.37125</s:v>
      </s:c>
      <s:c r="T442" s="22">
        <s:f>'10'!F443</s:f>
        <s:v>46247.34202546296</s:v>
      </s:c>
      <s:c r="U442" s="23">
        <s:f>'자료구성'!$B$2</s:f>
        <s:v>46247.0</s:v>
      </s:c>
    </s:row>
    <s:row r="443">
      <s:c r="A443" s="0" t="n">
        <s:v>1852</s:v>
      </s:c>
      <s:c r="B443" s="0" t="n">
        <s:v>1246</s:v>
      </s:c>
      <s:c r="C443" s="0" t="n">
        <s:v>2790</s:v>
      </s:c>
      <s:c r="D443" s="0" t="n">
        <s:v>731</s:v>
      </s:c>
      <s:c r="E443" s="0" t="n">
        <s:v>1380</s:v>
      </s:c>
      <s:c r="F443" s="0" t="n">
        <s:v>3515</s:v>
      </s:c>
      <s:c r="G443" s="0" t="n">
        <s:v>3573</s:v>
      </s:c>
      <s:c r="H443" s="0" t="n">
        <s:v>5494</s:v>
      </s:c>
      <s:c r="I443" s="0" t="n">
        <s:v>1694</s:v>
      </s:c>
      <s:c r="J443" s="0" t="n">
        <s:v>1425</s:v>
      </s:c>
      <s:c r="K443" s="22">
        <s:f>'1'!F444</s:f>
        <s:v>46247.56527777778</s:v>
      </s:c>
      <s:c r="L443" s="22">
        <s:f>'2'!F444</s:f>
        <s:v>46247.54701388889</s:v>
      </s:c>
      <s:c r="M443" s="22">
        <s:f>'3'!F444</s:f>
        <s:v>46247.52960648148</s:v>
      </s:c>
      <s:c r="N443" s="22">
        <s:f>'4'!F444</s:f>
        <s:v>46247.483715277776</s:v>
      </s:c>
      <s:c r="O443" s="22">
        <s:f>'5'!F444</s:f>
        <s:v>46247.45537037037</s:v>
      </s:c>
      <s:c r="P443" s="22">
        <s:f>'6'!F444</s:f>
        <s:v>46247.43591435185</s:v>
      </s:c>
      <s:c r="Q443" s="22">
        <s:f>'7'!F444</s:f>
        <s:v>46247.41326388889</s:v>
      </s:c>
      <s:c r="R443" s="22">
        <s:f>'8'!F444</s:f>
        <s:v>46247.389074074075</s:v>
      </s:c>
      <s:c r="S443" s="22">
        <s:f>'9'!F444</s:f>
        <s:v>46247.37126157407</s:v>
      </s:c>
      <s:c r="T443" s="22">
        <s:f>'10'!F444</s:f>
        <s:v>46247.34203703704</s:v>
      </s:c>
      <s:c r="U443" s="23">
        <s:f>'자료구성'!$B$2</s:f>
        <s:v>46247.0</s:v>
      </s:c>
    </s:row>
    <s:row r="444">
      <s:c r="A444" s="0" t="n">
        <s:v>1800</s:v>
      </s:c>
      <s:c r="B444" s="0" t="n">
        <s:v>1217</s:v>
      </s:c>
      <s:c r="C444" s="0" t="n">
        <s:v>2871</s:v>
      </s:c>
      <s:c r="D444" s="0" t="n">
        <s:v>718</s:v>
      </s:c>
      <s:c r="E444" s="0" t="n">
        <s:v>1375</s:v>
      </s:c>
      <s:c r="F444" s="0" t="n">
        <s:v>3437</s:v>
      </s:c>
      <s:c r="G444" s="0" t="n">
        <s:v>3374</s:v>
      </s:c>
      <s:c r="H444" s="0" t="n">
        <s:v>5490</s:v>
      </s:c>
      <s:c r="I444" s="0" t="n">
        <s:v>1679</s:v>
      </s:c>
      <s:c r="J444" s="0" t="n">
        <s:v>1390</s:v>
      </s:c>
      <s:c r="K444" s="22">
        <s:f>'1'!F445</s:f>
        <s:v>46247.56528935185</s:v>
      </s:c>
      <s:c r="L444" s="22">
        <s:f>'2'!F445</s:f>
        <s:v>46247.54702546296</s:v>
      </s:c>
      <s:c r="M444" s="22">
        <s:f>'3'!F445</s:f>
        <s:v>46247.52961805555</s:v>
      </s:c>
      <s:c r="N444" s="22">
        <s:f>'4'!F445</s:f>
        <s:v>46247.48372685185</s:v>
      </s:c>
      <s:c r="O444" s="22">
        <s:f>'5'!F445</s:f>
        <s:v>46247.45538194444</s:v>
      </s:c>
      <s:c r="P444" s="22">
        <s:f>'6'!F445</s:f>
        <s:v>46247.43592592593</s:v>
      </s:c>
      <s:c r="Q444" s="22">
        <s:f>'7'!F445</s:f>
        <s:v>46247.41327546296</s:v>
      </s:c>
      <s:c r="R444" s="22">
        <s:f>'8'!F445</s:f>
        <s:v>46247.389085648145</s:v>
      </s:c>
      <s:c r="S444" s="22">
        <s:f>'9'!F445</s:f>
        <s:v>46247.37127314815</s:v>
      </s:c>
      <s:c r="T444" s="22">
        <s:f>'10'!F445</s:f>
        <s:v>46247.34204861111</s:v>
      </s:c>
      <s:c r="U444" s="23">
        <s:f>'자료구성'!$B$2</s:f>
        <s:v>46247.0</s:v>
      </s:c>
    </s:row>
    <s:row r="445">
      <s:c r="A445" s="0" t="n">
        <s:v>1741</s:v>
      </s:c>
      <s:c r="B445" s="0" t="n">
        <s:v>1188</s:v>
      </s:c>
      <s:c r="C445" s="0" t="n">
        <s:v>2947</s:v>
      </s:c>
      <s:c r="D445" s="0" t="n">
        <s:v>688</s:v>
      </s:c>
      <s:c r="E445" s="0" t="n">
        <s:v>1375</s:v>
      </s:c>
      <s:c r="F445" s="0" t="n">
        <s:v>3430</s:v>
      </s:c>
      <s:c r="G445" s="0" t="n">
        <s:v>3257</s:v>
      </s:c>
      <s:c r="H445" s="0" t="n">
        <s:v>5455</s:v>
      </s:c>
      <s:c r="I445" s="0" t="n">
        <s:v>1674</s:v>
      </s:c>
      <s:c r="J445" s="0" t="n">
        <s:v>1399</s:v>
      </s:c>
      <s:c r="K445" s="22">
        <s:f>'1'!F446</s:f>
        <s:v>46247.565300925926</s:v>
      </s:c>
      <s:c r="L445" s="22">
        <s:f>'2'!F446</s:f>
        <s:v>46247.54703703704</s:v>
      </s:c>
      <s:c r="M445" s="22">
        <s:f>'3'!F446</s:f>
        <s:v>46247.52962962963</s:v>
      </s:c>
      <s:c r="N445" s="22">
        <s:f>'4'!F446</s:f>
        <s:v>46247.48373842592</s:v>
      </s:c>
      <s:c r="O445" s="22">
        <s:f>'5'!F446</s:f>
        <s:v>46247.45539351852</s:v>
      </s:c>
      <s:c r="P445" s="22">
        <s:f>'6'!F446</s:f>
        <s:v>46247.4359375</s:v>
      </s:c>
      <s:c r="Q445" s="22">
        <s:f>'7'!F446</s:f>
        <s:v>46247.41328703704</s:v>
      </s:c>
      <s:c r="R445" s="22">
        <s:f>'8'!F446</s:f>
        <s:v>46247.38909722222</s:v>
      </s:c>
      <s:c r="S445" s="22">
        <s:f>'9'!F446</s:f>
        <s:v>46247.37128472222</s:v>
      </s:c>
      <s:c r="T445" s="22">
        <s:f>'10'!F446</s:f>
        <s:v>46247.34206018518</s:v>
      </s:c>
      <s:c r="U445" s="23">
        <s:f>'자료구성'!$B$2</s:f>
        <s:v>46247.0</s:v>
      </s:c>
    </s:row>
    <s:row r="446">
      <s:c r="A446" s="0" t="n">
        <s:v>1682</s:v>
      </s:c>
      <s:c r="B446" s="0" t="n">
        <s:v>1159</s:v>
      </s:c>
      <s:c r="C446" s="0" t="n">
        <s:v>3053</s:v>
      </s:c>
      <s:c r="D446" s="0" t="n">
        <s:v>665</s:v>
      </s:c>
      <s:c r="E446" s="0" t="n">
        <s:v>1416</s:v>
      </s:c>
      <s:c r="F446" s="0" t="n">
        <s:v>3438</s:v>
      </s:c>
      <s:c r="G446" s="0" t="n">
        <s:v>3174</s:v>
      </s:c>
      <s:c r="H446" s="0" t="n">
        <s:v>5407</s:v>
      </s:c>
      <s:c r="I446" s="0" t="n">
        <s:v>1671</s:v>
      </s:c>
      <s:c r="J446" s="0" t="n">
        <s:v>1394</s:v>
      </s:c>
      <s:c r="K446" s="22">
        <s:f>'1'!F447</s:f>
        <s:v>46247.5653125</s:v>
      </s:c>
      <s:c r="L446" s="22">
        <s:f>'2'!F447</s:f>
        <s:v>46247.54704861111</s:v>
      </s:c>
      <s:c r="M446" s="22">
        <s:f>'3'!F447</s:f>
        <s:v>46247.529641203706</s:v>
      </s:c>
      <s:c r="N446" s="22">
        <s:f>'4'!F447</s:f>
        <s:v>46247.48375</s:v>
      </s:c>
      <s:c r="O446" s="22">
        <s:f>'5'!F447</s:f>
        <s:v>46247.455405092594</s:v>
      </s:c>
      <s:c r="P446" s="22">
        <s:f>'6'!F447</s:f>
        <s:v>46247.435949074075</s:v>
      </s:c>
      <s:c r="Q446" s="22">
        <s:f>'7'!F447</s:f>
        <s:v>46247.413298611114</s:v>
      </s:c>
      <s:c r="R446" s="22">
        <s:f>'8'!F447</s:f>
        <s:v>46247.3891087963</s:v>
      </s:c>
      <s:c r="S446" s="22">
        <s:f>'9'!F447</s:f>
        <s:v>46247.371296296296</s:v>
      </s:c>
      <s:c r="T446" s="22">
        <s:f>'10'!F447</s:f>
        <s:v>46247.34207175926</s:v>
      </s:c>
      <s:c r="U446" s="23">
        <s:f>'자료구성'!$B$2</s:f>
        <s:v>46247.0</s:v>
      </s:c>
    </s:row>
    <s:row r="447">
      <s:c r="A447" s="0" t="n">
        <s:v>1622</s:v>
      </s:c>
      <s:c r="B447" s="0" t="n">
        <s:v>1148</s:v>
      </s:c>
      <s:c r="C447" s="0" t="n">
        <s:v>3178</s:v>
      </s:c>
      <s:c r="D447" s="0" t="n">
        <s:v>637</s:v>
      </s:c>
      <s:c r="E447" s="0" t="n">
        <s:v>1471</s:v>
      </s:c>
      <s:c r="F447" s="0" t="n">
        <s:v>3438</s:v>
      </s:c>
      <s:c r="G447" s="0" t="n">
        <s:v>3121</s:v>
      </s:c>
      <s:c r="H447" s="0" t="n">
        <s:v>5421</s:v>
      </s:c>
      <s:c r="I447" s="0" t="n">
        <s:v>1665</s:v>
      </s:c>
      <s:c r="J447" s="0" t="n">
        <s:v>1388</s:v>
      </s:c>
      <s:c r="K447" s="22">
        <s:f>'1'!F448</s:f>
        <s:v>46247.56532407407</s:v>
      </s:c>
      <s:c r="L447" s="22">
        <s:f>'2'!F448</s:f>
        <s:v>46247.547060185185</s:v>
      </s:c>
      <s:c r="M447" s="22">
        <s:f>'3'!F448</s:f>
        <s:v>46247.529652777775</s:v>
      </s:c>
      <s:c r="N447" s="22">
        <s:f>'4'!F448</s:f>
        <s:v>46247.483761574076</s:v>
      </s:c>
      <s:c r="O447" s="22">
        <s:f>'5'!F448</s:f>
        <s:v>46247.455416666664</s:v>
      </s:c>
      <s:c r="P447" s="22">
        <s:f>'6'!F448</s:f>
        <s:v>46247.435960648145</s:v>
      </s:c>
      <s:c r="Q447" s="22">
        <s:f>'7'!F448</s:f>
        <s:v>46247.413310185184</s:v>
      </s:c>
      <s:c r="R447" s="22">
        <s:f>'8'!F448</s:f>
        <s:v>46247.38912037037</s:v>
      </s:c>
      <s:c r="S447" s="22">
        <s:f>'9'!F448</s:f>
        <s:v>46247.37130787037</s:v>
      </s:c>
      <s:c r="T447" s="22">
        <s:f>'10'!F448</s:f>
        <s:v>46247.34208333334</s:v>
      </s:c>
      <s:c r="U447" s="23">
        <s:f>'자료구성'!$B$2</s:f>
        <s:v>46247.0</s:v>
      </s:c>
    </s:row>
    <s:row r="448">
      <s:c r="A448" s="0" t="n">
        <s:v>1577</s:v>
      </s:c>
      <s:c r="B448" s="0" t="n">
        <s:v>1148</s:v>
      </s:c>
      <s:c r="C448" s="0" t="n">
        <s:v>3274</s:v>
      </s:c>
      <s:c r="D448" s="0" t="n">
        <s:v>623</s:v>
      </s:c>
      <s:c r="E448" s="0" t="n">
        <s:v>1535</s:v>
      </s:c>
      <s:c r="F448" s="0" t="n">
        <s:v>3434</s:v>
      </s:c>
      <s:c r="G448" s="0" t="n">
        <s:v>3070</s:v>
      </s:c>
      <s:c r="H448" s="0" t="n">
        <s:v>5550</s:v>
      </s:c>
      <s:c r="I448" s="0" t="n">
        <s:v>1651</s:v>
      </s:c>
      <s:c r="J448" s="0" t="n">
        <s:v>1446</s:v>
      </s:c>
      <s:c r="K448" s="22">
        <s:f>'1'!F449</s:f>
        <s:v>46247.56533564815</s:v>
      </s:c>
      <s:c r="L448" s="22">
        <s:f>'2'!F449</s:f>
        <s:v>46247.54707175926</s:v>
      </s:c>
      <s:c r="M448" s="22">
        <s:f>'3'!F449</s:f>
        <s:v>46247.52966435185</s:v>
      </s:c>
      <s:c r="N448" s="22">
        <s:f>'4'!F449</s:f>
        <s:v>46247.483773148146</s:v>
      </s:c>
      <s:c r="O448" s="22">
        <s:f>'5'!F449</s:f>
        <s:v>46247.45542824074</s:v>
      </s:c>
      <s:c r="P448" s="22">
        <s:f>'6'!F449</s:f>
        <s:v>46247.43597222222</s:v>
      </s:c>
      <s:c r="Q448" s="22">
        <s:f>'7'!F449</s:f>
        <s:v>46247.41332175926</s:v>
      </s:c>
      <s:c r="R448" s="22">
        <s:f>'8'!F449</s:f>
        <s:v>46247.389131944445</s:v>
      </s:c>
      <s:c r="S448" s="22">
        <s:f>'9'!F449</s:f>
        <s:v>46247.37131944444</s:v>
      </s:c>
      <s:c r="T448" s="22">
        <s:f>'10'!F449</s:f>
        <s:v>46247.342094907406</s:v>
      </s:c>
      <s:c r="U448" s="23">
        <s:f>'자료구성'!$B$2</s:f>
        <s:v>46247.0</s:v>
      </s:c>
    </s:row>
    <s:row r="449">
      <s:c r="A449" s="0" t="n">
        <s:v>1586</s:v>
      </s:c>
      <s:c r="B449" s="0" t="n">
        <s:v>1185</s:v>
      </s:c>
      <s:c r="C449" s="0" t="n">
        <s:v>3513</s:v>
      </s:c>
      <s:c r="D449" s="0" t="n">
        <s:v>614</s:v>
      </s:c>
      <s:c r="E449" s="0" t="n">
        <s:v>1594</s:v>
      </s:c>
      <s:c r="F449" s="0" t="n">
        <s:v>3503</s:v>
      </s:c>
      <s:c r="G449" s="0" t="n">
        <s:v>3006</s:v>
      </s:c>
      <s:c r="H449" s="0" t="n">
        <s:v>5624</s:v>
      </s:c>
      <s:c r="I449" s="0" t="n">
        <s:v>1655</s:v>
      </s:c>
      <s:c r="J449" s="0" t="n">
        <s:v>1471</s:v>
      </s:c>
      <s:c r="K449" s="22">
        <s:f>'1'!F450</s:f>
        <s:v>46247.565347222226</s:v>
      </s:c>
      <s:c r="L449" s="22">
        <s:f>'2'!F450</s:f>
        <s:v>46247.54708333333</s:v>
      </s:c>
      <s:c r="M449" s="22">
        <s:f>'3'!F450</s:f>
        <s:v>46247.52967592593</s:v>
      </s:c>
      <s:c r="N449" s="22">
        <s:f>'4'!F450</s:f>
        <s:v>46247.48378472222</s:v>
      </s:c>
      <s:c r="O449" s="22">
        <s:f>'5'!F450</s:f>
        <s:v>46247.45543981482</s:v>
      </s:c>
      <s:c r="P449" s="22">
        <s:f>'6'!F450</s:f>
        <s:v>46247.4359837963</s:v>
      </s:c>
      <s:c r="Q449" s="22">
        <s:f>'7'!F450</s:f>
        <s:v>46247.41333333333</s:v>
      </s:c>
      <s:c r="R449" s="22">
        <s:f>'8'!F450</s:f>
        <s:v>46247.38914351852</s:v>
      </s:c>
      <s:c r="S449" s="22">
        <s:f>'9'!F450</s:f>
        <s:v>46247.37133101852</s:v>
      </s:c>
      <s:c r="T449" s="22">
        <s:f>'10'!F450</s:f>
        <s:v>46247.34210648148</s:v>
      </s:c>
      <s:c r="U449" s="23">
        <s:f>'자료구성'!$B$2</s:f>
        <s:v>46247.0</s:v>
      </s:c>
    </s:row>
    <s:row r="450">
      <s:c r="A450" s="0" t="n">
        <s:v>1617</s:v>
      </s:c>
      <s:c r="B450" s="0" t="n">
        <s:v>1227</s:v>
      </s:c>
      <s:c r="C450" s="0" t="n">
        <s:v>3684</s:v>
      </s:c>
      <s:c r="D450" s="0" t="n">
        <s:v>607</s:v>
      </s:c>
      <s:c r="E450" s="0" t="n">
        <s:v>1627</s:v>
      </s:c>
      <s:c r="F450" s="0" t="n">
        <s:v>3546</s:v>
      </s:c>
      <s:c r="G450" s="0" t="n">
        <s:v>3087</s:v>
      </s:c>
      <s:c r="H450" s="0" t="n">
        <s:v>5793</s:v>
      </s:c>
      <s:c r="I450" s="0" t="n">
        <s:v>1681</s:v>
      </s:c>
      <s:c r="J450" s="0" t="n">
        <s:v>1492</s:v>
      </s:c>
      <s:c r="K450" s="22">
        <s:f>'1'!F451</s:f>
        <s:v>46247.565358796295</s:v>
      </s:c>
      <s:c r="L450" s="22">
        <s:f>'2'!F451</s:f>
        <s:v>46247.54709490741</s:v>
      </s:c>
      <s:c r="M450" s="22">
        <s:f>'3'!F451</s:f>
        <s:v>46247.5296875</s:v>
      </s:c>
      <s:c r="N450" s="22">
        <s:f>'4'!F451</s:f>
        <s:v>46247.4837962963</s:v>
      </s:c>
      <s:c r="O450" s="22">
        <s:f>'5'!F451</s:f>
        <s:v>46247.45545138889</s:v>
      </s:c>
      <s:c r="P450" s="22">
        <s:f>'6'!F451</s:f>
        <s:v>46247.43599537037</s:v>
      </s:c>
      <s:c r="Q450" s="22">
        <s:f>'7'!F451</s:f>
        <s:v>46247.41334490741</s:v>
      </s:c>
      <s:c r="R450" s="22">
        <s:f>'8'!F451</s:f>
        <s:v>46247.38915509259</s:v>
      </s:c>
      <s:c r="S450" s="22">
        <s:f>'9'!F451</s:f>
        <s:v>46247.371342592596</s:v>
      </s:c>
      <s:c r="T450" s="22">
        <s:f>'10'!F451</s:f>
        <s:v>46247.34211805555</s:v>
      </s:c>
      <s:c r="U450" s="23">
        <s:f>'자료구성'!$B$2</s:f>
        <s:v>46247.0</s:v>
      </s:c>
    </s:row>
    <s:row r="451">
      <s:c r="A451" s="0" t="n">
        <s:v>1638</s:v>
      </s:c>
      <s:c r="B451" s="0" t="n">
        <s:v>1268</s:v>
      </s:c>
      <s:c r="C451" s="0" t="n">
        <s:v>3808</s:v>
      </s:c>
      <s:c r="D451" s="0" t="n">
        <s:v>607</s:v>
      </s:c>
      <s:c r="E451" s="0" t="n">
        <s:v>1657</s:v>
      </s:c>
      <s:c r="F451" s="0" t="n">
        <s:v>3578</s:v>
      </s:c>
      <s:c r="G451" s="0" t="n">
        <s:v>3205</s:v>
      </s:c>
      <s:c r="H451" s="0" t="n">
        <s:v>5796</s:v>
      </s:c>
      <s:c r="I451" s="0" t="n">
        <s:v>1677</s:v>
      </s:c>
      <s:c r="J451" s="0" t="n">
        <s:v>1440</s:v>
      </s:c>
      <s:c r="K451" s="22">
        <s:f>'1'!F452</s:f>
        <s:v>46247.56537037037</s:v>
      </s:c>
      <s:c r="L451" s="22">
        <s:f>'2'!F452</s:f>
        <s:v>46247.547106481485</s:v>
      </s:c>
      <s:c r="M451" s="22">
        <s:f>'3'!F452</s:f>
        <s:v>46247.529699074075</s:v>
      </s:c>
      <s:c r="N451" s="22">
        <s:f>'4'!F452</s:f>
        <s:v>46247.48380787037</s:v>
      </s:c>
      <s:c r="O451" s="22">
        <s:f>'5'!F452</s:f>
        <s:v>46247.455462962964</s:v>
      </s:c>
      <s:c r="P451" s="22">
        <s:f>'6'!F452</s:f>
        <s:v>46247.436006944445</s:v>
      </s:c>
      <s:c r="Q451" s="22">
        <s:f>'7'!F452</s:f>
        <s:v>46247.413356481484</s:v>
      </s:c>
      <s:c r="R451" s="22">
        <s:f>'8'!F452</s:f>
        <s:v>46247.38916666667</s:v>
      </s:c>
      <s:c r="S451" s="22">
        <s:f>'9'!F452</s:f>
        <s:v>46247.371354166666</s:v>
      </s:c>
      <s:c r="T451" s="22">
        <s:f>'10'!F452</s:f>
        <s:v>46247.34212962963</s:v>
      </s:c>
      <s:c r="U451" s="23">
        <s:f>'자료구성'!$B$2</s:f>
        <s:v>46247.0</s:v>
      </s:c>
    </s:row>
    <s:row r="452">
      <s:c r="A452" s="0" t="n">
        <s:v>1643</s:v>
      </s:c>
      <s:c r="B452" s="0" t="n">
        <s:v>1276</s:v>
      </s:c>
      <s:c r="C452" s="0" t="n">
        <s:v>3936</s:v>
      </s:c>
      <s:c r="D452" s="0" t="n">
        <s:v>613</s:v>
      </s:c>
      <s:c r="E452" s="0" t="n">
        <s:v>1620</s:v>
      </s:c>
      <s:c r="F452" s="0" t="n">
        <s:v>3599</s:v>
      </s:c>
      <s:c r="G452" s="0" t="n">
        <s:v>3384</s:v>
      </s:c>
      <s:c r="H452" s="0" t="n">
        <s:v>5894</s:v>
      </s:c>
      <s:c r="I452" s="0" t="n">
        <s:v>1672</s:v>
      </s:c>
      <s:c r="J452" s="0" t="n">
        <s:v>1379</s:v>
      </s:c>
      <s:c r="K452" s="22">
        <s:f>'1'!F453</s:f>
        <s:v>46247.56538194444</s:v>
      </s:c>
      <s:c r="L452" s="22">
        <s:f>'2'!F453</s:f>
        <s:v>46247.547118055554</s:v>
      </s:c>
      <s:c r="M452" s="22">
        <s:f>'3'!F453</s:f>
        <s:v>46247.529710648145</s:v>
      </s:c>
      <s:c r="N452" s="22">
        <s:f>'4'!F453</s:f>
        <s:v>46247.483819444446</s:v>
      </s:c>
      <s:c r="O452" s="22">
        <s:f>'5'!F453</s:f>
        <s:v>46247.45547453704</s:v>
      </s:c>
      <s:c r="P452" s="22">
        <s:f>'6'!F453</s:f>
        <s:v>46247.43601851852</s:v>
      </s:c>
      <s:c r="Q452" s="22">
        <s:f>'7'!F453</s:f>
        <s:v>46247.41336805555</s:v>
      </s:c>
      <s:c r="R452" s="22">
        <s:f>'8'!F453</s:f>
        <s:v>46247.38917824074</s:v>
      </s:c>
      <s:c r="S452" s="22">
        <s:f>'9'!F453</s:f>
        <s:v>46247.37136574074</s:v>
      </s:c>
      <s:c r="T452" s="22">
        <s:f>'10'!F453</s:f>
        <s:v>46247.342141203706</s:v>
      </s:c>
      <s:c r="U452" s="23">
        <s:f>'자료구성'!$B$2</s:f>
        <s:v>46247.0</s:v>
      </s:c>
    </s:row>
    <s:row r="453">
      <s:c r="A453" s="0" t="n">
        <s:v>1628</s:v>
      </s:c>
      <s:c r="B453" s="0" t="n">
        <s:v>1356</s:v>
      </s:c>
      <s:c r="C453" s="0" t="n">
        <s:v>4070</s:v>
      </s:c>
      <s:c r="D453" s="0" t="n">
        <s:v>641</s:v>
      </s:c>
      <s:c r="E453" s="0" t="n">
        <s:v>1607</s:v>
      </s:c>
      <s:c r="F453" s="0" t="n">
        <s:v>3547</s:v>
      </s:c>
      <s:c r="G453" s="0" t="n">
        <s:v>3586</s:v>
      </s:c>
      <s:c r="H453" s="0" t="n">
        <s:v>6019</s:v>
      </s:c>
      <s:c r="I453" s="0" t="n">
        <s:v>1681</s:v>
      </s:c>
      <s:c r="J453" s="0" t="n">
        <s:v>1316</s:v>
      </s:c>
      <s:c r="K453" s="22">
        <s:f>'1'!F454</s:f>
        <s:v>46247.56539351852</s:v>
      </s:c>
      <s:c r="L453" s="22">
        <s:f>'2'!F454</s:f>
        <s:v>46247.54712962963</s:v>
      </s:c>
      <s:c r="M453" s="22">
        <s:f>'3'!F454</s:f>
        <s:v>46247.52972222222</s:v>
      </s:c>
      <s:c r="N453" s="22">
        <s:f>'4'!F454</s:f>
        <s:v>46247.483831018515</s:v>
      </s:c>
      <s:c r="O453" s="22">
        <s:f>'5'!F454</s:f>
        <s:v>46247.45548611111</s:v>
      </s:c>
      <s:c r="P453" s="22">
        <s:f>'6'!F454</s:f>
        <s:v>46247.43603009259</s:v>
      </s:c>
      <s:c r="Q453" s="22">
        <s:f>'7'!F454</s:f>
        <s:v>46247.41337962963</s:v>
      </s:c>
      <s:c r="R453" s="22">
        <s:f>'8'!F454</s:f>
        <s:v>46247.389189814814</s:v>
      </s:c>
      <s:c r="S453" s="22">
        <s:f>'9'!F454</s:f>
        <s:v>46247.37137731481</s:v>
      </s:c>
      <s:c r="T453" s="22">
        <s:f>'10'!F454</s:f>
        <s:v>46247.342152777775</s:v>
      </s:c>
      <s:c r="U453" s="23">
        <s:f>'자료구성'!$B$2</s:f>
        <s:v>46247.0</s:v>
      </s:c>
    </s:row>
    <s:row r="454">
      <s:c r="A454" s="0" t="n">
        <s:v>1632</s:v>
      </s:c>
      <s:c r="B454" s="0" t="n">
        <s:v>1401</s:v>
      </s:c>
      <s:c r="C454" s="0" t="n">
        <s:v>4244</s:v>
      </s:c>
      <s:c r="D454" s="0" t="n">
        <s:v>676</s:v>
      </s:c>
      <s:c r="E454" s="0" t="n">
        <s:v>1625</s:v>
      </s:c>
      <s:c r="F454" s="0" t="n">
        <s:v>3487</s:v>
      </s:c>
      <s:c r="G454" s="0" t="n">
        <s:v>3730</s:v>
      </s:c>
      <s:c r="H454" s="0" t="n">
        <s:v>6204</s:v>
      </s:c>
      <s:c r="I454" s="0" t="n">
        <s:v>1695</s:v>
      </s:c>
      <s:c r="J454" s="0" t="n">
        <s:v>1278</s:v>
      </s:c>
      <s:c r="K454" s="22">
        <s:f>'1'!F455</s:f>
        <s:v>46247.565405092595</s:v>
      </s:c>
      <s:c r="L454" s="22">
        <s:f>'2'!F455</s:f>
        <s:v>46247.5471412037</s:v>
      </s:c>
      <s:c r="M454" s="22">
        <s:f>'3'!F455</s:f>
        <s:v>46247.5297337963</s:v>
      </s:c>
      <s:c r="N454" s="22">
        <s:f>'4'!F455</s:f>
        <s:v>46247.48384259259</s:v>
      </s:c>
      <s:c r="O454" s="22">
        <s:f>'5'!F455</s:f>
        <s:v>46247.45549768519</s:v>
      </s:c>
      <s:c r="P454" s="22">
        <s:f>'6'!F455</s:f>
        <s:v>46247.43604166667</s:v>
      </s:c>
      <s:c r="Q454" s="22">
        <s:f>'7'!F455</s:f>
        <s:v>46247.41339120371</s:v>
      </s:c>
      <s:c r="R454" s="22">
        <s:f>'8'!F455</s:f>
        <s:v>46247.38920138889</s:v>
      </s:c>
      <s:c r="S454" s="22">
        <s:f>'9'!F455</s:f>
        <s:v>46247.37138888889</s:v>
      </s:c>
      <s:c r="T454" s="22">
        <s:f>'10'!F455</s:f>
        <s:v>46247.34216435185</s:v>
      </s:c>
      <s:c r="U454" s="23">
        <s:f>'자료구성'!$B$2</s:f>
        <s:v>46247.0</s:v>
      </s:c>
    </s:row>
    <s:row r="455">
      <s:c r="A455" s="0" t="n">
        <s:v>1613</s:v>
      </s:c>
      <s:c r="B455" s="0" t="n">
        <s:v>1445</s:v>
      </s:c>
      <s:c r="C455" s="0" t="n">
        <s:v>4309</s:v>
      </s:c>
      <s:c r="D455" s="0" t="n">
        <s:v>672</s:v>
      </s:c>
      <s:c r="E455" s="0" t="n">
        <s:v>1627</s:v>
      </s:c>
      <s:c r="F455" s="0" t="n">
        <s:v>3462</s:v>
      </s:c>
      <s:c r="G455" s="0" t="n">
        <s:v>3904</s:v>
      </s:c>
      <s:c r="H455" s="0" t="n">
        <s:v>6379</s:v>
      </s:c>
      <s:c r="I455" s="0" t="n">
        <s:v>1701</s:v>
      </s:c>
      <s:c r="J455" s="0" t="n">
        <s:v>1269</s:v>
      </s:c>
      <s:c r="K455" s="22">
        <s:f>'1'!F456</s:f>
        <s:v>46247.565416666665</s:v>
      </s:c>
      <s:c r="L455" s="22">
        <s:f>'2'!F456</s:f>
        <s:v>46247.54715277778</s:v>
      </s:c>
      <s:c r="M455" s="22">
        <s:f>'3'!F456</s:f>
        <s:v>46247.52974537037</s:v>
      </s:c>
      <s:c r="N455" s="22">
        <s:f>'4'!F456</s:f>
        <s:v>46247.48385416667</s:v>
      </s:c>
      <s:c r="O455" s="22">
        <s:f>'5'!F456</s:f>
        <s:v>46247.455509259256</s:v>
      </s:c>
      <s:c r="P455" s="22">
        <s:f>'6'!F456</s:f>
        <s:v>46247.43605324074</s:v>
      </s:c>
      <s:c r="Q455" s="22">
        <s:f>'7'!F456</s:f>
        <s:v>46247.413402777776</s:v>
      </s:c>
      <s:c r="R455" s="22">
        <s:f>'8'!F456</s:f>
        <s:v>46247.38921296296</s:v>
      </s:c>
      <s:c r="S455" s="22">
        <s:f>'9'!F456</s:f>
        <s:v>46247.371400462966</s:v>
      </s:c>
      <s:c r="T455" s="22">
        <s:f>'10'!F456</s:f>
        <s:v>46247.34217592593</s:v>
      </s:c>
      <s:c r="U455" s="23">
        <s:f>'자료구성'!$B$2</s:f>
        <s:v>46247.0</s:v>
      </s:c>
    </s:row>
    <s:row r="456">
      <s:c r="A456" s="0" t="n">
        <s:v>1616</s:v>
      </s:c>
      <s:c r="B456" s="0" t="n">
        <s:v>1413</s:v>
      </s:c>
      <s:c r="C456" s="0" t="n">
        <s:v>4317</s:v>
      </s:c>
      <s:c r="D456" s="0" t="n">
        <s:v>689</s:v>
      </s:c>
      <s:c r="E456" s="0" t="n">
        <s:v>1614</s:v>
      </s:c>
      <s:c r="F456" s="0" t="n">
        <s:v>3404</s:v>
      </s:c>
      <s:c r="G456" s="0" t="n">
        <s:v>3966</s:v>
      </s:c>
      <s:c r="H456" s="0" t="n">
        <s:v>6557</s:v>
      </s:c>
      <s:c r="I456" s="0" t="n">
        <s:v>1728</s:v>
      </s:c>
      <s:c r="J456" s="0" t="n">
        <s:v>1273</s:v>
      </s:c>
      <s:c r="K456" s="22">
        <s:f>'1'!F457</s:f>
        <s:v>46247.56542824074</s:v>
      </s:c>
      <s:c r="L456" s="22">
        <s:f>'2'!F457</s:f>
        <s:v>46247.547164351854</s:v>
      </s:c>
      <s:c r="M456" s="22">
        <s:f>'3'!F457</s:f>
        <s:v>46247.529756944445</s:v>
      </s:c>
      <s:c r="N456" s="22">
        <s:f>'4'!F457</s:f>
        <s:v>46247.48386574074</s:v>
      </s:c>
      <s:c r="O456" s="22">
        <s:f>'5'!F457</s:f>
        <s:v>46247.45552083333</s:v>
      </s:c>
      <s:c r="P456" s="22">
        <s:f>'6'!F457</s:f>
        <s:v>46247.436064814814</s:v>
      </s:c>
      <s:c r="Q456" s="22">
        <s:f>'7'!F457</s:f>
        <s:v>46247.41341435185</s:v>
      </s:c>
      <s:c r="R456" s="22">
        <s:f>'8'!F457</s:f>
        <s:v>46247.38922453704</s:v>
      </s:c>
      <s:c r="S456" s="22">
        <s:f>'9'!F457</s:f>
        <s:v>46247.371412037035</s:v>
      </s:c>
      <s:c r="T456" s="22">
        <s:f>'10'!F457</s:f>
        <s:v>46247.3421875</s:v>
      </s:c>
      <s:c r="U456" s="23">
        <s:f>'자료구성'!$B$2</s:f>
        <s:v>46247.0</s:v>
      </s:c>
    </s:row>
    <s:row r="457">
      <s:c r="A457" s="0" t="n">
        <s:v>1613</s:v>
      </s:c>
      <s:c r="B457" s="0" t="n">
        <s:v>1434</s:v>
      </s:c>
      <s:c r="C457" s="0" t="n">
        <s:v>4264</s:v>
      </s:c>
      <s:c r="D457" s="0" t="n">
        <s:v>712</s:v>
      </s:c>
      <s:c r="E457" s="0" t="n">
        <s:v>1603</s:v>
      </s:c>
      <s:c r="F457" s="0" t="n">
        <s:v>3347</s:v>
      </s:c>
      <s:c r="G457" s="0" t="n">
        <s:v>4000</s:v>
      </s:c>
      <s:c r="H457" s="0" t="n">
        <s:v>6678</s:v>
      </s:c>
      <s:c r="I457" s="0" t="n">
        <s:v>1779</s:v>
      </s:c>
      <s:c r="J457" s="0" t="n">
        <s:v>1293</s:v>
      </s:c>
      <s:c r="K457" s="22">
        <s:f>'1'!F458</s:f>
        <s:v>46247.56543981482</s:v>
      </s:c>
      <s:c r="L457" s="22">
        <s:f>'2'!F458</s:f>
        <s:v>46247.54717592592</s:v>
      </s:c>
      <s:c r="M457" s="22">
        <s:f>'3'!F458</s:f>
        <s:v>46247.52976851852</s:v>
      </s:c>
      <s:c r="N457" s="22">
        <s:f>'4'!F458</s:f>
        <s:v>46247.483877314815</s:v>
      </s:c>
      <s:c r="O457" s="22">
        <s:f>'5'!F458</s:f>
        <s:v>46247.45553240741</s:v>
      </s:c>
      <s:c r="P457" s="22">
        <s:f>'6'!F458</s:f>
        <s:v>46247.43607638889</s:v>
      </s:c>
      <s:c r="Q457" s="22">
        <s:f>'7'!F458</s:f>
        <s:v>46247.41342592592</s:v>
      </s:c>
      <s:c r="R457" s="22">
        <s:f>'8'!F458</s:f>
        <s:v>46247.389236111114</s:v>
      </s:c>
      <s:c r="S457" s="22">
        <s:f>'9'!F458</s:f>
        <s:v>46247.37142361111</s:v>
      </s:c>
      <s:c r="T457" s="22">
        <s:f>'10'!F458</s:f>
        <s:v>46247.342199074075</s:v>
      </s:c>
      <s:c r="U457" s="23">
        <s:f>'자료구성'!$B$2</s:f>
        <s:v>46247.0</s:v>
      </s:c>
    </s:row>
    <s:row r="458">
      <s:c r="A458" s="0" t="n">
        <s:v>1676</s:v>
      </s:c>
      <s:c r="B458" s="0" t="n">
        <s:v>1442</s:v>
      </s:c>
      <s:c r="C458" s="0" t="n">
        <s:v>4317</s:v>
      </s:c>
      <s:c r="D458" s="0" t="n">
        <s:v>743</s:v>
      </s:c>
      <s:c r="E458" s="0" t="n">
        <s:v>1572</s:v>
      </s:c>
      <s:c r="F458" s="0" t="n">
        <s:v>3313</s:v>
      </s:c>
      <s:c r="G458" s="0" t="n">
        <s:v>4031</s:v>
      </s:c>
      <s:c r="H458" s="0" t="n">
        <s:v>6868</s:v>
      </s:c>
      <s:c r="I458" s="0" t="n">
        <s:v>1844</s:v>
      </s:c>
      <s:c r="J458" s="0" t="n">
        <s:v>1323</s:v>
      </s:c>
      <s:c r="K458" s="22">
        <s:f>'1'!F459</s:f>
        <s:v>46247.56545138889</s:v>
      </s:c>
      <s:c r="L458" s="22">
        <s:f>'2'!F459</s:f>
        <s:v>46247.5471875</s:v>
      </s:c>
      <s:c r="M458" s="22">
        <s:f>'3'!F459</s:f>
        <s:v>46247.52978009259</s:v>
      </s:c>
      <s:c r="N458" s="22">
        <s:f>'4'!F459</s:f>
        <s:v>46247.48388888889</s:v>
      </s:c>
      <s:c r="O458" s="22">
        <s:f>'5'!F459</s:f>
        <s:v>46247.45554398148</s:v>
      </s:c>
      <s:c r="P458" s="22">
        <s:f>'6'!F459</s:f>
        <s:v>46247.43608796296</s:v>
      </s:c>
      <s:c r="Q458" s="22">
        <s:f>'7'!F459</s:f>
        <s:v>46247.4134375</s:v>
      </s:c>
      <s:c r="R458" s="22">
        <s:f>'8'!F459</s:f>
        <s:v>46247.38924768518</s:v>
      </s:c>
      <s:c r="S458" s="22">
        <s:f>'9'!F459</s:f>
        <s:v>46247.37143518519</s:v>
      </s:c>
      <s:c r="T458" s="22">
        <s:f>'10'!F459</s:f>
        <s:v>46247.342210648145</s:v>
      </s:c>
      <s:c r="U458" s="23">
        <s:f>'자료구성'!$B$2</s:f>
        <s:v>46247.0</s:v>
      </s:c>
    </s:row>
    <s:row r="459">
      <s:c r="A459" s="0" t="n">
        <s:v>1708</s:v>
      </s:c>
      <s:c r="B459" s="0" t="n">
        <s:v>1477</s:v>
      </s:c>
      <s:c r="C459" s="0" t="n">
        <s:v>4307</s:v>
      </s:c>
      <s:c r="D459" s="0" t="n">
        <s:v>768</s:v>
      </s:c>
      <s:c r="E459" s="0" t="n">
        <s:v>1552</s:v>
      </s:c>
      <s:c r="F459" s="0" t="n">
        <s:v>3258</s:v>
      </s:c>
      <s:c r="G459" s="0" t="n">
        <s:v>3926</s:v>
      </s:c>
      <s:c r="H459" s="0" t="n">
        <s:v>7017</s:v>
      </s:c>
      <s:c r="I459" s="0" t="n">
        <s:v>1912</s:v>
      </s:c>
      <s:c r="J459" s="0" t="n">
        <s:v>1384</s:v>
      </s:c>
      <s:c r="K459" s="22">
        <s:f>'1'!F460</s:f>
        <s:v>46247.565462962964</s:v>
      </s:c>
      <s:c r="L459" s="22">
        <s:f>'2'!F460</s:f>
        <s:v>46247.54719907408</s:v>
      </s:c>
      <s:c r="M459" s="22">
        <s:f>'3'!F460</s:f>
        <s:v>46247.52979166667</s:v>
      </s:c>
      <s:c r="N459" s="22">
        <s:f>'4'!F460</s:f>
        <s:v>46247.48390046296</s:v>
      </s:c>
      <s:c r="O459" s="22">
        <s:f>'5'!F460</s:f>
        <s:v>46247.455555555556</s:v>
      </s:c>
      <s:c r="P459" s="22">
        <s:f>'6'!F460</s:f>
        <s:v>46247.43609953704</s:v>
      </s:c>
      <s:c r="Q459" s="22">
        <s:f>'7'!F460</s:f>
        <s:v>46247.413449074076</s:v>
      </s:c>
      <s:c r="R459" s="22">
        <s:f>'8'!F460</s:f>
        <s:v>46247.38925925926</s:v>
      </s:c>
      <s:c r="S459" s="22">
        <s:f>'9'!F460</s:f>
        <s:v>46247.37144675926</s:v>
      </s:c>
      <s:c r="T459" s="22">
        <s:f>'10'!F460</s:f>
        <s:v>46247.34222222222</s:v>
      </s:c>
      <s:c r="U459" s="23">
        <s:f>'자료구성'!$B$2</s:f>
        <s:v>46247.0</s:v>
      </s:c>
    </s:row>
    <s:row r="460">
      <s:c r="A460" s="0" t="n">
        <s:v>1732</s:v>
      </s:c>
      <s:c r="B460" s="0" t="n">
        <s:v>1522</s:v>
      </s:c>
      <s:c r="C460" s="0" t="n">
        <s:v>4347</s:v>
      </s:c>
      <s:c r="D460" s="0" t="n">
        <s:v>815</s:v>
      </s:c>
      <s:c r="E460" s="0" t="n">
        <s:v>1551</s:v>
      </s:c>
      <s:c r="F460" s="0" t="n">
        <s:v>3246</s:v>
      </s:c>
      <s:c r="G460" s="0" t="n">
        <s:v>3828</s:v>
      </s:c>
      <s:c r="H460" s="0" t="n">
        <s:v>6918</s:v>
      </s:c>
      <s:c r="I460" s="0" t="n">
        <s:v>1991</s:v>
      </s:c>
      <s:c r="J460" s="0" t="n">
        <s:v>1429</s:v>
      </s:c>
      <s:c r="K460" s="22">
        <s:f>'1'!F461</s:f>
        <s:v>46247.565474537034</s:v>
      </s:c>
      <s:c r="L460" s="22">
        <s:f>'2'!F461</s:f>
        <s:v>46247.54721064815</s:v>
      </s:c>
      <s:c r="M460" s="22">
        <s:f>'3'!F461</s:f>
        <s:v>46247.52980324074</s:v>
      </s:c>
      <s:c r="N460" s="22">
        <s:f>'4'!F461</s:f>
        <s:v>46247.48391203704</s:v>
      </s:c>
      <s:c r="O460" s="22">
        <s:f>'5'!F461</s:f>
        <s:v>46247.45556712963</s:v>
      </s:c>
      <s:c r="P460" s="22">
        <s:f>'6'!F461</s:f>
        <s:v>46247.436111111114</s:v>
      </s:c>
      <s:c r="Q460" s="22">
        <s:f>'7'!F461</s:f>
        <s:v>46247.413460648146</s:v>
      </s:c>
      <s:c r="R460" s="22">
        <s:f>'8'!F461</s:f>
        <s:v>46247.38927083334</s:v>
      </s:c>
      <s:c r="S460" s="22">
        <s:f>'9'!F461</s:f>
        <s:v>46247.371458333335</s:v>
      </s:c>
      <s:c r="T460" s="22">
        <s:f>'10'!F461</s:f>
        <s:v>46247.3422337963</s:v>
      </s:c>
      <s:c r="U460" s="23">
        <s:f>'자료구성'!$B$2</s:f>
        <s:v>46247.0</s:v>
      </s:c>
    </s:row>
    <s:row r="461">
      <s:c r="A461" s="0" t="n">
        <s:v>1810</s:v>
      </s:c>
      <s:c r="B461" s="0" t="n">
        <s:v>1551</s:v>
      </s:c>
      <s:c r="C461" s="0" t="n">
        <s:v>4464</s:v>
      </s:c>
      <s:c r="D461" s="0" t="n">
        <s:v>872</s:v>
      </s:c>
      <s:c r="E461" s="0" t="n">
        <s:v>1555</s:v>
      </s:c>
      <s:c r="F461" s="0" t="n">
        <s:v>3271</s:v>
      </s:c>
      <s:c r="G461" s="0" t="n">
        <s:v>3783</s:v>
      </s:c>
      <s:c r="H461" s="0" t="n">
        <s:v>6722</s:v>
      </s:c>
      <s:c r="I461" s="0" t="n">
        <s:v>2060</s:v>
      </s:c>
      <s:c r="J461" s="0" t="n">
        <s:v>1476</s:v>
      </s:c>
      <s:c r="K461" s="22">
        <s:f>'1'!F462</s:f>
        <s:v>46247.56548611111</s:v>
      </s:c>
      <s:c r="L461" s="22">
        <s:f>'2'!F462</s:f>
        <s:v>46247.54722222222</s:v>
      </s:c>
      <s:c r="M461" s="22">
        <s:f>'3'!F462</s:f>
        <s:v>46247.529814814814</s:v>
      </s:c>
      <s:c r="N461" s="22">
        <s:f>'4'!F462</s:f>
        <s:v>46247.483923611115</s:v>
      </s:c>
      <s:c r="O461" s="22">
        <s:f>'5'!F462</s:f>
        <s:v>46247.4555787037</s:v>
      </s:c>
      <s:c r="P461" s="22">
        <s:f>'6'!F462</s:f>
        <s:v>46247.43612268518</s:v>
      </s:c>
      <s:c r="Q461" s="22">
        <s:f>'7'!F462</s:f>
        <s:v>46247.41347222222</s:v>
      </s:c>
      <s:c r="R461" s="22">
        <s:f>'8'!F462</s:f>
        <s:v>46247.38928240741</s:v>
      </s:c>
      <s:c r="S461" s="22">
        <s:f>'9'!F462</s:f>
        <s:v>46247.371469907404</s:v>
      </s:c>
      <s:c r="T461" s="22">
        <s:f>'10'!F462</s:f>
        <s:v>46247.34224537037</s:v>
      </s:c>
      <s:c r="U461" s="23">
        <s:f>'자료구성'!$B$2</s:f>
        <s:v>46247.0</s:v>
      </s:c>
    </s:row>
    <s:row r="462">
      <s:c r="A462" s="0" t="n">
        <s:v>1810</s:v>
      </s:c>
      <s:c r="B462" s="0" t="n">
        <s:v>1583</s:v>
      </s:c>
      <s:c r="C462" s="0" t="n">
        <s:v>4579</s:v>
      </s:c>
      <s:c r="D462" s="0" t="n">
        <s:v>923</s:v>
      </s:c>
      <s:c r="E462" s="0" t="n">
        <s:v>1532</s:v>
      </s:c>
      <s:c r="F462" s="0" t="n">
        <s:v>3266</s:v>
      </s:c>
      <s:c r="G462" s="0" t="n">
        <s:v>3771</s:v>
      </s:c>
      <s:c r="H462" s="0" t="n">
        <s:v>6505</s:v>
      </s:c>
      <s:c r="I462" s="0" t="n">
        <s:v>2077</s:v>
      </s:c>
      <s:c r="J462" s="0" t="n">
        <s:v>1472</s:v>
      </s:c>
      <s:c r="K462" s="22">
        <s:f>'1'!F463</s:f>
        <s:v>46247.56549768519</s:v>
      </s:c>
      <s:c r="L462" s="22">
        <s:f>'2'!F463</s:f>
        <s:v>46247.54723379629</s:v>
      </s:c>
      <s:c r="M462" s="22">
        <s:f>'3'!F463</s:f>
        <s:v>46247.52982638889</s:v>
      </s:c>
      <s:c r="N462" s="22">
        <s:f>'4'!F463</s:f>
        <s:v>46247.483935185184</s:v>
      </s:c>
      <s:c r="O462" s="22">
        <s:f>'5'!F463</s:f>
        <s:v>46247.45559027778</s:v>
      </s:c>
      <s:c r="P462" s="22">
        <s:f>'6'!F463</s:f>
        <s:v>46247.43613425926</s:v>
      </s:c>
      <s:c r="Q462" s="22">
        <s:f>'7'!F463</s:f>
        <s:v>46247.4134837963</s:v>
      </s:c>
      <s:c r="R462" s="22">
        <s:f>'8'!F463</s:f>
        <s:v>46247.38929398148</s:v>
      </s:c>
      <s:c r="S462" s="22">
        <s:f>'9'!F463</s:f>
        <s:v>46247.37148148148</s:v>
      </s:c>
      <s:c r="T462" s="22">
        <s:f>'10'!F463</s:f>
        <s:v>46247.342256944445</s:v>
      </s:c>
      <s:c r="U462" s="23">
        <s:f>'자료구성'!$B$2</s:f>
        <s:v>46247.0</s:v>
      </s:c>
    </s:row>
    <s:row r="463">
      <s:c r="A463" s="0" t="n">
        <s:v>1805</s:v>
      </s:c>
      <s:c r="B463" s="0" t="n">
        <s:v>1600</s:v>
      </s:c>
      <s:c r="C463" s="0" t="n">
        <s:v>4775</s:v>
      </s:c>
      <s:c r="D463" s="0" t="n">
        <s:v>963</s:v>
      </s:c>
      <s:c r="E463" s="0" t="n">
        <s:v>1512</s:v>
      </s:c>
      <s:c r="F463" s="0" t="n">
        <s:v>3206</s:v>
      </s:c>
      <s:c r="G463" s="0" t="n">
        <s:v>3690</s:v>
      </s:c>
      <s:c r="H463" s="0" t="n">
        <s:v>6272</s:v>
      </s:c>
      <s:c r="I463" s="0" t="n">
        <s:v>2105</s:v>
      </s:c>
      <s:c r="J463" s="0" t="n">
        <s:v>1480</s:v>
      </s:c>
      <s:c r="K463" s="22">
        <s:f>'1'!F464</s:f>
        <s:v>46247.56550925926</s:v>
      </s:c>
      <s:c r="L463" s="22">
        <s:f>'2'!F464</s:f>
        <s:v>46247.54724537037</s:v>
      </s:c>
      <s:c r="M463" s="22">
        <s:f>'3'!F464</s:f>
        <s:v>46247.52983796296</s:v>
      </s:c>
      <s:c r="N463" s="22">
        <s:f>'4'!F464</s:f>
        <s:v>46247.48394675926</s:v>
      </s:c>
      <s:c r="O463" s="22">
        <s:f>'5'!F464</s:f>
        <s:v>46247.45560185185</s:v>
      </s:c>
      <s:c r="P463" s="22">
        <s:f>'6'!F464</s:f>
        <s:v>46247.43614583334</s:v>
      </s:c>
      <s:c r="Q463" s="22">
        <s:f>'7'!F464</s:f>
        <s:v>46247.41349537037</s:v>
      </s:c>
      <s:c r="R463" s="22">
        <s:f>'8'!F464</s:f>
        <s:v>46247.38930555555</s:v>
      </s:c>
      <s:c r="S463" s="22">
        <s:f>'9'!F464</s:f>
        <s:v>46247.37149305556</s:v>
      </s:c>
      <s:c r="T463" s="22">
        <s:f>'10'!F464</s:f>
        <s:v>46247.34226851852</s:v>
      </s:c>
      <s:c r="U463" s="23">
        <s:f>'자료구성'!$B$2</s:f>
        <s:v>46247.0</s:v>
      </s:c>
    </s:row>
    <s:row r="464">
      <s:c r="A464" s="0" t="n">
        <s:v>1877</s:v>
      </s:c>
      <s:c r="B464" s="0" t="n">
        <s:v>1582</s:v>
      </s:c>
      <s:c r="C464" s="0" t="n">
        <s:v>4834</s:v>
      </s:c>
      <s:c r="D464" s="0" t="n">
        <s:v>8</s:v>
      </s:c>
      <s:c r="E464" s="0" t="n">
        <s:v>1483</s:v>
      </s:c>
      <s:c r="F464" s="0" t="n">
        <s:v>3167</s:v>
      </s:c>
      <s:c r="G464" s="0" t="n">
        <s:v>3580</s:v>
      </s:c>
      <s:c r="H464" s="0" t="n">
        <s:v>6079</s:v>
      </s:c>
      <s:c r="I464" s="0" t="n">
        <s:v>2151</s:v>
      </s:c>
      <s:c r="J464" s="0" t="n">
        <s:v>1526</s:v>
      </s:c>
      <s:c r="K464" s="22">
        <s:f>'1'!F465</s:f>
        <s:v>46247.565520833334</s:v>
      </s:c>
      <s:c r="L464" s="22">
        <s:f>'2'!F465</s:f>
        <s:v>46247.54725694445</s:v>
      </s:c>
      <s:c r="M464" s="22">
        <s:f>'3'!F465</s:f>
        <s:v>46247.52984953704</s:v>
      </s:c>
      <s:c r="N464" s="22">
        <s:f>'4'!F465</s:f>
        <s:v>46247.48395833333</s:v>
      </s:c>
      <s:c r="O464" s="22">
        <s:f>'5'!F465</s:f>
        <s:v>46247.455613425926</s:v>
      </s:c>
      <s:c r="P464" s="22">
        <s:f>'6'!F465</s:f>
        <s:v>46247.43615740741</s:v>
      </s:c>
      <s:c r="Q464" s="22">
        <s:f>'7'!F465</s:f>
        <s:v>46247.413506944446</s:v>
      </s:c>
      <s:c r="R464" s="22">
        <s:f>'8'!F465</s:f>
        <s:v>46247.38931712963</s:v>
      </s:c>
      <s:c r="S464" s="22">
        <s:f>'9'!F465</s:f>
        <s:v>46247.37150462963</s:v>
      </s:c>
      <s:c r="T464" s="22">
        <s:f>'10'!F465</s:f>
        <s:v>46247.34228009259</s:v>
      </s:c>
      <s:c r="U464" s="23">
        <s:f>'자료구성'!$B$2</s:f>
        <s:v>46247.0</s:v>
      </s:c>
    </s:row>
    <s:row r="465">
      <s:c r="A465" s="0" t="n">
        <s:v>1895</s:v>
      </s:c>
      <s:c r="B465" s="0" t="n">
        <s:v>1605</s:v>
      </s:c>
      <s:c r="C465" s="0" t="n">
        <s:v>4873</s:v>
      </s:c>
      <s:c r="D465" s="0" t="n">
        <s:v>39</s:v>
      </s:c>
      <s:c r="E465" s="0" t="n">
        <s:v>1449</s:v>
      </s:c>
      <s:c r="F465" s="0" t="n">
        <s:v>3177</s:v>
      </s:c>
      <s:c r="G465" s="0" t="n">
        <s:v>3378</s:v>
      </s:c>
      <s:c r="H465" s="0" t="n">
        <s:v>5878</s:v>
      </s:c>
      <s:c r="I465" s="0" t="n">
        <s:v>2190</s:v>
      </s:c>
      <s:c r="J465" s="0" t="n">
        <s:v>1583</s:v>
      </s:c>
      <s:c r="K465" s="22">
        <s:f>'1'!F466</s:f>
        <s:v>46247.56553240741</s:v>
      </s:c>
      <s:c r="L465" s="22">
        <s:f>'2'!F466</s:f>
        <s:v>46247.547268518516</s:v>
      </s:c>
      <s:c r="M465" s="22">
        <s:f>'3'!F466</s:f>
        <s:v>46247.529861111114</s:v>
      </s:c>
      <s:c r="N465" s="22">
        <s:f>'4'!F466</s:f>
        <s:v>46247.48396990741</s:v>
      </s:c>
      <s:c r="O465" s="22">
        <s:f>'5'!F466</s:f>
        <s:v>46247.455625</s:v>
      </s:c>
      <s:c r="P465" s="22">
        <s:f>'6'!F466</s:f>
        <s:v>46247.43616898148</s:v>
      </s:c>
      <s:c r="Q465" s="22">
        <s:f>'7'!F466</s:f>
        <s:v>46247.413518518515</s:v>
      </s:c>
      <s:c r="R465" s="22">
        <s:f>'8'!F466</s:f>
        <s:v>46247.389328703706</s:v>
      </s:c>
      <s:c r="S465" s="22">
        <s:f>'9'!F466</s:f>
        <s:v>46247.371516203704</s:v>
      </s:c>
      <s:c r="T465" s="22">
        <s:f>'10'!F466</s:f>
        <s:v>46247.34229166667</s:v>
      </s:c>
      <s:c r="U465" s="23">
        <s:f>'자료구성'!$B$2</s:f>
        <s:v>46247.0</s:v>
      </s:c>
    </s:row>
    <s:row r="466">
      <s:c r="A466" s="0" t="n">
        <s:v>1912</s:v>
      </s:c>
      <s:c r="B466" s="0" t="n">
        <s:v>1603</s:v>
      </s:c>
      <s:c r="C466" s="0" t="n">
        <s:v>4999</s:v>
      </s:c>
      <s:c r="D466" s="0" t="n">
        <s:v>71</s:v>
      </s:c>
      <s:c r="E466" s="0" t="n">
        <s:v>1443</s:v>
      </s:c>
      <s:c r="F466" s="0" t="n">
        <s:v>3199</s:v>
      </s:c>
      <s:c r="G466" s="0" t="n">
        <s:v>3224</s:v>
      </s:c>
      <s:c r="H466" s="0" t="n">
        <s:v>5720</s:v>
      </s:c>
      <s:c r="I466" s="0" t="n">
        <s:v>2199</s:v>
      </s:c>
      <s:c r="J466" s="0" t="n">
        <s:v>1627</s:v>
      </s:c>
      <s:c r="K466" s="22">
        <s:f>'1'!F467</s:f>
        <s:v>46247.56554398148</s:v>
      </s:c>
      <s:c r="L466" s="22">
        <s:f>'2'!F467</s:f>
        <s:v>46247.54728009259</s:v>
      </s:c>
      <s:c r="M466" s="22">
        <s:f>'3'!F467</s:f>
        <s:v>46247.52987268518</s:v>
      </s:c>
      <s:c r="N466" s="22">
        <s:f>'4'!F467</s:f>
        <s:v>46247.483981481484</s:v>
      </s:c>
      <s:c r="O466" s="22">
        <s:f>'5'!F467</s:f>
        <s:v>46247.45563657407</s:v>
      </s:c>
      <s:c r="P466" s="22">
        <s:f>'6'!F467</s:f>
        <s:v>46247.43618055555</s:v>
      </s:c>
      <s:c r="Q466" s="22">
        <s:f>'7'!F467</s:f>
        <s:v>46247.41353009259</s:v>
      </s:c>
      <s:c r="R466" s="22">
        <s:f>'8'!F467</s:f>
        <s:v>46247.389340277776</s:v>
      </s:c>
      <s:c r="S466" s="22">
        <s:f>'9'!F467</s:f>
        <s:v>46247.37152777778</s:v>
      </s:c>
      <s:c r="T466" s="22">
        <s:f>'10'!F467</s:f>
        <s:v>46247.34230324074</s:v>
      </s:c>
      <s:c r="U466" s="23">
        <s:f>'자료구성'!$B$2</s:f>
        <s:v>46247.0</s:v>
      </s:c>
    </s:row>
    <s:row r="467">
      <s:c r="A467" s="0" t="n">
        <s:v>1928</s:v>
      </s:c>
      <s:c r="B467" s="0" t="n">
        <s:v>1606</s:v>
      </s:c>
      <s:c r="C467" s="0" t="n">
        <s:v>5198</s:v>
      </s:c>
      <s:c r="D467" s="0" t="n">
        <s:v>92</s:v>
      </s:c>
      <s:c r="E467" s="0" t="n">
        <s:v>1418</s:v>
      </s:c>
      <s:c r="F467" s="0" t="n">
        <s:v>3200</s:v>
      </s:c>
      <s:c r="G467" s="0" t="n">
        <s:v>3054</s:v>
      </s:c>
      <s:c r="H467" s="0" t="n">
        <s:v>5569</s:v>
      </s:c>
      <s:c r="I467" s="0" t="n">
        <s:v>2213</s:v>
      </s:c>
      <s:c r="J467" s="0" t="n">
        <s:v>1675</s:v>
      </s:c>
      <s:c r="K467" s="22">
        <s:f>'1'!F468</s:f>
        <s:v>46247.56555555556</s:v>
      </s:c>
      <s:c r="L467" s="22">
        <s:f>'2'!F468</s:f>
        <s:v>46247.54729166667</s:v>
      </s:c>
      <s:c r="M467" s="22">
        <s:f>'3'!F468</s:f>
        <s:v>46247.52988425926</s:v>
      </s:c>
      <s:c r="N467" s="22">
        <s:f>'4'!F468</s:f>
        <s:v>46247.48399305555</s:v>
      </s:c>
      <s:c r="O467" s="22">
        <s:f>'5'!F468</s:f>
        <s:v>46247.45564814815</s:v>
      </s:c>
      <s:c r="P467" s="22">
        <s:f>'6'!F468</s:f>
        <s:v>46247.43619212963</s:v>
      </s:c>
      <s:c r="Q467" s="22">
        <s:f>'7'!F468</s:f>
        <s:v>46247.41354166667</s:v>
      </s:c>
      <s:c r="R467" s="22">
        <s:f>'8'!F468</s:f>
        <s:v>46247.38935185185</s:v>
      </s:c>
      <s:c r="S467" s="22">
        <s:f>'9'!F468</s:f>
        <s:v>46247.37153935185</s:v>
      </s:c>
      <s:c r="T467" s="22">
        <s:f>'10'!F468</s:f>
        <s:v>46247.342314814814</s:v>
      </s:c>
      <s:c r="U467" s="23">
        <s:f>'자료구성'!$B$2</s:f>
        <s:v>46247.0</s:v>
      </s:c>
    </s:row>
    <s:row r="468">
      <s:c r="A468" s="0" t="n">
        <s:v>1950</s:v>
      </s:c>
      <s:c r="B468" s="0" t="n">
        <s:v>1595</s:v>
      </s:c>
      <s:c r="C468" s="0" t="n">
        <s:v>5472</s:v>
      </s:c>
      <s:c r="D468" s="0" t="n">
        <s:v>107</s:v>
      </s:c>
      <s:c r="E468" s="0" t="n">
        <s:v>1386</s:v>
      </s:c>
      <s:c r="F468" s="0" t="n">
        <s:v>3250</s:v>
      </s:c>
      <s:c r="G468" s="0" t="n">
        <s:v>2906</s:v>
      </s:c>
      <s:c r="H468" s="0" t="n">
        <s:v>5388</s:v>
      </s:c>
      <s:c r="I468" s="0" t="n">
        <s:v>2236</s:v>
      </s:c>
      <s:c r="J468" s="0" t="n">
        <s:v>1730</s:v>
      </s:c>
      <s:c r="K468" s="22">
        <s:f>'1'!F469</s:f>
        <s:v>46247.565567129626</s:v>
      </s:c>
      <s:c r="L468" s="22">
        <s:f>'2'!F469</s:f>
        <s:v>46247.54730324074</s:v>
      </s:c>
      <s:c r="M468" s="22">
        <s:f>'3'!F469</s:f>
        <s:v>46247.52989583334</s:v>
      </s:c>
      <s:c r="N468" s="22">
        <s:f>'4'!F469</s:f>
        <s:v>46247.48400462963</s:v>
      </s:c>
      <s:c r="O468" s="22">
        <s:f>'5'!F469</s:f>
        <s:v>46247.455659722225</s:v>
      </s:c>
      <s:c r="P468" s="22">
        <s:f>'6'!F469</s:f>
        <s:v>46247.436203703706</s:v>
      </s:c>
      <s:c r="Q468" s="22">
        <s:f>'7'!F469</s:f>
        <s:v>46247.41355324074</s:v>
      </s:c>
      <s:c r="R468" s="22">
        <s:f>'8'!F469</s:f>
        <s:v>46247.38936342593</s:v>
      </s:c>
      <s:c r="S468" s="22">
        <s:f>'9'!F469</s:f>
        <s:v>46247.37155092593</s:v>
      </s:c>
      <s:c r="T468" s="22">
        <s:f>'10'!F469</s:f>
        <s:v>46247.34232638889</s:v>
      </s:c>
      <s:c r="U468" s="23">
        <s:f>'자료구성'!$B$2</s:f>
        <s:v>46247.0</s:v>
      </s:c>
    </s:row>
    <s:row r="469">
      <s:c r="A469" s="0" t="n">
        <s:v>1970</s:v>
      </s:c>
      <s:c r="B469" s="0" t="n">
        <s:v>1590</s:v>
      </s:c>
      <s:c r="C469" s="0" t="n">
        <s:v>5705</s:v>
      </s:c>
      <s:c r="D469" s="0" t="n">
        <s:v>115</s:v>
      </s:c>
      <s:c r="E469" s="0" t="n">
        <s:v>1389</s:v>
      </s:c>
      <s:c r="F469" s="0" t="n">
        <s:v>3312</s:v>
      </s:c>
      <s:c r="G469" s="0" t="n">
        <s:v>2781</s:v>
      </s:c>
      <s:c r="H469" s="0" t="n">
        <s:v>5225</s:v>
      </s:c>
      <s:c r="I469" s="0" t="n">
        <s:v>2260</s:v>
      </s:c>
      <s:c r="J469" s="0" t="n">
        <s:v>1780</s:v>
      </s:c>
      <s:c r="K469" s="22">
        <s:f>'1'!F470</s:f>
        <s:v>46247.5655787037</s:v>
      </s:c>
      <s:c r="L469" s="22">
        <s:f>'2'!F470</s:f>
        <s:v>46247.547314814816</s:v>
      </s:c>
      <s:c r="M469" s="22">
        <s:f>'3'!F470</s:f>
        <s:v>46247.52990740741</s:v>
      </s:c>
      <s:c r="N469" s="22">
        <s:f>'4'!F470</s:f>
        <s:v>46247.48401620371</s:v>
      </s:c>
      <s:c r="O469" s="22">
        <s:f>'5'!F470</s:f>
        <s:v>46247.455671296295</s:v>
      </s:c>
      <s:c r="P469" s="22">
        <s:f>'6'!F470</s:f>
        <s:v>46247.436215277776</s:v>
      </s:c>
      <s:c r="Q469" s="22">
        <s:f>'7'!F470</s:f>
        <s:v>46247.413564814815</s:v>
      </s:c>
      <s:c r="R469" s="22">
        <s:f>'8'!F470</s:f>
        <s:v>46247.389375</s:v>
      </s:c>
      <s:c r="S469" s="22">
        <s:f>'9'!F470</s:f>
        <s:v>46247.3715625</s:v>
      </s:c>
      <s:c r="T469" s="22">
        <s:f>'10'!F470</s:f>
        <s:v>46247.34233796296</s:v>
      </s:c>
      <s:c r="U469" s="23">
        <s:f>'자료구성'!$B$2</s:f>
        <s:v>46247.0</s:v>
      </s:c>
    </s:row>
    <s:row r="470">
      <s:c r="A470" s="0" t="n">
        <s:v>1970</s:v>
      </s:c>
      <s:c r="B470" s="0" t="n">
        <s:v>1603</s:v>
      </s:c>
      <s:c r="C470" s="0" t="n">
        <s:v>5705</s:v>
      </s:c>
      <s:c r="D470" s="0" t="n">
        <s:v>124</s:v>
      </s:c>
      <s:c r="E470" s="0" t="n">
        <s:v>1412</s:v>
      </s:c>
      <s:c r="F470" s="0" t="n">
        <s:v>3403</s:v>
      </s:c>
      <s:c r="G470" s="0" t="n">
        <s:v>2670</s:v>
      </s:c>
      <s:c r="H470" s="0" t="n">
        <s:v>5079</s:v>
      </s:c>
      <s:c r="I470" s="0" t="n">
        <s:v>2281</s:v>
      </s:c>
      <s:c r="J470" s="0" t="n">
        <s:v>1776</s:v>
      </s:c>
      <s:c r="K470" s="22">
        <s:f>'1'!F471</s:f>
        <s:v>46247.56559027778</s:v>
      </s:c>
      <s:c r="L470" s="22">
        <s:f>'2'!F471</s:f>
        <s:v>46247.547326388885</s:v>
      </s:c>
      <s:c r="M470" s="22">
        <s:f>'3'!F471</s:f>
        <s:v>46247.52991898148</s:v>
      </s:c>
      <s:c r="N470" s="22">
        <s:f>'4'!F471</s:f>
        <s:v>46247.48402777778</s:v>
      </s:c>
      <s:c r="O470" s="22">
        <s:f>'5'!F471</s:f>
        <s:v>46247.45568287037</s:v>
      </s:c>
      <s:c r="P470" s="22">
        <s:f>'6'!F471</s:f>
        <s:v>46247.43622685185</s:v>
      </s:c>
      <s:c r="Q470" s="22">
        <s:f>'7'!F471</s:f>
        <s:v>46247.41357638889</s:v>
      </s:c>
      <s:c r="R470" s="22">
        <s:f>'8'!F471</s:f>
        <s:v>46247.389386574076</s:v>
      </s:c>
      <s:c r="S470" s="22">
        <s:f>'9'!F471</s:f>
        <s:v>46247.37157407407</s:v>
      </s:c>
      <s:c r="T470" s="22">
        <s:f>'10'!F471</s:f>
        <s:v>46247.34234953704</s:v>
      </s:c>
      <s:c r="U470" s="23">
        <s:f>'자료구성'!$B$2</s:f>
        <s:v>46247.0</s:v>
      </s:c>
    </s:row>
    <s:row r="471">
      <s:c r="A471" s="0" t="n">
        <s:v>1992</s:v>
      </s:c>
      <s:c r="B471" s="0" t="n">
        <s:v>1628</s:v>
      </s:c>
      <s:c r="C471" s="0" t="n">
        <s:v>6040</s:v>
      </s:c>
      <s:c r="D471" s="0" t="n">
        <s:v>153</s:v>
      </s:c>
      <s:c r="E471" s="0" t="n">
        <s:v>1429</s:v>
      </s:c>
      <s:c r="F471" s="0" t="n">
        <s:v>3492</s:v>
      </s:c>
      <s:c r="G471" s="0" t="n">
        <s:v>2597</s:v>
      </s:c>
      <s:c r="H471" s="0" t="n">
        <s:v>4991</s:v>
      </s:c>
      <s:c r="I471" s="0" t="n">
        <s:v>2342</s:v>
      </s:c>
      <s:c r="J471" s="0" t="n">
        <s:v>1819</s:v>
      </s:c>
      <s:c r="K471" s="22">
        <s:f>'1'!F472</s:f>
        <s:v>46247.56560185185</s:v>
      </s:c>
      <s:c r="L471" s="22">
        <s:f>'2'!F472</s:f>
        <s:v>46247.54733796296</s:v>
      </s:c>
      <s:c r="M471" s="22">
        <s:f>'3'!F472</s:f>
        <s:v>46247.52993055555</s:v>
      </s:c>
      <s:c r="N471" s="22">
        <s:f>'4'!F472</s:f>
        <s:v>46247.48403935185</s:v>
      </s:c>
      <s:c r="O471" s="22">
        <s:f>'5'!F472</s:f>
        <s:v>46247.45569444444</s:v>
      </s:c>
      <s:c r="P471" s="22">
        <s:f>'6'!F472</s:f>
        <s:v>46247.43623842593</s:v>
      </s:c>
      <s:c r="Q471" s="22">
        <s:f>'7'!F472</s:f>
        <s:v>46247.41358796296</s:v>
      </s:c>
      <s:c r="R471" s="22">
        <s:f>'8'!F472</s:f>
        <s:v>46247.389398148145</s:v>
      </s:c>
      <s:c r="S471" s="22">
        <s:f>'9'!F472</s:f>
        <s:v>46247.37158564815</s:v>
      </s:c>
      <s:c r="T471" s="22">
        <s:f>'10'!F472</s:f>
        <s:v>46247.342361111114</s:v>
      </s:c>
      <s:c r="U471" s="23">
        <s:f>'자료구성'!$B$2</s:f>
        <s:v>46247.0</s:v>
      </s:c>
    </s:row>
    <s:row r="472">
      <s:c r="A472" s="0" t="n">
        <s:v>2002</s:v>
      </s:c>
      <s:c r="B472" s="0" t="n">
        <s:v>1657</s:v>
      </s:c>
      <s:c r="C472" s="0" t="n">
        <s:v>6105</s:v>
      </s:c>
      <s:c r="D472" s="0" t="n">
        <s:v>150</s:v>
      </s:c>
      <s:c r="E472" s="0" t="n">
        <s:v>1444</s:v>
      </s:c>
      <s:c r="F472" s="0" t="n">
        <s:v>3560</s:v>
      </s:c>
      <s:c r="G472" s="0" t="n">
        <s:v>2536</s:v>
      </s:c>
      <s:c r="H472" s="0" t="n">
        <s:v>5145</s:v>
      </s:c>
      <s:c r="I472" s="0" t="n">
        <s:v>2367</s:v>
      </s:c>
      <s:c r="J472" s="0" t="n">
        <s:v>1817</s:v>
      </s:c>
      <s:c r="K472" s="22">
        <s:f>'1'!F473</s:f>
        <s:v>46247.565613425926</s:v>
      </s:c>
      <s:c r="L472" s="22">
        <s:f>'2'!F473</s:f>
        <s:v>46247.54734953704</s:v>
      </s:c>
      <s:c r="M472" s="22">
        <s:f>'3'!F473</s:f>
        <s:v>46247.52994212963</s:v>
      </s:c>
      <s:c r="N472" s="22">
        <s:f>'4'!F473</s:f>
        <s:v>46247.48405092592</s:v>
      </s:c>
      <s:c r="O472" s="22">
        <s:f>'5'!F473</s:f>
        <s:v>46247.45570601852</s:v>
      </s:c>
      <s:c r="P472" s="22">
        <s:f>'6'!F473</s:f>
        <s:v>46247.43625</s:v>
      </s:c>
      <s:c r="Q472" s="22">
        <s:f>'7'!F473</s:f>
        <s:v>46247.41359953704</s:v>
      </s:c>
      <s:c r="R472" s="22">
        <s:f>'8'!F473</s:f>
        <s:v>46247.38940972222</s:v>
      </s:c>
      <s:c r="S472" s="22">
        <s:f>'9'!F473</s:f>
        <s:v>46247.37159722222</s:v>
      </s:c>
      <s:c r="T472" s="22">
        <s:f>'10'!F473</s:f>
        <s:v>46247.34237268518</s:v>
      </s:c>
      <s:c r="U472" s="23">
        <s:f>'자료구성'!$B$2</s:f>
        <s:v>46247.0</s:v>
      </s:c>
    </s:row>
    <s:row r="473">
      <s:c r="A473" s="0" t="n">
        <s:v>2027</s:v>
      </s:c>
      <s:c r="B473" s="0" t="n">
        <s:v>1668</s:v>
      </s:c>
      <s:c r="C473" s="0" t="n">
        <s:v>6011</s:v>
      </s:c>
      <s:c r="D473" s="0" t="n">
        <s:v>147</s:v>
      </s:c>
      <s:c r="E473" s="0" t="n">
        <s:v>1432</s:v>
      </s:c>
      <s:c r="F473" s="0" t="n">
        <s:v>3556</s:v>
      </s:c>
      <s:c r="G473" s="0" t="n">
        <s:v>2468</s:v>
      </s:c>
      <s:c r="H473" s="0" t="n">
        <s:v>5496</s:v>
      </s:c>
      <s:c r="I473" s="0" t="n">
        <s:v>2391</s:v>
      </s:c>
      <s:c r="J473" s="0" t="n">
        <s:v>1859</s:v>
      </s:c>
      <s:c r="K473" s="22">
        <s:f>'1'!F474</s:f>
        <s:v>46247.565625</s:v>
      </s:c>
      <s:c r="L473" s="22">
        <s:f>'2'!F474</s:f>
        <s:v>46247.54736111111</s:v>
      </s:c>
      <s:c r="M473" s="22">
        <s:f>'3'!F474</s:f>
        <s:v>46247.529953703706</s:v>
      </s:c>
      <s:c r="N473" s="22">
        <s:f>'4'!F474</s:f>
        <s:v>46247.4840625</s:v>
      </s:c>
      <s:c r="O473" s="22">
        <s:f>'5'!F474</s:f>
        <s:v>46247.455717592595</s:v>
      </s:c>
      <s:c r="P473" s="22">
        <s:f>'6'!F474</s:f>
        <s:v>46247.436261574076</s:v>
      </s:c>
      <s:c r="Q473" s="22">
        <s:f>'7'!F474</s:f>
        <s:v>46247.413611111115</s:v>
      </s:c>
      <s:c r="R473" s="22">
        <s:f>'8'!F474</s:f>
        <s:v>46247.3894212963</s:v>
      </s:c>
      <s:c r="S473" s="22">
        <s:f>'9'!F474</s:f>
        <s:v>46247.3716087963</s:v>
      </s:c>
      <s:c r="T473" s="22">
        <s:f>'10'!F474</s:f>
        <s:v>46247.34238425926</s:v>
      </s:c>
      <s:c r="U473" s="23">
        <s:f>'자료구성'!$B$2</s:f>
        <s:v>46247.0</s:v>
      </s:c>
    </s:row>
    <s:row r="474">
      <s:c r="A474" s="0" t="n">
        <s:v>2058</s:v>
      </s:c>
      <s:c r="B474" s="0" t="n">
        <s:v>1617</s:v>
      </s:c>
      <s:c r="C474" s="0" t="n">
        <s:v>5760</s:v>
      </s:c>
      <s:c r="D474" s="0" t="n">
        <s:v>153</s:v>
      </s:c>
      <s:c r="E474" s="0" t="n">
        <s:v>1439</s:v>
      </s:c>
      <s:c r="F474" s="0" t="n">
        <s:v>3581</s:v>
      </s:c>
      <s:c r="G474" s="0" t="n">
        <s:v>2419</s:v>
      </s:c>
      <s:c r="H474" s="0" t="n">
        <s:v>5811</s:v>
      </s:c>
      <s:c r="I474" s="0" t="n">
        <s:v>2391</s:v>
      </s:c>
      <s:c r="J474" s="0" t="n">
        <s:v>1863</s:v>
      </s:c>
      <s:c r="K474" s="22">
        <s:f>'1'!F475</s:f>
        <s:v>46247.56563657407</s:v>
      </s:c>
      <s:c r="L474" s="22">
        <s:f>'2'!F475</s:f>
        <s:v>46247.547372685185</s:v>
      </s:c>
      <s:c r="M474" s="22">
        <s:f>'3'!F475</s:f>
        <s:v>46247.529965277776</s:v>
      </s:c>
      <s:c r="N474" s="22">
        <s:f>'4'!F475</s:f>
        <s:v>46247.48407407408</s:v>
      </s:c>
      <s:c r="O474" s="22">
        <s:f>'5'!F475</s:f>
        <s:v>46247.455729166664</s:v>
      </s:c>
      <s:c r="P474" s="22">
        <s:f>'6'!F475</s:f>
        <s:v>46247.436273148145</s:v>
      </s:c>
      <s:c r="Q474" s="22">
        <s:f>'7'!F475</s:f>
        <s:v>46247.413622685184</s:v>
      </s:c>
      <s:c r="R474" s="22">
        <s:f>'8'!F475</s:f>
        <s:v>46247.38943287037</s:v>
      </s:c>
      <s:c r="S474" s="22">
        <s:f>'9'!F475</s:f>
        <s:v>46247.37162037037</s:v>
      </s:c>
      <s:c r="T474" s="22">
        <s:f>'10'!F475</s:f>
        <s:v>46247.34239583334</s:v>
      </s:c>
      <s:c r="U474" s="23">
        <s:f>'자료구성'!$B$2</s:f>
        <s:v>46247.0</s:v>
      </s:c>
    </s:row>
    <s:row r="475">
      <s:c r="A475" s="0" t="n">
        <s:v>2006</s:v>
      </s:c>
      <s:c r="B475" s="0" t="n">
        <s:v>1582</s:v>
      </s:c>
      <s:c r="C475" s="0" t="n">
        <s:v>5502</s:v>
      </s:c>
      <s:c r="D475" s="0" t="n">
        <s:v>153</s:v>
      </s:c>
      <s:c r="E475" s="0" t="n">
        <s:v>1457</s:v>
      </s:c>
      <s:c r="F475" s="0" t="n">
        <s:v>3630</s:v>
      </s:c>
      <s:c r="G475" s="0" t="n">
        <s:v>2402</s:v>
      </s:c>
      <s:c r="H475" s="0" t="n">
        <s:v>6007</s:v>
      </s:c>
      <s:c r="I475" s="0" t="n">
        <s:v>2397</s:v>
      </s:c>
      <s:c r="J475" s="0" t="n">
        <s:v>1856</s:v>
      </s:c>
      <s:c r="K475" s="22">
        <s:f>'1'!F476</s:f>
        <s:v>46247.56564814815</s:v>
      </s:c>
      <s:c r="L475" s="22">
        <s:f>'2'!F476</s:f>
        <s:v>46247.54738425926</s:v>
      </s:c>
      <s:c r="M475" s="22">
        <s:f>'3'!F476</s:f>
        <s:v>46247.52997685185</s:v>
      </s:c>
      <s:c r="N475" s="22">
        <s:f>'4'!F476</s:f>
        <s:v>46247.484085648146</s:v>
      </s:c>
      <s:c r="O475" s="22">
        <s:f>'5'!F476</s:f>
        <s:v>46247.45574074074</s:v>
      </s:c>
      <s:c r="P475" s="22">
        <s:f>'6'!F476</s:f>
        <s:v>46247.43628472222</s:v>
      </s:c>
      <s:c r="Q475" s="22">
        <s:f>'7'!F476</s:f>
        <s:v>46247.41363425926</s:v>
      </s:c>
      <s:c r="R475" s="22">
        <s:f>'8'!F476</s:f>
        <s:v>46247.389444444445</s:v>
      </s:c>
      <s:c r="S475" s="22">
        <s:f>'9'!F476</s:f>
        <s:v>46247.37163194444</s:v>
      </s:c>
      <s:c r="T475" s="22">
        <s:f>'10'!F476</s:f>
        <s:v>46247.34240740741</s:v>
      </s:c>
      <s:c r="U475" s="23">
        <s:f>'자료구성'!$B$2</s:f>
        <s:v>46247.0</s:v>
      </s:c>
    </s:row>
    <s:row r="476">
      <s:c r="A476" s="0" t="n">
        <s:v>2011</s:v>
      </s:c>
      <s:c r="B476" s="0" t="n">
        <s:v>1573</s:v>
      </s:c>
      <s:c r="C476" s="0" t="n">
        <s:v>5258</s:v>
      </s:c>
      <s:c r="D476" s="0" t="n">
        <s:v>148</s:v>
      </s:c>
      <s:c r="E476" s="0" t="n">
        <s:v>1456</s:v>
      </s:c>
      <s:c r="F476" s="0" t="n">
        <s:v>3626</s:v>
      </s:c>
      <s:c r="G476" s="0" t="n">
        <s:v>2365</s:v>
      </s:c>
      <s:c r="H476" s="0" t="n">
        <s:v>6057</s:v>
      </s:c>
      <s:c r="I476" s="0" t="n">
        <s:v>2399</s:v>
      </s:c>
      <s:c r="J476" s="0" t="n">
        <s:v>1858</s:v>
      </s:c>
      <s:c r="K476" s="22">
        <s:f>'1'!F477</s:f>
        <s:v>46247.56565972222</s:v>
      </s:c>
      <s:c r="L476" s="22">
        <s:f>'2'!F477</s:f>
        <s:v>46247.54739583333</s:v>
      </s:c>
      <s:c r="M476" s="22">
        <s:f>'3'!F477</s:f>
        <s:v>46247.52998842593</s:v>
      </s:c>
      <s:c r="N476" s="22">
        <s:f>'4'!F477</s:f>
        <s:v>46247.48409722222</s:v>
      </s:c>
      <s:c r="O476" s="22">
        <s:f>'5'!F477</s:f>
        <s:v>46247.45575231482</s:v>
      </s:c>
      <s:c r="P476" s="22">
        <s:f>'6'!F477</s:f>
        <s:v>46247.4362962963</s:v>
      </s:c>
      <s:c r="Q476" s="22">
        <s:f>'7'!F477</s:f>
        <s:v>46247.41364583333</s:v>
      </s:c>
      <s:c r="R476" s="22">
        <s:f>'8'!F477</s:f>
        <s:v>46247.38945601852</s:v>
      </s:c>
      <s:c r="S476" s="22">
        <s:f>'9'!F477</s:f>
        <s:v>46247.37164351852</s:v>
      </s:c>
      <s:c r="T476" s="22">
        <s:f>'10'!F477</s:f>
        <s:v>46247.34241898148</s:v>
      </s:c>
      <s:c r="U476" s="23">
        <s:f>'자료구성'!$B$2</s:f>
        <s:v>46247.0</s:v>
      </s:c>
    </s:row>
    <s:row r="477">
      <s:c r="A477" s="0" t="n">
        <s:v>2032</s:v>
      </s:c>
      <s:c r="B477" s="0" t="n">
        <s:v>1581</s:v>
      </s:c>
      <s:c r="C477" s="0" t="n">
        <s:v>5069</s:v>
      </s:c>
      <s:c r="D477" s="0" t="n">
        <s:v>145</s:v>
      </s:c>
      <s:c r="E477" s="0" t="n">
        <s:v>1447</s:v>
      </s:c>
      <s:c r="F477" s="0" t="n">
        <s:v>3633</s:v>
      </s:c>
      <s:c r="G477" s="0" t="n">
        <s:v>2330</s:v>
      </s:c>
      <s:c r="H477" s="0" t="n">
        <s:v>6047</s:v>
      </s:c>
      <s:c r="I477" s="0" t="n">
        <s:v>2417</s:v>
      </s:c>
      <s:c r="J477" s="0" t="n">
        <s:v>1843</s:v>
      </s:c>
      <s:c r="K477" s="22">
        <s:f>'1'!F478</s:f>
        <s:v>46247.565671296295</s:v>
      </s:c>
      <s:c r="L477" s="22">
        <s:f>'2'!F478</s:f>
        <s:v>46247.54740740741</s:v>
      </s:c>
      <s:c r="M477" s="22">
        <s:f>'3'!F478</s:f>
        <s:v>46247.53</s:v>
      </s:c>
      <s:c r="N477" s="22">
        <s:f>'4'!F478</s:f>
        <s:v>46247.4841087963</s:v>
      </s:c>
      <s:c r="O477" s="22">
        <s:f>'5'!F478</s:f>
        <s:v>46247.45576388889</s:v>
      </s:c>
      <s:c r="P477" s="22">
        <s:f>'6'!F478</s:f>
        <s:v>46247.43630787037</s:v>
      </s:c>
      <s:c r="Q477" s="22">
        <s:f>'7'!F478</s:f>
        <s:v>46247.41365740741</s:v>
      </s:c>
      <s:c r="R477" s="22">
        <s:f>'8'!F478</s:f>
        <s:v>46247.38946759259</s:v>
      </s:c>
      <s:c r="S477" s="22">
        <s:f>'9'!F478</s:f>
        <s:v>46247.37165509259</s:v>
      </s:c>
      <s:c r="T477" s="22">
        <s:f>'10'!F478</s:f>
        <s:v>46247.34243055555</s:v>
      </s:c>
      <s:c r="U477" s="23">
        <s:f>'자료구성'!$B$2</s:f>
        <s:v>46247.0</s:v>
      </s:c>
    </s:row>
    <s:row r="478">
      <s:c r="A478" s="0" t="n">
        <s:v>2062</s:v>
      </s:c>
      <s:c r="B478" s="0" t="n">
        <s:v>1602</s:v>
      </s:c>
      <s:c r="C478" s="0" t="n">
        <s:v>5107</s:v>
      </s:c>
      <s:c r="D478" s="0" t="n">
        <s:v>150</s:v>
      </s:c>
      <s:c r="E478" s="0" t="n">
        <s:v>1435</s:v>
      </s:c>
      <s:c r="F478" s="0" t="n">
        <s:v>3641</s:v>
      </s:c>
      <s:c r="G478" s="0" t="n">
        <s:v>2299</s:v>
      </s:c>
      <s:c r="H478" s="0" t="n">
        <s:v>5999</s:v>
      </s:c>
      <s:c r="I478" s="0" t="n">
        <s:v>2456</s:v>
      </s:c>
      <s:c r="J478" s="0" t="n">
        <s:v>1837</s:v>
      </s:c>
      <s:c r="K478" s="22">
        <s:f>'1'!F479</s:f>
        <s:v>46247.56568287037</s:v>
      </s:c>
      <s:c r="L478" s="22">
        <s:f>'2'!F479</s:f>
        <s:v>46247.547418981485</s:v>
      </s:c>
      <s:c r="M478" s="22">
        <s:f>'3'!F479</s:f>
        <s:v>46247.530011574076</s:v>
      </s:c>
      <s:c r="N478" s="22">
        <s:f>'4'!F479</s:f>
        <s:v>46247.48412037037</s:v>
      </s:c>
      <s:c r="O478" s="22">
        <s:f>'5'!F479</s:f>
        <s:v>46247.455775462964</s:v>
      </s:c>
      <s:c r="P478" s="22">
        <s:f>'6'!F479</s:f>
        <s:v>46247.436319444445</s:v>
      </s:c>
      <s:c r="Q478" s="22">
        <s:f>'7'!F479</s:f>
        <s:v>46247.413668981484</s:v>
      </s:c>
      <s:c r="R478" s="22">
        <s:f>'8'!F479</s:f>
        <s:v>46247.38947916667</s:v>
      </s:c>
      <s:c r="S478" s="22">
        <s:f>'9'!F479</s:f>
        <s:v>46247.371666666666</s:v>
      </s:c>
      <s:c r="T478" s="22">
        <s:f>'10'!F479</s:f>
        <s:v>46247.34244212963</s:v>
      </s:c>
      <s:c r="U478" s="23">
        <s:f>'자료구성'!$B$2</s:f>
        <s:v>46247.0</s:v>
      </s:c>
    </s:row>
    <s:row r="479">
      <s:c r="A479" s="0" t="n">
        <s:v>2091</s:v>
      </s:c>
      <s:c r="B479" s="0" t="n">
        <s:v>1595</s:v>
      </s:c>
      <s:c r="C479" s="0" t="n">
        <s:v>5032</s:v>
      </s:c>
      <s:c r="D479" s="0" t="n">
        <s:v>161</s:v>
      </s:c>
      <s:c r="E479" s="0" t="n">
        <s:v>1430</s:v>
      </s:c>
      <s:c r="F479" s="0" t="n">
        <s:v>3696</s:v>
      </s:c>
      <s:c r="G479" s="0" t="n">
        <s:v>2279</s:v>
      </s:c>
      <s:c r="H479" s="0" t="n">
        <s:v>5911</s:v>
      </s:c>
      <s:c r="I479" s="0" t="n">
        <s:v>2483</s:v>
      </s:c>
      <s:c r="J479" s="0" t="n">
        <s:v>1839</s:v>
      </s:c>
      <s:c r="K479" s="22">
        <s:f>'1'!F480</s:f>
        <s:v>46247.56569444444</s:v>
      </s:c>
      <s:c r="L479" s="22">
        <s:f>'2'!F480</s:f>
        <s:v>46247.547430555554</s:v>
      </s:c>
      <s:c r="M479" s="22">
        <s:f>'3'!F480</s:f>
        <s:v>46247.530023148145</s:v>
      </s:c>
      <s:c r="N479" s="22">
        <s:f>'4'!F480</s:f>
        <s:v>46247.484131944446</s:v>
      </s:c>
      <s:c r="O479" s="22">
        <s:f>'5'!F480</s:f>
        <s:v>46247.45578703703</s:v>
      </s:c>
      <s:c r="P479" s="22">
        <s:f>'6'!F480</s:f>
        <s:v>46247.43633101852</s:v>
      </s:c>
      <s:c r="Q479" s="22">
        <s:f>'7'!F480</s:f>
        <s:v>46247.41368055555</s:v>
      </s:c>
      <s:c r="R479" s="22">
        <s:f>'8'!F480</s:f>
        <s:v>46247.38949074074</s:v>
      </s:c>
      <s:c r="S479" s="22">
        <s:f>'9'!F480</s:f>
        <s:v>46247.37167824074</s:v>
      </s:c>
      <s:c r="T479" s="22">
        <s:f>'10'!F480</s:f>
        <s:v>46247.342453703706</s:v>
      </s:c>
      <s:c r="U479" s="23">
        <s:f>'자료구성'!$B$2</s:f>
        <s:v>46247.0</s:v>
      </s:c>
    </s:row>
    <s:row r="480">
      <s:c r="A480" s="0" t="n">
        <s:v>2102</s:v>
      </s:c>
      <s:c r="B480" s="0" t="n">
        <s:v>1573</s:v>
      </s:c>
      <s:c r="C480" s="0" t="n">
        <s:v>5222</s:v>
      </s:c>
      <s:c r="D480" s="0" t="n">
        <s:v>186</s:v>
      </s:c>
      <s:c r="E480" s="0" t="n">
        <s:v>1439</s:v>
      </s:c>
      <s:c r="F480" s="0" t="n">
        <s:v>3758</s:v>
      </s:c>
      <s:c r="G480" s="0" t="n">
        <s:v>2303</s:v>
      </s:c>
      <s:c r="H480" s="0" t="n">
        <s:v>5766</s:v>
      </s:c>
      <s:c r="I480" s="0" t="n">
        <s:v>2501</s:v>
      </s:c>
      <s:c r="J480" s="0" t="n">
        <s:v>1827</s:v>
      </s:c>
      <s:c r="K480" s="22">
        <s:f>'1'!F481</s:f>
        <s:v>46247.56570601852</s:v>
      </s:c>
      <s:c r="L480" s="22">
        <s:f>'2'!F481</s:f>
        <s:v>46247.54744212963</s:v>
      </s:c>
      <s:c r="M480" s="22">
        <s:f>'3'!F481</s:f>
        <s:v>46247.53003472222</s:v>
      </s:c>
      <s:c r="N480" s="22">
        <s:f>'4'!F481</s:f>
        <s:v>46247.484143518515</s:v>
      </s:c>
      <s:c r="O480" s="22">
        <s:f>'5'!F481</s:f>
        <s:v>46247.45579861111</s:v>
      </s:c>
      <s:c r="P480" s="22">
        <s:f>'6'!F481</s:f>
        <s:v>46247.43634259259</s:v>
      </s:c>
      <s:c r="Q480" s="22">
        <s:f>'7'!F481</s:f>
        <s:v>46247.41369212963</s:v>
      </s:c>
      <s:c r="R480" s="22">
        <s:f>'8'!F481</s:f>
        <s:v>46247.389502314814</s:v>
      </s:c>
      <s:c r="S480" s="22">
        <s:f>'9'!F481</s:f>
        <s:v>46247.37168981481</s:v>
      </s:c>
      <s:c r="T480" s="22">
        <s:f>'10'!F481</s:f>
        <s:v>46247.342465277776</s:v>
      </s:c>
      <s:c r="U480" s="23">
        <s:f>'자료구성'!$B$2</s:f>
        <s:v>46247.0</s:v>
      </s:c>
    </s:row>
    <s:row r="481">
      <s:c r="A481" s="0" t="n">
        <s:v>2115</s:v>
      </s:c>
      <s:c r="B481" s="0" t="n">
        <s:v>1563</s:v>
      </s:c>
      <s:c r="C481" s="0" t="n">
        <s:v>5404</s:v>
      </s:c>
      <s:c r="D481" s="0" t="n">
        <s:v>181</s:v>
      </s:c>
      <s:c r="E481" s="0" t="n">
        <s:v>1423</s:v>
      </s:c>
      <s:c r="F481" s="0" t="n">
        <s:v>3757</s:v>
      </s:c>
      <s:c r="G481" s="0" t="n">
        <s:v>2345</s:v>
      </s:c>
      <s:c r="H481" s="0" t="n">
        <s:v>5631</s:v>
      </s:c>
      <s:c r="I481" s="0" t="n">
        <s:v>2561</s:v>
      </s:c>
      <s:c r="J481" s="0" t="n">
        <s:v>1775</s:v>
      </s:c>
      <s:c r="K481" s="22">
        <s:f>'1'!F482</s:f>
        <s:v>46247.565717592595</s:v>
      </s:c>
      <s:c r="L481" s="22">
        <s:f>'2'!F482</s:f>
        <s:v>46247.5474537037</s:v>
      </s:c>
      <s:c r="M481" s="22">
        <s:f>'3'!F482</s:f>
        <s:v>46247.5300462963</s:v>
      </s:c>
      <s:c r="N481" s="22">
        <s:f>'4'!F482</s:f>
        <s:v>46247.48415509259</s:v>
      </s:c>
      <s:c r="O481" s="22">
        <s:f>'5'!F482</s:f>
        <s:v>46247.45581018519</s:v>
      </s:c>
      <s:c r="P481" s="22">
        <s:f>'6'!F482</s:f>
        <s:v>46247.43635416667</s:v>
      </s:c>
      <s:c r="Q481" s="22">
        <s:f>'7'!F482</s:f>
        <s:v>46247.41370370371</s:v>
      </s:c>
      <s:c r="R481" s="22">
        <s:f>'8'!F482</s:f>
        <s:v>46247.38951388889</s:v>
      </s:c>
      <s:c r="S481" s="22">
        <s:f>'9'!F482</s:f>
        <s:v>46247.37170138889</s:v>
      </s:c>
      <s:c r="T481" s="22">
        <s:f>'10'!F482</s:f>
        <s:v>46247.34247685185</s:v>
      </s:c>
      <s:c r="U481" s="23">
        <s:f>'자료구성'!$B$2</s:f>
        <s:v>46247.0</s:v>
      </s:c>
    </s:row>
    <s:row r="482">
      <s:c r="A482" s="0" t="n">
        <s:v>2126</s:v>
      </s:c>
      <s:c r="B482" s="0" t="n">
        <s:v>1532</s:v>
      </s:c>
      <s:c r="C482" s="0" t="n">
        <s:v>5535</s:v>
      </s:c>
      <s:c r="D482" s="0" t="n">
        <s:v>176</s:v>
      </s:c>
      <s:c r="E482" s="0" t="n">
        <s:v>1410</s:v>
      </s:c>
      <s:c r="F482" s="0" t="n">
        <s:v>3858</s:v>
      </s:c>
      <s:c r="G482" s="0" t="n">
        <s:v>2387</s:v>
      </s:c>
      <s:c r="H482" s="0" t="n">
        <s:v>5516</s:v>
      </s:c>
      <s:c r="I482" s="0" t="n">
        <s:v>2563</s:v>
      </s:c>
      <s:c r="J482" s="0" t="n">
        <s:v>1743</s:v>
      </s:c>
      <s:c r="K482" s="22">
        <s:f>'1'!F483</s:f>
        <s:v>46247.565729166665</s:v>
      </s:c>
      <s:c r="L482" s="22">
        <s:f>'2'!F483</s:f>
        <s:v>46247.54746527778</s:v>
      </s:c>
      <s:c r="M482" s="22">
        <s:f>'3'!F483</s:f>
        <s:v>46247.53005787037</s:v>
      </s:c>
      <s:c r="N482" s="22">
        <s:f>'4'!F483</s:f>
        <s:v>46247.48416666667</s:v>
      </s:c>
      <s:c r="O482" s="22">
        <s:f>'5'!F483</s:f>
        <s:v>46247.45582175926</s:v>
      </s:c>
      <s:c r="P482" s="22">
        <s:f>'6'!F483</s:f>
        <s:v>46247.43636574074</s:v>
      </s:c>
      <s:c r="Q482" s="22">
        <s:f>'7'!F483</s:f>
        <s:v>46247.41371527778</s:v>
      </s:c>
      <s:c r="R482" s="22">
        <s:f>'8'!F483</s:f>
        <s:v>46247.38952546296</s:v>
      </s:c>
      <s:c r="S482" s="22">
        <s:f>'9'!F483</s:f>
        <s:v>46247.371712962966</s:v>
      </s:c>
      <s:c r="T482" s="22">
        <s:f>'10'!F483</s:f>
        <s:v>46247.34248842593</s:v>
      </s:c>
      <s:c r="U482" s="23">
        <s:f>'자료구성'!$B$2</s:f>
        <s:v>46247.0</s:v>
      </s:c>
    </s:row>
    <s:row r="483">
      <s:c r="A483" s="0" t="n">
        <s:v>2110</s:v>
      </s:c>
      <s:c r="B483" s="0" t="n">
        <s:v>1484</s:v>
      </s:c>
      <s:c r="C483" s="0" t="n">
        <s:v>5629</s:v>
      </s:c>
      <s:c r="D483" s="0" t="n">
        <s:v>170</s:v>
      </s:c>
      <s:c r="E483" s="0" t="n">
        <s:v>1388</s:v>
      </s:c>
      <s:c r="F483" s="0" t="n">
        <s:v>3953</s:v>
      </s:c>
      <s:c r="G483" s="0" t="n">
        <s:v>2374</s:v>
      </s:c>
      <s:c r="H483" s="0" t="n">
        <s:v>5390</s:v>
      </s:c>
      <s:c r="I483" s="0" t="n">
        <s:v>2606</s:v>
      </s:c>
      <s:c r="J483" s="0" t="n">
        <s:v>1719</s:v>
      </s:c>
      <s:c r="K483" s="22">
        <s:f>'1'!F484</s:f>
        <s:v>46247.56574074074</s:v>
      </s:c>
      <s:c r="L483" s="22">
        <s:f>'2'!F484</s:f>
        <s:v>46247.547476851854</s:v>
      </s:c>
      <s:c r="M483" s="22">
        <s:f>'3'!F484</s:f>
        <s:v>46247.530069444445</s:v>
      </s:c>
      <s:c r="N483" s="22">
        <s:f>'4'!F484</s:f>
        <s:v>46247.48417824074</s:v>
      </s:c>
      <s:c r="O483" s="22">
        <s:f>'5'!F484</s:f>
        <s:v>46247.45583333333</s:v>
      </s:c>
      <s:c r="P483" s="22">
        <s:f>'6'!F484</s:f>
        <s:v>46247.436377314814</s:v>
      </s:c>
      <s:c r="Q483" s="22">
        <s:f>'7'!F484</s:f>
        <s:v>46247.41372685185</s:v>
      </s:c>
      <s:c r="R483" s="22">
        <s:f>'8'!F484</s:f>
        <s:v>46247.38953703704</s:v>
      </s:c>
      <s:c r="S483" s="22">
        <s:f>'9'!F484</s:f>
        <s:v>46247.371724537035</s:v>
      </s:c>
      <s:c r="T483" s="22">
        <s:f>'10'!F484</s:f>
        <s:v>46247.3425</s:v>
      </s:c>
      <s:c r="U483" s="23">
        <s:f>'자료구성'!$B$2</s:f>
        <s:v>46247.0</s:v>
      </s:c>
    </s:row>
    <s:row r="484">
      <s:c r="A484" s="0" t="n">
        <s:v>2118</s:v>
      </s:c>
      <s:c r="B484" s="0" t="n">
        <s:v>1447</s:v>
      </s:c>
      <s:c r="C484" s="0" t="n">
        <s:v>5787</s:v>
      </s:c>
      <s:c r="D484" s="0" t="n">
        <s:v>165</s:v>
      </s:c>
      <s:c r="E484" s="0" t="n">
        <s:v>1386</s:v>
      </s:c>
      <s:c r="F484" s="0" t="n">
        <s:v>4008</s:v>
      </s:c>
      <s:c r="G484" s="0" t="n">
        <s:v>2326</s:v>
      </s:c>
      <s:c r="H484" s="0" t="n">
        <s:v>5284</s:v>
      </s:c>
      <s:c r="I484" s="0" t="n">
        <s:v>2618</s:v>
      </s:c>
      <s:c r="J484" s="0" t="n">
        <s:v>1698</s:v>
      </s:c>
      <s:c r="K484" s="22">
        <s:f>'1'!F485</s:f>
        <s:v>46247.56575231482</s:v>
      </s:c>
      <s:c r="L484" s="22">
        <s:f>'2'!F485</s:f>
        <s:v>46247.547488425924</s:v>
      </s:c>
      <s:c r="M484" s="22">
        <s:f>'3'!F485</s:f>
        <s:v>46247.53008101852</s:v>
      </s:c>
      <s:c r="N484" s="22">
        <s:f>'4'!F485</s:f>
        <s:v>46247.484189814815</s:v>
      </s:c>
      <s:c r="O484" s="22">
        <s:f>'5'!F485</s:f>
        <s:v>46247.45584490741</s:v>
      </s:c>
      <s:c r="P484" s="22">
        <s:f>'6'!F485</s:f>
        <s:v>46247.43638888889</s:v>
      </s:c>
      <s:c r="Q484" s="22">
        <s:f>'7'!F485</s:f>
        <s:v>46247.41373842592</s:v>
      </s:c>
      <s:c r="R484" s="22">
        <s:f>'8'!F485</s:f>
        <s:v>46247.389548611114</s:v>
      </s:c>
      <s:c r="S484" s="22">
        <s:f>'9'!F485</s:f>
        <s:v>46247.37173611111</s:v>
      </s:c>
      <s:c r="T484" s="22">
        <s:f>'10'!F485</s:f>
        <s:v>46247.342511574076</s:v>
      </s:c>
      <s:c r="U484" s="23">
        <s:f>'자료구성'!$B$2</s:f>
        <s:v>46247.0</s:v>
      </s:c>
    </s:row>
    <s:row r="485">
      <s:c r="A485" s="0" t="n">
        <s:v>2108</s:v>
      </s:c>
      <s:c r="B485" s="0" t="n">
        <s:v>1403</s:v>
      </s:c>
      <s:c r="C485" s="0" t="n">
        <s:v>5786</s:v>
      </s:c>
      <s:c r="D485" s="0" t="n">
        <s:v>159</s:v>
      </s:c>
      <s:c r="E485" s="0" t="n">
        <s:v>1376</s:v>
      </s:c>
      <s:c r="F485" s="0" t="n">
        <s:v>4118</s:v>
      </s:c>
      <s:c r="G485" s="0" t="n">
        <s:v>2289</s:v>
      </s:c>
      <s:c r="H485" s="0" t="n">
        <s:v>5203</s:v>
      </s:c>
      <s:c r="I485" s="0" t="n">
        <s:v>2637</s:v>
      </s:c>
      <s:c r="J485" s="0" t="n">
        <s:v>1713</s:v>
      </s:c>
      <s:c r="K485" s="22">
        <s:f>'1'!F486</s:f>
        <s:v>46247.56576388889</s:v>
      </s:c>
      <s:c r="L485" s="22">
        <s:f>'2'!F486</s:f>
        <s:v>46247.5475</s:v>
      </s:c>
      <s:c r="M485" s="22">
        <s:f>'3'!F486</s:f>
        <s:v>46247.53009259259</s:v>
      </s:c>
      <s:c r="N485" s="22">
        <s:f>'4'!F486</s:f>
        <s:v>46247.48420138889</s:v>
      </s:c>
      <s:c r="O485" s="22">
        <s:f>'5'!F486</s:f>
        <s:v>46247.45585648148</s:v>
      </s:c>
      <s:c r="P485" s="22">
        <s:f>'6'!F486</s:f>
        <s:v>46247.43640046296</s:v>
      </s:c>
      <s:c r="Q485" s="22">
        <s:f>'7'!F486</s:f>
        <s:v>46247.41375</s:v>
      </s:c>
      <s:c r="R485" s="22">
        <s:f>'8'!F486</s:f>
        <s:v>46247.389560185184</s:v>
      </s:c>
      <s:c r="S485" s="22">
        <s:f>'9'!F486</s:f>
        <s:v>46247.37174768518</s:v>
      </s:c>
      <s:c r="T485" s="22">
        <s:f>'10'!F486</s:f>
        <s:v>46247.342523148145</s:v>
      </s:c>
      <s:c r="U485" s="23">
        <s:f>'자료구성'!$B$2</s:f>
        <s:v>46247.0</s:v>
      </s:c>
    </s:row>
    <s:row r="486">
      <s:c r="A486" s="0" t="n">
        <s:v>2067</s:v>
      </s:c>
      <s:c r="B486" s="0" t="n">
        <s:v>1363</s:v>
      </s:c>
      <s:c r="C486" s="0" t="n">
        <s:v>5796</s:v>
      </s:c>
      <s:c r="D486" s="0" t="n">
        <s:v>157</s:v>
      </s:c>
      <s:c r="E486" s="0" t="n">
        <s:v>1340</s:v>
      </s:c>
      <s:c r="F486" s="0" t="n">
        <s:v>4180</s:v>
      </s:c>
      <s:c r="G486" s="0" t="n">
        <s:v>2267</s:v>
      </s:c>
      <s:c r="H486" s="0" t="n">
        <s:v>5111</s:v>
      </s:c>
      <s:c r="I486" s="0" t="n">
        <s:v>2688</s:v>
      </s:c>
      <s:c r="J486" s="0" t="n">
        <s:v>1734</s:v>
      </s:c>
      <s:c r="K486" s="22">
        <s:f>'1'!F487</s:f>
        <s:v>46247.565775462965</s:v>
      </s:c>
      <s:c r="L486" s="22">
        <s:f>'2'!F487</s:f>
        <s:v>46247.54751157408</s:v>
      </s:c>
      <s:c r="M486" s="22">
        <s:f>'3'!F487</s:f>
        <s:v>46247.53010416667</s:v>
      </s:c>
      <s:c r="N486" s="22">
        <s:f>'4'!F487</s:f>
        <s:v>46247.48421296296</s:v>
      </s:c>
      <s:c r="O486" s="22">
        <s:f>'5'!F487</s:f>
        <s:v>46247.45586805556</s:v>
      </s:c>
      <s:c r="P486" s="22">
        <s:f>'6'!F487</s:f>
        <s:v>46247.43641203704</s:v>
      </s:c>
      <s:c r="Q486" s="22">
        <s:f>'7'!F487</s:f>
        <s:v>46247.41376157408</s:v>
      </s:c>
      <s:c r="R486" s="22">
        <s:f>'8'!F487</s:f>
        <s:v>46247.38957175926</s:v>
      </s:c>
      <s:c r="S486" s="22">
        <s:f>'9'!F487</s:f>
        <s:v>46247.37175925926</s:v>
      </s:c>
      <s:c r="T486" s="22">
        <s:f>'10'!F487</s:f>
        <s:v>46247.34253472222</s:v>
      </s:c>
      <s:c r="U486" s="23">
        <s:f>'자료구성'!$B$2</s:f>
        <s:v>46247.0</s:v>
      </s:c>
    </s:row>
    <s:row r="487">
      <s:c r="A487" s="0" t="n">
        <s:v>2023</s:v>
      </s:c>
      <s:c r="B487" s="0" t="n">
        <s:v>1352</s:v>
      </s:c>
      <s:c r="C487" s="0" t="n">
        <s:v>5858</s:v>
      </s:c>
      <s:c r="D487" s="0" t="n">
        <s:v>153</s:v>
      </s:c>
      <s:c r="E487" s="0" t="n">
        <s:v>1318</s:v>
      </s:c>
      <s:c r="F487" s="0" t="n">
        <s:v>4258</s:v>
      </s:c>
      <s:c r="G487" s="0" t="n">
        <s:v>2241</s:v>
      </s:c>
      <s:c r="H487" s="0" t="n">
        <s:v>5078</s:v>
      </s:c>
      <s:c r="I487" s="0" t="n">
        <s:v>2712</s:v>
      </s:c>
      <s:c r="J487" s="0" t="n">
        <s:v>1751</s:v>
      </s:c>
      <s:c r="K487" s="22">
        <s:f>'1'!F488</s:f>
        <s:v>46247.565787037034</s:v>
      </s:c>
      <s:c r="L487" s="22">
        <s:f>'2'!F488</s:f>
        <s:v>46247.54752314815</s:v>
      </s:c>
      <s:c r="M487" s="22">
        <s:f>'3'!F488</s:f>
        <s:v>46247.53011574074</s:v>
      </s:c>
      <s:c r="N487" s="22">
        <s:f>'4'!F488</s:f>
        <s:v>46247.48422453704</s:v>
      </s:c>
      <s:c r="O487" s="22">
        <s:f>'5'!F488</s:f>
        <s:v>46247.455879629626</s:v>
      </s:c>
      <s:c r="P487" s="22">
        <s:f>'6'!F488</s:f>
        <s:v>46247.436423611114</s:v>
      </s:c>
      <s:c r="Q487" s="22">
        <s:f>'7'!F488</s:f>
        <s:v>46247.413773148146</s:v>
      </s:c>
      <s:c r="R487" s="22">
        <s:f>'8'!F488</s:f>
        <s:v>46247.38958333333</s:v>
      </s:c>
      <s:c r="S487" s="22">
        <s:f>'9'!F488</s:f>
        <s:v>46247.371770833335</s:v>
      </s:c>
      <s:c r="T487" s="22">
        <s:f>'10'!F488</s:f>
        <s:v>46247.3425462963</s:v>
      </s:c>
      <s:c r="U487" s="23">
        <s:f>'자료구성'!$B$2</s:f>
        <s:v>46247.0</s:v>
      </s:c>
    </s:row>
    <s:row r="488">
      <s:c r="A488" s="0" t="n">
        <s:v>2009</s:v>
      </s:c>
      <s:c r="B488" s="0" t="n">
        <s:v>1340</s:v>
      </s:c>
      <s:c r="C488" s="0" t="n">
        <s:v>5942</s:v>
      </s:c>
      <s:c r="D488" s="0" t="n">
        <s:v>153</s:v>
      </s:c>
      <s:c r="E488" s="0" t="n">
        <s:v>1294</s:v>
      </s:c>
      <s:c r="F488" s="0" t="n">
        <s:v>4358</s:v>
      </s:c>
      <s:c r="G488" s="0" t="n">
        <s:v>2202</s:v>
      </s:c>
      <s:c r="H488" s="0" t="n">
        <s:v>5078</s:v>
      </s:c>
      <s:c r="I488" s="0" t="n">
        <s:v>2728</s:v>
      </s:c>
      <s:c r="J488" s="0" t="n">
        <s:v>1733</s:v>
      </s:c>
      <s:c r="K488" s="22">
        <s:f>'1'!F489</s:f>
        <s:v>46247.56579861111</s:v>
      </s:c>
      <s:c r="L488" s="22">
        <s:f>'2'!F489</s:f>
        <s:v>46247.547534722224</s:v>
      </s:c>
      <s:c r="M488" s="22">
        <s:f>'3'!F489</s:f>
        <s:v>46247.530127314814</s:v>
      </s:c>
      <s:c r="N488" s="22">
        <s:f>'4'!F489</s:f>
        <s:v>46247.48423611111</s:v>
      </s:c>
      <s:c r="O488" s="22">
        <s:f>'5'!F489</s:f>
        <s:v>46247.4558912037</s:v>
      </s:c>
      <s:c r="P488" s="22">
        <s:f>'6'!F489</s:f>
        <s:v>46247.436435185184</s:v>
      </s:c>
      <s:c r="Q488" s="22">
        <s:f>'7'!F489</s:f>
        <s:v>46247.41378472222</s:v>
      </s:c>
      <s:c r="R488" s="22">
        <s:f>'8'!F489</s:f>
        <s:v>46247.38959490741</s:v>
      </s:c>
      <s:c r="S488" s="22">
        <s:f>'9'!F489</s:f>
        <s:v>46247.371782407405</s:v>
      </s:c>
      <s:c r="T488" s="22">
        <s:f>'10'!F489</s:f>
        <s:v>46247.34255787037</s:v>
      </s:c>
      <s:c r="U488" s="23">
        <s:f>'자료구성'!$B$2</s:f>
        <s:v>46247.0</s:v>
      </s:c>
    </s:row>
    <s:row r="489">
      <s:c r="A489" s="0" t="n">
        <s:v>2012</s:v>
      </s:c>
      <s:c r="B489" s="0" t="n">
        <s:v>1344</s:v>
      </s:c>
      <s:c r="C489" s="0" t="n">
        <s:v>5981</s:v>
      </s:c>
      <s:c r="D489" s="0" t="n">
        <s:v>150</s:v>
      </s:c>
      <s:c r="E489" s="0" t="n">
        <s:v>1286</s:v>
      </s:c>
      <s:c r="F489" s="0" t="n">
        <s:v>4401</s:v>
      </s:c>
      <s:c r="G489" s="0" t="n">
        <s:v>2157</s:v>
      </s:c>
      <s:c r="H489" s="0" t="n">
        <s:v>5101</s:v>
      </s:c>
      <s:c r="I489" s="0" t="n">
        <s:v>2725</s:v>
      </s:c>
      <s:c r="J489" s="0" t="n">
        <s:v>1717</s:v>
      </s:c>
      <s:c r="K489" s="22">
        <s:f>'1'!F490</s:f>
        <s:v>46247.56581018519</s:v>
      </s:c>
      <s:c r="L489" s="22">
        <s:f>'2'!F490</s:f>
        <s:v>46247.54754629629</s:v>
      </s:c>
      <s:c r="M489" s="22">
        <s:f>'3'!F490</s:f>
        <s:v>46247.53013888889</s:v>
      </s:c>
      <s:c r="N489" s="22">
        <s:f>'4'!F490</s:f>
        <s:v>46247.484247685185</s:v>
      </s:c>
      <s:c r="O489" s="22">
        <s:f>'5'!F490</s:f>
        <s:v>46247.45590277778</s:v>
      </s:c>
      <s:c r="P489" s="22">
        <s:f>'6'!F490</s:f>
        <s:v>46247.43644675926</s:v>
      </s:c>
      <s:c r="Q489" s="22">
        <s:f>'7'!F490</s:f>
        <s:v>46247.4137962963</s:v>
      </s:c>
      <s:c r="R489" s="22">
        <s:f>'8'!F490</s:f>
        <s:v>46247.38960648148</s:v>
      </s:c>
      <s:c r="S489" s="22">
        <s:f>'9'!F490</s:f>
        <s:v>46247.37179398148</s:v>
      </s:c>
      <s:c r="T489" s="22">
        <s:f>'10'!F490</s:f>
        <s:v>46247.342569444445</s:v>
      </s:c>
      <s:c r="U489" s="23">
        <s:f>'자료구성'!$B$2</s:f>
        <s:v>46247.0</s:v>
      </s:c>
    </s:row>
    <s:row r="490">
      <s:c r="A490" s="0" t="n">
        <s:v>2055</s:v>
      </s:c>
      <s:c r="B490" s="0" t="n">
        <s:v>1356</s:v>
      </s:c>
      <s:c r="C490" s="0" t="n">
        <s:v>5962</s:v>
      </s:c>
      <s:c r="D490" s="0" t="n">
        <s:v>158</s:v>
      </s:c>
      <s:c r="E490" s="0" t="n">
        <s:v>1270</s:v>
      </s:c>
      <s:c r="F490" s="0" t="n">
        <s:v>4589</s:v>
      </s:c>
      <s:c r="G490" s="0" t="n">
        <s:v>2122</s:v>
      </s:c>
      <s:c r="H490" s="0" t="n">
        <s:v>5125</s:v>
      </s:c>
      <s:c r="I490" s="0" t="n">
        <s:v>2704</s:v>
      </s:c>
      <s:c r="J490" s="0" t="n">
        <s:v>1683</s:v>
      </s:c>
      <s:c r="K490" s="22">
        <s:f>'1'!F491</s:f>
        <s:v>46247.56582175926</s:v>
      </s:c>
      <s:c r="L490" s="22">
        <s:f>'2'!F491</s:f>
        <s:v>46247.54755787037</s:v>
      </s:c>
      <s:c r="M490" s="22">
        <s:f>'3'!F491</s:f>
        <s:v>46247.53015046296</s:v>
      </s:c>
      <s:c r="N490" s="22">
        <s:f>'4'!F491</s:f>
        <s:v>46247.48425925926</s:v>
      </s:c>
      <s:c r="O490" s="22">
        <s:f>'5'!F491</s:f>
        <s:v>46247.45591435185</s:v>
      </s:c>
      <s:c r="P490" s="22">
        <s:f>'6'!F491</s:f>
        <s:v>46247.43645833333</s:v>
      </s:c>
      <s:c r="Q490" s="22">
        <s:f>'7'!F491</s:f>
        <s:v>46247.41380787037</s:v>
      </s:c>
      <s:c r="R490" s="22">
        <s:f>'8'!F491</s:f>
        <s:v>46247.38961805555</s:v>
      </s:c>
      <s:c r="S490" s="22">
        <s:f>'9'!F491</s:f>
        <s:v>46247.37180555556</s:v>
      </s:c>
      <s:c r="T490" s="22">
        <s:f>'10'!F491</s:f>
        <s:v>46247.34258101852</s:v>
      </s:c>
      <s:c r="U490" s="23">
        <s:f>'자료구성'!$B$2</s:f>
        <s:v>46247.0</s:v>
      </s:c>
    </s:row>
    <s:row r="491">
      <s:c r="A491" s="0" t="n">
        <s:v>2085</s:v>
      </s:c>
      <s:c r="B491" s="0" t="n">
        <s:v>1380</s:v>
      </s:c>
      <s:c r="C491" s="0" t="n">
        <s:v>5811</s:v>
      </s:c>
      <s:c r="D491" s="0" t="n">
        <s:v>170</s:v>
      </s:c>
      <s:c r="E491" s="0" t="n">
        <s:v>1253</s:v>
      </s:c>
      <s:c r="F491" s="0" t="n">
        <s:v>4621</s:v>
      </s:c>
      <s:c r="G491" s="0" t="n">
        <s:v>2103</s:v>
      </s:c>
      <s:c r="H491" s="0" t="n">
        <s:v>5164</s:v>
      </s:c>
      <s:c r="I491" s="0" t="n">
        <s:v>2687</s:v>
      </s:c>
      <s:c r="J491" s="0" t="n">
        <s:v>1656</s:v>
      </s:c>
      <s:c r="K491" s="22">
        <s:f>'1'!F492</s:f>
        <s:v>46247.565833333334</s:v>
      </s:c>
      <s:c r="L491" s="22">
        <s:f>'2'!F492</s:f>
        <s:v>46247.54756944445</s:v>
      </s:c>
      <s:c r="M491" s="22">
        <s:f>'3'!F492</s:f>
        <s:v>46247.53016203704</s:v>
      </s:c>
      <s:c r="N491" s="22">
        <s:f>'4'!F492</s:f>
        <s:v>46247.48427083333</s:v>
      </s:c>
      <s:c r="O491" s="22">
        <s:f>'5'!F492</s:f>
        <s:v>46247.455925925926</s:v>
      </s:c>
      <s:c r="P491" s="22">
        <s:f>'6'!F492</s:f>
        <s:v>46247.43646990741</s:v>
      </s:c>
      <s:c r="Q491" s="22">
        <s:f>'7'!F492</s:f>
        <s:v>46247.413819444446</s:v>
      </s:c>
      <s:c r="R491" s="22">
        <s:f>'8'!F492</s:f>
        <s:v>46247.38962962963</s:v>
      </s:c>
      <s:c r="S491" s="22">
        <s:f>'9'!F492</s:f>
        <s:v>46247.37181712963</s:v>
      </s:c>
      <s:c r="T491" s="22">
        <s:f>'10'!F492</s:f>
        <s:v>46247.34259259259</s:v>
      </s:c>
      <s:c r="U491" s="23">
        <s:f>'자료구성'!$B$2</s:f>
        <s:v>46247.0</s:v>
      </s:c>
    </s:row>
    <s:row r="492">
      <s:c r="A492" s="0" t="n">
        <s:v>2094</s:v>
      </s:c>
      <s:c r="B492" s="0" t="n">
        <s:v>1395</s:v>
      </s:c>
      <s:c r="C492" s="0" t="n">
        <s:v>5680</s:v>
      </s:c>
      <s:c r="D492" s="0" t="n">
        <s:v>176</s:v>
      </s:c>
      <s:c r="E492" s="0" t="n">
        <s:v>1257</s:v>
      </s:c>
      <s:c r="F492" s="0" t="n">
        <s:v>4758</s:v>
      </s:c>
      <s:c r="G492" s="0" t="n">
        <s:v>2080</s:v>
      </s:c>
      <s:c r="H492" s="0" t="n">
        <s:v>5169</s:v>
      </s:c>
      <s:c r="I492" s="0" t="n">
        <s:v>2654</s:v>
      </s:c>
      <s:c r="J492" s="0" t="n">
        <s:v>1616</s:v>
      </s:c>
      <s:c r="K492" s="22">
        <s:f>'1'!F493</s:f>
        <s:v>46247.56584490741</s:v>
      </s:c>
      <s:c r="L492" s="22">
        <s:f>'2'!F493</s:f>
        <s:v>46247.547581018516</s:v>
      </s:c>
      <s:c r="M492" s="22">
        <s:f>'3'!F493</s:f>
        <s:v>46247.530173611114</s:v>
      </s:c>
      <s:c r="N492" s="22">
        <s:f>'4'!F493</s:f>
        <s:v>46247.48428240741</s:v>
      </s:c>
      <s:c r="O492" s="22">
        <s:f>'5'!F493</s:f>
        <s:v>46247.4559375</s:v>
      </s:c>
      <s:c r="P492" s="22">
        <s:f>'6'!F493</s:f>
        <s:v>46247.43648148148</s:v>
      </s:c>
      <s:c r="Q492" s="22">
        <s:f>'7'!F493</s:f>
        <s:v>46247.413831018515</s:v>
      </s:c>
      <s:c r="R492" s="22">
        <s:f>'8'!F493</s:f>
        <s:v>46247.38964120371</s:v>
      </s:c>
      <s:c r="S492" s="22">
        <s:f>'9'!F493</s:f>
        <s:v>46247.371828703705</s:v>
      </s:c>
      <s:c r="T492" s="22">
        <s:f>'10'!F493</s:f>
        <s:v>46247.34260416667</s:v>
      </s:c>
      <s:c r="U492" s="23">
        <s:f>'자료구성'!$B$2</s:f>
        <s:v>46247.0</s:v>
      </s:c>
    </s:row>
    <s:row r="493">
      <s:c r="A493" s="0" t="n">
        <s:v>2096</s:v>
      </s:c>
      <s:c r="B493" s="0" t="n">
        <s:v>1428</s:v>
      </s:c>
      <s:c r="C493" s="0" t="n">
        <s:v>5630</s:v>
      </s:c>
      <s:c r="D493" s="0" t="n">
        <s:v>186</s:v>
      </s:c>
      <s:c r="E493" s="0" t="n">
        <s:v>1289</s:v>
      </s:c>
      <s:c r="F493" s="0" t="n">
        <s:v>4853</s:v>
      </s:c>
      <s:c r="G493" s="0" t="n">
        <s:v>2067</s:v>
      </s:c>
      <s:c r="H493" s="0" t="n">
        <s:v>5153</s:v>
      </s:c>
      <s:c r="I493" s="0" t="n">
        <s:v>2595</s:v>
      </s:c>
      <s:c r="J493" s="0" t="n">
        <s:v>1592</s:v>
      </s:c>
      <s:c r="K493" s="22">
        <s:f>'1'!F494</s:f>
        <s:v>46247.56585648148</s:v>
      </s:c>
      <s:c r="L493" s="22">
        <s:f>'2'!F494</s:f>
        <s:v>46247.54759259259</s:v>
      </s:c>
      <s:c r="M493" s="22">
        <s:f>'3'!F494</s:f>
        <s:v>46247.530185185184</s:v>
      </s:c>
      <s:c r="N493" s="22">
        <s:f>'4'!F494</s:f>
        <s:v>46247.484293981484</s:v>
      </s:c>
      <s:c r="O493" s="22">
        <s:f>'5'!F494</s:f>
        <s:v>46247.45594907407</s:v>
      </s:c>
      <s:c r="P493" s="22">
        <s:f>'6'!F494</s:f>
        <s:v>46247.43649305555</s:v>
      </s:c>
      <s:c r="Q493" s="22">
        <s:f>'7'!F494</s:f>
        <s:v>46247.41384259259</s:v>
      </s:c>
      <s:c r="R493" s="22">
        <s:f>'8'!F494</s:f>
        <s:v>46247.389652777776</s:v>
      </s:c>
      <s:c r="S493" s="22">
        <s:f>'9'!F494</s:f>
        <s:v>46247.37184027778</s:v>
      </s:c>
      <s:c r="T493" s="22">
        <s:f>'10'!F494</s:f>
        <s:v>46247.34261574074</s:v>
      </s:c>
      <s:c r="U493" s="23">
        <s:f>'자료구성'!$B$2</s:f>
        <s:v>46247.0</s:v>
      </s:c>
    </s:row>
    <s:row r="494">
      <s:c r="A494" s="0" t="n">
        <s:v>2073</s:v>
      </s:c>
      <s:c r="B494" s="0" t="n">
        <s:v>1447</s:v>
      </s:c>
      <s:c r="C494" s="0" t="n">
        <s:v>5532</s:v>
      </s:c>
      <s:c r="D494" s="0" t="n">
        <s:v>188</s:v>
      </s:c>
      <s:c r="E494" s="0" t="n">
        <s:v>1300</s:v>
      </s:c>
      <s:c r="F494" s="0" t="n">
        <s:v>4924</s:v>
      </s:c>
      <s:c r="G494" s="0" t="n">
        <s:v>2058</s:v>
      </s:c>
      <s:c r="H494" s="0" t="n">
        <s:v>5129</s:v>
      </s:c>
      <s:c r="I494" s="0" t="n">
        <s:v>2561</s:v>
      </s:c>
      <s:c r="J494" s="0" t="n">
        <s:v>1572</s:v>
      </s:c>
      <s:c r="K494" s="22">
        <s:f>'1'!F495</s:f>
        <s:v>46247.56586805556</s:v>
      </s:c>
      <s:c r="L494" s="22">
        <s:f>'2'!F495</s:f>
        <s:v>46247.54760416667</s:v>
      </s:c>
      <s:c r="M494" s="22">
        <s:f>'3'!F495</s:f>
        <s:v>46247.53019675926</s:v>
      </s:c>
      <s:c r="N494" s="22">
        <s:f>'4'!F495</s:f>
        <s:v>46247.484305555554</s:v>
      </s:c>
      <s:c r="O494" s="22">
        <s:f>'5'!F495</s:f>
        <s:v>46247.45596064815</s:v>
      </s:c>
      <s:c r="P494" s="22">
        <s:f>'6'!F495</s:f>
        <s:v>46247.43650462963</s:v>
      </s:c>
      <s:c r="Q494" s="22">
        <s:f>'7'!F495</s:f>
        <s:v>46247.41385416667</s:v>
      </s:c>
      <s:c r="R494" s="22">
        <s:f>'8'!F495</s:f>
        <s:v>46247.38966435185</s:v>
      </s:c>
      <s:c r="S494" s="22">
        <s:f>'9'!F495</s:f>
        <s:v>46247.37185185185</s:v>
      </s:c>
      <s:c r="T494" s="22">
        <s:f>'10'!F495</s:f>
        <s:v>46247.342627314814</s:v>
      </s:c>
      <s:c r="U494" s="23">
        <s:f>'자료구성'!$B$2</s:f>
        <s:v>46247.0</s:v>
      </s:c>
    </s:row>
    <s:row r="495">
      <s:c r="A495" s="0" t="n">
        <s:v>2063</s:v>
      </s:c>
      <s:c r="B495" s="0" t="n">
        <s:v>1425</s:v>
      </s:c>
      <s:c r="C495" s="0" t="n">
        <s:v>5348</s:v>
      </s:c>
      <s:c r="D495" s="0" t="n">
        <s:v>183</s:v>
      </s:c>
      <s:c r="E495" s="0" t="n">
        <s:v>1308</s:v>
      </s:c>
      <s:c r="F495" s="0" t="n">
        <s:v>4888</s:v>
      </s:c>
      <s:c r="G495" s="0" t="n">
        <s:v>2041</s:v>
      </s:c>
      <s:c r="H495" s="0" t="n">
        <s:v>5168</s:v>
      </s:c>
      <s:c r="I495" s="0" t="n">
        <s:v>2532</s:v>
      </s:c>
      <s:c r="J495" s="0" t="n">
        <s:v>1583</s:v>
      </s:c>
      <s:c r="K495" s="22">
        <s:f>'1'!F496</s:f>
        <s:v>46247.56587962963</s:v>
      </s:c>
      <s:c r="L495" s="22">
        <s:f>'2'!F496</s:f>
        <s:v>46247.54761574074</s:v>
      </s:c>
      <s:c r="M495" s="22">
        <s:f>'3'!F496</s:f>
        <s:v>46247.53020833333</s:v>
      </s:c>
      <s:c r="N495" s="22">
        <s:f>'4'!F496</s:f>
        <s:v>46247.48431712963</s:v>
      </s:c>
      <s:c r="O495" s="22">
        <s:f>'5'!F496</s:f>
        <s:v>46247.455972222226</s:v>
      </s:c>
      <s:c r="P495" s="22">
        <s:f>'6'!F496</s:f>
        <s:v>46247.43651620371</s:v>
      </s:c>
      <s:c r="Q495" s="22">
        <s:f>'7'!F496</s:f>
        <s:v>46247.41386574074</s:v>
      </s:c>
      <s:c r="R495" s="22">
        <s:f>'8'!F496</s:f>
        <s:v>46247.38967592592</s:v>
      </s:c>
      <s:c r="S495" s="22">
        <s:f>'9'!F496</s:f>
        <s:v>46247.37186342593</s:v>
      </s:c>
      <s:c r="T495" s="22">
        <s:f>'10'!F496</s:f>
        <s:v>46247.34263888889</s:v>
      </s:c>
      <s:c r="U495" s="23">
        <s:f>'자료구성'!$B$2</s:f>
        <s:v>46247.0</s:v>
      </s:c>
    </s:row>
    <s:row r="496">
      <s:c r="A496" s="0" t="n">
        <s:v>2066</s:v>
      </s:c>
      <s:c r="B496" s="0" t="n">
        <s:v>1416</s:v>
      </s:c>
      <s:c r="C496" s="0" t="n">
        <s:v>5082</s:v>
      </s:c>
      <s:c r="D496" s="0" t="n">
        <s:v>184</s:v>
      </s:c>
      <s:c r="E496" s="0" t="n">
        <s:v>1327</s:v>
      </s:c>
      <s:c r="F496" s="0" t="n">
        <s:v>4897</s:v>
      </s:c>
      <s:c r="G496" s="0" t="n">
        <s:v>2029</s:v>
      </s:c>
      <s:c r="H496" s="0" t="n">
        <s:v>5203</s:v>
      </s:c>
      <s:c r="I496" s="0" t="n">
        <s:v>2529</s:v>
      </s:c>
      <s:c r="J496" s="0" t="n">
        <s:v>1528</s:v>
      </s:c>
      <s:c r="K496" s="22">
        <s:f>'1'!F497</s:f>
        <s:v>46247.5658912037</s:v>
      </s:c>
      <s:c r="L496" s="22">
        <s:f>'2'!F497</s:f>
        <s:v>46247.547627314816</s:v>
      </s:c>
      <s:c r="M496" s="22">
        <s:f>'3'!F497</s:f>
        <s:v>46247.53021990741</s:v>
      </s:c>
      <s:c r="N496" s="22">
        <s:f>'4'!F497</s:f>
        <s:v>46247.4843287037</s:v>
      </s:c>
      <s:c r="O496" s="22">
        <s:f>'5'!F497</s:f>
        <s:v>46247.455983796295</s:v>
      </s:c>
      <s:c r="P496" s="22">
        <s:f>'6'!F497</s:f>
        <s:v>46247.436527777776</s:v>
      </s:c>
      <s:c r="Q496" s="22">
        <s:f>'7'!F497</s:f>
        <s:v>46247.413877314815</s:v>
      </s:c>
      <s:c r="R496" s="22">
        <s:f>'8'!F497</s:f>
        <s:v>46247.3896875</s:v>
      </s:c>
      <s:c r="S496" s="22">
        <s:f>'9'!F497</s:f>
        <s:v>46247.371875</s:v>
      </s:c>
      <s:c r="T496" s="22">
        <s:f>'10'!F497</s:f>
        <s:v>46247.34265046296</s:v>
      </s:c>
      <s:c r="U496" s="23">
        <s:f>'자료구성'!$B$2</s:f>
        <s:v>46247.0</s:v>
      </s:c>
    </s:row>
    <s:row r="497">
      <s:c r="A497" s="0" t="n">
        <s:v>2094</s:v>
      </s:c>
      <s:c r="B497" s="0" t="n">
        <s:v>1421</s:v>
      </s:c>
      <s:c r="C497" s="0" t="n">
        <s:v>4887</s:v>
      </s:c>
      <s:c r="D497" s="0" t="n">
        <s:v>185</s:v>
      </s:c>
      <s:c r="E497" s="0" t="n">
        <s:v>1327</s:v>
      </s:c>
      <s:c r="F497" s="0" t="n">
        <s:v>4885</s:v>
      </s:c>
      <s:c r="G497" s="0" t="n">
        <s:v>2016</s:v>
      </s:c>
      <s:c r="H497" s="0" t="n">
        <s:v>5222</s:v>
      </s:c>
      <s:c r="I497" s="0" t="n">
        <s:v>2529</s:v>
      </s:c>
      <s:c r="J497" s="0" t="n">
        <s:v>1472</s:v>
      </s:c>
      <s:c r="K497" s="22">
        <s:f>'1'!F498</s:f>
        <s:v>46247.56590277778</s:v>
      </s:c>
      <s:c r="L497" s="22">
        <s:f>'2'!F498</s:f>
        <s:v>46247.547638888886</s:v>
      </s:c>
      <s:c r="M497" s="22">
        <s:f>'3'!F498</s:f>
        <s:v>46247.53023148148</s:v>
      </s:c>
      <s:c r="N497" s="22">
        <s:f>'4'!F498</s:f>
        <s:v>46247.48434027778</s:v>
      </s:c>
      <s:c r="O497" s="22">
        <s:f>'5'!F498</s:f>
        <s:v>46247.45599537037</s:v>
      </s:c>
      <s:c r="P497" s="22">
        <s:f>'6'!F498</s:f>
        <s:v>46247.43653935185</s:v>
      </s:c>
      <s:c r="Q497" s="22">
        <s:f>'7'!F498</s:f>
        <s:v>46247.41388888889</s:v>
      </s:c>
      <s:c r="R497" s="22">
        <s:f>'8'!F498</s:f>
        <s:v>46247.389699074076</s:v>
      </s:c>
      <s:c r="S497" s="22">
        <s:f>'9'!F498</s:f>
        <s:v>46247.371886574074</s:v>
      </s:c>
      <s:c r="T497" s="22">
        <s:f>'10'!F498</s:f>
        <s:v>46247.34266203704</s:v>
      </s:c>
      <s:c r="U497" s="23">
        <s:f>'자료구성'!$B$2</s:f>
        <s:v>46247.0</s:v>
      </s:c>
    </s:row>
    <s:row r="498">
      <s:c r="A498" s="0" t="n">
        <s:v>2098</s:v>
      </s:c>
      <s:c r="B498" s="0" t="n">
        <s:v>1446</s:v>
      </s:c>
      <s:c r="C498" s="0" t="n">
        <s:v>4701</s:v>
      </s:c>
      <s:c r="D498" s="0" t="n">
        <s:v>178</s:v>
      </s:c>
      <s:c r="E498" s="0" t="n">
        <s:v>1328</s:v>
      </s:c>
      <s:c r="F498" s="0" t="n">
        <s:v>4924</s:v>
      </s:c>
      <s:c r="G498" s="0" t="n">
        <s:v>2006</s:v>
      </s:c>
      <s:c r="H498" s="0" t="n">
        <s:v>5238</s:v>
      </s:c>
      <s:c r="I498" s="0" t="n">
        <s:v>2499</s:v>
      </s:c>
      <s:c r="J498" s="0" t="n">
        <s:v>1422</s:v>
      </s:c>
      <s:c r="K498" s="22">
        <s:f>'1'!F499</s:f>
        <s:v>46247.56591435185</s:v>
      </s:c>
      <s:c r="L498" s="22">
        <s:f>'2'!F499</s:f>
        <s:v>46247.54765046296</s:v>
      </s:c>
      <s:c r="M498" s="22">
        <s:f>'3'!F499</s:f>
        <s:v>46247.53024305555</s:v>
      </s:c>
      <s:c r="N498" s="22">
        <s:f>'4'!F499</s:f>
        <s:v>46247.484351851854</s:v>
      </s:c>
      <s:c r="O498" s="22">
        <s:f>'5'!F499</s:f>
        <s:v>46247.45600694444</s:v>
      </s:c>
      <s:c r="P498" s="22">
        <s:f>'6'!F499</s:f>
        <s:v>46247.43655092592</s:v>
      </s:c>
      <s:c r="Q498" s="22">
        <s:f>'7'!F499</s:f>
        <s:v>46247.41390046296</s:v>
      </s:c>
      <s:c r="R498" s="22">
        <s:f>'8'!F499</s:f>
        <s:v>46247.389710648145</s:v>
      </s:c>
      <s:c r="S498" s="22">
        <s:f>'9'!F499</s:f>
        <s:v>46247.37189814815</s:v>
      </s:c>
      <s:c r="T498" s="22">
        <s:f>'10'!F499</s:f>
        <s:v>46247.342673611114</s:v>
      </s:c>
      <s:c r="U498" s="23">
        <s:f>'자료구성'!$B$2</s:f>
        <s:v>46247.0</s:v>
      </s:c>
    </s:row>
    <s:row r="499">
      <s:c r="A499" s="0" t="n">
        <s:v>2073</s:v>
      </s:c>
      <s:c r="B499" s="0" t="n">
        <s:v>1455</s:v>
      </s:c>
      <s:c r="C499" s="0" t="n">
        <s:v>4590</s:v>
      </s:c>
      <s:c r="D499" s="0" t="n">
        <s:v>173</s:v>
      </s:c>
      <s:c r="E499" s="0" t="n">
        <s:v>1329</s:v>
      </s:c>
      <s:c r="F499" s="0" t="n">
        <s:v>4871</s:v>
      </s:c>
      <s:c r="G499" s="0" t="n">
        <s:v>1966</s:v>
      </s:c>
      <s:c r="H499" s="0" t="n">
        <s:v>5258</s:v>
      </s:c>
      <s:c r="I499" s="0" t="n">
        <s:v>2491</s:v>
      </s:c>
      <s:c r="J499" s="0" t="n">
        <s:v>1395</s:v>
      </s:c>
      <s:c r="K499" s="22">
        <s:f>'1'!F500</s:f>
        <s:v>46247.56592592593</s:v>
      </s:c>
      <s:c r="L499" s="22">
        <s:f>'2'!F500</s:f>
        <s:v>46247.54766203704</s:v>
      </s:c>
      <s:c r="M499" s="22">
        <s:f>'3'!F500</s:f>
        <s:v>46247.53025462963</s:v>
      </s:c>
      <s:c r="N499" s="22">
        <s:f>'4'!F500</s:f>
        <s:v>46247.48436342592</s:v>
      </s:c>
      <s:c r="O499" s="22">
        <s:f>'5'!F500</s:f>
        <s:v>46247.45601851852</s:v>
      </s:c>
      <s:c r="P499" s="22">
        <s:f>'6'!F500</s:f>
        <s:v>46247.4365625</s:v>
      </s:c>
      <s:c r="Q499" s="22">
        <s:f>'7'!F500</s:f>
        <s:v>46247.41391203704</s:v>
      </s:c>
      <s:c r="R499" s="22">
        <s:f>'8'!F500</s:f>
        <s:v>46247.38972222222</s:v>
      </s:c>
      <s:c r="S499" s="22">
        <s:f>'9'!F500</s:f>
        <s:v>46247.37190972222</s:v>
      </s:c>
      <s:c r="T499" s="22">
        <s:f>'10'!F500</s:f>
        <s:v>46247.342685185184</s:v>
      </s:c>
      <s:c r="U499" s="23">
        <s:f>'자료구성'!$B$2</s:f>
        <s:v>46247.0</s:v>
      </s:c>
    </s:row>
    <s:row r="500">
      <s:c r="A500" s="0" t="n">
        <s:v>2047</s:v>
      </s:c>
      <s:c r="B500" s="0" t="n">
        <s:v>1458</s:v>
      </s:c>
      <s:c r="C500" s="0" t="n">
        <s:v>4519</s:v>
      </s:c>
      <s:c r="D500" s="0" t="n">
        <s:v>172</s:v>
      </s:c>
      <s:c r="E500" s="0" t="n">
        <s:v>1345</s:v>
      </s:c>
      <s:c r="F500" s="0" t="n">
        <s:v>4742</s:v>
      </s:c>
      <s:c r="G500" s="0" t="n">
        <s:v>1958</s:v>
      </s:c>
      <s:c r="H500" s="0" t="n">
        <s:v>5287</s:v>
      </s:c>
      <s:c r="I500" s="0" t="n">
        <s:v>2474</s:v>
      </s:c>
      <s:c r="J500" s="0" t="n">
        <s:v>1394</s:v>
      </s:c>
      <s:c r="K500" s="22">
        <s:f>'1'!F501</s:f>
        <s:v>46247.5659375</s:v>
      </s:c>
      <s:c r="L500" s="22">
        <s:f>'2'!F501</s:f>
        <s:v>46247.54767361111</s:v>
      </s:c>
      <s:c r="M500" s="22">
        <s:f>'3'!F501</s:f>
        <s:v>46247.53026620371</s:v>
      </s:c>
      <s:c r="N500" s="22">
        <s:f>'4'!F501</s:f>
        <s:v>46247.484375</s:v>
      </s:c>
      <s:c r="O500" s="22">
        <s:f>'5'!F501</s:f>
        <s:v>46247.456030092595</s:v>
      </s:c>
      <s:c r="P500" s="22">
        <s:f>'6'!F501</s:f>
        <s:v>46247.436574074076</s:v>
      </s:c>
      <s:c r="Q500" s="22">
        <s:f>'7'!F501</s:f>
        <s:v>46247.41392361111</s:v>
      </s:c>
      <s:c r="R500" s="22">
        <s:f>'8'!F501</s:f>
        <s:v>46247.3897337963</s:v>
      </s:c>
      <s:c r="S500" s="22">
        <s:f>'9'!F501</s:f>
        <s:v>46247.3719212963</s:v>
      </s:c>
      <s:c r="T500" s="22">
        <s:f>'10'!F501</s:f>
        <s:v>46247.34269675926</s:v>
      </s:c>
      <s:c r="U500" s="23">
        <s:f>'자료구성'!$B$2</s:f>
        <s:v>46247.0</s:v>
      </s:c>
    </s:row>
    <s:row r="501">
      <s:c r="A501" s="0" t="n">
        <s:v>2048</s:v>
      </s:c>
      <s:c r="B501" s="0" t="n">
        <s:v>1445</s:v>
      </s:c>
      <s:c r="C501" s="0" t="n">
        <s:v>4477</s:v>
      </s:c>
      <s:c r="D501" s="0" t="n">
        <s:v>174</s:v>
      </s:c>
      <s:c r="E501" s="0" t="n">
        <s:v>1359</s:v>
      </s:c>
      <s:c r="F501" s="0" t="n">
        <s:v>4572</s:v>
      </s:c>
      <s:c r="G501" s="0" t="n">
        <s:v>1940</s:v>
      </s:c>
      <s:c r="H501" s="0" t="n">
        <s:v>5301</s:v>
      </s:c>
      <s:c r="I501" s="0" t="n">
        <s:v>2464</s:v>
      </s:c>
      <s:c r="J501" s="0" t="n">
        <s:v>1362</s:v>
      </s:c>
      <s:c r="K501" s="22">
        <s:f>'1'!F502</s:f>
        <s:v>46247.56594907407</s:v>
      </s:c>
      <s:c r="L501" s="22">
        <s:f>'2'!F502</s:f>
        <s:v>46247.547685185185</s:v>
      </s:c>
      <s:c r="M501" s="22">
        <s:f>'3'!F502</s:f>
        <s:v>46247.530277777776</s:v>
      </s:c>
      <s:c r="N501" s="22">
        <s:f>'4'!F502</s:f>
        <s:v>46247.48438657408</s:v>
      </s:c>
      <s:c r="O501" s="22">
        <s:f>'5'!F502</s:f>
        <s:v>46247.456041666665</s:v>
      </s:c>
      <s:c r="P501" s="22">
        <s:f>'6'!F502</s:f>
        <s:v>46247.436585648145</s:v>
      </s:c>
      <s:c r="Q501" s="22">
        <s:f>'7'!F502</s:f>
        <s:v>46247.413935185185</s:v>
      </s:c>
      <s:c r="R501" s="22">
        <s:f>'8'!F502</s:f>
        <s:v>46247.38974537037</s:v>
      </s:c>
      <s:c r="S501" s="22">
        <s:f>'9'!F502</s:f>
        <s:v>46247.371932870374</s:v>
      </s:c>
      <s:c r="T501" s="22">
        <s:f>'10'!F502</s:f>
        <s:v>46247.34270833333</s:v>
      </s:c>
      <s:c r="U501" s="23">
        <s:f>'자료구성'!$B$2</s:f>
        <s:v>46247.0</s:v>
      </s:c>
    </s:row>
    <s:row r="502">
      <s:c r="A502" s="0" t="n">
        <s:v>2052</s:v>
      </s:c>
      <s:c r="B502" s="0" t="n">
        <s:v>1503</s:v>
      </s:c>
      <s:c r="C502" s="0" t="n">
        <s:v>4522</s:v>
      </s:c>
      <s:c r="D502" s="0" t="n">
        <s:v>169</s:v>
      </s:c>
      <s:c r="E502" s="0" t="n">
        <s:v>1367</s:v>
      </s:c>
      <s:c r="F502" s="0" t="n">
        <s:v>4509</s:v>
      </s:c>
      <s:c r="G502" s="0" t="n">
        <s:v>1922</s:v>
      </s:c>
      <s:c r="H502" s="0" t="n">
        <s:v>5310</s:v>
      </s:c>
      <s:c r="I502" s="0" t="n">
        <s:v>2408</s:v>
      </s:c>
      <s:c r="J502" s="0" t="n">
        <s:v>1321</s:v>
      </s:c>
      <s:c r="K502" s="22">
        <s:f>'1'!F503</s:f>
        <s:v>46247.56596064815</s:v>
      </s:c>
      <s:c r="L502" s="22">
        <s:f>'2'!F503</s:f>
        <s:v>46247.54769675926</s:v>
      </s:c>
      <s:c r="M502" s="22">
        <s:f>'3'!F503</s:f>
        <s:v>46247.53028935185</s:v>
      </s:c>
      <s:c r="N502" s="22">
        <s:f>'4'!F503</s:f>
        <s:v>46247.484398148146</s:v>
      </s:c>
      <s:c r="O502" s="22">
        <s:f>'5'!F503</s:f>
        <s:v>46247.45605324074</s:v>
      </s:c>
      <s:c r="P502" s="22">
        <s:f>'6'!F503</s:f>
        <s:v>46247.43659722222</s:v>
      </s:c>
      <s:c r="Q502" s="22">
        <s:f>'7'!F503</s:f>
        <s:v>46247.41394675926</s:v>
      </s:c>
      <s:c r="R502" s="22">
        <s:f>'8'!F503</s:f>
        <s:v>46247.389756944445</s:v>
      </s:c>
      <s:c r="S502" s="22">
        <s:f>'9'!F503</s:f>
        <s:v>46247.37194444444</s:v>
      </s:c>
      <s:c r="T502" s="22">
        <s:f>'10'!F503</s:f>
        <s:v>46247.34271990741</s:v>
      </s:c>
      <s:c r="U502" s="23">
        <s:f>'자료구성'!$B$2</s:f>
        <s:v>46247.0</s:v>
      </s:c>
    </s:row>
    <s:row r="503">
      <s:c r="A503" s="0" t="n">
        <s:v>2068</s:v>
      </s:c>
      <s:c r="B503" s="0" t="n">
        <s:v>1543</s:v>
      </s:c>
      <s:c r="C503" s="0" t="n">
        <s:v>4538</s:v>
      </s:c>
      <s:c r="D503" s="0" t="n">
        <s:v>167</s:v>
      </s:c>
      <s:c r="E503" s="0" t="n">
        <s:v>1386</s:v>
      </s:c>
      <s:c r="F503" s="0" t="n">
        <s:v>4430</s:v>
      </s:c>
      <s:c r="G503" s="0" t="n">
        <s:v>1918</s:v>
      </s:c>
      <s:c r="H503" s="0" t="n">
        <s:v>5354</s:v>
      </s:c>
      <s:c r="I503" s="0" t="n">
        <s:v>2321</s:v>
      </s:c>
      <s:c r="J503" s="0" t="n">
        <s:v>1287</s:v>
      </s:c>
      <s:c r="K503" s="22">
        <s:f>'1'!F504</s:f>
        <s:v>46247.56597222222</s:v>
      </s:c>
      <s:c r="L503" s="22">
        <s:f>'2'!F504</s:f>
        <s:v>46247.54770833333</s:v>
      </s:c>
      <s:c r="M503" s="22">
        <s:f>'3'!F504</s:f>
        <s:v>46247.53030092592</s:v>
      </s:c>
      <s:c r="N503" s="22">
        <s:f>'4'!F504</s:f>
        <s:v>46247.48440972222</s:v>
      </s:c>
      <s:c r="O503" s="22">
        <s:f>'5'!F504</s:f>
        <s:v>46247.45606481482</s:v>
      </s:c>
      <s:c r="P503" s="22">
        <s:f>'6'!F504</s:f>
        <s:v>46247.4366087963</s:v>
      </s:c>
      <s:c r="Q503" s="22">
        <s:f>'7'!F504</s:f>
        <s:v>46247.41395833333</s:v>
      </s:c>
      <s:c r="R503" s="22">
        <s:f>'8'!F504</s:f>
        <s:v>46247.38976851852</s:v>
      </s:c>
      <s:c r="S503" s="22">
        <s:f>'9'!F504</s:f>
        <s:v>46247.37195601852</s:v>
      </s:c>
      <s:c r="T503" s="22">
        <s:f>'10'!F504</s:f>
        <s:v>46247.34273148148</s:v>
      </s:c>
      <s:c r="U503" s="23">
        <s:f>'자료구성'!$B$2</s:f>
        <s:v>46247.0</s:v>
      </s:c>
    </s:row>
    <s:row r="504">
      <s:c r="A504" s="0" t="n">
        <s:v>2076</s:v>
      </s:c>
      <s:c r="B504" s="0" t="n">
        <s:v>1524</s:v>
      </s:c>
      <s:c r="C504" s="0" t="n">
        <s:v>4615</s:v>
      </s:c>
      <s:c r="D504" s="0" t="n">
        <s:v>156</s:v>
      </s:c>
      <s:c r="E504" s="0" t="n">
        <s:v>1392</s:v>
      </s:c>
      <s:c r="F504" s="0" t="n">
        <s:v>4339</s:v>
      </s:c>
      <s:c r="G504" s="0" t="n">
        <s:v>1907</s:v>
      </s:c>
      <s:c r="H504" s="0" t="n">
        <s:v>5400</s:v>
      </s:c>
      <s:c r="I504" s="0" t="n">
        <s:v>2184</s:v>
      </s:c>
      <s:c r="J504" s="0" t="n">
        <s:v>1279</s:v>
      </s:c>
      <s:c r="K504" s="22">
        <s:f>'1'!F505</s:f>
        <s:v>46247.565983796296</s:v>
      </s:c>
      <s:c r="L504" s="22">
        <s:f>'2'!F505</s:f>
        <s:v>46247.54771990741</s:v>
      </s:c>
      <s:c r="M504" s="22">
        <s:f>'3'!F505</s:f>
        <s:v>46247.5303125</s:v>
      </s:c>
      <s:c r="N504" s="22">
        <s:f>'4'!F505</s:f>
        <s:v>46247.4844212963</s:v>
      </s:c>
      <s:c r="O504" s="22">
        <s:f>'5'!F505</s:f>
        <s:v>46247.45607638889</s:v>
      </s:c>
      <s:c r="P504" s="22">
        <s:f>'6'!F505</s:f>
        <s:v>46247.43662037037</s:v>
      </s:c>
      <s:c r="Q504" s="22">
        <s:f>'7'!F505</s:f>
        <s:v>46247.41396990741</s:v>
      </s:c>
      <s:c r="R504" s="22">
        <s:f>'8'!F505</s:f>
        <s:v>46247.38978009259</s:v>
      </s:c>
      <s:c r="S504" s="22">
        <s:f>'9'!F505</s:f>
        <s:v>46247.37196759259</s:v>
      </s:c>
      <s:c r="T504" s="22">
        <s:f>'10'!F505</s:f>
        <s:v>46247.34274305555</s:v>
      </s:c>
      <s:c r="U504" s="23">
        <s:f>'자료구성'!$B$2</s:f>
        <s:v>46247.0</s:v>
      </s:c>
    </s:row>
    <s:row r="505">
      <s:c r="A505" s="0" t="n">
        <s:v>2095</s:v>
      </s:c>
      <s:c r="B505" s="0" t="n">
        <s:v>1571</s:v>
      </s:c>
      <s:c r="C505" s="0" t="n">
        <s:v>4633</s:v>
      </s:c>
      <s:c r="D505" s="0" t="n">
        <s:v>110</s:v>
      </s:c>
      <s:c r="E505" s="0" t="n">
        <s:v>1402</s:v>
      </s:c>
      <s:c r="F505" s="0" t="n">
        <s:v>4340</s:v>
      </s:c>
      <s:c r="G505" s="0" t="n">
        <s:v>1861</s:v>
      </s:c>
      <s:c r="H505" s="0" t="n">
        <s:v>5437</s:v>
      </s:c>
      <s:c r="I505" s="0" t="n">
        <s:v>2156</s:v>
      </s:c>
      <s:c r="J505" s="0" t="n">
        <s:v>1290</s:v>
      </s:c>
      <s:c r="K505" s="22">
        <s:f>'1'!F506</s:f>
        <s:v>46247.56599537037</s:v>
      </s:c>
      <s:c r="L505" s="22">
        <s:f>'2'!F506</s:f>
        <s:v>46247.54773148148</s:v>
      </s:c>
      <s:c r="M505" s="22">
        <s:f>'3'!F506</s:f>
        <s:v>46247.530324074076</s:v>
      </s:c>
      <s:c r="N505" s="22">
        <s:f>'4'!F506</s:f>
        <s:v>46247.48443287037</s:v>
      </s:c>
      <s:c r="O505" s="22">
        <s:f>'5'!F506</s:f>
        <s:v>46247.456087962964</s:v>
      </s:c>
      <s:c r="P505" s="22">
        <s:f>'6'!F506</s:f>
        <s:v>46247.436631944445</s:v>
      </s:c>
      <s:c r="Q505" s="22">
        <s:f>'7'!F506</s:f>
        <s:v>46247.413981481484</s:v>
      </s:c>
      <s:c r="R505" s="22">
        <s:f>'8'!F506</s:f>
        <s:v>46247.38979166667</s:v>
      </s:c>
      <s:c r="S505" s="22">
        <s:f>'9'!F506</s:f>
        <s:v>46247.371979166666</s:v>
      </s:c>
      <s:c r="T505" s="22">
        <s:f>'10'!F506</s:f>
        <s:v>46247.34275462963</s:v>
      </s:c>
      <s:c r="U505" s="23">
        <s:f>'자료구성'!$B$2</s:f>
        <s:v>46247.0</s:v>
      </s:c>
    </s:row>
    <s:row r="506">
      <s:c r="A506" s="0" t="n">
        <s:v>2118</s:v>
      </s:c>
      <s:c r="B506" s="0" t="n">
        <s:v>1646</s:v>
      </s:c>
      <s:c r="C506" s="0" t="n">
        <s:v>4598</s:v>
      </s:c>
      <s:c r="D506" s="0" t="n">
        <s:v>53</s:v>
      </s:c>
      <s:c r="E506" s="0" t="n">
        <s:v>1422</s:v>
      </s:c>
      <s:c r="F506" s="0" t="n">
        <s:v>4318</s:v>
      </s:c>
      <s:c r="G506" s="0" t="n">
        <s:v>1847</s:v>
      </s:c>
      <s:c r="H506" s="0" t="n">
        <s:v>5465</s:v>
      </s:c>
      <s:c r="I506" s="0" t="n">
        <s:v>2131</s:v>
      </s:c>
      <s:c r="J506" s="0" t="n">
        <s:v>1308</s:v>
      </s:c>
      <s:c r="K506" s="22">
        <s:f>'1'!F507</s:f>
        <s:v>46247.56600694444</s:v>
      </s:c>
      <s:c r="L506" s="22">
        <s:f>'2'!F507</s:f>
        <s:v>46247.547743055555</s:v>
      </s:c>
      <s:c r="M506" s="22">
        <s:f>'3'!F507</s:f>
        <s:v>46247.530335648145</s:v>
      </s:c>
      <s:c r="N506" s="22">
        <s:f>'4'!F507</s:f>
        <s:v>46247.484444444446</s:v>
      </s:c>
      <s:c r="O506" s="22">
        <s:f>'5'!F507</s:f>
        <s:v>46247.456099537034</s:v>
      </s:c>
      <s:c r="P506" s="22">
        <s:f>'6'!F507</s:f>
        <s:v>46247.43664351852</s:v>
      </s:c>
      <s:c r="Q506" s="22">
        <s:f>'7'!F507</s:f>
        <s:v>46247.413993055554</s:v>
      </s:c>
      <s:c r="R506" s="22">
        <s:f>'8'!F507</s:f>
        <s:v>46247.38980324074</s:v>
      </s:c>
      <s:c r="S506" s="22">
        <s:f>'9'!F507</s:f>
        <s:v>46247.37199074074</s:v>
      </s:c>
      <s:c r="T506" s="22">
        <s:f>'10'!F507</s:f>
        <s:v>46247.34276620371</s:v>
      </s:c>
      <s:c r="U506" s="23">
        <s:f>'자료구성'!$B$2</s:f>
        <s:v>46247.0</s:v>
      </s:c>
    </s:row>
    <s:row r="507">
      <s:c r="A507" s="0" t="n">
        <s:v>2136</s:v>
      </s:c>
      <s:c r="B507" s="0" t="n">
        <s:v>1760</s:v>
      </s:c>
      <s:c r="C507" s="0" t="n">
        <s:v>4534</s:v>
      </s:c>
      <s:c r="D507" s="0" t="n">
        <s:v>995</s:v>
      </s:c>
      <s:c r="E507" s="0" t="n">
        <s:v>1454</s:v>
      </s:c>
      <s:c r="F507" s="0" t="n">
        <s:v>4160</s:v>
      </s:c>
      <s:c r="G507" s="0" t="n">
        <s:v>1815</s:v>
      </s:c>
      <s:c r="H507" s="0" t="n">
        <s:v>5504</s:v>
      </s:c>
      <s:c r="I507" s="0" t="n">
        <s:v>2116</s:v>
      </s:c>
      <s:c r="J507" s="0" t="n">
        <s:v>1320</s:v>
      </s:c>
      <s:c r="K507" s="22">
        <s:f>'1'!F508</s:f>
        <s:v>46247.56601851852</s:v>
      </s:c>
      <s:c r="L507" s="22">
        <s:f>'2'!F508</s:f>
        <s:v>46247.54775462963</s:v>
      </s:c>
      <s:c r="M507" s="22">
        <s:f>'3'!F508</s:f>
        <s:v>46247.53034722222</s:v>
      </s:c>
      <s:c r="N507" s="22">
        <s:f>'4'!F508</s:f>
        <s:v>46247.484456018516</s:v>
      </s:c>
      <s:c r="O507" s="22">
        <s:f>'5'!F508</s:f>
        <s:v>46247.45611111111</s:v>
      </s:c>
      <s:c r="P507" s="22">
        <s:f>'6'!F508</s:f>
        <s:v>46247.43665509259</s:v>
      </s:c>
      <s:c r="Q507" s="22">
        <s:f>'7'!F508</s:f>
        <s:v>46247.41400462963</s:v>
      </s:c>
      <s:c r="R507" s="22">
        <s:f>'8'!F508</s:f>
        <s:v>46247.389814814815</s:v>
      </s:c>
      <s:c r="S507" s="22">
        <s:f>'9'!F508</s:f>
        <s:v>46247.37200231481</s:v>
      </s:c>
      <s:c r="T507" s="22">
        <s:f>'10'!F508</s:f>
        <s:v>46247.342777777776</s:v>
      </s:c>
      <s:c r="U507" s="23">
        <s:f>'자료구성'!$B$2</s:f>
        <s:v>46247.0</s:v>
      </s:c>
    </s:row>
    <s:row r="508">
      <s:c r="A508" s="0" t="n">
        <s:v>2125</s:v>
      </s:c>
      <s:c r="B508" s="0" t="n">
        <s:v>1872</s:v>
      </s:c>
      <s:c r="C508" s="0" t="n">
        <s:v>4512</s:v>
      </s:c>
      <s:c r="D508" s="0" t="n">
        <s:v>978</s:v>
      </s:c>
      <s:c r="E508" s="0" t="n">
        <s:v>1461</s:v>
      </s:c>
      <s:c r="F508" s="0" t="n">
        <s:v>4036</s:v>
      </s:c>
      <s:c r="G508" s="0" t="n">
        <s:v>1765</s:v>
      </s:c>
      <s:c r="H508" s="0" t="n">
        <s:v>5521</s:v>
      </s:c>
      <s:c r="I508" s="0" t="n">
        <s:v>2126</s:v>
      </s:c>
      <s:c r="J508" s="0" t="n">
        <s:v>1335</s:v>
      </s:c>
      <s:c r="K508" s="22">
        <s:f>'1'!F509</s:f>
        <s:v>46247.566030092596</s:v>
      </s:c>
      <s:c r="L508" s="22">
        <s:f>'2'!F509</s:f>
        <s:v>46247.5477662037</s:v>
      </s:c>
      <s:c r="M508" s="22">
        <s:f>'3'!F509</s:f>
        <s:v>46247.5303587963</s:v>
      </s:c>
      <s:c r="N508" s="22">
        <s:f>'4'!F509</s:f>
        <s:v>46247.48446759259</s:v>
      </s:c>
      <s:c r="O508" s="22">
        <s:f>'5'!F509</s:f>
        <s:v>46247.45612268519</s:v>
      </s:c>
      <s:c r="P508" s="22">
        <s:f>'6'!F509</s:f>
        <s:v>46247.43666666667</s:v>
      </s:c>
      <s:c r="Q508" s="22">
        <s:f>'7'!F509</s:f>
        <s:v>46247.4140162037</s:v>
      </s:c>
      <s:c r="R508" s="22">
        <s:f>'8'!F509</s:f>
        <s:v>46247.38982638889</s:v>
      </s:c>
      <s:c r="S508" s="22">
        <s:f>'9'!F509</s:f>
        <s:v>46247.37201388889</s:v>
      </s:c>
      <s:c r="T508" s="22">
        <s:f>'10'!F509</s:f>
        <s:v>46247.34278935185</s:v>
      </s:c>
      <s:c r="U508" s="23">
        <s:f>'자료구성'!$B$2</s:f>
        <s:v>46247.0</s:v>
      </s:c>
    </s:row>
    <s:row r="509">
      <s:c r="A509" s="0" t="n">
        <s:v>2100</s:v>
      </s:c>
      <s:c r="B509" s="0" t="n">
        <s:v>1960</s:v>
      </s:c>
      <s:c r="C509" s="0" t="n">
        <s:v>4453</s:v>
      </s:c>
      <s:c r="D509" s="0" t="n">
        <s:v>975</s:v>
      </s:c>
      <s:c r="E509" s="0" t="n">
        <s:v>1459</s:v>
      </s:c>
      <s:c r="F509" s="0" t="n">
        <s:v>3955</s:v>
      </s:c>
      <s:c r="G509" s="0" t="n">
        <s:v>1727</s:v>
      </s:c>
      <s:c r="H509" s="0" t="n">
        <s:v>5515</s:v>
      </s:c>
      <s:c r="I509" s="0" t="n">
        <s:v>2168</s:v>
      </s:c>
      <s:c r="J509" s="0" t="n">
        <s:v>1351</s:v>
      </s:c>
      <s:c r="K509" s="22">
        <s:f>'1'!F510</s:f>
        <s:v>46247.566041666665</s:v>
      </s:c>
      <s:c r="L509" s="22">
        <s:f>'2'!F510</s:f>
        <s:v>46247.54777777778</s:v>
      </s:c>
      <s:c r="M509" s="22">
        <s:f>'3'!F510</s:f>
        <s:v>46247.53037037037</s:v>
      </s:c>
      <s:c r="N509" s="22">
        <s:f>'4'!F510</s:f>
        <s:v>46247.48447916667</s:v>
      </s:c>
      <s:c r="O509" s="22">
        <s:f>'5'!F510</s:f>
        <s:v>46247.45613425926</s:v>
      </s:c>
      <s:c r="P509" s="22">
        <s:f>'6'!F510</s:f>
        <s:v>46247.43667824074</s:v>
      </s:c>
      <s:c r="Q509" s="22">
        <s:f>'7'!F510</s:f>
        <s:v>46247.41402777778</s:v>
      </s:c>
      <s:c r="R509" s="22">
        <s:f>'8'!F510</s:f>
        <s:v>46247.38983796296</s:v>
      </s:c>
      <s:c r="S509" s="22">
        <s:f>'9'!F510</s:f>
        <s:v>46247.372025462966</s:v>
      </s:c>
      <s:c r="T509" s="22">
        <s:f>'10'!F510</s:f>
        <s:v>46247.34280092592</s:v>
      </s:c>
      <s:c r="U509" s="23">
        <s:f>'자료구성'!$B$2</s:f>
        <s:v>46247.0</s:v>
      </s:c>
    </s:row>
    <s:row r="510">
      <s:c r="A510" s="0" t="n">
        <s:v>2101</s:v>
      </s:c>
      <s:c r="B510" s="0" t="n">
        <s:v>1983</s:v>
      </s:c>
      <s:c r="C510" s="0" t="n">
        <s:v>4400</s:v>
      </s:c>
      <s:c r="D510" s="0" t="n">
        <s:v>991</s:v>
      </s:c>
      <s:c r="E510" s="0" t="n">
        <s:v>1463</s:v>
      </s:c>
      <s:c r="F510" s="0" t="n">
        <s:v>3899</s:v>
      </s:c>
      <s:c r="G510" s="0" t="n">
        <s:v>1753</s:v>
      </s:c>
      <s:c r="H510" s="0" t="n">
        <s:v>5508</s:v>
      </s:c>
      <s:c r="I510" s="0" t="n">
        <s:v>2174</s:v>
      </s:c>
      <s:c r="J510" s="0" t="n">
        <s:v>1350</s:v>
      </s:c>
      <s:c r="K510" s="22">
        <s:f>'1'!F511</s:f>
        <s:v>46247.56605324074</s:v>
      </s:c>
      <s:c r="L510" s="22">
        <s:f>'2'!F511</s:f>
        <s:v>46247.547789351855</s:v>
      </s:c>
      <s:c r="M510" s="22">
        <s:f>'3'!F511</s:f>
        <s:v>46247.530381944445</s:v>
      </s:c>
      <s:c r="N510" s="22">
        <s:f>'4'!F511</s:f>
        <s:v>46247.48449074074</s:v>
      </s:c>
      <s:c r="O510" s="22">
        <s:f>'5'!F511</s:f>
        <s:v>46247.456145833334</s:v>
      </s:c>
      <s:c r="P510" s="22">
        <s:f>'6'!F511</s:f>
        <s:v>46247.436689814815</s:v>
      </s:c>
      <s:c r="Q510" s="22">
        <s:f>'7'!F511</s:f>
        <s:v>46247.414039351854</s:v>
      </s:c>
      <s:c r="R510" s="22">
        <s:f>'8'!F511</s:f>
        <s:v>46247.38984953704</s:v>
      </s:c>
      <s:c r="S510" s="22">
        <s:f>'9'!F511</s:f>
        <s:v>46247.372037037036</s:v>
      </s:c>
      <s:c r="T510" s="22">
        <s:f>'10'!F511</s:f>
        <s:v>46247.3428125</s:v>
      </s:c>
      <s:c r="U510" s="23">
        <s:f>'자료구성'!$B$2</s:f>
        <s:v>46247.0</s:v>
      </s:c>
    </s:row>
    <s:row r="511">
      <s:c r="A511" s="0" t="n">
        <s:v>2086</s:v>
      </s:c>
      <s:c r="B511" s="0" t="n">
        <s:v>1972</s:v>
      </s:c>
      <s:c r="C511" s="0" t="n">
        <s:v>4354</s:v>
      </s:c>
      <s:c r="D511" s="0" t="n">
        <s:v>996</s:v>
      </s:c>
      <s:c r="E511" s="0" t="n">
        <s:v>1473</s:v>
      </s:c>
      <s:c r="F511" s="0" t="n">
        <s:v>3824</s:v>
      </s:c>
      <s:c r="G511" s="0" t="n">
        <s:v>1765</s:v>
      </s:c>
      <s:c r="H511" s="0" t="n">
        <s:v>5494</s:v>
      </s:c>
      <s:c r="I511" s="0" t="n">
        <s:v>2193</s:v>
      </s:c>
      <s:c r="J511" s="0" t="n">
        <s:v>1353</s:v>
      </s:c>
      <s:c r="K511" s="22">
        <s:f>'1'!F512</s:f>
        <s:v>46247.56606481481</s:v>
      </s:c>
      <s:c r="L511" s="22">
        <s:f>'2'!F512</s:f>
        <s:v>46247.547800925924</s:v>
      </s:c>
      <s:c r="M511" s="22">
        <s:f>'3'!F512</s:f>
        <s:v>46247.53039351852</s:v>
      </s:c>
      <s:c r="N511" s="22">
        <s:f>'4'!F512</s:f>
        <s:v>46247.484502314815</s:v>
      </s:c>
      <s:c r="O511" s="22">
        <s:f>'5'!F512</s:f>
        <s:v>46247.45615740741</s:v>
      </s:c>
      <s:c r="P511" s="22">
        <s:f>'6'!F512</s:f>
        <s:v>46247.43670138889</s:v>
      </s:c>
      <s:c r="Q511" s="22">
        <s:f>'7'!F512</s:f>
        <s:v>46247.41405092592</s:v>
      </s:c>
      <s:c r="R511" s="22">
        <s:f>'8'!F512</s:f>
        <s:v>46247.389861111114</s:v>
      </s:c>
      <s:c r="S511" s="22">
        <s:f>'9'!F512</s:f>
        <s:v>46247.37204861111</s:v>
      </s:c>
      <s:c r="T511" s="22">
        <s:f>'10'!F512</s:f>
        <s:v>46247.342824074076</s:v>
      </s:c>
      <s:c r="U511" s="23">
        <s:f>'자료구성'!$B$2</s:f>
        <s:v>46247.0</s:v>
      </s:c>
    </s:row>
    <s:row r="512">
      <s:c r="A512" s="0" t="n">
        <s:v>1996</s:v>
      </s:c>
      <s:c r="B512" s="0" t="n">
        <s:v>1967</s:v>
      </s:c>
      <s:c r="C512" s="0" t="n">
        <s:v>4303</s:v>
      </s:c>
      <s:c r="D512" s="0" t="n">
        <s:v>980</s:v>
      </s:c>
      <s:c r="E512" s="0" t="n">
        <s:v>1494</s:v>
      </s:c>
      <s:c r="F512" s="0" t="n">
        <s:v>3804</s:v>
      </s:c>
      <s:c r="G512" s="0" t="n">
        <s:v>1753</s:v>
      </s:c>
      <s:c r="H512" s="0" t="n">
        <s:v>5470</s:v>
      </s:c>
      <s:c r="I512" s="0" t="n">
        <s:v>2163</s:v>
      </s:c>
      <s:c r="J512" s="0" t="n">
        <s:v>1363</s:v>
      </s:c>
      <s:c r="K512" s="22">
        <s:f>'1'!F513</s:f>
        <s:v>46247.56607638889</s:v>
      </s:c>
      <s:c r="L512" s="22">
        <s:f>'2'!F513</s:f>
        <s:v>46247.5478125</s:v>
      </s:c>
      <s:c r="M512" s="22">
        <s:f>'3'!F513</s:f>
        <s:v>46247.53040509259</s:v>
      </s:c>
      <s:c r="N512" s="22">
        <s:f>'4'!F513</s:f>
        <s:v>46247.48451388889</s:v>
      </s:c>
      <s:c r="O512" s="22">
        <s:f>'5'!F513</s:f>
        <s:v>46247.45616898148</s:v>
      </s:c>
      <s:c r="P512" s="22">
        <s:f>'6'!F513</s:f>
        <s:v>46247.43671296296</s:v>
      </s:c>
      <s:c r="Q512" s="22">
        <s:f>'7'!F513</s:f>
        <s:v>46247.4140625</s:v>
      </s:c>
      <s:c r="R512" s="22">
        <s:f>'8'!F513</s:f>
        <s:v>46247.389872685184</s:v>
      </s:c>
      <s:c r="S512" s="22">
        <s:f>'9'!F513</s:f>
        <s:v>46247.37206018518</s:v>
      </s:c>
      <s:c r="T512" s="22">
        <s:f>'10'!F513</s:f>
        <s:v>46247.342835648145</s:v>
      </s:c>
      <s:c r="U512" s="23">
        <s:f>'자료구성'!$B$2</s:f>
        <s:v>46247.0</s:v>
      </s:c>
    </s:row>
    <s:row r="513">
      <s:c r="A513" s="0" t="n">
        <s:v>1879</s:v>
      </s:c>
      <s:c r="B513" s="0" t="n">
        <s:v>1917</s:v>
      </s:c>
      <s:c r="C513" s="0" t="n">
        <s:v>4232</s:v>
      </s:c>
      <s:c r="D513" s="0" t="n">
        <s:v>923</s:v>
      </s:c>
      <s:c r="E513" s="0" t="n">
        <s:v>1498</s:v>
      </s:c>
      <s:c r="F513" s="0" t="n">
        <s:v>3766</s:v>
      </s:c>
      <s:c r="G513" s="0" t="n">
        <s:v>1757</s:v>
      </s:c>
      <s:c r="H513" s="0" t="n">
        <s:v>5425</s:v>
      </s:c>
      <s:c r="I513" s="0" t="n">
        <s:v>2155</s:v>
      </s:c>
      <s:c r="J513" s="0" t="n">
        <s:v>1371</s:v>
      </s:c>
      <s:c r="K513" s="22">
        <s:f>'1'!F514</s:f>
        <s:v>46247.566087962965</s:v>
      </s:c>
      <s:c r="L513" s="22">
        <s:f>'2'!F514</s:f>
        <s:v>46247.54782407408</s:v>
      </s:c>
      <s:c r="M513" s="22">
        <s:f>'3'!F514</s:f>
        <s:v>46247.53041666667</s:v>
      </s:c>
      <s:c r="N513" s="22">
        <s:f>'4'!F514</s:f>
        <s:v>46247.48452546296</s:v>
      </s:c>
      <s:c r="O513" s="22">
        <s:f>'5'!F514</s:f>
        <s:v>46247.45618055556</s:v>
      </s:c>
      <s:c r="P513" s="22">
        <s:f>'6'!F514</s:f>
        <s:v>46247.43672453704</s:v>
      </s:c>
      <s:c r="Q513" s="22">
        <s:f>'7'!F514</s:f>
        <s:v>46247.41407407408</s:v>
      </s:c>
      <s:c r="R513" s="22">
        <s:f>'8'!F514</s:f>
        <s:v>46247.38988425926</s:v>
      </s:c>
      <s:c r="S513" s="22">
        <s:f>'9'!F514</s:f>
        <s:v>46247.37207175926</s:v>
      </s:c>
      <s:c r="T513" s="22">
        <s:f>'10'!F514</s:f>
        <s:v>46247.34284722222</s:v>
      </s:c>
      <s:c r="U513" s="23">
        <s:f>'자료구성'!$B$2</s:f>
        <s:v>46247.0</s:v>
      </s:c>
    </s:row>
    <s:row r="514">
      <s:c r="A514" s="0" t="n">
        <s:v>1772</s:v>
      </s:c>
      <s:c r="B514" s="0" t="n">
        <s:v>1850</s:v>
      </s:c>
      <s:c r="C514" s="0" t="n">
        <s:v>4199</s:v>
      </s:c>
      <s:c r="D514" s="0" t="n">
        <s:v>880</s:v>
      </s:c>
      <s:c r="E514" s="0" t="n">
        <s:v>1496</s:v>
      </s:c>
      <s:c r="F514" s="0" t="n">
        <s:v>3690</s:v>
      </s:c>
      <s:c r="G514" s="0" t="n">
        <s:v>1768</s:v>
      </s:c>
      <s:c r="H514" s="0" t="n">
        <s:v>5359</s:v>
      </s:c>
      <s:c r="I514" s="0" t="n">
        <s:v>2119</s:v>
      </s:c>
      <s:c r="J514" s="0" t="n">
        <s:v>1377</s:v>
      </s:c>
      <s:c r="K514" s="22">
        <s:f>'1'!F515</s:f>
        <s:v>46247.566099537034</s:v>
      </s:c>
      <s:c r="L514" s="22">
        <s:f>'2'!F515</s:f>
        <s:v>46247.54783564815</s:v>
      </s:c>
      <s:c r="M514" s="22">
        <s:f>'3'!F515</s:f>
        <s:v>46247.53042824074</s:v>
      </s:c>
      <s:c r="N514" s="22">
        <s:f>'4'!F515</s:f>
        <s:v>46247.48453703704</s:v>
      </s:c>
      <s:c r="O514" s="22">
        <s:f>'5'!F515</s:f>
        <s:v>46247.456192129626</s:v>
      </s:c>
      <s:c r="P514" s="22">
        <s:f>'6'!F515</s:f>
        <s:v>46247.436736111114</s:v>
      </s:c>
      <s:c r="Q514" s="22">
        <s:f>'7'!F515</s:f>
        <s:v>46247.414085648146</s:v>
      </s:c>
      <s:c r="R514" s="22">
        <s:f>'8'!F515</s:f>
        <s:v>46247.38989583333</s:v>
      </s:c>
      <s:c r="S514" s="22">
        <s:f>'9'!F515</s:f>
        <s:v>46247.372083333335</s:v>
      </s:c>
      <s:c r="T514" s="22">
        <s:f>'10'!F515</s:f>
        <s:v>46247.3428587963</s:v>
      </s:c>
      <s:c r="U514" s="23">
        <s:f>'자료구성'!$B$2</s:f>
        <s:v>46247.0</s:v>
      </s:c>
    </s:row>
    <s:row r="515">
      <s:c r="A515" s="0" t="n">
        <s:v>1694</s:v>
      </s:c>
      <s:c r="B515" s="0" t="n">
        <s:v>1811</s:v>
      </s:c>
      <s:c r="C515" s="0" t="n">
        <s:v>4146</s:v>
      </s:c>
      <s:c r="D515" s="0" t="n">
        <s:v>839</s:v>
      </s:c>
      <s:c r="E515" s="0" t="n">
        <s:v>1495</s:v>
      </s:c>
      <s:c r="F515" s="0" t="n">
        <s:v>3629</s:v>
      </s:c>
      <s:c r="G515" s="0" t="n">
        <s:v>1751</s:v>
      </s:c>
      <s:c r="H515" s="0" t="n">
        <s:v>5351</s:v>
      </s:c>
      <s:c r="I515" s="0" t="n">
        <s:v>2070</s:v>
      </s:c>
      <s:c r="J515" s="0" t="n">
        <s:v>1393</s:v>
      </s:c>
      <s:c r="K515" s="22">
        <s:f>'1'!F516</s:f>
        <s:v>46247.56611111111</s:v>
      </s:c>
      <s:c r="L515" s="22">
        <s:f>'2'!F516</s:f>
        <s:v>46247.547847222224</s:v>
      </s:c>
      <s:c r="M515" s="22">
        <s:f>'3'!F516</s:f>
        <s:v>46247.530439814815</s:v>
      </s:c>
      <s:c r="N515" s="22">
        <s:f>'4'!F516</s:f>
        <s:v>46247.48454861111</s:v>
      </s:c>
      <s:c r="O515" s="22">
        <s:f>'5'!F516</s:f>
        <s:v>46247.4562037037</s:v>
      </s:c>
      <s:c r="P515" s="22">
        <s:f>'6'!F516</s:f>
        <s:v>46247.436747685184</s:v>
      </s:c>
      <s:c r="Q515" s="22">
        <s:f>'7'!F516</s:f>
        <s:v>46247.41409722222</s:v>
      </s:c>
      <s:c r="R515" s="22">
        <s:f>'8'!F516</s:f>
        <s:v>46247.38990740741</s:v>
      </s:c>
      <s:c r="S515" s="22">
        <s:f>'9'!F516</s:f>
        <s:v>46247.372094907405</s:v>
      </s:c>
      <s:c r="T515" s="22">
        <s:f>'10'!F516</s:f>
        <s:v>46247.34287037037</s:v>
      </s:c>
      <s:c r="U515" s="23">
        <s:f>'자료구성'!$B$2</s:f>
        <s:v>46247.0</s:v>
      </s:c>
    </s:row>
    <s:row r="516">
      <s:c r="A516" s="0" t="n">
        <s:v>1632</s:v>
      </s:c>
      <s:c r="B516" s="0" t="n">
        <s:v>1777</s:v>
      </s:c>
      <s:c r="C516" s="0" t="n">
        <s:v>4076</s:v>
      </s:c>
      <s:c r="D516" s="0" t="n">
        <s:v>820</s:v>
      </s:c>
      <s:c r="E516" s="0" t="n">
        <s:v>1496</s:v>
      </s:c>
      <s:c r="F516" s="0" t="n">
        <s:v>3585</s:v>
      </s:c>
      <s:c r="G516" s="0" t="n">
        <s:v>1754</s:v>
      </s:c>
      <s:c r="H516" s="0" t="n">
        <s:v>5332</s:v>
      </s:c>
      <s:c r="I516" s="0" t="n">
        <s:v>2036</s:v>
      </s:c>
      <s:c r="J516" s="0" t="n">
        <s:v>1416</s:v>
      </s:c>
      <s:c r="K516" s="22">
        <s:f>'1'!F517</s:f>
        <s:v>46247.56612268519</s:v>
      </s:c>
      <s:c r="L516" s="22">
        <s:f>'2'!F517</s:f>
        <s:v>46247.54785879629</s:v>
      </s:c>
      <s:c r="M516" s="22">
        <s:f>'3'!F517</s:f>
        <s:v>46247.53045138889</s:v>
      </s:c>
      <s:c r="N516" s="22">
        <s:f>'4'!F517</s:f>
        <s:v>46247.484560185185</s:v>
      </s:c>
      <s:c r="O516" s="22">
        <s:f>'5'!F517</s:f>
        <s:v>46247.45621527778</s:v>
      </s:c>
      <s:c r="P516" s="22">
        <s:f>'6'!F517</s:f>
        <s:v>46247.43675925926</s:v>
      </s:c>
      <s:c r="Q516" s="22">
        <s:f>'7'!F517</s:f>
        <s:v>46247.4141087963</s:v>
      </s:c>
      <s:c r="R516" s="22">
        <s:f>'8'!F517</s:f>
        <s:v>46247.389918981484</s:v>
      </s:c>
      <s:c r="S516" s="22">
        <s:f>'9'!F517</s:f>
        <s:v>46247.37210648148</s:v>
      </s:c>
      <s:c r="T516" s="22">
        <s:f>'10'!F517</s:f>
        <s:v>46247.342881944445</s:v>
      </s:c>
      <s:c r="U516" s="23">
        <s:f>'자료구성'!$B$2</s:f>
        <s:v>46247.0</s:v>
      </s:c>
    </s:row>
    <s:row r="517">
      <s:c r="A517" s="0" t="n">
        <s:v>1571</s:v>
      </s:c>
      <s:c r="B517" s="0" t="n">
        <s:v>1722</s:v>
      </s:c>
      <s:c r="C517" s="0" t="n">
        <s:v>4037</s:v>
      </s:c>
      <s:c r="D517" s="0" t="n">
        <s:v>809</s:v>
      </s:c>
      <s:c r="E517" s="0" t="n">
        <s:v>1499</s:v>
      </s:c>
      <s:c r="F517" s="0" t="n">
        <s:v>3585</s:v>
      </s:c>
      <s:c r="G517" s="0" t="n">
        <s:v>1755</s:v>
      </s:c>
      <s:c r="H517" s="0" t="n">
        <s:v>5302</s:v>
      </s:c>
      <s:c r="I517" s="0" t="n">
        <s:v>2005</s:v>
      </s:c>
      <s:c r="J517" s="0" t="n">
        <s:v>1431</s:v>
      </s:c>
      <s:c r="K517" s="22">
        <s:f>'1'!F518</s:f>
        <s:v>46247.56613425926</s:v>
      </s:c>
      <s:c r="L517" s="22">
        <s:f>'2'!F518</s:f>
        <s:v>46247.54787037037</s:v>
      </s:c>
      <s:c r="M517" s="22">
        <s:f>'3'!F518</s:f>
        <s:v>46247.53046296296</s:v>
      </s:c>
      <s:c r="N517" s="22">
        <s:f>'4'!F518</s:f>
        <s:v>46247.48457175926</s:v>
      </s:c>
      <s:c r="O517" s="22">
        <s:f>'5'!F518</s:f>
        <s:v>46247.45622685185</s:v>
      </s:c>
      <s:c r="P517" s="22">
        <s:f>'6'!F518</s:f>
        <s:v>46247.43677083333</s:v>
      </s:c>
      <s:c r="Q517" s="22">
        <s:f>'7'!F518</s:f>
        <s:v>46247.41412037037</s:v>
      </s:c>
      <s:c r="R517" s="22">
        <s:f>'8'!F518</s:f>
        <s:v>46247.38993055555</s:v>
      </s:c>
      <s:c r="S517" s="22">
        <s:f>'9'!F518</s:f>
        <s:v>46247.37211805556</s:v>
      </s:c>
      <s:c r="T517" s="22">
        <s:f>'10'!F518</s:f>
        <s:v>46247.34289351852</s:v>
      </s:c>
      <s:c r="U517" s="23">
        <s:f>'자료구성'!$B$2</s:f>
        <s:v>46247.0</s:v>
      </s:c>
    </s:row>
    <s:row r="518">
      <s:c r="A518" s="0" t="n">
        <s:v>1490</s:v>
      </s:c>
      <s:c r="B518" s="0" t="n">
        <s:v>1660</s:v>
      </s:c>
      <s:c r="C518" s="0" t="n">
        <s:v>4090</s:v>
      </s:c>
      <s:c r="D518" s="0" t="n">
        <s:v>792</s:v>
      </s:c>
      <s:c r="E518" s="0" t="n">
        <s:v>1503</s:v>
      </s:c>
      <s:c r="F518" s="0" t="n">
        <s:v>3512</s:v>
      </s:c>
      <s:c r="G518" s="0" t="n">
        <s:v>1741</s:v>
      </s:c>
      <s:c r="H518" s="0" t="n">
        <s:v>5304</s:v>
      </s:c>
      <s:c r="I518" s="0" t="n">
        <s:v>1996</s:v>
      </s:c>
      <s:c r="J518" s="0" t="n">
        <s:v>1462</s:v>
      </s:c>
      <s:c r="K518" s="22">
        <s:f>'1'!F519</s:f>
        <s:v>46247.566145833334</s:v>
      </s:c>
      <s:c r="L518" s="22">
        <s:f>'2'!F519</s:f>
        <s:v>46247.54788194445</s:v>
      </s:c>
      <s:c r="M518" s="22">
        <s:f>'3'!F519</s:f>
        <s:v>46247.53047453704</s:v>
      </s:c>
      <s:c r="N518" s="22">
        <s:f>'4'!F519</s:f>
        <s:v>46247.48458333333</s:v>
      </s:c>
      <s:c r="O518" s="22">
        <s:f>'5'!F519</s:f>
        <s:v>46247.456238425926</s:v>
      </s:c>
      <s:c r="P518" s="22">
        <s:f>'6'!F519</s:f>
        <s:v>46247.43678240741</s:v>
      </s:c>
      <s:c r="Q518" s="22">
        <s:f>'7'!F519</s:f>
        <s:v>46247.414131944446</s:v>
      </s:c>
      <s:c r="R518" s="22">
        <s:f>'8'!F519</s:f>
        <s:v>46247.38994212963</s:v>
      </s:c>
      <s:c r="S518" s="22">
        <s:f>'9'!F519</s:f>
        <s:v>46247.37212962963</s:v>
      </s:c>
      <s:c r="T518" s="22">
        <s:f>'10'!F519</s:f>
        <s:v>46247.34290509259</s:v>
      </s:c>
      <s:c r="U518" s="23">
        <s:f>'자료구성'!$B$2</s:f>
        <s:v>46247.0</s:v>
      </s:c>
    </s:row>
    <s:row r="519">
      <s:c r="A519" s="0" t="n">
        <s:v>1434</s:v>
      </s:c>
      <s:c r="B519" s="0" t="n">
        <s:v>1580</s:v>
      </s:c>
      <s:c r="C519" s="0" t="n">
        <s:v>4366</s:v>
      </s:c>
      <s:c r="D519" s="0" t="n">
        <s:v>771</s:v>
      </s:c>
      <s:c r="E519" s="0" t="n">
        <s:v>1510</s:v>
      </s:c>
      <s:c r="F519" s="0" t="n">
        <s:v>3528</s:v>
      </s:c>
      <s:c r="G519" s="0" t="n">
        <s:v>1738</s:v>
      </s:c>
      <s:c r="H519" s="0" t="n">
        <s:v>5286</s:v>
      </s:c>
      <s:c r="I519" s="0" t="n">
        <s:v>1975</s:v>
      </s:c>
      <s:c r="J519" s="0" t="n">
        <s:v>1516</s:v>
      </s:c>
      <s:c r="K519" s="22">
        <s:f>'1'!F520</s:f>
        <s:v>46247.566157407404</s:v>
      </s:c>
      <s:c r="L519" s="22">
        <s:f>'2'!F520</s:f>
        <s:v>46247.54789351852</s:v>
      </s:c>
      <s:c r="M519" s="22">
        <s:f>'3'!F520</s:f>
        <s:v>46247.530486111114</s:v>
      </s:c>
      <s:c r="N519" s="22">
        <s:f>'4'!F520</s:f>
        <s:v>46247.48459490741</s:v>
      </s:c>
      <s:c r="O519" s="22">
        <s:f>'5'!F520</s:f>
        <s:v>46247.45625</s:v>
      </s:c>
      <s:c r="P519" s="22">
        <s:f>'6'!F520</s:f>
        <s:v>46247.436793981484</s:v>
      </s:c>
      <s:c r="Q519" s="22">
        <s:f>'7'!F520</s:f>
        <s:v>46247.414143518516</s:v>
      </s:c>
      <s:c r="R519" s="22">
        <s:f>'8'!F520</s:f>
        <s:v>46247.38995370371</s:v>
      </s:c>
      <s:c r="S519" s="22">
        <s:f>'9'!F520</s:f>
        <s:v>46247.372141203705</s:v>
      </s:c>
      <s:c r="T519" s="22">
        <s:f>'10'!F520</s:f>
        <s:v>46247.34291666667</s:v>
      </s:c>
      <s:c r="U519" s="23">
        <s:f>'자료구성'!$B$2</s:f>
        <s:v>46247.0</s:v>
      </s:c>
    </s:row>
    <s:row r="520">
      <s:c r="A520" s="0" t="n">
        <s:v>1390</s:v>
      </s:c>
      <s:c r="B520" s="0" t="n">
        <s:v>1557</s:v>
      </s:c>
      <s:c r="C520" s="0" t="n">
        <s:v>4640</s:v>
      </s:c>
      <s:c r="D520" s="0" t="n">
        <s:v>752</s:v>
      </s:c>
      <s:c r="E520" s="0" t="n">
        <s:v>1518</s:v>
      </s:c>
      <s:c r="F520" s="0" t="n">
        <s:v>3552</s:v>
      </s:c>
      <s:c r="G520" s="0" t="n">
        <s:v>1735</s:v>
      </s:c>
      <s:c r="H520" s="0" t="n">
        <s:v>5228</s:v>
      </s:c>
      <s:c r="I520" s="0" t="n">
        <s:v>1969</s:v>
      </s:c>
      <s:c r="J520" s="0" t="n">
        <s:v>1558</s:v>
      </s:c>
      <s:c r="K520" s="22">
        <s:f>'1'!F521</s:f>
        <s:v>46247.56616898148</s:v>
      </s:c>
      <s:c r="L520" s="22">
        <s:f>'2'!F521</s:f>
        <s:v>46247.54790509259</s:v>
      </s:c>
      <s:c r="M520" s="22">
        <s:f>'3'!F521</s:f>
        <s:v>46247.530497685184</s:v>
      </s:c>
      <s:c r="N520" s="22">
        <s:f>'4'!F521</s:f>
        <s:v>46247.484606481485</s:v>
      </s:c>
      <s:c r="O520" s="22">
        <s:f>'5'!F521</s:f>
        <s:v>46247.45626157407</s:v>
      </s:c>
      <s:c r="P520" s="22">
        <s:f>'6'!F521</s:f>
        <s:v>46247.43680555555</s:v>
      </s:c>
      <s:c r="Q520" s="22">
        <s:f>'7'!F521</s:f>
        <s:v>46247.41415509259</s:v>
      </s:c>
      <s:c r="R520" s="22">
        <s:f>'8'!F521</s:f>
        <s:v>46247.389965277776</s:v>
      </s:c>
      <s:c r="S520" s="22">
        <s:f>'9'!F521</s:f>
        <s:v>46247.372152777774</s:v>
      </s:c>
      <s:c r="T520" s="22">
        <s:f>'10'!F521</s:f>
        <s:v>46247.34292824074</s:v>
      </s:c>
      <s:c r="U520" s="23">
        <s:f>'자료구성'!$B$2</s:f>
        <s:v>46247.0</s:v>
      </s:c>
    </s:row>
    <s:row r="521">
      <s:c r="A521" s="0" t="n">
        <s:v>1383</s:v>
      </s:c>
      <s:c r="B521" s="0" t="n">
        <s:v>1596</s:v>
      </s:c>
      <s:c r="C521" s="0" t="n">
        <s:v>4725</s:v>
      </s:c>
      <s:c r="D521" s="0" t="n">
        <s:v>715</s:v>
      </s:c>
      <s:c r="E521" s="0" t="n">
        <s:v>1525</s:v>
      </s:c>
      <s:c r="F521" s="0" t="n">
        <s:v>3632</s:v>
      </s:c>
      <s:c r="G521" s="0" t="n">
        <s:v>1730</s:v>
      </s:c>
      <s:c r="H521" s="0" t="n">
        <s:v>5173</s:v>
      </s:c>
      <s:c r="I521" s="0" t="n">
        <s:v>1947</s:v>
      </s:c>
      <s:c r="J521" s="0" t="n">
        <s:v>1597</s:v>
      </s:c>
      <s:c r="K521" s="22">
        <s:f>'1'!F522</s:f>
        <s:v>46247.56618055556</s:v>
      </s:c>
      <s:c r="L521" s="22">
        <s:f>'2'!F522</s:f>
        <s:v>46247.54791666667</s:v>
      </s:c>
      <s:c r="M521" s="22">
        <s:f>'3'!F522</s:f>
        <s:v>46247.53050925926</s:v>
      </s:c>
      <s:c r="N521" s="22">
        <s:f>'4'!F522</s:f>
        <s:v>46247.484618055554</s:v>
      </s:c>
      <s:c r="O521" s="22">
        <s:f>'5'!F522</s:f>
        <s:v>46247.45627314815</s:v>
      </s:c>
      <s:c r="P521" s="22">
        <s:f>'6'!F522</s:f>
        <s:v>46247.43681712963</s:v>
      </s:c>
      <s:c r="Q521" s="22">
        <s:f>'7'!F522</s:f>
        <s:v>46247.41416666667</s:v>
      </s:c>
      <s:c r="R521" s="22">
        <s:f>'8'!F522</s:f>
        <s:v>46247.38997685185</s:v>
      </s:c>
      <s:c r="S521" s="22">
        <s:f>'9'!F522</s:f>
        <s:v>46247.37216435185</s:v>
      </s:c>
      <s:c r="T521" s="22">
        <s:f>'10'!F522</s:f>
        <s:v>46247.342939814815</s:v>
      </s:c>
      <s:c r="U521" s="23">
        <s:f>'자료구성'!$B$2</s:f>
        <s:v>46247.0</s:v>
      </s:c>
    </s:row>
    <s:row r="522">
      <s:c r="A522" s="0" t="n">
        <s:v>1403</s:v>
      </s:c>
      <s:c r="B522" s="0" t="n">
        <s:v>1565</s:v>
      </s:c>
      <s:c r="C522" s="0" t="n">
        <s:v>4674</s:v>
      </s:c>
      <s:c r="D522" s="0" t="n">
        <s:v>680</s:v>
      </s:c>
      <s:c r="E522" s="0" t="n">
        <s:v>1534</s:v>
      </s:c>
      <s:c r="F522" s="0" t="n">
        <s:v>3694</s:v>
      </s:c>
      <s:c r="G522" s="0" t="n">
        <s:v>1720</s:v>
      </s:c>
      <s:c r="H522" s="0" t="n">
        <s:v>5170</s:v>
      </s:c>
      <s:c r="I522" s="0" t="n">
        <s:v>1918</s:v>
      </s:c>
      <s:c r="J522" s="0" t="n">
        <s:v>1614</s:v>
      </s:c>
      <s:c r="K522" s="22">
        <s:f>'1'!F523</s:f>
        <s:v>46247.56619212963</s:v>
      </s:c>
      <s:c r="L522" s="22">
        <s:f>'2'!F523</s:f>
        <s:v>46247.54792824074</s:v>
      </s:c>
      <s:c r="M522" s="22">
        <s:f>'3'!F523</s:f>
        <s:v>46247.53052083333</s:v>
      </s:c>
      <s:c r="N522" s="22">
        <s:f>'4'!F523</s:f>
        <s:v>46247.48462962963</s:v>
      </s:c>
      <s:c r="O522" s="22">
        <s:f>'5'!F523</s:f>
        <s:v>46247.45628472222</s:v>
      </s:c>
      <s:c r="P522" s="22">
        <s:f>'6'!F523</s:f>
        <s:v>46247.43682870371</s:v>
      </s:c>
      <s:c r="Q522" s="22">
        <s:f>'7'!F523</s:f>
        <s:v>46247.41417824074</s:v>
      </s:c>
      <s:c r="R522" s="22">
        <s:f>'8'!F523</s:f>
        <s:v>46247.38998842592</s:v>
      </s:c>
      <s:c r="S522" s="22">
        <s:f>'9'!F523</s:f>
        <s:v>46247.37217592593</s:v>
      </s:c>
      <s:c r="T522" s="22">
        <s:f>'10'!F523</s:f>
        <s:v>46247.34295138889</s:v>
      </s:c>
      <s:c r="U522" s="23">
        <s:f>'자료구성'!$B$2</s:f>
        <s:v>46247.0</s:v>
      </s:c>
    </s:row>
    <s:row r="523">
      <s:c r="A523" s="0" t="n">
        <s:v>1445</s:v>
      </s:c>
      <s:c r="B523" s="0" t="n">
        <s:v>1506</s:v>
      </s:c>
      <s:c r="C523" s="0" t="n">
        <s:v>4638</s:v>
      </s:c>
      <s:c r="D523" s="0" t="n">
        <s:v>660</s:v>
      </s:c>
      <s:c r="E523" s="0" t="n">
        <s:v>1535</s:v>
      </s:c>
      <s:c r="F523" s="0" t="n">
        <s:v>3711</s:v>
      </s:c>
      <s:c r="G523" s="0" t="n">
        <s:v>1687</s:v>
      </s:c>
      <s:c r="H523" s="0" t="n">
        <s:v>5057</s:v>
      </s:c>
      <s:c r="I523" s="0" t="n">
        <s:v>1931</s:v>
      </s:c>
      <s:c r="J523" s="0" t="n">
        <s:v>1611</s:v>
      </s:c>
      <s:c r="K523" s="22">
        <s:f>'1'!F524</s:f>
        <s:v>46247.566203703704</s:v>
      </s:c>
      <s:c r="L523" s="22">
        <s:f>'2'!F524</s:f>
        <s:v>46247.547939814816</s:v>
      </s:c>
      <s:c r="M523" s="22">
        <s:f>'3'!F524</s:f>
        <s:v>46247.53053240741</s:v>
      </s:c>
      <s:c r="N523" s="22">
        <s:f>'4'!F524</s:f>
        <s:v>46247.4846412037</s:v>
      </s:c>
      <s:c r="O523" s="22">
        <s:f>'5'!F524</s:f>
        <s:v>46247.456296296295</s:v>
      </s:c>
      <s:c r="P523" s="22">
        <s:f>'6'!F524</s:f>
        <s:v>46247.436840277776</s:v>
      </s:c>
      <s:c r="Q523" s="22">
        <s:f>'7'!F524</s:f>
        <s:v>46247.414189814815</s:v>
      </s:c>
      <s:c r="R523" s="22">
        <s:f>'8'!F524</s:f>
        <s:v>46247.39</s:v>
      </s:c>
      <s:c r="S523" s="22">
        <s:f>'9'!F524</s:f>
        <s:v>46247.3721875</s:v>
      </s:c>
      <s:c r="T523" s="22">
        <s:f>'10'!F524</s:f>
        <s:v>46247.34296296296</s:v>
      </s:c>
      <s:c r="U523" s="23">
        <s:f>'자료구성'!$B$2</s:f>
        <s:v>46247.0</s:v>
      </s:c>
    </s:row>
    <s:row r="524">
      <s:c r="A524" s="0" t="n">
        <s:v>1465</s:v>
      </s:c>
      <s:c r="B524" s="0" t="n">
        <s:v>1479</s:v>
      </s:c>
      <s:c r="C524" s="0" t="n">
        <s:v>4579</s:v>
      </s:c>
      <s:c r="D524" s="0" t="n">
        <s:v>637</s:v>
      </s:c>
      <s:c r="E524" s="0" t="n">
        <s:v>1529</s:v>
      </s:c>
      <s:c r="F524" s="0" t="n">
        <s:v>3759</s:v>
      </s:c>
      <s:c r="G524" s="0" t="n">
        <s:v>1693</s:v>
      </s:c>
      <s:c r="H524" s="0" t="n">
        <s:v>4932</s:v>
      </s:c>
      <s:c r="I524" s="0" t="n">
        <s:v>1925</s:v>
      </s:c>
      <s:c r="J524" s="0" t="n">
        <s:v>1627</s:v>
      </s:c>
      <s:c r="K524" s="22">
        <s:f>'1'!F525</s:f>
        <s:v>46247.56621527778</s:v>
      </s:c>
      <s:c r="L524" s="22">
        <s:f>'2'!F525</s:f>
        <s:v>46247.547951388886</s:v>
      </s:c>
      <s:c r="M524" s="22">
        <s:f>'3'!F525</s:f>
        <s:v>46247.530543981484</s:v>
      </s:c>
      <s:c r="N524" s="22">
        <s:f>'4'!F525</s:f>
        <s:v>46247.48465277778</s:v>
      </s:c>
      <s:c r="O524" s="22">
        <s:f>'5'!F525</s:f>
        <s:v>46247.45630787037</s:v>
      </s:c>
      <s:c r="P524" s="22">
        <s:f>'6'!F525</s:f>
        <s:v>46247.43685185185</s:v>
      </s:c>
      <s:c r="Q524" s="22">
        <s:f>'7'!F525</s:f>
        <s:v>46247.41420138889</s:v>
      </s:c>
      <s:c r="R524" s="22">
        <s:f>'8'!F525</s:f>
        <s:v>46247.390011574076</s:v>
      </s:c>
      <s:c r="S524" s="22">
        <s:f>'9'!F525</s:f>
        <s:v>46247.372199074074</s:v>
      </s:c>
      <s:c r="T524" s="22">
        <s:f>'10'!F525</s:f>
        <s:v>46247.34297453704</s:v>
      </s:c>
      <s:c r="U524" s="23">
        <s:f>'자료구성'!$B$2</s:f>
        <s:v>46247.0</s:v>
      </s:c>
    </s:row>
    <s:row r="525">
      <s:c r="A525" s="0" t="n">
        <s:v>1437</s:v>
      </s:c>
      <s:c r="B525" s="0" t="n">
        <s:v>1458</s:v>
      </s:c>
      <s:c r="C525" s="0" t="n">
        <s:v>4531</s:v>
      </s:c>
      <s:c r="D525" s="0" t="n">
        <s:v>644</s:v>
      </s:c>
      <s:c r="E525" s="0" t="n">
        <s:v>1519</s:v>
      </s:c>
      <s:c r="F525" s="0" t="n">
        <s:v>3792</s:v>
      </s:c>
      <s:c r="G525" s="0" t="n">
        <s:v>1742</s:v>
      </s:c>
      <s:c r="H525" s="0" t="n">
        <s:v>4824</s:v>
      </s:c>
      <s:c r="I525" s="0" t="n">
        <s:v>1909</s:v>
      </s:c>
      <s:c r="J525" s="0" t="n">
        <s:v>1668</s:v>
      </s:c>
      <s:c r="K525" s="22">
        <s:f>'1'!F526</s:f>
        <s:v>46247.56622685185</s:v>
      </s:c>
      <s:c r="L525" s="22">
        <s:f>'2'!F526</s:f>
        <s:v>46247.54796296296</s:v>
      </s:c>
      <s:c r="M525" s="22">
        <s:f>'3'!F526</s:f>
        <s:v>46247.53055555555</s:v>
      </s:c>
      <s:c r="N525" s="22">
        <s:f>'4'!F526</s:f>
        <s:v>46247.484664351854</s:v>
      </s:c>
      <s:c r="O525" s="22">
        <s:f>'5'!F526</s:f>
        <s:v>46247.45631944444</s:v>
      </s:c>
      <s:c r="P525" s="22">
        <s:f>'6'!F526</s:f>
        <s:v>46247.43686342592</s:v>
      </s:c>
      <s:c r="Q525" s="22">
        <s:f>'7'!F526</s:f>
        <s:v>46247.41421296296</s:v>
      </s:c>
      <s:c r="R525" s="22">
        <s:f>'8'!F526</s:f>
        <s:v>46247.390023148146</s:v>
      </s:c>
      <s:c r="S525" s="22">
        <s:f>'9'!F526</s:f>
        <s:v>46247.37221064815</s:v>
      </s:c>
      <s:c r="T525" s="22">
        <s:f>'10'!F526</s:f>
        <s:v>46247.342986111114</s:v>
      </s:c>
      <s:c r="U525" s="23">
        <s:f>'자료구성'!$B$2</s:f>
        <s:v>46247.0</s:v>
      </s:c>
    </s:row>
    <s:row r="526">
      <s:c r="A526" s="0" t="n">
        <s:v>1386</s:v>
      </s:c>
      <s:c r="B526" s="0" t="n">
        <s:v>1475</s:v>
      </s:c>
      <s:c r="C526" s="0" t="n">
        <s:v>4485</s:v>
      </s:c>
      <s:c r="D526" s="0" t="n">
        <s:v>640</s:v>
      </s:c>
      <s:c r="E526" s="0" t="n">
        <s:v>1513</s:v>
      </s:c>
      <s:c r="F526" s="0" t="n">
        <s:v>3851</s:v>
      </s:c>
      <s:c r="G526" s="0" t="n">
        <s:v>1805</s:v>
      </s:c>
      <s:c r="H526" s="0" t="n">
        <s:v>4733</s:v>
      </s:c>
      <s:c r="I526" s="0" t="n">
        <s:v>1910</s:v>
      </s:c>
      <s:c r="J526" s="0" t="n">
        <s:v>1711</s:v>
      </s:c>
      <s:c r="K526" s="22">
        <s:f>'1'!F527</s:f>
        <s:v>46247.56623842593</s:v>
      </s:c>
      <s:c r="L526" s="22">
        <s:f>'2'!F527</s:f>
        <s:v>46247.54797453704</s:v>
      </s:c>
      <s:c r="M526" s="22">
        <s:f>'3'!F527</s:f>
        <s:v>46247.53056712963</s:v>
      </s:c>
      <s:c r="N526" s="22">
        <s:f>'4'!F527</s:f>
        <s:v>46247.48467592592</s:v>
      </s:c>
      <s:c r="O526" s="22">
        <s:f>'5'!F527</s:f>
        <s:v>46247.45633101852</s:v>
      </s:c>
      <s:c r="P526" s="22">
        <s:f>'6'!F527</s:f>
        <s:v>46247.436875</s:v>
      </s:c>
      <s:c r="Q526" s="22">
        <s:f>'7'!F527</s:f>
        <s:v>46247.41422453704</s:v>
      </s:c>
      <s:c r="R526" s="22">
        <s:f>'8'!F527</s:f>
        <s:v>46247.39003472222</s:v>
      </s:c>
      <s:c r="S526" s="22">
        <s:f>'9'!F527</s:f>
        <s:v>46247.37222222222</s:v>
      </s:c>
      <s:c r="T526" s="22">
        <s:f>'10'!F527</s:f>
        <s:v>46247.342997685184</s:v>
      </s:c>
      <s:c r="U526" s="23">
        <s:f>'자료구성'!$B$2</s:f>
        <s:v>46247.0</s:v>
      </s:c>
    </s:row>
    <s:row r="527">
      <s:c r="A527" s="0" t="n">
        <s:v>1387</s:v>
      </s:c>
      <s:c r="B527" s="0" t="n">
        <s:v>1491</s:v>
      </s:c>
      <s:c r="C527" s="0" t="n">
        <s:v>4398</s:v>
      </s:c>
      <s:c r="D527" s="0" t="n">
        <s:v>636</s:v>
      </s:c>
      <s:c r="E527" s="0" t="n">
        <s:v>1512</s:v>
      </s:c>
      <s:c r="F527" s="0" t="n">
        <s:v>3859</s:v>
      </s:c>
      <s:c r="G527" s="0" t="n">
        <s:v>1909</s:v>
      </s:c>
      <s:c r="H527" s="0" t="n">
        <s:v>4649</s:v>
      </s:c>
      <s:c r="I527" s="0" t="n">
        <s:v>1913</s:v>
      </s:c>
      <s:c r="J527" s="0" t="n">
        <s:v>1762</s:v>
      </s:c>
      <s:c r="K527" s="22">
        <s:f>'1'!F528</s:f>
        <s:v>46247.56625</s:v>
      </s:c>
      <s:c r="L527" s="22">
        <s:f>'2'!F528</s:f>
        <s:v>46247.54798611111</s:v>
      </s:c>
      <s:c r="M527" s="22">
        <s:f>'3'!F528</s:f>
        <s:v>46247.53057870371</s:v>
      </s:c>
      <s:c r="N527" s="22">
        <s:f>'4'!F528</s:f>
        <s:v>46247.4846875</s:v>
      </s:c>
      <s:c r="O527" s="22">
        <s:f>'5'!F528</s:f>
        <s:v>46247.456342592595</s:v>
      </s:c>
      <s:c r="P527" s="22">
        <s:f>'6'!F528</s:f>
        <s:v>46247.436886574076</s:v>
      </s:c>
      <s:c r="Q527" s="22">
        <s:f>'7'!F528</s:f>
        <s:v>46247.41423611111</s:v>
      </s:c>
      <s:c r="R527" s="22">
        <s:f>'8'!F528</s:f>
        <s:v>46247.3900462963</s:v>
      </s:c>
      <s:c r="S527" s="22">
        <s:f>'9'!F528</s:f>
        <s:v>46247.3722337963</s:v>
      </s:c>
      <s:c r="T527" s="22">
        <s:f>'10'!F528</s:f>
        <s:v>46247.34300925926</s:v>
      </s:c>
      <s:c r="U527" s="23">
        <s:f>'자료구성'!$B$2</s:f>
        <s:v>46247.0</s:v>
      </s:c>
    </s:row>
    <s:row r="528">
      <s:c r="A528" s="0" t="n">
        <s:v>1379</s:v>
      </s:c>
      <s:c r="B528" s="0" t="n">
        <s:v>1538</s:v>
      </s:c>
      <s:c r="C528" s="0" t="n">
        <s:v>4256</s:v>
      </s:c>
      <s:c r="D528" s="0" t="n">
        <s:v>640</s:v>
      </s:c>
      <s:c r="E528" s="0" t="n">
        <s:v>1517</s:v>
      </s:c>
      <s:c r="F528" s="0" t="n">
        <s:v>3824</s:v>
      </s:c>
      <s:c r="G528" s="0" t="n">
        <s:v>2048</s:v>
      </s:c>
      <s:c r="H528" s="0" t="n">
        <s:v>4596</s:v>
      </s:c>
      <s:c r="I528" s="0" t="n">
        <s:v>1948</s:v>
      </s:c>
      <s:c r="J528" s="0" t="n">
        <s:v>1768</s:v>
      </s:c>
      <s:c r="K528" s="22">
        <s:f>'1'!F529</s:f>
        <s:v>46247.56626157407</s:v>
      </s:c>
      <s:c r="L528" s="22">
        <s:f>'2'!F529</s:f>
        <s:v>46247.547997685186</s:v>
      </s:c>
      <s:c r="M528" s="22">
        <s:f>'3'!F529</s:f>
        <s:v>46247.530590277776</s:v>
      </s:c>
      <s:c r="N528" s="22">
        <s:f>'4'!F529</s:f>
        <s:v>46247.48469907408</s:v>
      </s:c>
      <s:c r="O528" s="22">
        <s:f>'5'!F529</s:f>
        <s:v>46247.456354166665</s:v>
      </s:c>
      <s:c r="P528" s="22">
        <s:f>'6'!F529</s:f>
        <s:v>46247.436898148146</s:v>
      </s:c>
      <s:c r="Q528" s="22">
        <s:f>'7'!F529</s:f>
        <s:v>46247.414247685185</s:v>
      </s:c>
      <s:c r="R528" s="22">
        <s:f>'8'!F529</s:f>
        <s:v>46247.39005787037</s:v>
      </s:c>
      <s:c r="S528" s="22">
        <s:f>'9'!F529</s:f>
        <s:v>46247.372245370374</s:v>
      </s:c>
      <s:c r="T528" s="22">
        <s:f>'10'!F529</s:f>
        <s:v>46247.34302083333</s:v>
      </s:c>
      <s:c r="U528" s="23">
        <s:f>'자료구성'!$B$2</s:f>
        <s:v>46247.0</s:v>
      </s:c>
    </s:row>
    <s:row r="529">
      <s:c r="A529" s="0" t="n">
        <s:v>1363</s:v>
      </s:c>
      <s:c r="B529" s="0" t="n">
        <s:v>1579</s:v>
      </s:c>
      <s:c r="C529" s="0" t="n">
        <s:v>4075</s:v>
      </s:c>
      <s:c r="D529" s="0" t="n">
        <s:v>632</s:v>
      </s:c>
      <s:c r="E529" s="0" t="n">
        <s:v>1508</s:v>
      </s:c>
      <s:c r="F529" s="0" t="n">
        <s:v>3716</s:v>
      </s:c>
      <s:c r="G529" s="0" t="n">
        <s:v>2179</s:v>
      </s:c>
      <s:c r="H529" s="0" t="n">
        <s:v>4571</s:v>
      </s:c>
      <s:c r="I529" s="0" t="n">
        <s:v>1998</s:v>
      </s:c>
      <s:c r="J529" s="0" t="n">
        <s:v>1782</s:v>
      </s:c>
      <s:c r="K529" s="22">
        <s:f>'1'!F530</s:f>
        <s:v>46247.56627314815</s:v>
      </s:c>
      <s:c r="L529" s="22">
        <s:f>'2'!F530</s:f>
        <s:v>46247.54800925926</s:v>
      </s:c>
      <s:c r="M529" s="22">
        <s:f>'3'!F530</s:f>
        <s:v>46247.53060185185</s:v>
      </s:c>
      <s:c r="N529" s="22">
        <s:f>'4'!F530</s:f>
        <s:v>46247.48471064815</s:v>
      </s:c>
      <s:c r="O529" s="22">
        <s:f>'5'!F530</s:f>
        <s:v>46247.45636574074</s:v>
      </s:c>
      <s:c r="P529" s="22">
        <s:f>'6'!F530</s:f>
        <s:v>46247.43690972222</s:v>
      </s:c>
      <s:c r="Q529" s="22">
        <s:f>'7'!F530</s:f>
        <s:v>46247.41425925926</s:v>
      </s:c>
      <s:c r="R529" s="22">
        <s:f>'8'!F530</s:f>
        <s:v>46247.390069444446</s:v>
      </s:c>
      <s:c r="S529" s="22">
        <s:f>'9'!F530</s:f>
        <s:v>46247.37225694444</s:v>
      </s:c>
      <s:c r="T529" s="22">
        <s:f>'10'!F530</s:f>
        <s:v>46247.34303240741</s:v>
      </s:c>
      <s:c r="U529" s="23">
        <s:f>'자료구성'!$B$2</s:f>
        <s:v>46247.0</s:v>
      </s:c>
    </s:row>
    <s:row r="530">
      <s:c r="A530" s="0" t="n">
        <s:v>1388</s:v>
      </s:c>
      <s:c r="B530" s="0" t="n">
        <s:v>1622</s:v>
      </s:c>
      <s:c r="C530" s="0" t="n">
        <s:v>3922</s:v>
      </s:c>
      <s:c r="D530" s="0" t="n">
        <s:v>613</s:v>
      </s:c>
      <s:c r="E530" s="0" t="n">
        <s:v>1511</s:v>
      </s:c>
      <s:c r="F530" s="0" t="n">
        <s:v>3644</s:v>
      </s:c>
      <s:c r="G530" s="0" t="n">
        <s:v>2313</s:v>
      </s:c>
      <s:c r="H530" s="0" t="n">
        <s:v>4620</s:v>
      </s:c>
      <s:c r="I530" s="0" t="n">
        <s:v>1997</s:v>
      </s:c>
      <s:c r="J530" s="0" t="n">
        <s:v>1804</s:v>
      </s:c>
      <s:c r="K530" s="22">
        <s:f>'1'!F531</s:f>
        <s:v>46247.56628472222</s:v>
      </s:c>
      <s:c r="L530" s="22">
        <s:f>'2'!F531</s:f>
        <s:v>46247.54802083333</s:v>
      </s:c>
      <s:c r="M530" s="22">
        <s:f>'3'!F531</s:f>
        <s:v>46247.53061342592</s:v>
      </s:c>
      <s:c r="N530" s="22">
        <s:f>'4'!F531</s:f>
        <s:v>46247.48472222222</s:v>
      </s:c>
      <s:c r="O530" s="22">
        <s:f>'5'!F531</s:f>
        <s:v>46247.45637731482</s:v>
      </s:c>
      <s:c r="P530" s="22">
        <s:f>'6'!F531</s:f>
        <s:v>46247.4369212963</s:v>
      </s:c>
      <s:c r="Q530" s="22">
        <s:f>'7'!F531</s:f>
        <s:v>46247.41427083333</s:v>
      </s:c>
      <s:c r="R530" s="22">
        <s:f>'8'!F531</s:f>
        <s:v>46247.390081018515</s:v>
      </s:c>
      <s:c r="S530" s="22">
        <s:f>'9'!F531</s:f>
        <s:v>46247.37226851852</s:v>
      </s:c>
      <s:c r="T530" s="22">
        <s:f>'10'!F531</s:f>
        <s:v>46247.343043981484</s:v>
      </s:c>
      <s:c r="U530" s="23">
        <s:f>'자료구성'!$B$2</s:f>
        <s:v>46247.0</s:v>
      </s:c>
    </s:row>
    <s:row r="531">
      <s:c r="A531" s="0" t="n">
        <s:v>1372</s:v>
      </s:c>
      <s:c r="B531" s="0" t="n">
        <s:v>1697</s:v>
      </s:c>
      <s:c r="C531" s="0" t="n">
        <s:v>3802</s:v>
      </s:c>
      <s:c r="D531" s="0" t="n">
        <s:v>589</s:v>
      </s:c>
      <s:c r="E531" s="0" t="n">
        <s:v>1513</s:v>
      </s:c>
      <s:c r="F531" s="0" t="n">
        <s:v>3634</s:v>
      </s:c>
      <s:c r="G531" s="0" t="n">
        <s:v>2392</s:v>
      </s:c>
      <s:c r="H531" s="0" t="n">
        <s:v>4647</s:v>
      </s:c>
      <s:c r="I531" s="0" t="n">
        <s:v>2010</s:v>
      </s:c>
      <s:c r="J531" s="0" t="n">
        <s:v>1813</s:v>
      </s:c>
      <s:c r="K531" s="22">
        <s:f>'1'!F532</s:f>
        <s:v>46247.566296296296</s:v>
      </s:c>
      <s:c r="L531" s="22">
        <s:f>'2'!F532</s:f>
        <s:v>46247.54803240741</s:v>
      </s:c>
      <s:c r="M531" s="22">
        <s:f>'3'!F532</s:f>
        <s:v>46247.530625</s:v>
      </s:c>
      <s:c r="N531" s="22">
        <s:f>'4'!F532</s:f>
        <s:v>46247.48473379629</s:v>
      </s:c>
      <s:c r="O531" s="22">
        <s:f>'5'!F532</s:f>
        <s:v>46247.45638888889</s:v>
      </s:c>
      <s:c r="P531" s="22">
        <s:f>'6'!F532</s:f>
        <s:v>46247.43693287037</s:v>
      </s:c>
      <s:c r="Q531" s="22">
        <s:f>'7'!F532</s:f>
        <s:v>46247.41428240741</s:v>
      </s:c>
      <s:c r="R531" s="22">
        <s:f>'8'!F532</s:f>
        <s:v>46247.39009259259</s:v>
      </s:c>
      <s:c r="S531" s="22">
        <s:f>'9'!F532</s:f>
        <s:v>46247.37228009259</s:v>
      </s:c>
      <s:c r="T531" s="22">
        <s:f>'10'!F532</s:f>
        <s:v>46247.34305555555</s:v>
      </s:c>
      <s:c r="U531" s="23">
        <s:f>'자료구성'!$B$2</s:f>
        <s:v>46247.0</s:v>
      </s:c>
    </s:row>
    <s:row r="532">
      <s:c r="A532" s="0" t="n">
        <s:v>1349</s:v>
      </s:c>
      <s:c r="B532" s="0" t="n">
        <s:v>1727</s:v>
      </s:c>
      <s:c r="C532" s="0" t="n">
        <s:v>3753</s:v>
      </s:c>
      <s:c r="D532" s="0" t="n">
        <s:v>580</s:v>
      </s:c>
      <s:c r="E532" s="0" t="n">
        <s:v>1499</s:v>
      </s:c>
      <s:c r="F532" s="0" t="n">
        <s:v>3635</s:v>
      </s:c>
      <s:c r="G532" s="0" t="n">
        <s:v>2422</s:v>
      </s:c>
      <s:c r="H532" s="0" t="n">
        <s:v>4622</s:v>
      </s:c>
      <s:c r="I532" s="0" t="n">
        <s:v>2003</s:v>
      </s:c>
      <s:c r="J532" s="0" t="n">
        <s:v>1833</s:v>
      </s:c>
      <s:c r="K532" s="22">
        <s:f>'1'!F533</s:f>
        <s:v>46247.56630787037</s:v>
      </s:c>
      <s:c r="L532" s="22">
        <s:f>'2'!F533</s:f>
        <s:v>46247.54804398148</s:v>
      </s:c>
      <s:c r="M532" s="22">
        <s:f>'3'!F533</s:f>
        <s:v>46247.530636574076</s:v>
      </s:c>
      <s:c r="N532" s="22">
        <s:f>'4'!F533</s:f>
        <s:v>46247.48474537037</s:v>
      </s:c>
      <s:c r="O532" s="22">
        <s:f>'5'!F533</s:f>
        <s:v>46247.456400462965</s:v>
      </s:c>
      <s:c r="P532" s="22">
        <s:f>'6'!F533</s:f>
        <s:v>46247.436944444446</s:v>
      </s:c>
      <s:c r="Q532" s="22">
        <s:f>'7'!F533</s:f>
        <s:v>46247.414293981485</s:v>
      </s:c>
      <s:c r="R532" s="22">
        <s:f>'8'!F533</s:f>
        <s:v>46247.39010416667</s:v>
      </s:c>
      <s:c r="S532" s="22">
        <s:f>'9'!F533</s:f>
        <s:v>46247.37229166667</s:v>
      </s:c>
      <s:c r="T532" s="22">
        <s:f>'10'!F533</s:f>
        <s:v>46247.34306712963</s:v>
      </s:c>
      <s:c r="U532" s="23">
        <s:f>'자료구성'!$B$2</s:f>
        <s:v>46247.0</s:v>
      </s:c>
    </s:row>
    <s:row r="533">
      <s:c r="A533" s="0" t="n">
        <s:v>1325</s:v>
      </s:c>
      <s:c r="B533" s="0" t="n">
        <s:v>1711</s:v>
      </s:c>
      <s:c r="C533" s="0" t="n">
        <s:v>3780</s:v>
      </s:c>
      <s:c r="D533" s="0" t="n">
        <s:v>608</s:v>
      </s:c>
      <s:c r="E533" s="0" t="n">
        <s:v>1481</s:v>
      </s:c>
      <s:c r="F533" s="0" t="n">
        <s:v>3663</s:v>
      </s:c>
      <s:c r="G533" s="0" t="n">
        <s:v>2476</s:v>
      </s:c>
      <s:c r="H533" s="0" t="n">
        <s:v>4628</s:v>
      </s:c>
      <s:c r="I533" s="0" t="n">
        <s:v>1985</s:v>
      </s:c>
      <s:c r="J533" s="0" t="n">
        <s:v>1859</s:v>
      </s:c>
      <s:c r="K533" s="22">
        <s:f>'1'!F534</s:f>
        <s:v>46247.56631944444</s:v>
      </s:c>
      <s:c r="L533" s="22">
        <s:f>'2'!F534</s:f>
        <s:v>46247.548055555555</s:v>
      </s:c>
      <s:c r="M533" s="22">
        <s:f>'3'!F534</s:f>
        <s:v>46247.530648148146</s:v>
      </s:c>
      <s:c r="N533" s="22">
        <s:f>'4'!F534</s:f>
        <s:v>46247.48475694445</s:v>
      </s:c>
      <s:c r="O533" s="22">
        <s:f>'5'!F534</s:f>
        <s:v>46247.456412037034</s:v>
      </s:c>
      <s:c r="P533" s="22">
        <s:f>'6'!F534</s:f>
        <s:v>46247.436956018515</s:v>
      </s:c>
      <s:c r="Q533" s="22">
        <s:f>'7'!F534</s:f>
        <s:v>46247.414305555554</s:v>
      </s:c>
      <s:c r="R533" s="22">
        <s:f>'8'!F534</s:f>
        <s:v>46247.39011574074</s:v>
      </s:c>
      <s:c r="S533" s="22">
        <s:f>'9'!F534</s:f>
        <s:v>46247.37230324074</s:v>
      </s:c>
      <s:c r="T533" s="22">
        <s:f>'10'!F534</s:f>
        <s:v>46247.34307870371</s:v>
      </s:c>
      <s:c r="U533" s="23">
        <s:f>'자료구성'!$B$2</s:f>
        <s:v>46247.0</s:v>
      </s:c>
    </s:row>
    <s:row r="534">
      <s:c r="A534" s="0" t="n">
        <s:v>1324</s:v>
      </s:c>
      <s:c r="B534" s="0" t="n">
        <s:v>1669</s:v>
      </s:c>
      <s:c r="C534" s="0" t="n">
        <s:v>3756</s:v>
      </s:c>
      <s:c r="D534" s="0" t="n">
        <s:v>631</s:v>
      </s:c>
      <s:c r="E534" s="0" t="n">
        <s:v>1468</s:v>
      </s:c>
      <s:c r="F534" s="0" t="n">
        <s:v>3730</s:v>
      </s:c>
      <s:c r="G534" s="0" t="n">
        <s:v>2503</s:v>
      </s:c>
      <s:c r="H534" s="0" t="n">
        <s:v>4659</s:v>
      </s:c>
      <s:c r="I534" s="0" t="n">
        <s:v>1971</s:v>
      </s:c>
      <s:c r="J534" s="0" t="n">
        <s:v>1880</s:v>
      </s:c>
      <s:c r="K534" s="22">
        <s:f>'1'!F535</s:f>
        <s:v>46247.56633101852</s:v>
      </s:c>
      <s:c r="L534" s="22">
        <s:f>'2'!F535</s:f>
        <s:v>46247.54806712963</s:v>
      </s:c>
      <s:c r="M534" s="22">
        <s:f>'3'!F535</s:f>
        <s:v>46247.53065972222</s:v>
      </s:c>
      <s:c r="N534" s="22">
        <s:f>'4'!F535</s:f>
        <s:v>46247.484768518516</s:v>
      </s:c>
      <s:c r="O534" s="22">
        <s:f>'5'!F535</s:f>
        <s:v>46247.45642361111</s:v>
      </s:c>
      <s:c r="P534" s="22">
        <s:f>'6'!F535</s:f>
        <s:v>46247.43696759259</s:v>
      </s:c>
      <s:c r="Q534" s="22">
        <s:f>'7'!F535</s:f>
        <s:v>46247.41431712963</s:v>
      </s:c>
      <s:c r="R534" s="22">
        <s:f>'8'!F535</s:f>
        <s:v>46247.390127314815</s:v>
      </s:c>
      <s:c r="S534" s="22">
        <s:f>'9'!F535</s:f>
        <s:v>46247.37231481481</s:v>
      </s:c>
      <s:c r="T534" s="22">
        <s:f>'10'!F535</s:f>
        <s:v>46247.343090277776</s:v>
      </s:c>
      <s:c r="U534" s="23">
        <s:f>'자료구성'!$B$2</s:f>
        <s:v>46247.0</s:v>
      </s:c>
    </s:row>
    <s:row r="535">
      <s:c r="A535" s="0" t="n">
        <s:v>1328</s:v>
      </s:c>
      <s:c r="B535" s="0" t="n">
        <s:v>1667</s:v>
      </s:c>
      <s:c r="C535" s="0" t="n">
        <s:v>3684</s:v>
      </s:c>
      <s:c r="D535" s="0" t="n">
        <s:v>646</s:v>
      </s:c>
      <s:c r="E535" s="0" t="n">
        <s:v>1440</s:v>
      </s:c>
      <s:c r="F535" s="0" t="n">
        <s:v>3868</s:v>
      </s:c>
      <s:c r="G535" s="0" t="n">
        <s:v>2556</s:v>
      </s:c>
      <s:c r="H535" s="0" t="n">
        <s:v>4692</s:v>
      </s:c>
      <s:c r="I535" s="0" t="n">
        <s:v>1993</s:v>
      </s:c>
      <s:c r="J535" s="0" t="n">
        <s:v>1887</s:v>
      </s:c>
      <s:c r="K535" s="22">
        <s:f>'1'!F536</s:f>
        <s:v>46247.566342592596</s:v>
      </s:c>
      <s:c r="L535" s="22">
        <s:f>'2'!F536</s:f>
        <s:v>46247.5480787037</s:v>
      </s:c>
      <s:c r="M535" s="22">
        <s:f>'3'!F536</s:f>
        <s:v>46247.5306712963</s:v>
      </s:c>
      <s:c r="N535" s="22">
        <s:f>'4'!F536</s:f>
        <s:v>46247.48478009259</s:v>
      </s:c>
      <s:c r="O535" s="22">
        <s:f>'5'!F536</s:f>
        <s:v>46247.45643518519</s:v>
      </s:c>
      <s:c r="P535" s="22">
        <s:f>'6'!F536</s:f>
        <s:v>46247.43697916667</s:v>
      </s:c>
      <s:c r="Q535" s="22">
        <s:f>'7'!F536</s:f>
        <s:v>46247.4143287037</s:v>
      </s:c>
      <s:c r="R535" s="22">
        <s:f>'8'!F536</s:f>
        <s:v>46247.39013888889</s:v>
      </s:c>
      <s:c r="S535" s="22">
        <s:f>'9'!F536</s:f>
        <s:v>46247.37232638889</s:v>
      </s:c>
      <s:c r="T535" s="22">
        <s:f>'10'!F536</s:f>
        <s:v>46247.34310185185</s:v>
      </s:c>
      <s:c r="U535" s="23">
        <s:f>'자료구성'!$B$2</s:f>
        <s:v>46247.0</s:v>
      </s:c>
    </s:row>
    <s:row r="536">
      <s:c r="A536" s="0" t="n">
        <s:v>1348</s:v>
      </s:c>
      <s:c r="B536" s="0" t="n">
        <s:v>1656</s:v>
      </s:c>
      <s:c r="C536" s="0" t="n">
        <s:v>3590</s:v>
      </s:c>
      <s:c r="D536" s="0" t="n">
        <s:v>642</s:v>
      </s:c>
      <s:c r="E536" s="0" t="n">
        <s:v>1436</s:v>
      </s:c>
      <s:c r="F536" s="0" t="n">
        <s:v>3904</s:v>
      </s:c>
      <s:c r="G536" s="0" t="n">
        <s:v>2624</s:v>
      </s:c>
      <s:c r="H536" s="0" t="n">
        <s:v>4746</s:v>
      </s:c>
      <s:c r="I536" s="0" t="n">
        <s:v>1993</s:v>
      </s:c>
      <s:c r="J536" s="0" t="n">
        <s:v>1878</s:v>
      </s:c>
      <s:c r="K536" s="22">
        <s:f>'1'!F537</s:f>
        <s:v>46247.566354166665</s:v>
      </s:c>
      <s:c r="L536" s="22">
        <s:f>'2'!F537</s:f>
        <s:v>46247.54809027778</s:v>
      </s:c>
      <s:c r="M536" s="22">
        <s:f>'3'!F537</s:f>
        <s:v>46247.53068287037</s:v>
      </s:c>
      <s:c r="N536" s="22">
        <s:f>'4'!F537</s:f>
        <s:v>46247.48479166667</s:v>
      </s:c>
      <s:c r="O536" s="22">
        <s:f>'5'!F537</s:f>
        <s:v>46247.45644675926</s:v>
      </s:c>
      <s:c r="P536" s="22">
        <s:f>'6'!F537</s:f>
        <s:v>46247.43699074074</s:v>
      </s:c>
      <s:c r="Q536" s="22">
        <s:f>'7'!F537</s:f>
        <s:v>46247.41434027778</s:v>
      </s:c>
      <s:c r="R536" s="22">
        <s:f>'8'!F537</s:f>
        <s:v>46247.39015046296</s:v>
      </s:c>
      <s:c r="S536" s="22">
        <s:f>'9'!F537</s:f>
        <s:v>46247.37233796297</s:v>
      </s:c>
      <s:c r="T536" s="22">
        <s:f>'10'!F537</s:f>
        <s:v>46247.34311342592</s:v>
      </s:c>
      <s:c r="U536" s="23">
        <s:f>'자료구성'!$B$2</s:f>
        <s:v>46247.0</s:v>
      </s:c>
    </s:row>
    <s:row r="537">
      <s:c r="A537" s="0" t="n">
        <s:v>1375</s:v>
      </s:c>
      <s:c r="B537" s="0" t="n">
        <s:v>1645</s:v>
      </s:c>
      <s:c r="C537" s="0" t="n">
        <s:v>3535</s:v>
      </s:c>
      <s:c r="D537" s="0" t="n">
        <s:v>655</s:v>
      </s:c>
      <s:c r="E537" s="0" t="n">
        <s:v>1438</s:v>
      </s:c>
      <s:c r="F537" s="0" t="n">
        <s:v>3892</s:v>
      </s:c>
      <s:c r="G537" s="0" t="n">
        <s:v>2623</s:v>
      </s:c>
      <s:c r="H537" s="0" t="n">
        <s:v>4759</s:v>
      </s:c>
      <s:c r="I537" s="0" t="n">
        <s:v>1967</s:v>
      </s:c>
      <s:c r="J537" s="0" t="n">
        <s:v>1880</s:v>
      </s:c>
      <s:c r="K537" s="22">
        <s:f>'1'!F538</s:f>
        <s:v>46247.56636574074</s:v>
      </s:c>
      <s:c r="L537" s="22">
        <s:f>'2'!F538</s:f>
        <s:v>46247.548101851855</s:v>
      </s:c>
      <s:c r="M537" s="22">
        <s:f>'3'!F538</s:f>
        <s:v>46247.530694444446</s:v>
      </s:c>
      <s:c r="N537" s="22">
        <s:f>'4'!F538</s:f>
        <s:v>46247.48480324074</s:v>
      </s:c>
      <s:c r="O537" s="22">
        <s:f>'5'!F538</s:f>
        <s:v>46247.456458333334</s:v>
      </s:c>
      <s:c r="P537" s="22">
        <s:f>'6'!F538</s:f>
        <s:v>46247.437002314815</s:v>
      </s:c>
      <s:c r="Q537" s="22">
        <s:f>'7'!F538</s:f>
        <s:v>46247.414351851854</s:v>
      </s:c>
      <s:c r="R537" s="22">
        <s:f>'8'!F538</s:f>
        <s:v>46247.39016203704</s:v>
      </s:c>
      <s:c r="S537" s="22">
        <s:f>'9'!F538</s:f>
        <s:v>46247.372349537036</s:v>
      </s:c>
      <s:c r="T537" s="22">
        <s:f>'10'!F538</s:f>
        <s:v>46247.343125</s:v>
      </s:c>
      <s:c r="U537" s="23">
        <s:f>'자료구성'!$B$2</s:f>
        <s:v>46247.0</s:v>
      </s:c>
    </s:row>
    <s:row r="538">
      <s:c r="A538" s="0" t="n">
        <s:v>1375</s:v>
      </s:c>
      <s:c r="B538" s="0" t="n">
        <s:v>1592</s:v>
      </s:c>
      <s:c r="C538" s="0" t="n">
        <s:v>3498</s:v>
      </s:c>
      <s:c r="D538" s="0" t="n">
        <s:v>666</s:v>
      </s:c>
      <s:c r="E538" s="0" t="n">
        <s:v>1419</s:v>
      </s:c>
      <s:c r="F538" s="0" t="n">
        <s:v>3818</s:v>
      </s:c>
      <s:c r="G538" s="0" t="n">
        <s:v>2599</s:v>
      </s:c>
      <s:c r="H538" s="0" t="n">
        <s:v>4709</s:v>
      </s:c>
      <s:c r="I538" s="0" t="n">
        <s:v>2011</s:v>
      </s:c>
      <s:c r="J538" s="0" t="n">
        <s:v>1889</s:v>
      </s:c>
      <s:c r="K538" s="22">
        <s:f>'1'!F539</s:f>
        <s:v>46247.56637731481</s:v>
      </s:c>
      <s:c r="L538" s="22">
        <s:f>'2'!F539</s:f>
        <s:v>46247.548113425924</s:v>
      </s:c>
      <s:c r="M538" s="22">
        <s:f>'3'!F539</s:f>
        <s:v>46247.530706018515</s:v>
      </s:c>
      <s:c r="N538" s="22">
        <s:f>'4'!F539</s:f>
        <s:v>46247.484814814816</s:v>
      </s:c>
      <s:c r="O538" s="22">
        <s:f>'5'!F539</s:f>
        <s:v>46247.45646990741</s:v>
      </s:c>
      <s:c r="P538" s="22">
        <s:f>'6'!F539</s:f>
        <s:v>46247.43701388889</s:v>
      </s:c>
      <s:c r="Q538" s="22">
        <s:f>'7'!F539</s:f>
        <s:v>46247.41436342592</s:v>
      </s:c>
      <s:c r="R538" s="22">
        <s:f>'8'!F539</s:f>
        <s:v>46247.390173611115</s:v>
      </s:c>
      <s:c r="S538" s="22">
        <s:f>'9'!F539</s:f>
        <s:v>46247.37236111111</s:v>
      </s:c>
      <s:c r="T538" s="22">
        <s:f>'10'!F539</s:f>
        <s:v>46247.343136574076</s:v>
      </s:c>
      <s:c r="U538" s="23">
        <s:f>'자료구성'!$B$2</s:f>
        <s:v>46247.0</s:v>
      </s:c>
    </s:row>
    <s:row r="539">
      <s:c r="A539" s="0" t="n">
        <s:v>1380</s:v>
      </s:c>
      <s:c r="B539" s="0" t="n">
        <s:v>1527</s:v>
      </s:c>
      <s:c r="C539" s="0" t="n">
        <s:v>3497</s:v>
      </s:c>
      <s:c r="D539" s="0" t="n">
        <s:v>729</s:v>
      </s:c>
      <s:c r="E539" s="0" t="n">
        <s:v>1415</s:v>
      </s:c>
      <s:c r="F539" s="0" t="n">
        <s:v>3787</s:v>
      </s:c>
      <s:c r="G539" s="0" t="n">
        <s:v>2548</s:v>
      </s:c>
      <s:c r="H539" s="0" t="n">
        <s:v>4633</s:v>
      </s:c>
      <s:c r="I539" s="0" t="n">
        <s:v>2022</s:v>
      </s:c>
      <s:c r="J539" s="0" t="n">
        <s:v>1905</s:v>
      </s:c>
      <s:c r="K539" s="22">
        <s:f>'1'!F540</s:f>
        <s:v>46247.56638888889</s:v>
      </s:c>
      <s:c r="L539" s="22">
        <s:f>'2'!F540</s:f>
        <s:v>46247.548125</s:v>
      </s:c>
      <s:c r="M539" s="22">
        <s:f>'3'!F540</s:f>
        <s:v>46247.53071759259</s:v>
      </s:c>
      <s:c r="N539" s="22">
        <s:f>'4'!F540</s:f>
        <s:v>46247.484826388885</s:v>
      </s:c>
      <s:c r="O539" s="22">
        <s:f>'5'!F540</s:f>
        <s:v>46247.45648148148</s:v>
      </s:c>
      <s:c r="P539" s="22">
        <s:f>'6'!F540</s:f>
        <s:v>46247.43702546296</s:v>
      </s:c>
      <s:c r="Q539" s="22">
        <s:f>'7'!F540</s:f>
        <s:v>46247.414375</s:v>
      </s:c>
      <s:c r="R539" s="22">
        <s:f>'8'!F540</s:f>
        <s:v>46247.390185185184</s:v>
      </s:c>
      <s:c r="S539" s="22">
        <s:f>'9'!F540</s:f>
        <s:v>46247.37237268518</s:v>
      </s:c>
      <s:c r="T539" s="22">
        <s:f>'10'!F540</s:f>
        <s:v>46247.343148148146</s:v>
      </s:c>
      <s:c r="U539" s="23">
        <s:f>'자료구성'!$B$2</s:f>
        <s:v>46247.0</s:v>
      </s:c>
    </s:row>
    <s:row r="540">
      <s:c r="A540" s="0" t="n">
        <s:v>1352</s:v>
      </s:c>
      <s:c r="B540" s="0" t="n">
        <s:v>1485</s:v>
      </s:c>
      <s:c r="C540" s="0" t="n">
        <s:v>3477</s:v>
      </s:c>
      <s:c r="D540" s="0" t="n">
        <s:v>783</s:v>
      </s:c>
      <s:c r="E540" s="0" t="n">
        <s:v>1414</s:v>
      </s:c>
      <s:c r="F540" s="0" t="n">
        <s:v>3767</s:v>
      </s:c>
      <s:c r="G540" s="0" t="n">
        <s:v>2479</s:v>
      </s:c>
      <s:c r="H540" s="0" t="n">
        <s:v>4546</s:v>
      </s:c>
      <s:c r="I540" s="0" t="n">
        <s:v>2064</s:v>
      </s:c>
      <s:c r="J540" s="0" t="n">
        <s:v>1938</s:v>
      </s:c>
      <s:c r="K540" s="22">
        <s:f>'1'!F541</s:f>
        <s:v>46247.566400462965</s:v>
      </s:c>
      <s:c r="L540" s="22">
        <s:f>'2'!F541</s:f>
        <s:v>46247.54813657407</s:v>
      </s:c>
      <s:c r="M540" s="22">
        <s:f>'3'!F541</s:f>
        <s:v>46247.53072916667</s:v>
      </s:c>
      <s:c r="N540" s="22">
        <s:f>'4'!F541</s:f>
        <s:v>46247.48483796296</s:v>
      </s:c>
      <s:c r="O540" s="22">
        <s:f>'5'!F541</s:f>
        <s:v>46247.45649305556</s:v>
      </s:c>
      <s:c r="P540" s="22">
        <s:f>'6'!F541</s:f>
        <s:v>46247.43703703704</s:v>
      </s:c>
      <s:c r="Q540" s="22">
        <s:f>'7'!F541</s:f>
        <s:v>46247.41438657408</s:v>
      </s:c>
      <s:c r="R540" s="22">
        <s:f>'8'!F541</s:f>
        <s:v>46247.39019675926</s:v>
      </s:c>
      <s:c r="S540" s="22">
        <s:f>'9'!F541</s:f>
        <s:v>46247.37238425926</s:v>
      </s:c>
      <s:c r="T540" s="22">
        <s:f>'10'!F541</s:f>
        <s:v>46247.34315972222</s:v>
      </s:c>
      <s:c r="U540" s="23">
        <s:f>'자료구성'!$B$2</s:f>
        <s:v>46247.0</s:v>
      </s:c>
    </s:row>
    <s:row r="541">
      <s:c r="A541" s="0" t="n">
        <s:v>1358</s:v>
      </s:c>
      <s:c r="B541" s="0" t="n">
        <s:v>1465</s:v>
      </s:c>
      <s:c r="C541" s="0" t="n">
        <s:v>3451</s:v>
      </s:c>
      <s:c r="D541" s="0" t="n">
        <s:v>838</s:v>
      </s:c>
      <s:c r="E541" s="0" t="n">
        <s:v>1408</s:v>
      </s:c>
      <s:c r="F541" s="0" t="n">
        <s:v>3791</s:v>
      </s:c>
      <s:c r="G541" s="0" t="n">
        <s:v>2415</s:v>
      </s:c>
      <s:c r="H541" s="0" t="n">
        <s:v>4448</s:v>
      </s:c>
      <s:c r="I541" s="0" t="n">
        <s:v>2090</s:v>
      </s:c>
      <s:c r="J541" s="0" t="n">
        <s:v>1967</s:v>
      </s:c>
      <s:c r="K541" s="22">
        <s:f>'1'!F542</s:f>
        <s:v>46247.566412037035</s:v>
      </s:c>
      <s:c r="L541" s="22">
        <s:f>'2'!F542</s:f>
        <s:v>46247.54814814815</s:v>
      </s:c>
      <s:c r="M541" s="22">
        <s:f>'3'!F542</s:f>
        <s:v>46247.53074074074</s:v>
      </s:c>
      <s:c r="N541" s="22">
        <s:f>'4'!F542</s:f>
        <s:v>46247.48484953704</s:v>
      </s:c>
      <s:c r="O541" s="22">
        <s:f>'5'!F542</s:f>
        <s:v>46247.45650462963</s:v>
      </s:c>
      <s:c r="P541" s="22">
        <s:f>'6'!F542</s:f>
        <s:v>46247.437048611115</s:v>
      </s:c>
      <s:c r="Q541" s="22">
        <s:f>'7'!F542</s:f>
        <s:v>46247.41439814815</s:v>
      </s:c>
      <s:c r="R541" s="22">
        <s:f>'8'!F542</s:f>
        <s:v>46247.39020833333</s:v>
      </s:c>
      <s:c r="S541" s="22">
        <s:f>'9'!F542</s:f>
        <s:v>46247.372395833336</s:v>
      </s:c>
      <s:c r="T541" s="22">
        <s:f>'10'!F542</s:f>
        <s:v>46247.3431712963</s:v>
      </s:c>
      <s:c r="U541" s="23">
        <s:f>'자료구성'!$B$2</s:f>
        <s:v>46247.0</s:v>
      </s:c>
    </s:row>
    <s:row r="542">
      <s:c r="A542" s="0" t="n">
        <s:v>1401</s:v>
      </s:c>
      <s:c r="B542" s="0" t="n">
        <s:v>1460</s:v>
      </s:c>
      <s:c r="C542" s="0" t="n">
        <s:v>3544</s:v>
      </s:c>
      <s:c r="D542" s="0" t="n">
        <s:v>882</s:v>
      </s:c>
      <s:c r="E542" s="0" t="n">
        <s:v>1401</s:v>
      </s:c>
      <s:c r="F542" s="0" t="n">
        <s:v>3758</s:v>
      </s:c>
      <s:c r="G542" s="0" t="n">
        <s:v>2358</s:v>
      </s:c>
      <s:c r="H542" s="0" t="n">
        <s:v>4390</s:v>
      </s:c>
      <s:c r="I542" s="0" t="n">
        <s:v>2126</s:v>
      </s:c>
      <s:c r="J542" s="0" t="n">
        <s:v>1987</s:v>
      </s:c>
      <s:c r="K542" s="22">
        <s:f>'1'!F543</s:f>
        <s:v>46247.56642361111</s:v>
      </s:c>
      <s:c r="L542" s="22">
        <s:f>'2'!F543</s:f>
        <s:v>46247.548159722224</s:v>
      </s:c>
      <s:c r="M542" s="22">
        <s:f>'3'!F543</s:f>
        <s:v>46247.530752314815</s:v>
      </s:c>
      <s:c r="N542" s="22">
        <s:f>'4'!F543</s:f>
        <s:v>46247.48486111111</s:v>
      </s:c>
      <s:c r="O542" s="22">
        <s:f>'5'!F543</s:f>
        <s:v>46247.4565162037</s:v>
      </s:c>
      <s:c r="P542" s="22">
        <s:f>'6'!F543</s:f>
        <s:v>46247.437060185184</s:v>
      </s:c>
      <s:c r="Q542" s="22">
        <s:f>'7'!F543</s:f>
        <s:v>46247.41440972222</s:v>
      </s:c>
      <s:c r="R542" s="22">
        <s:f>'8'!F543</s:f>
        <s:v>46247.39021990741</s:v>
      </s:c>
      <s:c r="S542" s="22">
        <s:f>'9'!F543</s:f>
        <s:v>46247.372407407405</s:v>
      </s:c>
      <s:c r="T542" s="22">
        <s:f>'10'!F543</s:f>
        <s:v>46247.34318287037</s:v>
      </s:c>
      <s:c r="U542" s="23">
        <s:f>'자료구성'!$B$2</s:f>
        <s:v>46247.0</s:v>
      </s:c>
    </s:row>
    <s:row r="543">
      <s:c r="A543" s="0" t="n">
        <s:v>1444</s:v>
      </s:c>
      <s:c r="B543" s="0" t="n">
        <s:v>1446</s:v>
      </s:c>
      <s:c r="C543" s="0" t="n">
        <s:v>3796</s:v>
      </s:c>
      <s:c r="D543" s="0" t="n">
        <s:v>928</s:v>
      </s:c>
      <s:c r="E543" s="0" t="n">
        <s:v>1403</s:v>
      </s:c>
      <s:c r="F543" s="0" t="n">
        <s:v>3686</s:v>
      </s:c>
      <s:c r="G543" s="0" t="n">
        <s:v>2287</s:v>
      </s:c>
      <s:c r="H543" s="0" t="n">
        <s:v>4329</s:v>
      </s:c>
      <s:c r="I543" s="0" t="n">
        <s:v>2134</s:v>
      </s:c>
      <s:c r="J543" s="0" t="n">
        <s:v>1974</s:v>
      </s:c>
      <s:c r="K543" s="22">
        <s:f>'1'!F544</s:f>
        <s:v>46247.56643518519</s:v>
      </s:c>
      <s:c r="L543" s="22">
        <s:f>'2'!F544</s:f>
        <s:v>46247.548171296294</s:v>
      </s:c>
      <s:c r="M543" s="22">
        <s:f>'3'!F544</s:f>
        <s:v>46247.53076388889</s:v>
      </s:c>
      <s:c r="N543" s="22">
        <s:f>'4'!F544</s:f>
        <s:v>46247.484872685185</s:v>
      </s:c>
      <s:c r="O543" s="22">
        <s:f>'5'!F544</s:f>
        <s:v>46247.45652777778</s:v>
      </s:c>
      <s:c r="P543" s="22">
        <s:f>'6'!F544</s:f>
        <s:v>46247.43707175926</s:v>
      </s:c>
      <s:c r="Q543" s="22">
        <s:f>'7'!F544</s:f>
        <s:v>46247.41442129629</s:v>
      </s:c>
      <s:c r="R543" s="22">
        <s:f>'8'!F544</s:f>
        <s:v>46247.390231481484</s:v>
      </s:c>
      <s:c r="S543" s="22">
        <s:f>'9'!F544</s:f>
        <s:v>46247.37241898148</s:v>
      </s:c>
      <s:c r="T543" s="22">
        <s:f>'10'!F544</s:f>
        <s:v>46247.343194444446</s:v>
      </s:c>
      <s:c r="U543" s="23">
        <s:f>'자료구성'!$B$2</s:f>
        <s:v>46247.0</s:v>
      </s:c>
    </s:row>
    <s:row r="544">
      <s:c r="A544" s="0" t="n">
        <s:v>1456</s:v>
      </s:c>
      <s:c r="B544" s="0" t="n">
        <s:v>1418</s:v>
      </s:c>
      <s:c r="C544" s="0" t="n">
        <s:v>3953</s:v>
      </s:c>
      <s:c r="D544" s="0" t="n">
        <s:v>969</s:v>
      </s:c>
      <s:c r="E544" s="0" t="n">
        <s:v>1411</s:v>
      </s:c>
      <s:c r="F544" s="0" t="n">
        <s:v>3666</s:v>
      </s:c>
      <s:c r="G544" s="0" t="n">
        <s:v>2198</s:v>
      </s:c>
      <s:c r="H544" s="0" t="n">
        <s:v>4270</s:v>
      </s:c>
      <s:c r="I544" s="0" t="n">
        <s:v>2180</s:v>
      </s:c>
      <s:c r="J544" s="0" t="n">
        <s:v>1945</s:v>
      </s:c>
      <s:c r="K544" s="22">
        <s:f>'1'!F545</s:f>
        <s:v>46247.56644675926</s:v>
      </s:c>
      <s:c r="L544" s="22">
        <s:f>'2'!F545</s:f>
        <s:v>46247.54818287037</s:v>
      </s:c>
      <s:c r="M544" s="22">
        <s:f>'3'!F545</s:f>
        <s:v>46247.53077546296</s:v>
      </s:c>
      <s:c r="N544" s="22">
        <s:f>'4'!F545</s:f>
        <s:v>46247.48488425926</s:v>
      </s:c>
      <s:c r="O544" s="22">
        <s:f>'5'!F545</s:f>
        <s:v>46247.45653935185</s:v>
      </s:c>
      <s:c r="P544" s="22">
        <s:f>'6'!F545</s:f>
        <s:v>46247.43708333333</s:v>
      </s:c>
      <s:c r="Q544" s="22">
        <s:f>'7'!F545</s:f>
        <s:v>46247.41443287037</s:v>
      </s:c>
      <s:c r="R544" s="22">
        <s:f>'8'!F545</s:f>
        <s:v>46247.39024305555</s:v>
      </s:c>
      <s:c r="S544" s="22">
        <s:f>'9'!F545</s:f>
        <s:v>46247.37243055556</s:v>
      </s:c>
      <s:c r="T544" s="22">
        <s:f>'10'!F545</s:f>
        <s:v>46247.343206018515</s:v>
      </s:c>
      <s:c r="U544" s="23">
        <s:f>'자료구성'!$B$2</s:f>
        <s:v>46247.0</s:v>
      </s:c>
    </s:row>
    <s:row r="545">
      <s:c r="A545" s="0" t="n">
        <s:v>1483</s:v>
      </s:c>
      <s:c r="B545" s="0" t="n">
        <s:v>1376</s:v>
      </s:c>
      <s:c r="C545" s="0" t="n">
        <s:v>4225</s:v>
      </s:c>
      <s:c r="D545" s="0" t="n">
        <s:v>4</s:v>
      </s:c>
      <s:c r="E545" s="0" t="n">
        <s:v>1414</s:v>
      </s:c>
      <s:c r="F545" s="0" t="n">
        <s:v>3647</s:v>
      </s:c>
      <s:c r="G545" s="0" t="n">
        <s:v>2093</s:v>
      </s:c>
      <s:c r="H545" s="0" t="n">
        <s:v>4260</s:v>
      </s:c>
      <s:c r="I545" s="0" t="n">
        <s:v>2188</s:v>
      </s:c>
      <s:c r="J545" s="0" t="n">
        <s:v>1915</s:v>
      </s:c>
      <s:c r="K545" s="22">
        <s:f>'1'!F546</s:f>
        <s:v>46247.566458333335</s:v>
      </s:c>
      <s:c r="L545" s="22">
        <s:f>'2'!F546</s:f>
        <s:v>46247.54819444445</s:v>
      </s:c>
      <s:c r="M545" s="22">
        <s:f>'3'!F546</s:f>
        <s:v>46247.53078703704</s:v>
      </s:c>
      <s:c r="N545" s="22">
        <s:f>'4'!F546</s:f>
        <s:v>46247.48489583333</s:v>
      </s:c>
      <s:c r="O545" s="22">
        <s:f>'5'!F546</s:f>
        <s:v>46247.45655092593</s:v>
      </s:c>
      <s:c r="P545" s="22">
        <s:f>'6'!F546</s:f>
        <s:v>46247.43709490741</s:v>
      </s:c>
      <s:c r="Q545" s="22">
        <s:f>'7'!F546</s:f>
        <s:v>46247.41444444445</s:v>
      </s:c>
      <s:c r="R545" s="22">
        <s:f>'8'!F546</s:f>
        <s:v>46247.39025462963</s:v>
      </s:c>
      <s:c r="S545" s="22">
        <s:f>'9'!F546</s:f>
        <s:v>46247.37244212963</s:v>
      </s:c>
      <s:c r="T545" s="22">
        <s:f>'10'!F546</s:f>
        <s:v>46247.34321759259</s:v>
      </s:c>
      <s:c r="U545" s="23">
        <s:f>'자료구성'!$B$2</s:f>
        <s:v>46247.0</s:v>
      </s:c>
    </s:row>
    <s:row r="546">
      <s:c r="A546" s="0" t="n">
        <s:v>1509</s:v>
      </s:c>
      <s:c r="B546" s="0" t="n">
        <s:v>1345</s:v>
      </s:c>
      <s:c r="C546" s="0" t="n">
        <s:v>4399</s:v>
      </s:c>
      <s:c r="D546" s="0" t="n">
        <s:v>35</s:v>
      </s:c>
      <s:c r="E546" s="0" t="n">
        <s:v>1403</s:v>
      </s:c>
      <s:c r="F546" s="0" t="n">
        <s:v>3626</s:v>
      </s:c>
      <s:c r="G546" s="0" t="n">
        <s:v>2006</s:v>
      </s:c>
      <s:c r="H546" s="0" t="n">
        <s:v>4256</s:v>
      </s:c>
      <s:c r="I546" s="0" t="n">
        <s:v>2201</s:v>
      </s:c>
      <s:c r="J546" s="0" t="n">
        <s:v>1875</s:v>
      </s:c>
      <s:c r="K546" s="22">
        <s:f>'1'!F547</s:f>
        <s:v>46247.566469907404</s:v>
      </s:c>
      <s:c r="L546" s="22">
        <s:f>'2'!F547</s:f>
        <s:v>46247.54820601852</s:v>
      </s:c>
      <s:c r="M546" s="22">
        <s:f>'3'!F547</s:f>
        <s:v>46247.530798611115</s:v>
      </s:c>
      <s:c r="N546" s="22">
        <s:f>'4'!F547</s:f>
        <s:v>46247.48490740741</s:v>
      </s:c>
      <s:c r="O546" s="22">
        <s:f>'5'!F547</s:f>
        <s:v>46247.4565625</s:v>
      </s:c>
      <s:c r="P546" s="22">
        <s:f>'6'!F547</s:f>
        <s:v>46247.437106481484</s:v>
      </s:c>
      <s:c r="Q546" s="22">
        <s:f>'7'!F547</s:f>
        <s:v>46247.414456018516</s:v>
      </s:c>
      <s:c r="R546" s="22">
        <s:f>'8'!F547</s:f>
        <s:v>46247.39026620371</s:v>
      </s:c>
      <s:c r="S546" s="22">
        <s:f>'9'!F547</s:f>
        <s:v>46247.372453703705</s:v>
      </s:c>
      <s:c r="T546" s="22">
        <s:f>'10'!F547</s:f>
        <s:v>46247.34322916667</s:v>
      </s:c>
      <s:c r="U546" s="23">
        <s:f>'자료구성'!$B$2</s:f>
        <s:v>46247.0</s:v>
      </s:c>
    </s:row>
    <s:row r="547">
      <s:c r="A547" s="0" t="n">
        <s:v>1499</s:v>
      </s:c>
      <s:c r="B547" s="0" t="n">
        <s:v>1310</s:v>
      </s:c>
      <s:c r="C547" s="0" t="n">
        <s:v>4620</s:v>
      </s:c>
      <s:c r="D547" s="0" t="n">
        <s:v>64</s:v>
      </s:c>
      <s:c r="E547" s="0" t="n">
        <s:v>1406</s:v>
      </s:c>
      <s:c r="F547" s="0" t="n">
        <s:v>3576</s:v>
      </s:c>
      <s:c r="G547" s="0" t="n">
        <s:v>1932</s:v>
      </s:c>
      <s:c r="H547" s="0" t="n">
        <s:v>4274</s:v>
      </s:c>
      <s:c r="I547" s="0" t="n">
        <s:v>2201</s:v>
      </s:c>
      <s:c r="J547" s="0" t="n">
        <s:v>1870</s:v>
      </s:c>
      <s:c r="K547" s="22">
        <s:f>'1'!F548</s:f>
        <s:v>46247.56648148148</s:v>
      </s:c>
      <s:c r="L547" s="22">
        <s:f>'2'!F548</s:f>
        <s:v>46247.54821759259</s:v>
      </s:c>
      <s:c r="M547" s="22">
        <s:f>'3'!F548</s:f>
        <s:v>46247.530810185184</s:v>
      </s:c>
      <s:c r="N547" s="22">
        <s:f>'4'!F548</s:f>
        <s:v>46247.484918981485</s:v>
      </s:c>
      <s:c r="O547" s="22">
        <s:f>'5'!F548</s:f>
        <s:v>46247.45657407407</s:v>
      </s:c>
      <s:c r="P547" s="22">
        <s:f>'6'!F548</s:f>
        <s:v>46247.43711805555</s:v>
      </s:c>
      <s:c r="Q547" s="22">
        <s:f>'7'!F548</s:f>
        <s:v>46247.41446759259</s:v>
      </s:c>
      <s:c r="R547" s="22">
        <s:f>'8'!F548</s:f>
        <s:v>46247.39027777778</s:v>
      </s:c>
      <s:c r="S547" s="22">
        <s:f>'9'!F548</s:f>
        <s:v>46247.372465277775</s:v>
      </s:c>
      <s:c r="T547" s="22">
        <s:f>'10'!F548</s:f>
        <s:v>46247.34324074074</s:v>
      </s:c>
      <s:c r="U547" s="23">
        <s:f>'자료구성'!$B$2</s:f>
        <s:v>46247.0</s:v>
      </s:c>
    </s:row>
    <s:row r="548">
      <s:c r="A548" s="0" t="n">
        <s:v>1468</s:v>
      </s:c>
      <s:c r="B548" s="0" t="n">
        <s:v>1275</s:v>
      </s:c>
      <s:c r="C548" s="0" t="n">
        <s:v>4767</s:v>
      </s:c>
      <s:c r="D548" s="0" t="n">
        <s:v>76</s:v>
      </s:c>
      <s:c r="E548" s="0" t="n">
        <s:v>1347</s:v>
      </s:c>
      <s:c r="F548" s="0" t="n">
        <s:v>3560</s:v>
      </s:c>
      <s:c r="G548" s="0" t="n">
        <s:v>1867</s:v>
      </s:c>
      <s:c r="H548" s="0" t="n">
        <s:v>4339</s:v>
      </s:c>
      <s:c r="I548" s="0" t="n">
        <s:v>2193</s:v>
      </s:c>
      <s:c r="J548" s="0" t="n">
        <s:v>1831</s:v>
      </s:c>
      <s:c r="K548" s="22">
        <s:f>'1'!F549</s:f>
        <s:v>46247.56649305556</s:v>
      </s:c>
      <s:c r="L548" s="22">
        <s:f>'2'!F549</s:f>
        <s:v>46247.54822916666</s:v>
      </s:c>
      <s:c r="M548" s="22">
        <s:f>'3'!F549</s:f>
        <s:v>46247.53082175926</s:v>
      </s:c>
      <s:c r="N548" s="22">
        <s:f>'4'!F549</s:f>
        <s:v>46247.484930555554</s:v>
      </s:c>
      <s:c r="O548" s="22">
        <s:f>'5'!F549</s:f>
        <s:v>46247.45658564815</s:v>
      </s:c>
      <s:c r="P548" s="22">
        <s:f>'6'!F549</s:f>
        <s:v>46247.43712962963</s:v>
      </s:c>
      <s:c r="Q548" s="22">
        <s:f>'7'!F549</s:f>
        <s:v>46247.41447916667</s:v>
      </s:c>
      <s:c r="R548" s="22">
        <s:f>'8'!F549</s:f>
        <s:v>46247.39028935185</s:v>
      </s:c>
      <s:c r="S548" s="22">
        <s:f>'9'!F549</s:f>
        <s:v>46247.37247685185</s:v>
      </s:c>
      <s:c r="T548" s="22">
        <s:f>'10'!F549</s:f>
        <s:v>46247.343252314815</s:v>
      </s:c>
      <s:c r="U548" s="23">
        <s:f>'자료구성'!$B$2</s:f>
        <s:v>46247.0</s:v>
      </s:c>
    </s:row>
    <s:row r="549">
      <s:c r="A549" s="0" t="n">
        <s:v>1452</s:v>
      </s:c>
      <s:c r="B549" s="0" t="n">
        <s:v>1248</s:v>
      </s:c>
      <s:c r="C549" s="0" t="n">
        <s:v>4843</s:v>
      </s:c>
      <s:c r="D549" s="0" t="n">
        <s:v>84</s:v>
      </s:c>
      <s:c r="E549" s="0" t="n">
        <s:v>1317</s:v>
      </s:c>
      <s:c r="F549" s="0" t="n">
        <s:v>3490</s:v>
      </s:c>
      <s:c r="G549" s="0" t="n">
        <s:v>1811</s:v>
      </s:c>
      <s:c r="H549" s="0" t="n">
        <s:v>4453</s:v>
      </s:c>
      <s:c r="I549" s="0" t="n">
        <s:v>2209</s:v>
      </s:c>
      <s:c r="J549" s="0" t="n">
        <s:v>1801</s:v>
      </s:c>
      <s:c r="K549" s="22">
        <s:f>'1'!F550</s:f>
        <s:v>46247.56650462963</s:v>
      </s:c>
      <s:c r="L549" s="22">
        <s:f>'2'!F550</s:f>
        <s:v>46247.54824074074</s:v>
      </s:c>
      <s:c r="M549" s="22">
        <s:f>'3'!F550</s:f>
        <s:v>46247.53083333333</s:v>
      </s:c>
      <s:c r="N549" s="22">
        <s:f>'4'!F550</s:f>
        <s:v>46247.48494212963</s:v>
      </s:c>
      <s:c r="O549" s="22">
        <s:f>'5'!F550</s:f>
        <s:v>46247.45659722222</s:v>
      </s:c>
      <s:c r="P549" s="22">
        <s:f>'6'!F550</s:f>
        <s:v>46247.43714120371</s:v>
      </s:c>
      <s:c r="Q549" s="22">
        <s:f>'7'!F550</s:f>
        <s:v>46247.41449074074</s:v>
      </s:c>
      <s:c r="R549" s="22">
        <s:f>'8'!F550</s:f>
        <s:v>46247.39030092592</s:v>
      </s:c>
      <s:c r="S549" s="22">
        <s:f>'9'!F550</s:f>
        <s:v>46247.37248842593</s:v>
      </s:c>
      <s:c r="T549" s="22">
        <s:f>'10'!F550</s:f>
        <s:v>46247.34326388889</s:v>
      </s:c>
      <s:c r="U549" s="23">
        <s:f>'자료구성'!$B$2</s:f>
        <s:v>46247.0</s:v>
      </s:c>
    </s:row>
    <s:row r="550">
      <s:c r="A550" s="0" t="n">
        <s:v>1449</s:v>
      </s:c>
      <s:c r="B550" s="0" t="n">
        <s:v>1218</s:v>
      </s:c>
      <s:c r="C550" s="0" t="n">
        <s:v>4835</s:v>
      </s:c>
      <s:c r="D550" s="0" t="n">
        <s:v>97</s:v>
      </s:c>
      <s:c r="E550" s="0" t="n">
        <s:v>1280</s:v>
      </s:c>
      <s:c r="F550" s="0" t="n">
        <s:v>3350</s:v>
      </s:c>
      <s:c r="G550" s="0" t="n">
        <s:v>1743</s:v>
      </s:c>
      <s:c r="H550" s="0" t="n">
        <s:v>4623</s:v>
      </s:c>
      <s:c r="I550" s="0" t="n">
        <s:v>2223</s:v>
      </s:c>
      <s:c r="J550" s="0" t="n">
        <s:v>1815</s:v>
      </s:c>
      <s:c r="K550" s="22">
        <s:f>'1'!F551</s:f>
        <s:v>46247.566516203704</s:v>
      </s:c>
      <s:c r="L550" s="22">
        <s:f>'2'!F551</s:f>
        <s:v>46247.54825231482</s:v>
      </s:c>
      <s:c r="M550" s="22">
        <s:f>'3'!F551</s:f>
        <s:v>46247.53084490741</s:v>
      </s:c>
      <s:c r="N550" s="22">
        <s:f>'4'!F551</s:f>
        <s:v>46247.4849537037</s:v>
      </s:c>
      <s:c r="O550" s="22">
        <s:f>'5'!F551</s:f>
        <s:v>46247.456608796296</s:v>
      </s:c>
      <s:c r="P550" s="22">
        <s:f>'6'!F551</s:f>
        <s:v>46247.43715277778</s:v>
      </s:c>
      <s:c r="Q550" s="22">
        <s:f>'7'!F551</s:f>
        <s:v>46247.414502314816</s:v>
      </s:c>
      <s:c r="R550" s="22">
        <s:f>'8'!F551</s:f>
        <s:v>46247.3903125</s:v>
      </s:c>
      <s:c r="S550" s="22">
        <s:f>'9'!F551</s:f>
        <s:v>46247.3725</s:v>
      </s:c>
      <s:c r="T550" s="22">
        <s:f>'10'!F551</s:f>
        <s:v>46247.34327546296</s:v>
      </s:c>
      <s:c r="U550" s="23">
        <s:f>'자료구성'!$B$2</s:f>
        <s:v>46247.0</s:v>
      </s:c>
    </s:row>
    <s:row r="551">
      <s:c r="A551" s="0" t="n">
        <s:v>1442</s:v>
      </s:c>
      <s:c r="B551" s="0" t="n">
        <s:v>1218</s:v>
      </s:c>
      <s:c r="C551" s="0" t="n">
        <s:v>4789</s:v>
      </s:c>
      <s:c r="D551" s="0" t="n">
        <s:v>116</s:v>
      </s:c>
      <s:c r="E551" s="0" t="n">
        <s:v>1244</s:v>
      </s:c>
      <s:c r="F551" s="0" t="n">
        <s:v>3350</s:v>
      </s:c>
      <s:c r="G551" s="0" t="n">
        <s:v>1707</s:v>
      </s:c>
      <s:c r="H551" s="0" t="n">
        <s:v>4765</s:v>
      </s:c>
      <s:c r="I551" s="0" t="n">
        <s:v>2247</s:v>
      </s:c>
      <s:c r="J551" s="0" t="n">
        <s:v>1815</s:v>
      </s:c>
      <s:c r="K551" s="22">
        <s:f>'1'!F552</s:f>
        <s:v>46247.56652777778</s:v>
      </s:c>
      <s:c r="L551" s="22">
        <s:f>'2'!F552</s:f>
        <s:v>46247.548263888886</s:v>
      </s:c>
      <s:c r="M551" s="22">
        <s:f>'3'!F552</s:f>
        <s:v>46247.530856481484</s:v>
      </s:c>
      <s:c r="N551" s="22">
        <s:f>'4'!F552</s:f>
        <s:v>46247.48496527778</s:v>
      </s:c>
      <s:c r="O551" s="22">
        <s:f>'5'!F552</s:f>
        <s:v>46247.45662037037</s:v>
      </s:c>
      <s:c r="P551" s="22">
        <s:f>'6'!F552</s:f>
        <s:v>46247.43716435185</s:v>
      </s:c>
      <s:c r="Q551" s="22">
        <s:f>'7'!F552</s:f>
        <s:v>46247.414513888885</s:v>
      </s:c>
      <s:c r="R551" s="22">
        <s:f>'8'!F552</s:f>
        <s:v>46247.39032407408</s:v>
      </s:c>
      <s:c r="S551" s="22">
        <s:f>'9'!F552</s:f>
        <s:v>46247.372511574074</s:v>
      </s:c>
      <s:c r="T551" s="22">
        <s:f>'10'!F552</s:f>
        <s:v>46247.34328703704</s:v>
      </s:c>
      <s:c r="U551" s="23">
        <s:f>'자료구성'!$B$2</s:f>
        <s:v>46247.0</s:v>
      </s:c>
    </s:row>
    <s:row r="552">
      <s:c r="A552" s="0" t="n">
        <s:v>1436</s:v>
      </s:c>
      <s:c r="B552" s="0" t="n">
        <s:v>1214</s:v>
      </s:c>
      <s:c r="C552" s="0" t="n">
        <s:v>4654</s:v>
      </s:c>
      <s:c r="D552" s="0" t="n">
        <s:v>147</s:v>
      </s:c>
      <s:c r="E552" s="0" t="n">
        <s:v>1235</s:v>
      </s:c>
      <s:c r="F552" s="0" t="n">
        <s:v>3249</s:v>
      </s:c>
      <s:c r="G552" s="0" t="n">
        <s:v>1678</s:v>
      </s:c>
      <s:c r="H552" s="0" t="n">
        <s:v>4890</s:v>
      </s:c>
      <s:c r="I552" s="0" t="n">
        <s:v>2242</s:v>
      </s:c>
      <s:c r="J552" s="0" t="n">
        <s:v>1848</s:v>
      </s:c>
      <s:c r="K552" s="22">
        <s:f>'1'!F553</s:f>
        <s:v>46247.56653935185</s:v>
      </s:c>
      <s:c r="L552" s="22">
        <s:f>'2'!F553</s:f>
        <s:v>46247.54827546296</s:v>
      </s:c>
      <s:c r="M552" s="22">
        <s:f>'3'!F553</s:f>
        <s:v>46247.53086805555</s:v>
      </s:c>
      <s:c r="N552" s="22">
        <s:f>'4'!F553</s:f>
        <s:v>46247.484976851854</s:v>
      </s:c>
      <s:c r="O552" s="22">
        <s:f>'5'!F553</s:f>
        <s:v>46247.45663194444</s:v>
      </s:c>
      <s:c r="P552" s="22">
        <s:f>'6'!F553</s:f>
        <s:v>46247.43717592592</s:v>
      </s:c>
      <s:c r="Q552" s="22">
        <s:f>'7'!F553</s:f>
        <s:v>46247.41452546296</s:v>
      </s:c>
      <s:c r="R552" s="22">
        <s:f>'8'!F553</s:f>
        <s:v>46247.390335648146</s:v>
      </s:c>
      <s:c r="S552" s="22">
        <s:f>'9'!F553</s:f>
        <s:v>46247.37252314815</s:v>
      </s:c>
      <s:c r="T552" s="22">
        <s:f>'10'!F553</s:f>
        <s:v>46247.343298611115</s:v>
      </s:c>
      <s:c r="U552" s="23">
        <s:f>'자료구성'!$B$2</s:f>
        <s:v>46247.0</s:v>
      </s:c>
    </s:row>
    <s:row r="553">
      <s:c r="A553" s="0" t="n">
        <s:v>1427</s:v>
      </s:c>
      <s:c r="B553" s="0" t="n">
        <s:v>1200</s:v>
      </s:c>
      <s:c r="C553" s="0" t="n">
        <s:v>4587</s:v>
      </s:c>
      <s:c r="D553" s="0" t="n">
        <s:v>156</s:v>
      </s:c>
      <s:c r="E553" s="0" t="n">
        <s:v>1238</s:v>
      </s:c>
      <s:c r="F553" s="0" t="n">
        <s:v>3171</s:v>
      </s:c>
      <s:c r="G553" s="0" t="n">
        <s:v>1625</s:v>
      </s:c>
      <s:c r="H553" s="0" t="n">
        <s:v>4949</s:v>
      </s:c>
      <s:c r="I553" s="0" t="n">
        <s:v>2245</s:v>
      </s:c>
      <s:c r="J553" s="0" t="n">
        <s:v>1847</s:v>
      </s:c>
      <s:c r="K553" s="22">
        <s:f>'1'!F554</s:f>
        <s:v>46247.56655092593</s:v>
      </s:c>
      <s:c r="L553" s="22">
        <s:f>'2'!F554</s:f>
        <s:v>46247.54828703704</s:v>
      </s:c>
      <s:c r="M553" s="22">
        <s:f>'3'!F554</s:f>
        <s:v>46247.53087962963</s:v>
      </s:c>
      <s:c r="N553" s="22">
        <s:f>'4'!F554</s:f>
        <s:v>46247.484988425924</s:v>
      </s:c>
      <s:c r="O553" s="22">
        <s:f>'5'!F554</s:f>
        <s:v>46247.45664351852</s:v>
      </s:c>
      <s:c r="P553" s="22">
        <s:f>'6'!F554</s:f>
        <s:v>46247.4371875</s:v>
      </s:c>
      <s:c r="Q553" s="22">
        <s:f>'7'!F554</s:f>
        <s:v>46247.41453703704</s:v>
      </s:c>
      <s:c r="R553" s="22">
        <s:f>'8'!F554</s:f>
        <s:v>46247.39034722222</s:v>
      </s:c>
      <s:c r="S553" s="22">
        <s:f>'9'!F554</s:f>
        <s:v>46247.37253472222</s:v>
      </s:c>
      <s:c r="T553" s="22">
        <s:f>'10'!F554</s:f>
        <s:v>46247.343310185184</s:v>
      </s:c>
      <s:c r="U553" s="23">
        <s:f>'자료구성'!$B$2</s:f>
        <s:v>46247.0</s:v>
      </s:c>
    </s:row>
    <s:row r="554">
      <s:c r="A554" s="0" t="n">
        <s:v>1420</s:v>
      </s:c>
      <s:c r="B554" s="0" t="n">
        <s:v>1206</s:v>
      </s:c>
      <s:c r="C554" s="0" t="n">
        <s:v>4484</s:v>
      </s:c>
      <s:c r="D554" s="0" t="n">
        <s:v>153</s:v>
      </s:c>
      <s:c r="E554" s="0" t="n">
        <s:v>1260</s:v>
      </s:c>
      <s:c r="F554" s="0" t="n">
        <s:v>3107</s:v>
      </s:c>
      <s:c r="G554" s="0" t="n">
        <s:v>1610</s:v>
      </s:c>
      <s:c r="H554" s="0" t="n">
        <s:v>5011</s:v>
      </s:c>
      <s:c r="I554" s="0" t="n">
        <s:v>2241</s:v>
      </s:c>
      <s:c r="J554" s="0" t="n">
        <s:v>1868</s:v>
      </s:c>
      <s:c r="K554" s="22">
        <s:f>'1'!F555</s:f>
        <s:v>46247.5665625</s:v>
      </s:c>
      <s:c r="L554" s="22">
        <s:f>'2'!F555</s:f>
        <s:v>46247.54829861111</s:v>
      </s:c>
      <s:c r="M554" s="22">
        <s:f>'3'!F555</s:f>
        <s:v>46247.53089120371</s:v>
      </s:c>
      <s:c r="N554" s="22">
        <s:f>'4'!F555</s:f>
        <s:v>46247.485</s:v>
      </s:c>
      <s:c r="O554" s="22">
        <s:f>'5'!F555</s:f>
        <s:v>46247.456655092596</s:v>
      </s:c>
      <s:c r="P554" s="22">
        <s:f>'6'!F555</s:f>
        <s:v>46247.43719907408</s:v>
      </s:c>
      <s:c r="Q554" s="22">
        <s:f>'7'!F555</s:f>
        <s:v>46247.41454861111</s:v>
      </s:c>
      <s:c r="R554" s="22">
        <s:f>'8'!F555</s:f>
        <s:v>46247.3903587963</s:v>
      </s:c>
      <s:c r="S554" s="22">
        <s:f>'9'!F555</s:f>
        <s:v>46247.3725462963</s:v>
      </s:c>
      <s:c r="T554" s="22">
        <s:f>'10'!F555</s:f>
        <s:v>46247.34332175926</s:v>
      </s:c>
      <s:c r="U554" s="23">
        <s:f>'자료구성'!$B$2</s:f>
        <s:v>46247.0</s:v>
      </s:c>
    </s:row>
    <s:row r="555">
      <s:c r="A555" s="0" t="n">
        <s:v>1400</s:v>
      </s:c>
      <s:c r="B555" s="0" t="n">
        <s:v>1203</s:v>
      </s:c>
      <s:c r="C555" s="0" t="n">
        <s:v>4426</s:v>
      </s:c>
      <s:c r="D555" s="0" t="n">
        <s:v>171</s:v>
      </s:c>
      <s:c r="E555" s="0" t="n">
        <s:v>1284</s:v>
      </s:c>
      <s:c r="F555" s="0" t="n">
        <s:v>3036</s:v>
      </s:c>
      <s:c r="G555" s="0" t="n">
        <s:v>1574</s:v>
      </s:c>
      <s:c r="H555" s="0" t="n">
        <s:v>5110</s:v>
      </s:c>
      <s:c r="I555" s="0" t="n">
        <s:v>2260</s:v>
      </s:c>
      <s:c r="J555" s="0" t="n">
        <s:v>1854</s:v>
      </s:c>
      <s:c r="K555" s="22">
        <s:f>'1'!F556</s:f>
        <s:v>46247.56657407407</s:v>
      </s:c>
      <s:c r="L555" s="22">
        <s:f>'2'!F556</s:f>
        <s:v>46247.548310185186</s:v>
      </s:c>
      <s:c r="M555" s="22">
        <s:f>'3'!F556</s:f>
        <s:v>46247.53090277778</s:v>
      </s:c>
      <s:c r="N555" s="22">
        <s:f>'4'!F556</s:f>
        <s:v>46247.48501157408</s:v>
      </s:c>
      <s:c r="O555" s="22">
        <s:f>'5'!F556</s:f>
        <s:v>46247.456666666665</s:v>
      </s:c>
      <s:c r="P555" s="22">
        <s:f>'6'!F556</s:f>
        <s:v>46247.437210648146</s:v>
      </s:c>
      <s:c r="Q555" s="22">
        <s:f>'7'!F556</s:f>
        <s:v>46247.414560185185</s:v>
      </s:c>
      <s:c r="R555" s="22">
        <s:f>'8'!F556</s:f>
        <s:v>46247.39037037037</s:v>
      </s:c>
      <s:c r="S555" s="22">
        <s:f>'9'!F556</s:f>
        <s:v>46247.37255787037</s:v>
      </s:c>
      <s:c r="T555" s="22">
        <s:f>'10'!F556</s:f>
        <s:v>46247.34333333333</s:v>
      </s:c>
      <s:c r="U555" s="23">
        <s:f>'자료구성'!$B$2</s:f>
        <s:v>46247.0</s:v>
      </s:c>
    </s:row>
    <s:row r="556">
      <s:c r="A556" s="0" t="n">
        <s:v>1381</s:v>
      </s:c>
      <s:c r="B556" s="0" t="n">
        <s:v>1201</s:v>
      </s:c>
      <s:c r="C556" s="0" t="n">
        <s:v>4309</s:v>
      </s:c>
      <s:c r="D556" s="0" t="n">
        <s:v>198</s:v>
      </s:c>
      <s:c r="E556" s="0" t="n">
        <s:v>1298</s:v>
      </s:c>
      <s:c r="F556" s="0" t="n">
        <s:v>2944</s:v>
      </s:c>
      <s:c r="G556" s="0" t="n">
        <s:v>1559</s:v>
      </s:c>
      <s:c r="H556" s="0" t="n">
        <s:v>5165</s:v>
      </s:c>
      <s:c r="I556" s="0" t="n">
        <s:v>2252</s:v>
      </s:c>
      <s:c r="J556" s="0" t="n">
        <s:v>1840</s:v>
      </s:c>
      <s:c r="K556" s="22">
        <s:f>'1'!F557</s:f>
        <s:v>46247.56658564815</s:v>
      </s:c>
      <s:c r="L556" s="22">
        <s:f>'2'!F557</s:f>
        <s:v>46247.54832175926</s:v>
      </s:c>
      <s:c r="M556" s="22">
        <s:f>'3'!F557</s:f>
        <s:v>46247.53091435185</s:v>
      </s:c>
      <s:c r="N556" s="22">
        <s:f>'4'!F557</s:f>
        <s:v>46247.48502314815</s:v>
      </s:c>
      <s:c r="O556" s="22">
        <s:f>'5'!F557</s:f>
        <s:v>46247.45667824074</s:v>
      </s:c>
      <s:c r="P556" s="22">
        <s:f>'6'!F557</s:f>
        <s:v>46247.43722222222</s:v>
      </s:c>
      <s:c r="Q556" s="22">
        <s:f>'7'!F557</s:f>
        <s:v>46247.41457175926</s:v>
      </s:c>
      <s:c r="R556" s="22">
        <s:f>'8'!F557</s:f>
        <s:v>46247.390381944446</s:v>
      </s:c>
      <s:c r="S556" s="22">
        <s:f>'9'!F557</s:f>
        <s:v>46247.372569444444</s:v>
      </s:c>
      <s:c r="T556" s="22">
        <s:f>'10'!F557</s:f>
        <s:v>46247.34334490741</s:v>
      </s:c>
      <s:c r="U556" s="23">
        <s:f>'자료구성'!$B$2</s:f>
        <s:v>46247.0</s:v>
      </s:c>
    </s:row>
    <s:row r="557">
      <s:c r="A557" s="0" t="n">
        <s:v>1362</s:v>
      </s:c>
      <s:c r="B557" s="0" t="n">
        <s:v>1192</s:v>
      </s:c>
      <s:c r="C557" s="0" t="n">
        <s:v>4236</s:v>
      </s:c>
      <s:c r="D557" s="0" t="n">
        <s:v>185</s:v>
      </s:c>
      <s:c r="E557" s="0" t="n">
        <s:v>1298</s:v>
      </s:c>
      <s:c r="F557" s="0" t="n">
        <s:v>2907</s:v>
      </s:c>
      <s:c r="G557" s="0" t="n">
        <s:v>1555</s:v>
      </s:c>
      <s:c r="H557" s="0" t="n">
        <s:v>5168</s:v>
      </s:c>
      <s:c r="I557" s="0" t="n">
        <s:v>2244</s:v>
      </s:c>
      <s:c r="J557" s="0" t="n">
        <s:v>1805</s:v>
      </s:c>
      <s:c r="K557" s="22">
        <s:f>'1'!F558</s:f>
        <s:v>46247.56659722222</s:v>
      </s:c>
      <s:c r="L557" s="22">
        <s:f>'2'!F558</s:f>
        <s:v>46247.54833333333</s:v>
      </s:c>
      <s:c r="M557" s="22">
        <s:f>'3'!F558</s:f>
        <s:v>46247.53092592592</s:v>
      </s:c>
      <s:c r="N557" s="22">
        <s:f>'4'!F558</s:f>
        <s:v>46247.485034722224</s:v>
      </s:c>
      <s:c r="O557" s="22">
        <s:f>'5'!F558</s:f>
        <s:v>46247.45668981481</s:v>
      </s:c>
      <s:c r="P557" s="22">
        <s:f>'6'!F558</s:f>
        <s:v>46247.4372337963</s:v>
      </s:c>
      <s:c r="Q557" s="22">
        <s:f>'7'!F558</s:f>
        <s:v>46247.41458333333</s:v>
      </s:c>
      <s:c r="R557" s="22">
        <s:f>'8'!F558</s:f>
        <s:v>46247.390393518515</s:v>
      </s:c>
      <s:c r="S557" s="22">
        <s:f>'9'!F558</s:f>
        <s:v>46247.37258101852</s:v>
      </s:c>
      <s:c r="T557" s="22">
        <s:f>'10'!F558</s:f>
        <s:v>46247.343356481484</s:v>
      </s:c>
      <s:c r="U557" s="23">
        <s:f>'자료구성'!$B$2</s:f>
        <s:v>46247.0</s:v>
      </s:c>
    </s:row>
    <s:row r="558">
      <s:c r="A558" s="0" t="n">
        <s:v>1363</s:v>
      </s:c>
      <s:c r="B558" s="0" t="n">
        <s:v>1172</s:v>
      </s:c>
      <s:c r="C558" s="0" t="n">
        <s:v>4172</s:v>
      </s:c>
      <s:c r="D558" s="0" t="n">
        <s:v>182</s:v>
      </s:c>
      <s:c r="E558" s="0" t="n">
        <s:v>1288</s:v>
      </s:c>
      <s:c r="F558" s="0" t="n">
        <s:v>2876</s:v>
      </s:c>
      <s:c r="G558" s="0" t="n">
        <s:v>1565</s:v>
      </s:c>
      <s:c r="H558" s="0" t="n">
        <s:v>5215</s:v>
      </s:c>
      <s:c r="I558" s="0" t="n">
        <s:v>2215</s:v>
      </s:c>
      <s:c r="J558" s="0" t="n">
        <s:v>1761</s:v>
      </s:c>
      <s:c r="K558" s="22">
        <s:f>'1'!F559</s:f>
        <s:v>46247.566608796296</s:v>
      </s:c>
      <s:c r="L558" s="22">
        <s:f>'2'!F559</s:f>
        <s:v>46247.54834490741</s:v>
      </s:c>
      <s:c r="M558" s="22">
        <s:f>'3'!F559</s:f>
        <s:v>46247.5309375</s:v>
      </s:c>
      <s:c r="N558" s="22">
        <s:f>'4'!F559</s:f>
        <s:v>46247.48504629629</s:v>
      </s:c>
      <s:c r="O558" s="22">
        <s:f>'5'!F559</s:f>
        <s:v>46247.45670138889</s:v>
      </s:c>
      <s:c r="P558" s="22">
        <s:f>'6'!F559</s:f>
        <s:v>46247.43724537037</s:v>
      </s:c>
      <s:c r="Q558" s="22">
        <s:f>'7'!F559</s:f>
        <s:v>46247.41459490741</s:v>
      </s:c>
      <s:c r="R558" s="22">
        <s:f>'8'!F559</s:f>
        <s:v>46247.39040509259</s:v>
      </s:c>
      <s:c r="S558" s="22">
        <s:f>'9'!F559</s:f>
        <s:v>46247.37259259259</s:v>
      </s:c>
      <s:c r="T558" s="22">
        <s:f>'10'!F559</s:f>
        <s:v>46247.34336805555</s:v>
      </s:c>
      <s:c r="U558" s="23">
        <s:f>'자료구성'!$B$2</s:f>
        <s:v>46247.0</s:v>
      </s:c>
    </s:row>
    <s:row r="559">
      <s:c r="A559" s="0" t="n">
        <s:v>1365</s:v>
      </s:c>
      <s:c r="B559" s="0" t="n">
        <s:v>1170</s:v>
      </s:c>
      <s:c r="C559" s="0" t="n">
        <s:v>4090</s:v>
      </s:c>
      <s:c r="D559" s="0" t="n">
        <s:v>196</s:v>
      </s:c>
      <s:c r="E559" s="0" t="n">
        <s:v>1296</s:v>
      </s:c>
      <s:c r="F559" s="0" t="n">
        <s:v>2881</s:v>
      </s:c>
      <s:c r="G559" s="0" t="n">
        <s:v>1581</s:v>
      </s:c>
      <s:c r="H559" s="0" t="n">
        <s:v>5311</s:v>
      </s:c>
      <s:c r="I559" s="0" t="n">
        <s:v>2203</s:v>
      </s:c>
      <s:c r="J559" s="0" t="n">
        <s:v>1763</s:v>
      </s:c>
      <s:c r="K559" s="22">
        <s:f>'1'!F560</s:f>
        <s:v>46247.56662037037</s:v>
      </s:c>
      <s:c r="L559" s="22">
        <s:f>'2'!F560</s:f>
        <s:v>46247.54835648148</s:v>
      </s:c>
      <s:c r="M559" s="22">
        <s:f>'3'!F560</s:f>
        <s:v>46247.53094907408</s:v>
      </s:c>
      <s:c r="N559" s="22">
        <s:f>'4'!F560</s:f>
        <s:v>46247.48505787037</s:v>
      </s:c>
      <s:c r="O559" s="22">
        <s:f>'5'!F560</s:f>
        <s:v>46247.456712962965</s:v>
      </s:c>
      <s:c r="P559" s="22">
        <s:f>'6'!F560</s:f>
        <s:v>46247.437256944446</s:v>
      </s:c>
      <s:c r="Q559" s="22">
        <s:f>'7'!F560</s:f>
        <s:v>46247.414606481485</s:v>
      </s:c>
      <s:c r="R559" s="22">
        <s:f>'8'!F560</s:f>
        <s:v>46247.39041666667</s:v>
      </s:c>
      <s:c r="S559" s="22">
        <s:f>'9'!F560</s:f>
        <s:v>46247.37260416667</s:v>
      </s:c>
      <s:c r="T559" s="22">
        <s:f>'10'!F560</s:f>
        <s:v>46247.34337962963</s:v>
      </s:c>
      <s:c r="U559" s="23">
        <s:f>'자료구성'!$B$2</s:f>
        <s:v>46247.0</s:v>
      </s:c>
    </s:row>
    <s:row r="560">
      <s:c r="A560" s="0" t="n">
        <s:v>1367</s:v>
      </s:c>
      <s:c r="B560" s="0" t="n">
        <s:v>1147</s:v>
      </s:c>
      <s:c r="C560" s="0" t="n">
        <s:v>4008</s:v>
      </s:c>
      <s:c r="D560" s="0" t="n">
        <s:v>207</s:v>
      </s:c>
      <s:c r="E560" s="0" t="n">
        <s:v>1299</s:v>
      </s:c>
      <s:c r="F560" s="0" t="n">
        <s:v>2829</s:v>
      </s:c>
      <s:c r="G560" s="0" t="n">
        <s:v>1584</s:v>
      </s:c>
      <s:c r="H560" s="0" t="n">
        <s:v>5381</s:v>
      </s:c>
      <s:c r="I560" s="0" t="n">
        <s:v>2210</s:v>
      </s:c>
      <s:c r="J560" s="0" t="n">
        <s:v>1745</s:v>
      </s:c>
      <s:c r="K560" s="22">
        <s:f>'1'!F561</s:f>
        <s:v>46247.56663194444</s:v>
      </s:c>
      <s:c r="L560" s="22">
        <s:f>'2'!F561</s:f>
        <s:v>46247.548368055555</s:v>
      </s:c>
      <s:c r="M560" s="22">
        <s:f>'3'!F561</s:f>
        <s:v>46247.530960648146</s:v>
      </s:c>
      <s:c r="N560" s="22">
        <s:f>'4'!F561</s:f>
        <s:v>46247.48506944445</s:v>
      </s:c>
      <s:c r="O560" s="22">
        <s:f>'5'!F561</s:f>
        <s:v>46247.456724537034</s:v>
      </s:c>
      <s:c r="P560" s="22">
        <s:f>'6'!F561</s:f>
        <s:v>46247.437268518515</s:v>
      </s:c>
      <s:c r="Q560" s="22">
        <s:f>'7'!F561</s:f>
        <s:v>46247.414618055554</s:v>
      </s:c>
      <s:c r="R560" s="22">
        <s:f>'8'!F561</s:f>
        <s:v>46247.39042824074</s:v>
      </s:c>
      <s:c r="S560" s="22">
        <s:f>'9'!F561</s:f>
        <s:v>46247.372615740744</s:v>
      </s:c>
      <s:c r="T560" s="22">
        <s:f>'10'!F561</s:f>
        <s:v>46247.34339120371</s:v>
      </s:c>
      <s:c r="U560" s="23">
        <s:f>'자료구성'!$B$2</s:f>
        <s:v>46247.0</s:v>
      </s:c>
    </s:row>
    <s:row r="561">
      <s:c r="A561" s="0" t="n">
        <s:v>1387</s:v>
      </s:c>
      <s:c r="B561" s="0" t="n">
        <s:v>1128</s:v>
      </s:c>
      <s:c r="C561" s="0" t="n">
        <s:v>3981</s:v>
      </s:c>
      <s:c r="D561" s="0" t="n">
        <s:v>206</s:v>
      </s:c>
      <s:c r="E561" s="0" t="n">
        <s:v>1278</s:v>
      </s:c>
      <s:c r="F561" s="0" t="n">
        <s:v>2769</s:v>
      </s:c>
      <s:c r="G561" s="0" t="n">
        <s:v>1616</s:v>
      </s:c>
      <s:c r="H561" s="0" t="n">
        <s:v>5374</s:v>
      </s:c>
      <s:c r="I561" s="0" t="n">
        <s:v>2201</s:v>
      </s:c>
      <s:c r="J561" s="0" t="n">
        <s:v>1735</s:v>
      </s:c>
      <s:c r="K561" s="22">
        <s:f>'1'!F562</s:f>
        <s:v>46247.56664351852</s:v>
      </s:c>
      <s:c r="L561" s="22">
        <s:f>'2'!F562</s:f>
        <s:v>46247.54837962963</s:v>
      </s:c>
      <s:c r="M561" s="22">
        <s:f>'3'!F562</s:f>
        <s:v>46247.53097222222</s:v>
      </s:c>
      <s:c r="N561" s="22">
        <s:f>'4'!F562</s:f>
        <s:v>46247.485081018516</s:v>
      </s:c>
      <s:c r="O561" s="22">
        <s:f>'5'!F562</s:f>
        <s:v>46247.45673611111</s:v>
      </s:c>
      <s:c r="P561" s="22">
        <s:f>'6'!F562</s:f>
        <s:v>46247.43728009259</s:v>
      </s:c>
      <s:c r="Q561" s="22">
        <s:f>'7'!F562</s:f>
        <s:v>46247.41462962963</s:v>
      </s:c>
      <s:c r="R561" s="22">
        <s:f>'8'!F562</s:f>
        <s:v>46247.390439814815</s:v>
      </s:c>
      <s:c r="S561" s="22">
        <s:f>'9'!F562</s:f>
        <s:v>46247.37262731481</s:v>
      </s:c>
      <s:c r="T561" s="22">
        <s:f>'10'!F562</s:f>
        <s:v>46247.34340277778</s:v>
      </s:c>
      <s:c r="U561" s="23">
        <s:f>'자료구성'!$B$2</s:f>
        <s:v>46247.0</s:v>
      </s:c>
    </s:row>
    <s:row r="562">
      <s:c r="A562" s="0" t="n">
        <s:v>1419</s:v>
      </s:c>
      <s:c r="B562" s="0" t="n">
        <s:v>1148</s:v>
      </s:c>
      <s:c r="C562" s="0" t="n">
        <s:v>4039</s:v>
      </s:c>
      <s:c r="D562" s="0" t="n">
        <s:v>202</s:v>
      </s:c>
      <s:c r="E562" s="0" t="n">
        <s:v>1258</s:v>
      </s:c>
      <s:c r="F562" s="0" t="n">
        <s:v>2736</s:v>
      </s:c>
      <s:c r="G562" s="0" t="n">
        <s:v>1641</s:v>
      </s:c>
      <s:c r="H562" s="0" t="n">
        <s:v>5343</s:v>
      </s:c>
      <s:c r="I562" s="0" t="n">
        <s:v>2179</s:v>
      </s:c>
      <s:c r="J562" s="0" t="n">
        <s:v>1703</s:v>
      </s:c>
      <s:c r="K562" s="22">
        <s:f>'1'!F563</s:f>
        <s:v>46247.566655092596</s:v>
      </s:c>
      <s:c r="L562" s="22">
        <s:f>'2'!F563</s:f>
        <s:v>46247.5483912037</s:v>
      </s:c>
      <s:c r="M562" s="22">
        <s:f>'3'!F563</s:f>
        <s:v>46247.5309837963</s:v>
      </s:c>
      <s:c r="N562" s="22">
        <s:f>'4'!F563</s:f>
        <s:v>46247.48509259259</s:v>
      </s:c>
      <s:c r="O562" s="22">
        <s:f>'5'!F563</s:f>
        <s:v>46247.45674768519</s:v>
      </s:c>
      <s:c r="P562" s="22">
        <s:f>'6'!F563</s:f>
        <s:v>46247.43729166667</s:v>
      </s:c>
      <s:c r="Q562" s="22">
        <s:f>'7'!F563</s:f>
        <s:v>46247.4146412037</s:v>
      </s:c>
      <s:c r="R562" s="22">
        <s:f>'8'!F563</s:f>
        <s:v>46247.39045138889</s:v>
      </s:c>
      <s:c r="S562" s="22">
        <s:f>'9'!F563</s:f>
        <s:v>46247.37263888889</s:v>
      </s:c>
      <s:c r="T562" s="22">
        <s:f>'10'!F563</s:f>
        <s:v>46247.34341435185</s:v>
      </s:c>
      <s:c r="U562" s="23">
        <s:f>'자료구성'!$B$2</s:f>
        <s:v>46247.0</s:v>
      </s:c>
    </s:row>
    <s:row r="563">
      <s:c r="A563" s="0" t="n">
        <s:v>1422</s:v>
      </s:c>
      <s:c r="B563" s="0" t="n">
        <s:v>1152</s:v>
      </s:c>
      <s:c r="C563" s="0" t="n">
        <s:v>4078</s:v>
      </s:c>
      <s:c r="D563" s="0" t="n">
        <s:v>182</s:v>
      </s:c>
      <s:c r="E563" s="0" t="n">
        <s:v>1231</s:v>
      </s:c>
      <s:c r="F563" s="0" t="n">
        <s:v>2670</s:v>
      </s:c>
      <s:c r="G563" s="0" t="n">
        <s:v>1708</s:v>
      </s:c>
      <s:c r="H563" s="0" t="n">
        <s:v>5336</s:v>
      </s:c>
      <s:c r="I563" s="0" t="n">
        <s:v>2155</s:v>
      </s:c>
      <s:c r="J563" s="0" t="n">
        <s:v>1649</s:v>
      </s:c>
      <s:c r="K563" s="22">
        <s:f>'1'!F564</s:f>
        <s:v>46247.566666666666</s:v>
      </s:c>
      <s:c r="L563" s="22">
        <s:f>'2'!F564</s:f>
        <s:v>46247.54840277778</s:v>
      </s:c>
      <s:c r="M563" s="22">
        <s:f>'3'!F564</s:f>
        <s:v>46247.53099537037</s:v>
      </s:c>
      <s:c r="N563" s="22">
        <s:f>'4'!F564</s:f>
        <s:v>46247.48510416667</s:v>
      </s:c>
      <s:c r="O563" s="22">
        <s:f>'5'!F564</s:f>
        <s:v>46247.45675925926</s:v>
      </s:c>
      <s:c r="P563" s="22">
        <s:f>'6'!F564</s:f>
        <s:v>46247.43730324074</s:v>
      </s:c>
      <s:c r="Q563" s="22">
        <s:f>'7'!F564</s:f>
        <s:v>46247.41465277778</s:v>
      </s:c>
      <s:c r="R563" s="22">
        <s:f>'8'!F564</s:f>
        <s:v>46247.39046296296</s:v>
      </s:c>
      <s:c r="S563" s="22">
        <s:f>'9'!F564</s:f>
        <s:v>46247.37265046296</s:v>
      </s:c>
      <s:c r="T563" s="22">
        <s:f>'10'!F564</s:f>
        <s:v>46247.34342592592</s:v>
      </s:c>
      <s:c r="U563" s="23">
        <s:f>'자료구성'!$B$2</s:f>
        <s:v>46247.0</s:v>
      </s:c>
    </s:row>
    <s:row r="564">
      <s:c r="A564" s="0" t="n">
        <s:v>1396</s:v>
      </s:c>
      <s:c r="B564" s="0" t="n">
        <s:v>1129</s:v>
      </s:c>
      <s:c r="C564" s="0" t="n">
        <s:v>4052</s:v>
      </s:c>
      <s:c r="D564" s="0" t="n">
        <s:v>185</s:v>
      </s:c>
      <s:c r="E564" s="0" t="n">
        <s:v>1198</s:v>
      </s:c>
      <s:c r="F564" s="0" t="n">
        <s:v>2596</s:v>
      </s:c>
      <s:c r="G564" s="0" t="n">
        <s:v>1803</s:v>
      </s:c>
      <s:c r="H564" s="0" t="n">
        <s:v>5326</s:v>
      </s:c>
      <s:c r="I564" s="0" t="n">
        <s:v>2132</s:v>
      </s:c>
      <s:c r="J564" s="0" t="n">
        <s:v>1614</s:v>
      </s:c>
      <s:c r="K564" s="22">
        <s:f>'1'!F565</s:f>
        <s:v>46247.56667824074</s:v>
      </s:c>
      <s:c r="L564" s="22">
        <s:f>'2'!F565</s:f>
        <s:v>46247.548414351855</s:v>
      </s:c>
      <s:c r="M564" s="22">
        <s:f>'3'!F565</s:f>
        <s:v>46247.531006944446</s:v>
      </s:c>
      <s:c r="N564" s="22">
        <s:f>'4'!F565</s:f>
        <s:v>46247.48511574074</s:v>
      </s:c>
      <s:c r="O564" s="22">
        <s:f>'5'!F565</s:f>
        <s:v>46247.456770833334</s:v>
      </s:c>
      <s:c r="P564" s="22">
        <s:f>'6'!F565</s:f>
        <s:v>46247.437314814815</s:v>
      </s:c>
      <s:c r="Q564" s="22">
        <s:f>'7'!F565</s:f>
        <s:v>46247.414664351854</s:v>
      </s:c>
      <s:c r="R564" s="22">
        <s:f>'8'!F565</s:f>
        <s:v>46247.39047453704</s:v>
      </s:c>
      <s:c r="S564" s="22">
        <s:f>'9'!F565</s:f>
        <s:v>46247.372662037036</s:v>
      </s:c>
      <s:c r="T564" s="22">
        <s:f>'10'!F565</s:f>
        <s:v>46247.3434375</s:v>
      </s:c>
      <s:c r="U564" s="23">
        <s:f>'자료구성'!$B$2</s:f>
        <s:v>46247.0</s:v>
      </s:c>
    </s:row>
    <s:row r="565">
      <s:c r="A565" s="0" t="n">
        <s:v>1366</s:v>
      </s:c>
      <s:c r="B565" s="0" t="n">
        <s:v>1115</s:v>
      </s:c>
      <s:c r="C565" s="0" t="n">
        <s:v>3984</s:v>
      </s:c>
      <s:c r="D565" s="0" t="n">
        <s:v>189</s:v>
      </s:c>
      <s:c r="E565" s="0" t="n">
        <s:v>1187</s:v>
      </s:c>
      <s:c r="F565" s="0" t="n">
        <s:v>2589</s:v>
      </s:c>
      <s:c r="G565" s="0" t="n">
        <s:v>1854</s:v>
      </s:c>
      <s:c r="H565" s="0" t="n">
        <s:v>5270</s:v>
      </s:c>
      <s:c r="I565" s="0" t="n">
        <s:v>2100</s:v>
      </s:c>
      <s:c r="J565" s="0" t="n">
        <s:v>1622</s:v>
      </s:c>
      <s:c r="K565" s="22">
        <s:f>'1'!F566</s:f>
        <s:v>46247.56668981481</s:v>
      </s:c>
      <s:c r="L565" s="22">
        <s:f>'2'!F566</s:f>
        <s:v>46247.548425925925</s:v>
      </s:c>
      <s:c r="M565" s="22">
        <s:f>'3'!F566</s:f>
        <s:v>46247.531018518515</s:v>
      </s:c>
      <s:c r="N565" s="22">
        <s:f>'4'!F566</s:f>
        <s:v>46247.485127314816</s:v>
      </s:c>
      <s:c r="O565" s="22">
        <s:f>'5'!F566</s:f>
        <s:v>46247.456782407404</s:v>
      </s:c>
      <s:c r="P565" s="22">
        <s:f>'6'!F566</s:f>
        <s:v>46247.43732638889</s:v>
      </s:c>
      <s:c r="Q565" s="22">
        <s:f>'7'!F566</s:f>
        <s:v>46247.414675925924</s:v>
      </s:c>
      <s:c r="R565" s="22">
        <s:f>'8'!F566</s:f>
        <s:v>46247.39048611111</s:v>
      </s:c>
      <s:c r="S565" s="22">
        <s:f>'9'!F566</s:f>
        <s:v>46247.37267361111</s:v>
      </s:c>
      <s:c r="T565" s="22">
        <s:f>'10'!F566</s:f>
        <s:v>46247.34344907408</s:v>
      </s:c>
      <s:c r="U565" s="23">
        <s:f>'자료구성'!$B$2</s:f>
        <s:v>46247.0</s:v>
      </s:c>
    </s:row>
    <s:row r="566">
      <s:c r="A566" s="0" t="n">
        <s:v>1366</s:v>
      </s:c>
      <s:c r="B566" s="0" t="n">
        <s:v>1092</s:v>
      </s:c>
      <s:c r="C566" s="0" t="n">
        <s:v>3899</s:v>
      </s:c>
      <s:c r="D566" s="0" t="n">
        <s:v>190</s:v>
      </s:c>
      <s:c r="E566" s="0" t="n">
        <s:v>1178</s:v>
      </s:c>
      <s:c r="F566" s="0" t="n">
        <s:v>2552</s:v>
      </s:c>
      <s:c r="G566" s="0" t="n">
        <s:v>1964</s:v>
      </s:c>
      <s:c r="H566" s="0" t="n">
        <s:v>5169</s:v>
      </s:c>
      <s:c r="I566" s="0" t="n">
        <s:v>2073</s:v>
      </s:c>
      <s:c r="J566" s="0" t="n">
        <s:v>1614</s:v>
      </s:c>
      <s:c r="K566" s="22">
        <s:f>'1'!F567</s:f>
        <s:v>46247.56670138889</s:v>
      </s:c>
      <s:c r="L566" s="22">
        <s:f>'2'!F567</s:f>
        <s:v>46247.5484375</s:v>
      </s:c>
      <s:c r="M566" s="22">
        <s:f>'3'!F567</s:f>
        <s:v>46247.53103009259</s:v>
      </s:c>
      <s:c r="N566" s="22">
        <s:f>'4'!F567</s:f>
        <s:v>46247.485138888886</s:v>
      </s:c>
      <s:c r="O566" s="22">
        <s:f>'5'!F567</s:f>
        <s:v>46247.45679398148</s:v>
      </s:c>
      <s:c r="P566" s="22">
        <s:f>'6'!F567</s:f>
        <s:v>46247.43733796296</s:v>
      </s:c>
      <s:c r="Q566" s="22">
        <s:f>'7'!F567</s:f>
        <s:v>46247.4146875</s:v>
      </s:c>
      <s:c r="R566" s="22">
        <s:f>'8'!F567</s:f>
        <s:v>46247.390497685185</s:v>
      </s:c>
      <s:c r="S566" s="22">
        <s:f>'9'!F567</s:f>
        <s:v>46247.37268518518</s:v>
      </s:c>
      <s:c r="T566" s="22">
        <s:f>'10'!F567</s:f>
        <s:v>46247.343460648146</s:v>
      </s:c>
      <s:c r="U566" s="23">
        <s:f>'자료구성'!$B$2</s:f>
        <s:v>46247.0</s:v>
      </s:c>
    </s:row>
    <s:row r="567">
      <s:c r="A567" s="0" t="n">
        <s:v>1360</s:v>
      </s:c>
      <s:c r="B567" s="0" t="n">
        <s:v>1063</s:v>
      </s:c>
      <s:c r="C567" s="0" t="n">
        <s:v>3821</s:v>
      </s:c>
      <s:c r="D567" s="0" t="n">
        <s:v>206</s:v>
      </s:c>
      <s:c r="E567" s="0" t="n">
        <s:v>1155</s:v>
      </s:c>
      <s:c r="F567" s="0" t="n">
        <s:v>2501</s:v>
      </s:c>
      <s:c r="G567" s="0" t="n">
        <s:v>2319</s:v>
      </s:c>
      <s:c r="H567" s="0" t="n">
        <s:v>5139</s:v>
      </s:c>
      <s:c r="I567" s="0" t="n">
        <s:v>2036</s:v>
      </s:c>
      <s:c r="J567" s="0" t="n">
        <s:v>1613</s:v>
      </s:c>
      <s:c r="K567" s="22">
        <s:f>'1'!F568</s:f>
        <s:v>46247.566712962966</s:v>
      </s:c>
      <s:c r="L567" s="22">
        <s:f>'2'!F568</s:f>
        <s:v>46247.54844907407</s:v>
      </s:c>
      <s:c r="M567" s="22">
        <s:f>'3'!F568</s:f>
        <s:v>46247.53104166667</s:v>
      </s:c>
      <s:c r="N567" s="22">
        <s:f>'4'!F568</s:f>
        <s:v>46247.48515046296</s:v>
      </s:c>
      <s:c r="O567" s="22">
        <s:f>'5'!F568</s:f>
        <s:v>46247.45680555556</s:v>
      </s:c>
      <s:c r="P567" s="22">
        <s:f>'6'!F568</s:f>
        <s:v>46247.43734953704</s:v>
      </s:c>
      <s:c r="Q567" s="22">
        <s:f>'7'!F568</s:f>
        <s:v>46247.41469907408</s:v>
      </s:c>
      <s:c r="R567" s="22">
        <s:f>'8'!F568</s:f>
        <s:v>46247.39050925926</s:v>
      </s:c>
      <s:c r="S567" s="22">
        <s:f>'9'!F568</s:f>
        <s:v>46247.37269675926</s:v>
      </s:c>
      <s:c r="T567" s="22">
        <s:f>'10'!F568</s:f>
        <s:v>46247.34347222222</s:v>
      </s:c>
      <s:c r="U567" s="23">
        <s:f>'자료구성'!$B$2</s:f>
        <s:v>46247.0</s:v>
      </s:c>
    </s:row>
    <s:row r="568">
      <s:c r="A568" s="0" t="n">
        <s:v>1364</s:v>
      </s:c>
      <s:c r="B568" s="0" t="n">
        <s:v>1064</s:v>
      </s:c>
      <s:c r="C568" s="0" t="n">
        <s:v>3734</s:v>
      </s:c>
      <s:c r="D568" s="0" t="n">
        <s:v>206</s:v>
      </s:c>
      <s:c r="E568" s="0" t="n">
        <s:v>1149</s:v>
      </s:c>
      <s:c r="F568" s="0" t="n">
        <s:v>2468</s:v>
      </s:c>
      <s:c r="G568" s="0" t="n">
        <s:v>2542</s:v>
      </s:c>
      <s:c r="H568" s="0" t="n">
        <s:v>5105</s:v>
      </s:c>
      <s:c r="I568" s="0" t="n">
        <s:v>2018</s:v>
      </s:c>
      <s:c r="J568" s="0" t="n">
        <s:v>1625</s:v>
      </s:c>
      <s:c r="K568" s="22">
        <s:f>'1'!F569</s:f>
        <s:v>46247.566724537035</s:v>
      </s:c>
      <s:c r="L568" s="22">
        <s:f>'2'!F569</s:f>
        <s:v>46247.54846064815</s:v>
      </s:c>
      <s:c r="M568" s="22">
        <s:f>'3'!F569</s:f>
        <s:v>46247.53105324074</s:v>
      </s:c>
      <s:c r="N568" s="22">
        <s:f>'4'!F569</s:f>
        <s:v>46247.48516203704</s:v>
      </s:c>
      <s:c r="O568" s="22">
        <s:f>'5'!F569</s:f>
        <s:v>46247.45681712963</s:v>
      </s:c>
      <s:c r="P568" s="22">
        <s:f>'6'!F569</s:f>
        <s:v>46247.43736111111</s:v>
      </s:c>
      <s:c r="Q568" s="22">
        <s:f>'7'!F569</s:f>
        <s:v>46247.41471064815</s:v>
      </s:c>
      <s:c r="R568" s="22">
        <s:f>'8'!F569</s:f>
        <s:v>46247.39052083333</s:v>
      </s:c>
      <s:c r="S568" s="22">
        <s:f>'9'!F569</s:f>
        <s:v>46247.372708333336</s:v>
      </s:c>
      <s:c r="T568" s="22">
        <s:f>'10'!F569</s:f>
        <s:v>46247.3434837963</s:v>
      </s:c>
      <s:c r="U568" s="23">
        <s:f>'자료구성'!$B$2</s:f>
        <s:v>46247.0</s:v>
      </s:c>
    </s:row>
    <s:row r="569">
      <s:c r="A569" s="0" t="n">
        <s:v>1364</s:v>
      </s:c>
      <s:c r="B569" s="0" t="n">
        <s:v>1100</s:v>
      </s:c>
      <s:c r="C569" s="0" t="n">
        <s:v>3684</s:v>
      </s:c>
      <s:c r="D569" s="0" t="n">
        <s:v>216</s:v>
      </s:c>
      <s:c r="E569" s="0" t="n">
        <s:v>1158</s:v>
      </s:c>
      <s:c r="F569" s="0" t="n">
        <s:v>2535</s:v>
      </s:c>
      <s:c r="G569" s="0" t="n">
        <s:v>2807</s:v>
      </s:c>
      <s:c r="H569" s="0" t="n">
        <s:v>4993</s:v>
      </s:c>
      <s:c r="I569" s="0" t="n">
        <s:v>1994</s:v>
      </s:c>
      <s:c r="J569" s="0" t="n">
        <s:v>1641</s:v>
      </s:c>
      <s:c r="K569" s="22">
        <s:f>'1'!F570</s:f>
        <s:v>46247.56673611111</s:v>
      </s:c>
      <s:c r="L569" s="22">
        <s:f>'2'!F570</s:f>
        <s:v>46247.548472222225</s:v>
      </s:c>
      <s:c r="M569" s="22">
        <s:f>'3'!F570</s:f>
        <s:v>46247.531064814815</s:v>
      </s:c>
      <s:c r="N569" s="22">
        <s:f>'4'!F570</s:f>
        <s:v>46247.48517361111</s:v>
      </s:c>
      <s:c r="O569" s="22">
        <s:f>'5'!F570</s:f>
        <s:v>46247.456828703704</s:v>
      </s:c>
      <s:c r="P569" s="22">
        <s:f>'6'!F570</s:f>
        <s:v>46247.437372685185</s:v>
      </s:c>
      <s:c r="Q569" s="22">
        <s:f>'7'!F570</s:f>
        <s:v>46247.414722222224</s:v>
      </s:c>
      <s:c r="R569" s="22">
        <s:f>'8'!F570</s:f>
        <s:v>46247.39053240741</s:v>
      </s:c>
      <s:c r="S569" s="22">
        <s:f>'9'!F570</s:f>
        <s:v>46247.372719907406</s:v>
      </s:c>
      <s:c r="T569" s="22">
        <s:f>'10'!F570</s:f>
        <s:v>46247.34349537037</s:v>
      </s:c>
      <s:c r="U569" s="23">
        <s:f>'자료구성'!$B$2</s:f>
        <s:v>46247.0</s:v>
      </s:c>
    </s:row>
    <s:row r="570">
      <s:c r="A570" s="0" t="n">
        <s:v>1368</s:v>
      </s:c>
      <s:c r="B570" s="0" t="n">
        <s:v>1126</s:v>
      </s:c>
      <s:c r="C570" s="0" t="n">
        <s:v>3649</s:v>
      </s:c>
      <s:c r="D570" s="0" t="n">
        <s:v>226</s:v>
      </s:c>
      <s:c r="E570" s="0" t="n">
        <s:v>1135</s:v>
      </s:c>
      <s:c r="F570" s="0" t="n">
        <s:v>2557</s:v>
      </s:c>
      <s:c r="G570" s="0" t="n">
        <s:v>3070</s:v>
      </s:c>
      <s:c r="H570" s="0" t="n">
        <s:v>4948</s:v>
      </s:c>
      <s:c r="I570" s="0" t="n">
        <s:v>1958</s:v>
      </s:c>
      <s:c r="J570" s="0" t="n">
        <s:v>1672</s:v>
      </s:c>
      <s:c r="K570" s="22">
        <s:f>'1'!F571</s:f>
        <s:v>46247.56674768519</s:v>
      </s:c>
      <s:c r="L570" s="22">
        <s:f>'2'!F571</s:f>
        <s:v>46247.548483796294</s:v>
      </s:c>
      <s:c r="M570" s="22">
        <s:f>'3'!F571</s:f>
        <s:v>46247.53107638889</s:v>
      </s:c>
      <s:c r="N570" s="22">
        <s:f>'4'!F571</s:f>
        <s:v>46247.485185185185</s:v>
      </s:c>
      <s:c r="O570" s="22">
        <s:f>'5'!F571</s:f>
        <s:v>46247.45684027778</s:v>
      </s:c>
      <s:c r="P570" s="22">
        <s:f>'6'!F571</s:f>
        <s:v>46247.43738425926</s:v>
      </s:c>
      <s:c r="Q570" s="22">
        <s:f>'7'!F571</s:f>
        <s:v>46247.41473379629</s:v>
      </s:c>
      <s:c r="R570" s="22">
        <s:f>'8'!F571</s:f>
        <s:v>46247.390543981484</s:v>
      </s:c>
      <s:c r="S570" s="22">
        <s:f>'9'!F571</s:f>
        <s:v>46247.37273148148</s:v>
      </s:c>
      <s:c r="T570" s="22">
        <s:f>'10'!F571</s:f>
        <s:v>46247.343506944446</s:v>
      </s:c>
      <s:c r="U570" s="23">
        <s:f>'자료구성'!$B$2</s:f>
        <s:v>46247.0</s:v>
      </s:c>
    </s:row>
    <s:row r="571">
      <s:c r="A571" s="0" t="n">
        <s:v>1385</s:v>
      </s:c>
      <s:c r="B571" s="0" t="n">
        <s:v>1131</s:v>
      </s:c>
      <s:c r="C571" s="0" t="n">
        <s:v>3575</s:v>
      </s:c>
      <s:c r="D571" s="0" t="n">
        <s:v>236</s:v>
      </s:c>
      <s:c r="E571" s="0" t="n">
        <s:v>1133</s:v>
      </s:c>
      <s:c r="F571" s="0" t="n">
        <s:v>2521</s:v>
      </s:c>
      <s:c r="G571" s="0" t="n">
        <s:v>3217</s:v>
      </s:c>
      <s:c r="H571" s="0" t="n">
        <s:v>4892</s:v>
      </s:c>
      <s:c r="I571" s="0" t="n">
        <s:v>1946</s:v>
      </s:c>
      <s:c r="J571" s="0" t="n">
        <s:v>1705</s:v>
      </s:c>
      <s:c r="K571" s="22">
        <s:f>'1'!F572</s:f>
        <s:v>46247.56675925926</s:v>
      </s:c>
      <s:c r="L571" s="22">
        <s:f>'2'!F572</s:f>
        <s:v>46247.54849537037</s:v>
      </s:c>
      <s:c r="M571" s="22">
        <s:f>'3'!F572</s:f>
        <s:v>46247.53108796296</s:v>
      </s:c>
      <s:c r="N571" s="22">
        <s:f>'4'!F572</s:f>
        <s:v>46247.48519675926</s:v>
      </s:c>
      <s:c r="O571" s="22">
        <s:f>'5'!F572</s:f>
        <s:v>46247.45685185185</s:v>
      </s:c>
      <s:c r="P571" s="22">
        <s:f>'6'!F572</s:f>
        <s:v>46247.43739583333</s:v>
      </s:c>
      <s:c r="Q571" s="22">
        <s:f>'7'!F572</s:f>
        <s:v>46247.41474537037</s:v>
      </s:c>
      <s:c r="R571" s="22">
        <s:f>'8'!F572</s:f>
        <s:v>46247.390555555554</s:v>
      </s:c>
      <s:c r="S571" s="22">
        <s:f>'9'!F572</s:f>
        <s:v>46247.37274305556</s:v>
      </s:c>
      <s:c r="T571" s="22">
        <s:f>'10'!F572</s:f>
        <s:v>46247.343518518515</s:v>
      </s:c>
      <s:c r="U571" s="23">
        <s:f>'자료구성'!$B$2</s:f>
        <s:v>46247.0</s:v>
      </s:c>
    </s:row>
    <s:row r="572">
      <s:c r="A572" s="0" t="n">
        <s:v>1405</s:v>
      </s:c>
      <s:c r="B572" s="0" t="n">
        <s:v>1134</s:v>
      </s:c>
      <s:c r="C572" s="0" t="n">
        <s:v>3526</s:v>
      </s:c>
      <s:c r="D572" s="0" t="n">
        <s:v>244</s:v>
      </s:c>
      <s:c r="E572" s="0" t="n">
        <s:v>1126</s:v>
      </s:c>
      <s:c r="F572" s="0" t="n">
        <s:v>2530</s:v>
      </s:c>
      <s:c r="G572" s="0" t="n">
        <s:v>3234</s:v>
      </s:c>
      <s:c r="H572" s="0" t="n">
        <s:v>4871</s:v>
      </s:c>
      <s:c r="I572" s="0" t="n">
        <s:v>1920</s:v>
      </s:c>
      <s:c r="J572" s="0" t="n">
        <s:v>1743</s:v>
      </s:c>
      <s:c r="K572" s="22">
        <s:f>'1'!F573</s:f>
        <s:v>46247.566770833335</s:v>
      </s:c>
      <s:c r="L572" s="22">
        <s:f>'2'!F573</s:f>
        <s:v>46247.54850694445</s:v>
      </s:c>
      <s:c r="M572" s="22">
        <s:f>'3'!F573</s:f>
        <s:v>46247.53109953704</s:v>
      </s:c>
      <s:c r="N572" s="22">
        <s:f>'4'!F573</s:f>
        <s:v>46247.48520833333</s:v>
      </s:c>
      <s:c r="O572" s="22">
        <s:f>'5'!F573</s:f>
        <s:v>46247.45686342593</s:v>
      </s:c>
      <s:c r="P572" s="22">
        <s:f>'6'!F573</s:f>
        <s:v>46247.43740740741</s:v>
      </s:c>
      <s:c r="Q572" s="22">
        <s:f>'7'!F573</s:f>
        <s:v>46247.41475694445</s:v>
      </s:c>
      <s:c r="R572" s="22">
        <s:f>'8'!F573</s:f>
        <s:v>46247.39056712963</s:v>
      </s:c>
      <s:c r="S572" s="22">
        <s:f>'9'!F573</s:f>
        <s:v>46247.37275462963</s:v>
      </s:c>
      <s:c r="T572" s="22">
        <s:f>'10'!F573</s:f>
        <s:v>46247.34353009259</s:v>
      </s:c>
      <s:c r="U572" s="23">
        <s:f>'자료구성'!$B$2</s:f>
        <s:v>46247.0</s:v>
      </s:c>
    </s:row>
    <s:row r="573">
      <s:c r="A573" s="0" t="n">
        <s:v>1427</s:v>
      </s:c>
      <s:c r="B573" s="0" t="n">
        <s:v>1148</s:v>
      </s:c>
      <s:c r="C573" s="0" t="n">
        <s:v>3449</s:v>
      </s:c>
      <s:c r="D573" s="0" t="n">
        <s:v>239</s:v>
      </s:c>
      <s:c r="E573" s="0" t="n">
        <s:v>1118</s:v>
      </s:c>
      <s:c r="F573" s="0" t="n">
        <s:v>2554</s:v>
      </s:c>
      <s:c r="G573" s="0" t="n">
        <s:v>3078</s:v>
      </s:c>
      <s:c r="H573" s="0" t="n">
        <s:v>4840</s:v>
      </s:c>
      <s:c r="I573" s="0" t="n">
        <s:v>1885</s:v>
      </s:c>
      <s:c r="J573" s="0" t="n">
        <s:v>1828</s:v>
      </s:c>
      <s:c r="K573" s="22">
        <s:f>'1'!F574</s:f>
        <s:v>46247.566782407404</s:v>
      </s:c>
      <s:c r="L573" s="22">
        <s:f>'2'!F574</s:f>
        <s:v>46247.54851851852</s:v>
      </s:c>
      <s:c r="M573" s="22">
        <s:f>'3'!F574</s:f>
        <s:v>46247.53111111111</s:v>
      </s:c>
      <s:c r="N573" s="22">
        <s:f>'4'!F574</s:f>
        <s:v>46247.48521990741</s:v>
      </s:c>
      <s:c r="O573" s="22">
        <s:f>'5'!F574</s:f>
        <s:v>46247.456875</s:v>
      </s:c>
      <s:c r="P573" s="22">
        <s:f>'6'!F574</s:f>
        <s:v>46247.437418981484</s:v>
      </s:c>
      <s:c r="Q573" s="22">
        <s:f>'7'!F574</s:f>
        <s:v>46247.414768518516</s:v>
      </s:c>
      <s:c r="R573" s="22">
        <s:f>'8'!F574</s:f>
        <s:v>46247.3905787037</s:v>
      </s:c>
      <s:c r="S573" s="22">
        <s:f>'9'!F574</s:f>
        <s:v>46247.372766203705</s:v>
      </s:c>
      <s:c r="T573" s="22">
        <s:f>'10'!F574</s:f>
        <s:v>46247.34354166667</s:v>
      </s:c>
      <s:c r="U573" s="23">
        <s:f>'자료구성'!$B$2</s:f>
        <s:v>46247.0</s:v>
      </s:c>
    </s:row>
    <s:row r="574">
      <s:c r="A574" s="0" t="n">
        <s:v>1425</s:v>
      </s:c>
      <s:c r="B574" s="0" t="n">
        <s:v>1139</s:v>
      </s:c>
      <s:c r="C574" s="0" t="n">
        <s:v>3364</s:v>
      </s:c>
      <s:c r="D574" s="0" t="n">
        <s:v>235</s:v>
      </s:c>
      <s:c r="E574" s="0" t="n">
        <s:v>1117</s:v>
      </s:c>
      <s:c r="F574" s="0" t="n">
        <s:v>2555</s:v>
      </s:c>
      <s:c r="G574" s="0" t="n">
        <s:v>2902</s:v>
      </s:c>
      <s:c r="H574" s="0" t="n">
        <s:v>4882</s:v>
      </s:c>
      <s:c r="I574" s="0" t="n">
        <s:v>1864</s:v>
      </s:c>
      <s:c r="J574" s="0" t="n">
        <s:v>1791</s:v>
      </s:c>
      <s:c r="K574" s="22">
        <s:f>'1'!F575</s:f>
        <s:v>46247.56679398148</s:v>
      </s:c>
      <s:c r="L574" s="22">
        <s:f>'2'!F575</s:f>
        <s:v>46247.548530092594</s:v>
      </s:c>
      <s:c r="M574" s="22">
        <s:f>'3'!F575</s:f>
        <s:v>46247.531122685185</s:v>
      </s:c>
      <s:c r="N574" s="22">
        <s:f>'4'!F575</s:f>
        <s:v>46247.48523148148</s:v>
      </s:c>
      <s:c r="O574" s="22">
        <s:f>'5'!F575</s:f>
        <s:v>46247.45688657407</s:v>
      </s:c>
      <s:c r="P574" s="22">
        <s:f>'6'!F575</s:f>
        <s:v>46247.437430555554</s:v>
      </s:c>
      <s:c r="Q574" s="22">
        <s:f>'7'!F575</s:f>
        <s:v>46247.41478009259</s:v>
      </s:c>
      <s:c r="R574" s="22">
        <s:f>'8'!F575</s:f>
        <s:v>46247.39059027778</s:v>
      </s:c>
      <s:c r="S574" s="22">
        <s:f>'9'!F575</s:f>
        <s:v>46247.372777777775</s:v>
      </s:c>
      <s:c r="T574" s="22">
        <s:f>'10'!F575</s:f>
        <s:v>46247.34355324074</s:v>
      </s:c>
      <s:c r="U574" s="23">
        <s:f>'자료구성'!$B$2</s:f>
        <s:v>46247.0</s:v>
      </s:c>
    </s:row>
    <s:row r="575">
      <s:c r="A575" s="0" t="n">
        <s:v>1415</s:v>
      </s:c>
      <s:c r="B575" s="0" t="n">
        <s:v>1149</s:v>
      </s:c>
      <s:c r="C575" s="0" t="n">
        <s:v>3278</s:v>
      </s:c>
      <s:c r="D575" s="0" t="n">
        <s:v>231</s:v>
      </s:c>
      <s:c r="E575" s="0" t="n">
        <s:v>1121</s:v>
      </s:c>
      <s:c r="F575" s="0" t="n">
        <s:v>2578</s:v>
      </s:c>
      <s:c r="G575" s="0" t="n">
        <s:v>2723</s:v>
      </s:c>
      <s:c r="H575" s="0" t="n">
        <s:v>4951</s:v>
      </s:c>
      <s:c r="I575" s="0" t="n">
        <s:v>1849</s:v>
      </s:c>
      <s:c r="J575" s="0" t="n">
        <s:v>1755</s:v>
      </s:c>
      <s:c r="K575" s="22">
        <s:f>'1'!F576</s:f>
        <s:v>46247.56680555556</s:v>
      </s:c>
      <s:c r="L575" s="22">
        <s:f>'2'!F576</s:f>
        <s:v>46247.54854166666</s:v>
      </s:c>
      <s:c r="M575" s="22">
        <s:f>'3'!F576</s:f>
        <s:v>46247.53113425926</s:v>
      </s:c>
      <s:c r="N575" s="22">
        <s:f>'4'!F576</s:f>
        <s:v>46247.485243055555</s:v>
      </s:c>
      <s:c r="O575" s="22">
        <s:f>'5'!F576</s:f>
        <s:v>46247.45689814815</s:v>
      </s:c>
      <s:c r="P575" s="22">
        <s:f>'6'!F576</s:f>
        <s:v>46247.43744212963</s:v>
      </s:c>
      <s:c r="Q575" s="22">
        <s:f>'7'!F576</s:f>
        <s:v>46247.41479166667</s:v>
      </s:c>
      <s:c r="R575" s="22">
        <s:f>'8'!F576</s:f>
        <s:v>46247.390601851854</s:v>
      </s:c>
      <s:c r="S575" s="22">
        <s:f>'9'!F576</s:f>
        <s:v>46247.37278935185</s:v>
      </s:c>
      <s:c r="T575" s="22">
        <s:f>'10'!F576</s:f>
        <s:v>46247.343564814815</s:v>
      </s:c>
      <s:c r="U575" s="23">
        <s:f>'자료구성'!$B$2</s:f>
        <s:v>46247.0</s:v>
      </s:c>
    </s:row>
    <s:row r="576">
      <s:c r="A576" s="0" t="n">
        <s:v>1372</s:v>
      </s:c>
      <s:c r="B576" s="0" t="n">
        <s:v>1167</s:v>
      </s:c>
      <s:c r="C576" s="0" t="n">
        <s:v>3184</s:v>
      </s:c>
      <s:c r="D576" s="0" t="n">
        <s:v>222</s:v>
      </s:c>
      <s:c r="E576" s="0" t="n">
        <s:v>1148</s:v>
      </s:c>
      <s:c r="F576" s="0" t="n">
        <s:v>2614</s:v>
      </s:c>
      <s:c r="G576" s="0" t="n">
        <s:v>2564</s:v>
      </s:c>
      <s:c r="H576" s="0" t="n">
        <s:v>5032</s:v>
      </s:c>
      <s:c r="I576" s="0" t="n">
        <s:v>1850</s:v>
      </s:c>
      <s:c r="J576" s="0" t="n">
        <s:v>1749</s:v>
      </s:c>
      <s:c r="K576" s="22">
        <s:f>'1'!F577</s:f>
        <s:v>46247.56681712963</s:v>
      </s:c>
      <s:c r="L576" s="22">
        <s:f>'2'!F577</s:f>
        <s:v>46247.54855324074</s:v>
      </s:c>
      <s:c r="M576" s="22">
        <s:f>'3'!F577</s:f>
        <s:v>46247.53114583333</s:v>
      </s:c>
      <s:c r="N576" s="22">
        <s:f>'4'!F577</s:f>
        <s:v>46247.48525462963</s:v>
      </s:c>
      <s:c r="O576" s="22">
        <s:f>'5'!F577</s:f>
        <s:v>46247.45690972222</s:v>
      </s:c>
      <s:c r="P576" s="22">
        <s:f>'6'!F577</s:f>
        <s:v>46247.4374537037</s:v>
      </s:c>
      <s:c r="Q576" s="22">
        <s:f>'7'!F577</s:f>
        <s:v>46247.41480324074</s:v>
      </s:c>
      <s:c r="R576" s="22">
        <s:f>'8'!F577</s:f>
        <s:v>46247.39061342592</s:v>
      </s:c>
      <s:c r="S576" s="22">
        <s:f>'9'!F577</s:f>
        <s:v>46247.37280092593</s:v>
      </s:c>
      <s:c r="T576" s="22">
        <s:f>'10'!F577</s:f>
        <s:v>46247.34357638889</s:v>
      </s:c>
      <s:c r="U576" s="23">
        <s:f>'자료구성'!$B$2</s:f>
        <s:v>46247.0</s:v>
      </s:c>
    </s:row>
    <s:row r="577">
      <s:c r="A577" s="0" t="n">
        <s:v>1351</s:v>
      </s:c>
      <s:c r="B577" s="0" t="n">
        <s:v>1179</s:v>
      </s:c>
      <s:c r="C577" s="0" t="n">
        <s:v>3152</s:v>
      </s:c>
      <s:c r="D577" s="0" t="n">
        <s:v>214</s:v>
      </s:c>
      <s:c r="E577" s="0" t="n">
        <s:v>1180</s:v>
      </s:c>
      <s:c r="F577" s="0" t="n">
        <s:v>2603</s:v>
      </s:c>
      <s:c r="G577" s="0" t="n">
        <s:v>2530</s:v>
      </s:c>
      <s:c r="H577" s="0" t="n">
        <s:v>5012</s:v>
      </s:c>
      <s:c r="I577" s="0" t="n">
        <s:v>1850</s:v>
      </s:c>
      <s:c r="J577" s="0" t="n">
        <s:v>1734</s:v>
      </s:c>
      <s:c r="K577" s="22">
        <s:f>'1'!F578</s:f>
        <s:v>46247.566828703704</s:v>
      </s:c>
      <s:c r="L577" s="22">
        <s:f>'2'!F578</s:f>
        <s:v>46247.54856481482</s:v>
      </s:c>
      <s:c r="M577" s="22">
        <s:f>'3'!F578</s:f>
        <s:v>46247.53115740741</s:v>
      </s:c>
      <s:c r="N577" s="22">
        <s:f>'4'!F578</s:f>
        <s:v>46247.4852662037</s:v>
      </s:c>
      <s:c r="O577" s="22">
        <s:f>'5'!F578</s:f>
        <s:v>46247.456921296296</s:v>
      </s:c>
      <s:c r="P577" s="22">
        <s:f>'6'!F578</s:f>
        <s:v>46247.43746527778</s:v>
      </s:c>
      <s:c r="Q577" s="22">
        <s:f>'7'!F578</s:f>
        <s:v>46247.414814814816</s:v>
      </s:c>
      <s:c r="R577" s="22">
        <s:f>'8'!F578</s:f>
        <s:v>46247.390625</s:v>
      </s:c>
      <s:c r="S577" s="22">
        <s:f>'9'!F578</s:f>
        <s:v>46247.3728125</s:v>
      </s:c>
      <s:c r="T577" s="22">
        <s:f>'10'!F578</s:f>
        <s:v>46247.34358796296</s:v>
      </s:c>
      <s:c r="U577" s="23">
        <s:f>'자료구성'!$B$2</s:f>
        <s:v>46247.0</s:v>
      </s:c>
    </s:row>
    <s:row r="578">
      <s:c r="A578" s="0" t="n">
        <s:v>1401</s:v>
      </s:c>
      <s:c r="B578" s="0" t="n">
        <s:v>1192</s:v>
      </s:c>
      <s:c r="C578" s="0" t="n">
        <s:v>3152</s:v>
      </s:c>
      <s:c r="D578" s="0" t="n">
        <s:v>205</s:v>
      </s:c>
      <s:c r="E578" s="0" t="n">
        <s:v>1178</s:v>
      </s:c>
      <s:c r="F578" s="0" t="n">
        <s:v>2706</s:v>
      </s:c>
      <s:c r="G578" s="0" t="n">
        <s:v>2397</s:v>
      </s:c>
      <s:c r="H578" s="0" t="n">
        <s:v>4989</s:v>
      </s:c>
      <s:c r="I578" s="0" t="n">
        <s:v>1837</s:v>
      </s:c>
      <s:c r="J578" s="0" t="n">
        <s:v>1752</s:v>
      </s:c>
      <s:c r="K578" s="22">
        <s:f>'1'!F579</s:f>
        <s:v>46247.56684027778</s:v>
      </s:c>
      <s:c r="L578" s="22">
        <s:f>'2'!F579</s:f>
        <s:v>46247.54857638889</s:v>
      </s:c>
      <s:c r="M578" s="22">
        <s:f>'3'!F579</s:f>
        <s:v>46247.531168981484</s:v>
      </s:c>
      <s:c r="N578" s="22">
        <s:f>'4'!F579</s:f>
        <s:v>46247.48527777778</s:v>
      </s:c>
      <s:c r="O578" s="22">
        <s:f>'5'!F579</s:f>
        <s:v>46247.45693287037</s:v>
      </s:c>
      <s:c r="P578" s="22">
        <s:f>'6'!F579</s:f>
        <s:v>46247.437476851854</s:v>
      </s:c>
      <s:c r="Q578" s="22">
        <s:f>'7'!F579</s:f>
        <s:v>46247.414826388886</s:v>
      </s:c>
      <s:c r="R578" s="22">
        <s:f>'8'!F579</s:f>
        <s:v>46247.39063657408</s:v>
      </s:c>
      <s:c r="S578" s="22">
        <s:f>'9'!F579</s:f>
        <s:v>46247.372824074075</s:v>
      </s:c>
      <s:c r="T578" s="22">
        <s:f>'10'!F579</s:f>
        <s:v>46247.34359953704</s:v>
      </s:c>
      <s:c r="U578" s="23">
        <s:f>'자료구성'!$B$2</s:f>
        <s:v>46247.0</s:v>
      </s:c>
    </s:row>
    <s:row r="579">
      <s:c r="A579" s="0" t="n">
        <s:v>1540</s:v>
      </s:c>
      <s:c r="B579" s="0" t="n">
        <s:v>1201</s:v>
      </s:c>
      <s:c r="C579" s="0" t="n">
        <s:v>3162</s:v>
      </s:c>
      <s:c r="D579" s="0" t="n">
        <s:v>200</s:v>
      </s:c>
      <s:c r="E579" s="0" t="n">
        <s:v>1207</s:v>
      </s:c>
      <s:c r="F579" s="0" t="n">
        <s:v>2769</s:v>
      </s:c>
      <s:c r="G579" s="0" t="n">
        <s:v>2308</s:v>
      </s:c>
      <s:c r="H579" s="0" t="n">
        <s:v>4963</s:v>
      </s:c>
      <s:c r="I579" s="0" t="n">
        <s:v>1827</s:v>
      </s:c>
      <s:c r="J579" s="0" t="n">
        <s:v>1711</s:v>
      </s:c>
      <s:c r="K579" s="22">
        <s:f>'1'!F580</s:f>
        <s:v>46247.56685185185</s:v>
      </s:c>
      <s:c r="L579" s="22">
        <s:f>'2'!F580</s:f>
        <s:v>46247.54858796296</s:v>
      </s:c>
      <s:c r="M579" s="22">
        <s:f>'3'!F580</s:f>
        <s:v>46247.531180555554</s:v>
      </s:c>
      <s:c r="N579" s="22">
        <s:f>'4'!F580</s:f>
        <s:v>46247.485289351855</s:v>
      </s:c>
      <s:c r="O579" s="22">
        <s:f>'5'!F580</s:f>
        <s:v>46247.45694444444</s:v>
      </s:c>
      <s:c r="P579" s="22">
        <s:f>'6'!F580</s:f>
        <s:v>46247.43748842592</s:v>
      </s:c>
      <s:c r="Q579" s="22">
        <s:f>'7'!F580</s:f>
        <s:v>46247.41483796296</s:v>
      </s:c>
      <s:c r="R579" s="22">
        <s:f>'8'!F580</s:f>
        <s:v>46247.390648148146</s:v>
      </s:c>
      <s:c r="S579" s="22">
        <s:f>'9'!F580</s:f>
        <s:v>46247.37283564815</s:v>
      </s:c>
      <s:c r="T579" s="22">
        <s:f>'10'!F580</s:f>
        <s:v>46247.34361111111</s:v>
      </s:c>
      <s:c r="U579" s="23">
        <s:f>'자료구성'!$B$2</s:f>
        <s:v>46247.0</s:v>
      </s:c>
    </s:row>
    <s:row r="580">
      <s:c r="A580" s="0" t="n">
        <s:v>1688</s:v>
      </s:c>
      <s:c r="B580" s="0" t="n">
        <s:v>1202</s:v>
      </s:c>
      <s:c r="C580" s="0" t="n">
        <s:v>3124</s:v>
      </s:c>
      <s:c r="D580" s="0" t="n">
        <s:v>197</s:v>
      </s:c>
      <s:c r="E580" s="0" t="n">
        <s:v>1236</s:v>
      </s:c>
      <s:c r="F580" s="0" t="n">
        <s:v>2783</s:v>
      </s:c>
      <s:c r="G580" s="0" t="n">
        <s:v>2267</s:v>
      </s:c>
      <s:c r="H580" s="0" t="n">
        <s:v>4890</s:v>
      </s:c>
      <s:c r="I580" s="0" t="n">
        <s:v>1859</s:v>
      </s:c>
      <s:c r="J580" s="0" t="n">
        <s:v>1678</s:v>
      </s:c>
      <s:c r="K580" s="22">
        <s:f>'1'!F581</s:f>
        <s:v>46247.56686342593</s:v>
      </s:c>
      <s:c r="L580" s="22">
        <s:f>'2'!F581</s:f>
        <s:v>46247.54859953704</s:v>
      </s:c>
      <s:c r="M580" s="22">
        <s:f>'3'!F581</s:f>
        <s:v>46247.53119212963</s:v>
      </s:c>
      <s:c r="N580" s="22">
        <s:f>'4'!F581</s:f>
        <s:v>46247.485300925924</s:v>
      </s:c>
      <s:c r="O580" s="22">
        <s:f>'5'!F581</s:f>
        <s:v>46247.45695601852</s:v>
      </s:c>
      <s:c r="P580" s="22">
        <s:f>'6'!F581</s:f>
        <s:v>46247.4375</s:v>
      </s:c>
      <s:c r="Q580" s="22">
        <s:f>'7'!F581</s:f>
        <s:v>46247.41484953704</s:v>
      </s:c>
      <s:c r="R580" s="22">
        <s:f>'8'!F581</s:f>
        <s:v>46247.39065972222</s:v>
      </s:c>
      <s:c r="S580" s="22">
        <s:f>'9'!F581</s:f>
        <s:v>46247.37284722222</s:v>
      </s:c>
      <s:c r="T580" s="22">
        <s:f>'10'!F581</s:f>
        <s:v>46247.343622685185</s:v>
      </s:c>
      <s:c r="U580" s="23">
        <s:f>'자료구성'!$B$2</s:f>
        <s:v>46247.0</s:v>
      </s:c>
    </s:row>
    <s:row r="581">
      <s:c r="A581" s="0" t="n">
        <s:v>1806</s:v>
      </s:c>
      <s:c r="B581" s="0" t="n">
        <s:v>1199</s:v>
      </s:c>
      <s:c r="C581" s="0" t="n">
        <s:v>3079</s:v>
      </s:c>
      <s:c r="D581" s="0" t="n">
        <s:v>191</s:v>
      </s:c>
      <s:c r="E581" s="0" t="n">
        <s:v>1260</s:v>
      </s:c>
      <s:c r="F581" s="0" t="n">
        <s:v>2831</s:v>
      </s:c>
      <s:c r="G581" s="0" t="n">
        <s:v>2231</s:v>
      </s:c>
      <s:c r="H581" s="0" t="n">
        <s:v>4874</s:v>
      </s:c>
      <s:c r="I581" s="0" t="n">
        <s:v>1854</s:v>
      </s:c>
      <s:c r="J581" s="0" t="n">
        <s:v>1656</s:v>
      </s:c>
      <s:c r="K581" s="22">
        <s:f>'1'!F582</s:f>
        <s:v>46247.566875</s:v>
      </s:c>
      <s:c r="L581" s="22">
        <s:f>'2'!F582</s:f>
        <s:v>46247.54861111111</s:v>
      </s:c>
      <s:c r="M581" s="22">
        <s:f>'3'!F582</s:f>
        <s:v>46247.5312037037</s:v>
      </s:c>
      <s:c r="N581" s="22">
        <s:f>'4'!F582</s:f>
        <s:v>46247.4853125</s:v>
      </s:c>
      <s:c r="O581" s="22">
        <s:f>'5'!F582</s:f>
        <s:v>46247.456967592596</s:v>
      </s:c>
      <s:c r="P581" s="22">
        <s:f>'6'!F582</s:f>
        <s:v>46247.43751157408</s:v>
      </s:c>
      <s:c r="Q581" s="22">
        <s:f>'7'!F582</s:f>
        <s:v>46247.41486111111</s:v>
      </s:c>
      <s:c r="R581" s="22">
        <s:f>'8'!F582</s:f>
        <s:v>46247.3906712963</s:v>
      </s:c>
      <s:c r="S581" s="22">
        <s:f>'9'!F582</s:f>
        <s:v>46247.3728587963</s:v>
      </s:c>
      <s:c r="T581" s="22">
        <s:f>'10'!F582</s:f>
        <s:v>46247.34363425926</s:v>
      </s:c>
      <s:c r="U581" s="23">
        <s:f>'자료구성'!$B$2</s:f>
        <s:v>46247.0</s:v>
      </s:c>
    </s:row>
    <s:row r="582">
      <s:c r="A582" s="0" t="n">
        <s:v>1863</s:v>
      </s:c>
      <s:c r="B582" s="0" t="n">
        <s:v>1218</s:v>
      </s:c>
      <s:c r="C582" s="0" t="n">
        <s:v>3060</s:v>
      </s:c>
      <s:c r="D582" s="0" t="n">
        <s:v>187</s:v>
      </s:c>
      <s:c r="E582" s="0" t="n">
        <s:v>1255</s:v>
      </s:c>
      <s:c r="F582" s="0" t="n">
        <s:v>2769</s:v>
      </s:c>
      <s:c r="G582" s="0" t="n">
        <s:v>2218</s:v>
      </s:c>
      <s:c r="H582" s="0" t="n">
        <s:v>4892</s:v>
      </s:c>
      <s:c r="I582" s="0" t="n">
        <s:v>1853</s:v>
      </s:c>
      <s:c r="J582" s="0" t="n">
        <s:v>1671</s:v>
      </s:c>
      <s:c r="K582" s="22">
        <s:f>'1'!F583</s:f>
        <s:v>46247.56688657407</s:v>
      </s:c>
      <s:c r="L582" s="22">
        <s:f>'2'!F583</s:f>
        <s:v>46247.548622685186</s:v>
      </s:c>
      <s:c r="M582" s="22">
        <s:f>'3'!F583</s:f>
        <s:v>46247.53121527778</s:v>
      </s:c>
      <s:c r="N582" s="22">
        <s:f>'4'!F583</s:f>
        <s:v>46247.48532407408</s:v>
      </s:c>
      <s:c r="O582" s="22">
        <s:f>'5'!F583</s:f>
        <s:v>46247.456979166665</s:v>
      </s:c>
      <s:c r="P582" s="22">
        <s:f>'6'!F583</s:f>
        <s:v>46247.437523148146</s:v>
      </s:c>
      <s:c r="Q582" s="22">
        <s:f>'7'!F583</s:f>
        <s:v>46247.414872685185</s:v>
      </s:c>
      <s:c r="R582" s="22">
        <s:f>'8'!F583</s:f>
        <s:v>46247.39068287037</s:v>
      </s:c>
      <s:c r="S582" s="22">
        <s:f>'9'!F583</s:f>
        <s:v>46247.37287037037</s:v>
      </s:c>
      <s:c r="T582" s="22">
        <s:f>'10'!F583</s:f>
        <s:v>46247.34364583333</s:v>
      </s:c>
      <s:c r="U582" s="23">
        <s:f>'자료구성'!$B$2</s:f>
        <s:v>46247.0</s:v>
      </s:c>
    </s:row>
    <s:row r="583">
      <s:c r="A583" s="0" t="n">
        <s:v>1979</s:v>
      </s:c>
      <s:c r="B583" s="0" t="n">
        <s:v>1197</s:v>
      </s:c>
      <s:c r="C583" s="0" t="n">
        <s:v>3048</s:v>
      </s:c>
      <s:c r="D583" s="0" t="n">
        <s:v>196</s:v>
      </s:c>
      <s:c r="E583" s="0" t="n">
        <s:v>1251</s:v>
      </s:c>
      <s:c r="F583" s="0" t="n">
        <s:v>2734</s:v>
      </s:c>
      <s:c r="G583" s="0" t="n">
        <s:v>2206</s:v>
      </s:c>
      <s:c r="H583" s="0" t="n">
        <s:v>4916</s:v>
      </s:c>
      <s:c r="I583" s="0" t="n">
        <s:v>1860</s:v>
      </s:c>
      <s:c r="J583" s="0" t="n">
        <s:v>1704</s:v>
      </s:c>
      <s:c r="K583" s="22">
        <s:f>'1'!F584</s:f>
        <s:v>46247.56689814815</s:v>
      </s:c>
      <s:c r="L583" s="22">
        <s:f>'2'!F584</s:f>
        <s:v>46247.548634259256</s:v>
      </s:c>
      <s:c r="M583" s="22">
        <s:f>'3'!F584</s:f>
        <s:v>46247.531226851854</s:v>
      </s:c>
      <s:c r="N583" s="22">
        <s:f>'4'!F584</s:f>
        <s:v>46247.48533564815</s:v>
      </s:c>
      <s:c r="O583" s="22">
        <s:f>'5'!F584</s:f>
        <s:v>46247.45699074074</s:v>
      </s:c>
      <s:c r="P583" s="22">
        <s:f>'6'!F584</s:f>
        <s:v>46247.43753472222</s:v>
      </s:c>
      <s:c r="Q583" s="22">
        <s:f>'7'!F584</s:f>
        <s:v>46247.41488425926</s:v>
      </s:c>
      <s:c r="R583" s="22">
        <s:f>'8'!F584</s:f>
        <s:v>46247.390694444446</s:v>
      </s:c>
      <s:c r="S583" s="22">
        <s:f>'9'!F584</s:f>
        <s:v>46247.372881944444</s:v>
      </s:c>
      <s:c r="T583" s="22">
        <s:f>'10'!F584</s:f>
        <s:v>46247.34365740741</s:v>
      </s:c>
      <s:c r="U583" s="23">
        <s:f>'자료구성'!$B$2</s:f>
        <s:v>46247.0</s:v>
      </s:c>
    </s:row>
    <s:row r="584">
      <s:c r="A584" s="0" t="n">
        <s:v>2108</s:v>
      </s:c>
      <s:c r="B584" s="0" t="n">
        <s:v>1192</s:v>
      </s:c>
      <s:c r="C584" s="0" t="n">
        <s:v>3019</s:v>
      </s:c>
      <s:c r="D584" s="0" t="n">
        <s:v>214</s:v>
      </s:c>
      <s:c r="E584" s="0" t="n">
        <s:v>1252</s:v>
      </s:c>
      <s:c r="F584" s="0" t="n">
        <s:v>2724</s:v>
      </s:c>
      <s:c r="G584" s="0" t="n">
        <s:v>2178</s:v>
      </s:c>
      <s:c r="H584" s="0" t="n">
        <s:v>4920</s:v>
      </s:c>
      <s:c r="I584" s="0" t="n">
        <s:v>1854</s:v>
      </s:c>
      <s:c r="J584" s="0" t="n">
        <s:v>1710</s:v>
      </s:c>
      <s:c r="K584" s="22">
        <s:f>'1'!F585</s:f>
        <s:v>46247.56690972222</s:v>
      </s:c>
      <s:c r="L584" s="22">
        <s:f>'2'!F585</s:f>
        <s:v>46247.54864583333</s:v>
      </s:c>
      <s:c r="M584" s="22">
        <s:f>'3'!F585</s:f>
        <s:v>46247.53123842592</s:v>
      </s:c>
      <s:c r="N584" s="22">
        <s:f>'4'!F585</s:f>
        <s:v>46247.485347222224</s:v>
      </s:c>
      <s:c r="O584" s="22">
        <s:f>'5'!F585</s:f>
        <s:v>46247.45700231481</s:v>
      </s:c>
      <s:c r="P584" s="22">
        <s:f>'6'!F585</s:f>
        <s:v>46247.4375462963</s:v>
      </s:c>
      <s:c r="Q584" s="22">
        <s:f>'7'!F585</s:f>
        <s:v>46247.41489583333</s:v>
      </s:c>
      <s:c r="R584" s="22">
        <s:f>'8'!F585</s:f>
        <s:v>46247.390706018516</s:v>
      </s:c>
      <s:c r="S584" s="22">
        <s:f>'9'!F585</s:f>
        <s:v>46247.37289351852</s:v>
      </s:c>
      <s:c r="T584" s="22">
        <s:f>'10'!F585</s:f>
        <s:v>46247.343668981484</s:v>
      </s:c>
      <s:c r="U584" s="23">
        <s:f>'자료구성'!$B$2</s:f>
        <s:v>46247.0</s:v>
      </s:c>
    </s:row>
    <s:row r="585">
      <s:c r="A585" s="0" t="n">
        <s:v>2138</s:v>
      </s:c>
      <s:c r="B585" s="0" t="n">
        <s:v>1187</s:v>
      </s:c>
      <s:c r="C585" s="0" t="n">
        <s:v>3021</s:v>
      </s:c>
      <s:c r="D585" s="0" t="n">
        <s:v>235</s:v>
      </s:c>
      <s:c r="E585" s="0" t="n">
        <s:v>1261</s:v>
      </s:c>
      <s:c r="F585" s="0" t="n">
        <s:v>2677</s:v>
      </s:c>
      <s:c r="G585" s="0" t="n">
        <s:v>2160</s:v>
      </s:c>
      <s:c r="H585" s="0" t="n">
        <s:v>4918</s:v>
      </s:c>
      <s:c r="I585" s="0" t="n">
        <s:v>1851</s:v>
      </s:c>
      <s:c r="J585" s="0" t="n">
        <s:v>1738</s:v>
      </s:c>
      <s:c r="K585" s="22">
        <s:f>'1'!F586</s:f>
        <s:v>46247.5669212963</s:v>
      </s:c>
      <s:c r="L585" s="22">
        <s:f>'2'!F586</s:f>
        <s:v>46247.54865740741</s:v>
      </s:c>
      <s:c r="M585" s="22">
        <s:f>'3'!F586</s:f>
        <s:v>46247.53125</s:v>
      </s:c>
      <s:c r="N585" s="22">
        <s:f>'4'!F586</s:f>
        <s:v>46247.48535879629</s:v>
      </s:c>
      <s:c r="O585" s="22">
        <s:f>'5'!F586</s:f>
        <s:v>46247.45701388889</s:v>
      </s:c>
      <s:c r="P585" s="22">
        <s:f>'6'!F586</s:f>
        <s:v>46247.43755787037</s:v>
      </s:c>
      <s:c r="Q585" s="22">
        <s:f>'7'!F586</s:f>
        <s:v>46247.41490740741</s:v>
      </s:c>
      <s:c r="R585" s="22">
        <s:f>'8'!F586</s:f>
        <s:v>46247.39071759259</s:v>
      </s:c>
      <s:c r="S585" s="22">
        <s:f>'9'!F586</s:f>
        <s:v>46247.37290509259</s:v>
      </s:c>
      <s:c r="T585" s="22">
        <s:f>'10'!F586</s:f>
        <s:v>46247.343680555554</s:v>
      </s:c>
      <s:c r="U585" s="23">
        <s:f>'자료구성'!$B$2</s:f>
        <s:v>46247.0</s:v>
      </s:c>
    </s:row>
    <s:row r="586">
      <s:c r="A586" s="0" t="n">
        <s:v>2148</s:v>
      </s:c>
      <s:c r="B586" s="0" t="n">
        <s:v>1177</s:v>
      </s:c>
      <s:c r="C586" s="0" t="n">
        <s:v>3012</s:v>
      </s:c>
      <s:c r="D586" s="0" t="n">
        <s:v>239</s:v>
      </s:c>
      <s:c r="E586" s="0" t="n">
        <s:v>1253</s:v>
      </s:c>
      <s:c r="F586" s="0" t="n">
        <s:v>2583</s:v>
      </s:c>
      <s:c r="G586" s="0" t="n">
        <s:v>2155</s:v>
      </s:c>
      <s:c r="H586" s="0" t="n">
        <s:v>4888</s:v>
      </s:c>
      <s:c r="I586" s="0" t="n">
        <s:v>1864</s:v>
      </s:c>
      <s:c r="J586" s="0" t="n">
        <s:v>1763</s:v>
      </s:c>
      <s:c r="K586" s="22">
        <s:f>'1'!F587</s:f>
        <s:v>46247.56693287037</s:v>
      </s:c>
      <s:c r="L586" s="22">
        <s:f>'2'!F587</s:f>
        <s:v>46247.54866898148</s:v>
      </s:c>
      <s:c r="M586" s="22">
        <s:f>'3'!F587</s:f>
        <s:v>46247.53126157408</s:v>
      </s:c>
      <s:c r="N586" s="22">
        <s:f>'4'!F587</s:f>
        <s:v>46247.48537037037</s:v>
      </s:c>
      <s:c r="O586" s="22">
        <s:f>'5'!F587</s:f>
        <s:v>46247.457025462965</s:v>
      </s:c>
      <s:c r="P586" s="22">
        <s:f>'6'!F587</s:f>
        <s:v>46247.437569444446</s:v>
      </s:c>
      <s:c r="Q586" s="22">
        <s:f>'7'!F587</s:f>
        <s:v>46247.41491898148</s:v>
      </s:c>
      <s:c r="R586" s="22">
        <s:f>'8'!F587</s:f>
        <s:v>46247.39072916667</s:v>
      </s:c>
      <s:c r="S586" s="22">
        <s:f>'9'!F587</s:f>
        <s:v>46247.37291666667</s:v>
      </s:c>
      <s:c r="T586" s="22">
        <s:f>'10'!F587</s:f>
        <s:v>46247.34369212963</s:v>
      </s:c>
      <s:c r="U586" s="23">
        <s:f>'자료구성'!$B$2</s:f>
        <s:v>46247.0</s:v>
      </s:c>
    </s:row>
    <s:row r="587">
      <s:c r="A587" s="0" t="n">
        <s:v>2161</s:v>
      </s:c>
      <s:c r="B587" s="0" t="n">
        <s:v>1159</s:v>
      </s:c>
      <s:c r="C587" s="0" t="n">
        <s:v>3002</s:v>
      </s:c>
      <s:c r="D587" s="0" t="n">
        <s:v>234</s:v>
      </s:c>
      <s:c r="E587" s="0" t="n">
        <s:v>1256</s:v>
      </s:c>
      <s:c r="F587" s="0" t="n">
        <s:v>2505</s:v>
      </s:c>
      <s:c r="G587" s="0" t="n">
        <s:v>2267</s:v>
      </s:c>
      <s:c r="H587" s="0" t="n">
        <s:v>4798</s:v>
      </s:c>
      <s:c r="I587" s="0" t="n">
        <s:v>1879</s:v>
      </s:c>
      <s:c r="J587" s="0" t="n">
        <s:v>1828</s:v>
      </s:c>
      <s:c r="K587" s="22">
        <s:f>'1'!F588</s:f>
        <s:v>46247.56694444444</s:v>
      </s:c>
      <s:c r="L587" s="22">
        <s:f>'2'!F588</s:f>
        <s:v>46247.548680555556</s:v>
      </s:c>
      <s:c r="M587" s="22">
        <s:f>'3'!F588</s:f>
        <s:v>46247.531273148146</s:v>
      </s:c>
      <s:c r="N587" s="22">
        <s:f>'4'!F588</s:f>
        <s:v>46247.48538194445</s:v>
      </s:c>
      <s:c r="O587" s="22">
        <s:f>'5'!F588</s:f>
        <s:v>46247.457037037035</s:v>
      </s:c>
      <s:c r="P587" s="22">
        <s:f>'6'!F588</s:f>
        <s:v>46247.437581018516</s:v>
      </s:c>
      <s:c r="Q587" s="22">
        <s:f>'7'!F588</s:f>
        <s:v>46247.414930555555</s:v>
      </s:c>
      <s:c r="R587" s="22">
        <s:f>'8'!F588</s:f>
        <s:v>46247.39074074074</s:v>
      </s:c>
      <s:c r="S587" s="22">
        <s:f>'9'!F588</s:f>
        <s:v>46247.372928240744</s:v>
      </s:c>
      <s:c r="T587" s="22">
        <s:f>'10'!F588</s:f>
        <s:v>46247.3437037037</s:v>
      </s:c>
      <s:c r="U587" s="23">
        <s:f>'자료구성'!$B$2</s:f>
        <s:v>46247.0</s:v>
      </s:c>
    </s:row>
    <s:row r="588">
      <s:c r="A588" s="0" t="n">
        <s:v>2137</s:v>
      </s:c>
      <s:c r="B588" s="0" t="n">
        <s:v>1156</s:v>
      </s:c>
      <s:c r="C588" s="0" t="n">
        <s:v>2983</s:v>
      </s:c>
      <s:c r="D588" s="0" t="n">
        <s:v>233</s:v>
      </s:c>
      <s:c r="E588" s="0" t="n">
        <s:v>1270</s:v>
      </s:c>
      <s:c r="F588" s="0" t="n">
        <s:v>2433</s:v>
      </s:c>
      <s:c r="G588" s="0" t="n">
        <s:v>2546</s:v>
      </s:c>
      <s:c r="H588" s="0" t="n">
        <s:v>4712</s:v>
      </s:c>
      <s:c r="I588" s="0" t="n">
        <s:v>1890</s:v>
      </s:c>
      <s:c r="J588" s="0" t="n">
        <s:v>1839</s:v>
      </s:c>
      <s:c r="K588" s="22">
        <s:f>'1'!F589</s:f>
        <s:v>46247.56695601852</s:v>
      </s:c>
      <s:c r="L588" s="22">
        <s:f>'2'!F589</s:f>
        <s:v>46247.54869212963</s:v>
      </s:c>
      <s:c r="M588" s="22">
        <s:f>'3'!F589</s:f>
        <s:v>46247.53128472222</s:v>
      </s:c>
      <s:c r="N588" s="22">
        <s:f>'4'!F589</s:f>
        <s:v>46247.48539351852</s:v>
      </s:c>
      <s:c r="O588" s="22">
        <s:f>'5'!F589</s:f>
        <s:v>46247.45704861111</s:v>
      </s:c>
      <s:c r="P588" s="22">
        <s:f>'6'!F589</s:f>
        <s:v>46247.43759259259</s:v>
      </s:c>
      <s:c r="Q588" s="22">
        <s:f>'7'!F589</s:f>
        <s:v>46247.41494212963</s:v>
      </s:c>
      <s:c r="R588" s="22">
        <s:f>'8'!F589</s:f>
        <s:v>46247.390752314815</s:v>
      </s:c>
      <s:c r="S588" s="22">
        <s:f>'9'!F589</s:f>
        <s:v>46247.37293981481</s:v>
      </s:c>
      <s:c r="T588" s="22">
        <s:f>'10'!F589</s:f>
        <s:v>46247.34371527778</s:v>
      </s:c>
      <s:c r="U588" s="23">
        <s:f>'자료구성'!$B$2</s:f>
        <s:v>46247.0</s:v>
      </s:c>
    </s:row>
    <s:row r="589">
      <s:c r="A589" s="0" t="n">
        <s:v>2119</s:v>
      </s:c>
      <s:c r="B589" s="0" t="n">
        <s:v>1145</s:v>
      </s:c>
      <s:c r="C589" s="0" t="n">
        <s:v>2949</s:v>
      </s:c>
      <s:c r="D589" s="0" t="n">
        <s:v>233</s:v>
      </s:c>
      <s:c r="E589" s="0" t="n">
        <s:v>1270</s:v>
      </s:c>
      <s:c r="F589" s="0" t="n">
        <s:v>2443</s:v>
      </s:c>
      <s:c r="G589" s="0" t="n">
        <s:v>2700</s:v>
      </s:c>
      <s:c r="H589" s="0" t="n">
        <s:v>4616</s:v>
      </s:c>
      <s:c r="I589" s="0" t="n">
        <s:v>1886</s:v>
      </s:c>
      <s:c r="J589" s="0" t="n">
        <s:v>1866</s:v>
      </s:c>
      <s:c r="K589" s="22">
        <s:f>'1'!F590</s:f>
        <s:v>46247.56696759259</s:v>
      </s:c>
      <s:c r="L589" s="22">
        <s:f>'2'!F590</s:f>
        <s:v>46247.5487037037</s:v>
      </s:c>
      <s:c r="M589" s="22">
        <s:f>'3'!F590</s:f>
        <s:v>46247.5312962963</s:v>
      </s:c>
      <s:c r="N589" s="22">
        <s:f>'4'!F590</s:f>
        <s:v>46247.48540509259</s:v>
      </s:c>
      <s:c r="O589" s="22">
        <s:f>'5'!F590</s:f>
        <s:v>46247.45706018519</s:v>
      </s:c>
      <s:c r="P589" s="22">
        <s:f>'6'!F590</s:f>
        <s:v>46247.43760416667</s:v>
      </s:c>
      <s:c r="Q589" s="22">
        <s:f>'7'!F590</s:f>
        <s:v>46247.4149537037</s:v>
      </s:c>
      <s:c r="R589" s="22">
        <s:f>'8'!F590</s:f>
        <s:v>46247.39076388889</s:v>
      </s:c>
      <s:c r="S589" s="22">
        <s:f>'9'!F590</s:f>
        <s:v>46247.37295138889</s:v>
      </s:c>
      <s:c r="T589" s="22">
        <s:f>'10'!F590</s:f>
        <s:v>46247.343726851854</s:v>
      </s:c>
      <s:c r="U589" s="23">
        <s:f>'자료구성'!$B$2</s:f>
        <s:v>46247.0</s:v>
      </s:c>
    </s:row>
    <s:row r="590">
      <s:c r="A590" s="0" t="n">
        <s:v>2105</s:v>
      </s:c>
      <s:c r="B590" s="0" t="n">
        <s:v>1124</s:v>
      </s:c>
      <s:c r="C590" s="0" t="n">
        <s:v>2916</s:v>
      </s:c>
      <s:c r="D590" s="0" t="n">
        <s:v>251</s:v>
      </s:c>
      <s:c r="E590" s="0" t="n">
        <s:v>1248</s:v>
      </s:c>
      <s:c r="F590" s="0" t="n">
        <s:v>2431</s:v>
      </s:c>
      <s:c r="G590" s="0" t="n">
        <s:v>2866</s:v>
      </s:c>
      <s:c r="H590" s="0" t="n">
        <s:v>4570</s:v>
      </s:c>
      <s:c r="I590" s="0" t="n">
        <s:v>1876</s:v>
      </s:c>
      <s:c r="J590" s="0" t="n">
        <s:v>1876</s:v>
      </s:c>
      <s:c r="K590" s="22">
        <s:f>'1'!F591</s:f>
        <s:v>46247.566979166666</s:v>
      </s:c>
      <s:c r="L590" s="22">
        <s:f>'2'!F591</s:f>
        <s:v>46247.54871527778</s:v>
      </s:c>
      <s:c r="M590" s="22">
        <s:f>'3'!F591</s:f>
        <s:v>46247.53130787037</s:v>
      </s:c>
      <s:c r="N590" s="22">
        <s:f>'4'!F591</s:f>
        <s:v>46247.48541666667</s:v>
      </s:c>
      <s:c r="O590" s="22">
        <s:f>'5'!F591</s:f>
        <s:v>46247.45707175926</s:v>
      </s:c>
      <s:c r="P590" s="22">
        <s:f>'6'!F591</s:f>
        <s:v>46247.43761574074</s:v>
      </s:c>
      <s:c r="Q590" s="22">
        <s:f>'7'!F591</s:f>
        <s:v>46247.41496527778</s:v>
      </s:c>
      <s:c r="R590" s="22">
        <s:f>'8'!F591</s:f>
        <s:v>46247.39077546296</s:v>
      </s:c>
      <s:c r="S590" s="22">
        <s:f>'9'!F591</s:f>
        <s:v>46247.37296296296</s:v>
      </s:c>
      <s:c r="T590" s="22">
        <s:f>'10'!F591</s:f>
        <s:v>46247.34373842592</s:v>
      </s:c>
      <s:c r="U590" s="23">
        <s:f>'자료구성'!$B$2</s:f>
        <s:v>46247.0</s:v>
      </s:c>
    </s:row>
    <s:row r="591">
      <s:c r="A591" s="0" t="n">
        <s:v>2093</s:v>
      </s:c>
      <s:c r="B591" s="0" t="n">
        <s:v>1117</s:v>
      </s:c>
      <s:c r="C591" s="0" t="n">
        <s:v>2880</s:v>
      </s:c>
      <s:c r="D591" s="0" t="n">
        <s:v>251</s:v>
      </s:c>
      <s:c r="E591" s="0" t="n">
        <s:v>1219</s:v>
      </s:c>
      <s:c r="F591" s="0" t="n">
        <s:v>2418</s:v>
      </s:c>
      <s:c r="G591" s="0" t="n">
        <s:v>3027</s:v>
      </s:c>
      <s:c r="H591" s="0" t="n">
        <s:v>4522</s:v>
      </s:c>
      <s:c r="I591" s="0" t="n">
        <s:v>1858</s:v>
      </s:c>
      <s:c r="J591" s="0" t="n">
        <s:v>1952</s:v>
      </s:c>
      <s:c r="K591" s="22">
        <s:f>'1'!F592</s:f>
        <s:v>46247.56699074074</s:v>
      </s:c>
      <s:c r="L591" s="22">
        <s:f>'2'!F592</s:f>
        <s:v>46247.548726851855</s:v>
      </s:c>
      <s:c r="M591" s="22">
        <s:f>'3'!F592</s:f>
        <s:v>46247.531319444446</s:v>
      </s:c>
      <s:c r="N591" s="22">
        <s:f>'4'!F592</s:f>
        <s:v>46247.48542824074</s:v>
      </s:c>
      <s:c r="O591" s="22">
        <s:f>'5'!F592</s:f>
        <s:v>46247.457083333335</s:v>
      </s:c>
      <s:c r="P591" s="22">
        <s:f>'6'!F592</s:f>
        <s:v>46247.437627314815</s:v>
      </s:c>
      <s:c r="Q591" s="22">
        <s:f>'7'!F592</s:f>
        <s:v>46247.414976851855</s:v>
      </s:c>
      <s:c r="R591" s="22">
        <s:f>'8'!F592</s:f>
        <s:v>46247.39078703704</s:v>
      </s:c>
      <s:c r="S591" s="22">
        <s:f>'9'!F592</s:f>
        <s:v>46247.37297453704</s:v>
      </s:c>
      <s:c r="T591" s="22">
        <s:f>'10'!F592</s:f>
        <s:v>46247.34375</s:v>
      </s:c>
      <s:c r="U591" s="23">
        <s:f>'자료구성'!$B$2</s:f>
        <s:v>46247.0</s:v>
      </s:c>
    </s:row>
    <s:row r="592">
      <s:c r="A592" s="0" t="n">
        <s:v>2058</s:v>
      </s:c>
      <s:c r="B592" s="0" t="n">
        <s:v>1148</s:v>
      </s:c>
      <s:c r="C592" s="0" t="n">
        <s:v>2817</s:v>
      </s:c>
      <s:c r="D592" s="0" t="n">
        <s:v>282</s:v>
      </s:c>
      <s:c r="E592" s="0" t="n">
        <s:v>1216</s:v>
      </s:c>
      <s:c r="F592" s="0" t="n">
        <s:v>2452</s:v>
      </s:c>
      <s:c r="G592" s="0" t="n">
        <s:v>3051</s:v>
      </s:c>
      <s:c r="H592" s="0" t="n">
        <s:v>4456</s:v>
      </s:c>
      <s:c r="I592" s="0" t="n">
        <s:v>1855</s:v>
      </s:c>
      <s:c r="J592" s="0" t="n">
        <s:v>1971</s:v>
      </s:c>
      <s:c r="K592" s="22">
        <s:f>'1'!F593</s:f>
        <s:v>46247.56700231481</s:v>
      </s:c>
      <s:c r="L592" s="22">
        <s:f>'2'!F593</s:f>
        <s:v>46247.548738425925</s:v>
      </s:c>
      <s:c r="M592" s="22">
        <s:f>'3'!F593</s:f>
        <s:v>46247.531331018516</s:v>
      </s:c>
      <s:c r="N592" s="22">
        <s:f>'4'!F593</s:f>
        <s:v>46247.485439814816</s:v>
      </s:c>
      <s:c r="O592" s="22">
        <s:f>'5'!F593</s:f>
        <s:v>46247.457094907404</s:v>
      </s:c>
      <s:c r="P592" s="22">
        <s:f>'6'!F593</s:f>
        <s:v>46247.43763888889</s:v>
      </s:c>
      <s:c r="Q592" s="22">
        <s:f>'7'!F593</s:f>
        <s:v>46247.414988425924</s:v>
      </s:c>
      <s:c r="R592" s="22">
        <s:f>'8'!F593</s:f>
        <s:v>46247.39079861111</s:v>
      </s:c>
      <s:c r="S592" s="22">
        <s:f>'9'!F593</s:f>
        <s:v>46247.37298611111</s:v>
      </s:c>
      <s:c r="T592" s="22">
        <s:f>'10'!F593</s:f>
        <s:v>46247.34376157408</s:v>
      </s:c>
      <s:c r="U592" s="23">
        <s:f>'자료구성'!$B$2</s:f>
        <s:v>46247.0</s:v>
      </s:c>
    </s:row>
    <s:row r="593">
      <s:c r="A593" s="0" t="n">
        <s:v>2052</s:v>
      </s:c>
      <s:c r="B593" s="0" t="n">
        <s:v>1176</s:v>
      </s:c>
      <s:c r="C593" s="0" t="n">
        <s:v>2812</s:v>
      </s:c>
      <s:c r="D593" s="0" t="n">
        <s:v>282</s:v>
      </s:c>
      <s:c r="E593" s="0" t="n">
        <s:v>1209</s:v>
      </s:c>
      <s:c r="F593" s="0" t="n">
        <s:v>2438</s:v>
      </s:c>
      <s:c r="G593" s="0" t="n">
        <s:v>2985</s:v>
      </s:c>
      <s:c r="H593" s="0" t="n">
        <s:v>4402</s:v>
      </s:c>
      <s:c r="I593" s="0" t="n">
        <s:v>1838</s:v>
      </s:c>
      <s:c r="J593" s="0" t="n">
        <s:v>2024</s:v>
      </s:c>
      <s:c r="K593" s="22">
        <s:f>'1'!F594</s:f>
        <s:v>46247.56701388889</s:v>
      </s:c>
      <s:c r="L593" s="22">
        <s:f>'2'!F594</s:f>
        <s:v>46247.54875</s:v>
      </s:c>
      <s:c r="M593" s="22">
        <s:f>'3'!F594</s:f>
        <s:v>46247.53134259259</s:v>
      </s:c>
      <s:c r="N593" s="22">
        <s:f>'4'!F594</s:f>
        <s:v>46247.485451388886</s:v>
      </s:c>
      <s:c r="O593" s="22">
        <s:f>'5'!F594</s:f>
        <s:v>46247.45710648148</s:v>
      </s:c>
      <s:c r="P593" s="22">
        <s:f>'6'!F594</s:f>
        <s:v>46247.43765046296</s:v>
      </s:c>
      <s:c r="Q593" s="22">
        <s:f>'7'!F594</s:f>
        <s:v>46247.415</s:v>
      </s:c>
      <s:c r="R593" s="22">
        <s:f>'8'!F594</s:f>
        <s:v>46247.390810185185</s:v>
      </s:c>
      <s:c r="S593" s="22">
        <s:f>'9'!F594</s:f>
        <s:v>46247.37299768518</s:v>
      </s:c>
      <s:c r="T593" s="22">
        <s:f>'10'!F594</s:f>
        <s:v>46247.343773148146</s:v>
      </s:c>
      <s:c r="U593" s="23">
        <s:f>'자료구성'!$B$2</s:f>
        <s:v>46247.0</s:v>
      </s:c>
    </s:row>
    <s:row r="594">
      <s:c r="A594" s="0" t="n">
        <s:v>2039</s:v>
      </s:c>
      <s:c r="B594" s="0" t="n">
        <s:v>1189</s:v>
      </s:c>
      <s:c r="C594" s="0" t="n">
        <s:v>2790</s:v>
      </s:c>
      <s:c r="D594" s="0" t="n">
        <s:v>180</s:v>
      </s:c>
      <s:c r="E594" s="0" t="n">
        <s:v>1207</s:v>
      </s:c>
      <s:c r="F594" s="0" t="n">
        <s:v>2480</s:v>
      </s:c>
      <s:c r="G594" s="0" t="n">
        <s:v>2989</s:v>
      </s:c>
      <s:c r="H594" s="0" t="n">
        <s:v>4328</s:v>
      </s:c>
      <s:c r="I594" s="0" t="n">
        <s:v>1844</s:v>
      </s:c>
      <s:c r="J594" s="0" t="n">
        <s:v>2082</s:v>
      </s:c>
      <s:c r="K594" s="22">
        <s:f>'1'!F595</s:f>
        <s:v>46247.567025462966</s:v>
      </s:c>
      <s:c r="L594" s="22">
        <s:f>'2'!F595</s:f>
        <s:v>46247.54876157407</s:v>
      </s:c>
      <s:c r="M594" s="22">
        <s:f>'3'!F595</s:f>
        <s:v>46247.53135416667</s:v>
      </s:c>
      <s:c r="N594" s="22">
        <s:f>'4'!F595</s:f>
        <s:v>46247.48546296296</s:v>
      </s:c>
      <s:c r="O594" s="22">
        <s:f>'5'!F595</s:f>
        <s:v>46247.45711805556</s:v>
      </s:c>
      <s:c r="P594" s="22">
        <s:f>'6'!F595</s:f>
        <s:v>46247.43766203704</s:v>
      </s:c>
      <s:c r="Q594" s="22">
        <s:f>'7'!F595</s:f>
        <s:v>46247.41501157408</s:v>
      </s:c>
      <s:c r="R594" s="22">
        <s:f>'8'!F595</s:f>
        <s:v>46247.39082175926</s:v>
      </s:c>
      <s:c r="S594" s="22">
        <s:f>'9'!F595</s:f>
        <s:v>46247.37300925926</s:v>
      </s:c>
      <s:c r="T594" s="22">
        <s:f>'10'!F595</s:f>
        <s:v>46247.34378472222</s:v>
      </s:c>
      <s:c r="U594" s="23">
        <s:f>'자료구성'!$B$2</s:f>
        <s:v>46247.0</s:v>
      </s:c>
    </s:row>
    <s:row r="595">
      <s:c r="A595" s="0" t="n">
        <s:v>2027</s:v>
      </s:c>
      <s:c r="B595" s="0" t="n">
        <s:v>1206</s:v>
      </s:c>
      <s:c r="C595" s="0" t="n">
        <s:v>2751</s:v>
      </s:c>
      <s:c r="D595" s="0" t="n">
        <s:v>135</s:v>
      </s:c>
      <s:c r="E595" s="0" t="n">
        <s:v>1218</s:v>
      </s:c>
      <s:c r="F595" s="0" t="n">
        <s:v>2576</s:v>
      </s:c>
      <s:c r="G595" s="0" t="n">
        <s:v>2987</s:v>
      </s:c>
      <s:c r="H595" s="0" t="n">
        <s:v>4273</s:v>
      </s:c>
      <s:c r="I595" s="0" t="n">
        <s:v>1855</s:v>
      </s:c>
      <s:c r="J595" s="0" t="n">
        <s:v>2124</s:v>
      </s:c>
      <s:c r="K595" s="22">
        <s:f>'1'!F596</s:f>
        <s:v>46247.567037037035</s:v>
      </s:c>
      <s:c r="L595" s="22">
        <s:f>'2'!F596</s:f>
        <s:v>46247.54877314815</s:v>
      </s:c>
      <s:c r="M595" s="22">
        <s:f>'3'!F596</s:f>
        <s:v>46247.53136574074</s:v>
      </s:c>
      <s:c r="N595" s="22">
        <s:f>'4'!F596</s:f>
        <s:v>46247.48547453704</s:v>
      </s:c>
      <s:c r="O595" s="22">
        <s:f>'5'!F596</s:f>
        <s:v>46247.45712962963</s:v>
      </s:c>
      <s:c r="P595" s="22">
        <s:f>'6'!F596</s:f>
        <s:v>46247.43767361111</s:v>
      </s:c>
      <s:c r="Q595" s="22">
        <s:f>'7'!F596</s:f>
        <s:v>46247.41502314815</s:v>
      </s:c>
      <s:c r="R595" s="22">
        <s:f>'8'!F596</s:f>
        <s:v>46247.39083333333</s:v>
      </s:c>
      <s:c r="S595" s="22">
        <s:f>'9'!F596</s:f>
        <s:v>46247.373020833336</s:v>
      </s:c>
      <s:c r="T595" s="22">
        <s:f>'10'!F596</s:f>
        <s:v>46247.3437962963</s:v>
      </s:c>
      <s:c r="U595" s="23">
        <s:f>'자료구성'!$B$2</s:f>
        <s:v>46247.0</s:v>
      </s:c>
    </s:row>
    <s:row r="596">
      <s:c r="A596" s="0" t="n">
        <s:v>2013</s:v>
      </s:c>
      <s:c r="B596" s="0" t="n">
        <s:v>1237</s:v>
      </s:c>
      <s:c r="C596" s="0" t="n">
        <s:v>2731</s:v>
      </s:c>
      <s:c r="D596" s="0" t="n">
        <s:v>178</s:v>
      </s:c>
      <s:c r="E596" s="0" t="n">
        <s:v>1239</s:v>
      </s:c>
      <s:c r="F596" s="0" t="n">
        <s:v>2557</s:v>
      </s:c>
      <s:c r="G596" s="0" t="n">
        <s:v>2949</s:v>
      </s:c>
      <s:c r="H596" s="0" t="n">
        <s:v>4216</s:v>
      </s:c>
      <s:c r="I596" s="0" t="n">
        <s:v>1860</s:v>
      </s:c>
      <s:c r="J596" s="0" t="n">
        <s:v>2196</s:v>
      </s:c>
      <s:c r="K596" s="22">
        <s:f>'1'!F597</s:f>
        <s:v>46247.56704861111</s:v>
      </s:c>
      <s:c r="L596" s="22">
        <s:f>'2'!F597</s:f>
        <s:v>46247.548784722225</s:v>
      </s:c>
      <s:c r="M596" s="22">
        <s:f>'3'!F597</s:f>
        <s:v>46247.531377314815</s:v>
      </s:c>
      <s:c r="N596" s="22">
        <s:f>'4'!F597</s:f>
        <s:v>46247.48548611111</s:v>
      </s:c>
      <s:c r="O596" s="22">
        <s:f>'5'!F597</s:f>
        <s:v>46247.457141203704</s:v>
      </s:c>
      <s:c r="P596" s="22">
        <s:f>'6'!F597</s:f>
        <s:v>46247.437685185185</s:v>
      </s:c>
      <s:c r="Q596" s="22">
        <s:f>'7'!F597</s:f>
        <s:v>46247.415034722224</s:v>
      </s:c>
      <s:c r="R596" s="22">
        <s:f>'8'!F597</s:f>
        <s:v>46247.39084490741</s:v>
      </s:c>
      <s:c r="S596" s="22">
        <s:f>'9'!F597</s:f>
        <s:v>46247.373032407406</s:v>
      </s:c>
      <s:c r="T596" s="22">
        <s:f>'10'!F597</s:f>
        <s:v>46247.34380787037</s:v>
      </s:c>
      <s:c r="U596" s="23">
        <s:f>'자료구성'!$B$2</s:f>
        <s:v>46247.0</s:v>
      </s:c>
    </s:row>
    <s:row r="597">
      <s:c r="A597" s="0" t="n">
        <s:v>1978</s:v>
      </s:c>
      <s:c r="B597" s="0" t="n">
        <s:v>1221</s:v>
      </s:c>
      <s:c r="C597" s="0" t="n">
        <s:v>2712</s:v>
      </s:c>
      <s:c r="D597" s="0" t="n">
        <s:v>95</s:v>
      </s:c>
      <s:c r="E597" s="0" t="n">
        <s:v>1256</s:v>
      </s:c>
      <s:c r="F597" s="0" t="n">
        <s:v>2739</s:v>
      </s:c>
      <s:c r="G597" s="0" t="n">
        <s:v>2946</s:v>
      </s:c>
      <s:c r="H597" s="0" t="n">
        <s:v>4203</s:v>
      </s:c>
      <s:c r="I597" s="0" t="n">
        <s:v>1872</s:v>
      </s:c>
      <s:c r="J597" s="0" t="n">
        <s:v>2227</s:v>
      </s:c>
      <s:c r="K597" s="22">
        <s:f>'1'!F598</s:f>
        <s:v>46247.56706018518</s:v>
      </s:c>
      <s:c r="L597" s="22">
        <s:f>'2'!F598</s:f>
        <s:v>46247.548796296294</s:v>
      </s:c>
      <s:c r="M597" s="22">
        <s:f>'3'!F598</s:f>
        <s:v>46247.53138888889</s:v>
      </s:c>
      <s:c r="N597" s="22">
        <s:f>'4'!F598</s:f>
        <s:v>46247.485497685186</s:v>
      </s:c>
      <s:c r="O597" s="22">
        <s:f>'5'!F598</s:f>
        <s:v>46247.45715277778</s:v>
      </s:c>
      <s:c r="P597" s="22">
        <s:f>'6'!F598</s:f>
        <s:v>46247.43769675926</s:v>
      </s:c>
      <s:c r="Q597" s="22">
        <s:f>'7'!F598</s:f>
        <s:v>46247.41504629629</s:v>
      </s:c>
      <s:c r="R597" s="22">
        <s:f>'8'!F598</s:f>
        <s:v>46247.390856481485</s:v>
      </s:c>
      <s:c r="S597" s="22">
        <s:f>'9'!F598</s:f>
        <s:v>46247.37304398148</s:v>
      </s:c>
      <s:c r="T597" s="22">
        <s:f>'10'!F598</s:f>
        <s:v>46247.343819444446</s:v>
      </s:c>
      <s:c r="U597" s="23">
        <s:f>'자료구성'!$B$2</s:f>
        <s:v>46247.0</s:v>
      </s:c>
    </s:row>
    <s:row r="598">
      <s:c r="A598" s="0" t="n">
        <s:v>1921</s:v>
      </s:c>
      <s:c r="B598" s="0" t="n">
        <s:v>1250</s:v>
      </s:c>
      <s:c r="C598" s="0" t="n">
        <s:v>2706</s:v>
      </s:c>
      <s:c r="D598" s="0" t="n">
        <s:v>13</s:v>
      </s:c>
      <s:c r="E598" s="0" t="n">
        <s:v>1256</s:v>
      </s:c>
      <s:c r="F598" s="0" t="n">
        <s:v>2888</s:v>
      </s:c>
      <s:c r="G598" s="0" t="n">
        <s:v>2903</s:v>
      </s:c>
      <s:c r="H598" s="0" t="n">
        <s:v>4168</s:v>
      </s:c>
      <s:c r="I598" s="0" t="n">
        <s:v>1899</s:v>
      </s:c>
      <s:c r="J598" s="0" t="n">
        <s:v>2258</s:v>
      </s:c>
      <s:c r="K598" s="22">
        <s:f>'1'!F599</s:f>
        <s:v>46247.56707175926</s:v>
      </s:c>
      <s:c r="L598" s="22">
        <s:f>'2'!F599</s:f>
        <s:v>46247.54880787037</s:v>
      </s:c>
      <s:c r="M598" s="22">
        <s:f>'3'!F599</s:f>
        <s:v>46247.53140046296</s:v>
      </s:c>
      <s:c r="N598" s="22">
        <s:f>'4'!F599</s:f>
        <s:v>46247.48550925926</s:v>
      </s:c>
      <s:c r="O598" s="22">
        <s:f>'5'!F599</s:f>
        <s:v>46247.45716435185</s:v>
      </s:c>
      <s:c r="P598" s="22">
        <s:f>'6'!F599</s:f>
        <s:v>46247.43770833333</s:v>
      </s:c>
      <s:c r="Q598" s="22">
        <s:f>'7'!F599</s:f>
        <s:v>46247.41505787037</s:v>
      </s:c>
      <s:c r="R598" s="22">
        <s:f>'8'!F599</s:f>
        <s:v>46247.390868055554</s:v>
      </s:c>
      <s:c r="S598" s="22">
        <s:f>'9'!F599</s:f>
        <s:v>46247.37305555555</s:v>
      </s:c>
      <s:c r="T598" s="22">
        <s:f>'10'!F599</s:f>
        <s:v>46247.343831018516</s:v>
      </s:c>
      <s:c r="U598" s="23">
        <s:f>'자료구성'!$B$2</s:f>
        <s:v>46247.0</s:v>
      </s:c>
    </s:row>
    <s:row r="599">
      <s:c r="A599" s="0" t="n">
        <s:v>1856</s:v>
      </s:c>
      <s:c r="B599" s="0" t="n">
        <s:v>1259</s:v>
      </s:c>
      <s:c r="C599" s="0" t="n">
        <s:v>2683</s:v>
      </s:c>
      <s:c r="D599" s="0" t="n">
        <s:v>953</s:v>
      </s:c>
      <s:c r="E599" s="0" t="n">
        <s:v>1248</s:v>
      </s:c>
      <s:c r="F599" s="0" t="n">
        <s:v>2886</s:v>
      </s:c>
      <s:c r="G599" s="0" t="n">
        <s:v>2863</s:v>
      </s:c>
      <s:c r="H599" s="0" t="n">
        <s:v>4104</s:v>
      </s:c>
      <s:c r="I599" s="0" t="n">
        <s:v>1902</s:v>
      </s:c>
      <s:c r="J599" s="0" t="n">
        <s:v>2317</s:v>
      </s:c>
      <s:c r="K599" s="22">
        <s:f>'1'!F600</s:f>
        <s:v>46247.567083333335</s:v>
      </s:c>
      <s:c r="L599" s="22">
        <s:f>'2'!F600</s:f>
        <s:v>46247.54881944445</s:v>
      </s:c>
      <s:c r="M599" s="22">
        <s:f>'3'!F600</s:f>
        <s:v>46247.53141203704</s:v>
      </s:c>
      <s:c r="N599" s="22">
        <s:f>'4'!F600</s:f>
        <s:v>46247.48552083333</s:v>
      </s:c>
      <s:c r="O599" s="22">
        <s:f>'5'!F600</s:f>
        <s:v>46247.45717592593</s:v>
      </s:c>
      <s:c r="P599" s="22">
        <s:f>'6'!F600</s:f>
        <s:v>46247.43771990741</s:v>
      </s:c>
      <s:c r="Q599" s="22">
        <s:f>'7'!F600</s:f>
        <s:v>46247.41506944445</s:v>
      </s:c>
      <s:c r="R599" s="22">
        <s:f>'8'!F600</s:f>
        <s:v>46247.39087962963</s:v>
      </s:c>
      <s:c r="S599" s="22">
        <s:f>'9'!F600</s:f>
        <s:v>46247.37306712963</s:v>
      </s:c>
      <s:c r="T599" s="22">
        <s:f>'10'!F600</s:f>
        <s:v>46247.34384259259</s:v>
      </s:c>
      <s:c r="U599" s="23">
        <s:f>'자료구성'!$B$2</s:f>
        <s:v>46247.0</s:v>
      </s:c>
    </s:row>
    <s:row r="600">
      <s:c r="A600" s="0" t="n">
        <s:v>1836</s:v>
      </s:c>
      <s:c r="B600" s="0" t="n">
        <s:v>1276</s:v>
      </s:c>
      <s:c r="C600" s="0" t="n">
        <s:v>2689</s:v>
      </s:c>
      <s:c r="D600" s="0" t="n">
        <s:v>903</s:v>
      </s:c>
      <s:c r="E600" s="0" t="n">
        <s:v>1248</s:v>
      </s:c>
      <s:c r="F600" s="0" t="n">
        <s:v>2913</s:v>
      </s:c>
      <s:c r="G600" s="0" t="n">
        <s:v>2769</s:v>
      </s:c>
      <s:c r="H600" s="0" t="n">
        <s:v>4104</s:v>
      </s:c>
      <s:c r="I600" s="0" t="n">
        <s:v>1902</s:v>
      </s:c>
      <s:c r="J600" s="0" t="n">
        <s:v>2333</s:v>
      </s:c>
      <s:c r="K600" s="22">
        <s:f>'1'!F601</s:f>
        <s:v>46247.567094907405</s:v>
      </s:c>
      <s:c r="L600" s="22">
        <s:f>'2'!F601</s:f>
        <s:v>46247.54883101852</s:v>
      </s:c>
      <s:c r="M600" s="22">
        <s:f>'3'!F601</s:f>
        <s:v>46247.53142361111</s:v>
      </s:c>
      <s:c r="N600" s="22">
        <s:f>'4'!F601</s:f>
        <s:v>46247.48553240741</s:v>
      </s:c>
      <s:c r="O600" s="22">
        <s:f>'5'!F601</s:f>
        <s:v>46247.4571875</s:v>
      </s:c>
      <s:c r="P600" s="22">
        <s:f>'6'!F601</s:f>
        <s:v>46247.437731481485</s:v>
      </s:c>
      <s:c r="Q600" s="22">
        <s:f>'7'!F601</s:f>
        <s:v>46247.41508101852</s:v>
      </s:c>
      <s:c r="R600" s="22">
        <s:f>'8'!F601</s:f>
        <s:v>46247.3908912037</s:v>
      </s:c>
      <s:c r="S600" s="22">
        <s:f>'9'!F601</s:f>
        <s:v>46247.373078703706</s:v>
      </s:c>
      <s:c r="T600" s="22">
        <s:f>'10'!F601</s:f>
        <s:v>46247.34385416667</s:v>
      </s:c>
      <s:c r="U600" s="23">
        <s:f>'자료구성'!$B$2</s:f>
        <s:v>46247.0</s:v>
      </s:c>
    </s:row>
    <s:row r="601">
      <s:c r="A601" s="0" t="n">
        <s:v>1826</s:v>
      </s:c>
      <s:c r="B601" s="0" t="n">
        <s:v>1289</s:v>
      </s:c>
      <s:c r="C601" s="0" t="n">
        <s:v>2689</s:v>
      </s:c>
      <s:c r="D601" s="0" t="n">
        <s:v>846</s:v>
      </s:c>
      <s:c r="E601" s="0" t="n">
        <s:v>1257</s:v>
      </s:c>
      <s:c r="F601" s="0" t="n">
        <s:v>3027</s:v>
      </s:c>
      <s:c r="G601" s="0" t="n">
        <s:v>2688</s:v>
      </s:c>
      <s:c r="H601" s="0" t="n">
        <s:v>4118</s:v>
      </s:c>
      <s:c r="I601" s="0" t="n">
        <s:v>1910</s:v>
      </s:c>
      <s:c r="J601" s="0" t="n">
        <s:v>2313</s:v>
      </s:c>
      <s:c r="K601" s="22">
        <s:f>'1'!F602</s:f>
        <s:v>46247.56710648148</s:v>
      </s:c>
      <s:c r="L601" s="22">
        <s:f>'2'!F602</s:f>
        <s:v>46247.548842592594</s:v>
      </s:c>
      <s:c r="M601" s="22">
        <s:f>'3'!F602</s:f>
        <s:v>46247.531435185185</s:v>
      </s:c>
      <s:c r="N601" s="22">
        <s:f>'4'!F602</s:f>
        <s:v>46247.48554398148</s:v>
      </s:c>
      <s:c r="O601" s="22">
        <s:f>'5'!F602</s:f>
        <s:v>46247.45719907407</s:v>
      </s:c>
      <s:c r="P601" s="22">
        <s:f>'6'!F602</s:f>
        <s:v>46247.437743055554</s:v>
      </s:c>
      <s:c r="Q601" s="22">
        <s:f>'7'!F602</s:f>
        <s:v>46247.41509259259</s:v>
      </s:c>
      <s:c r="R601" s="22">
        <s:f>'8'!F602</s:f>
        <s:v>46247.39090277778</s:v>
      </s:c>
      <s:c r="S601" s="22">
        <s:f>'9'!F602</s:f>
        <s:v>46247.373090277775</s:v>
      </s:c>
      <s:c r="T601" s="22">
        <s:f>'10'!F602</s:f>
        <s:v>46247.34386574074</s:v>
      </s:c>
      <s:c r="U601" s="23">
        <s:f>'자료구성'!$B$2</s:f>
        <s:v>46247.0</s:v>
      </s:c>
    </s:row>
    <s:row r="602">
      <s:c r="A602" s="0" t="n">
        <s:v>1882</s:v>
      </s:c>
      <s:c r="B602" s="0" t="n">
        <s:v>1285</s:v>
      </s:c>
      <s:c r="C602" s="0" t="n">
        <s:v>2652</s:v>
      </s:c>
      <s:c r="D602" s="0" t="n">
        <s:v>821</s:v>
      </s:c>
      <s:c r="E602" s="0" t="n">
        <s:v>1254</s:v>
      </s:c>
      <s:c r="F602" s="0" t="n">
        <s:v>3172</s:v>
      </s:c>
      <s:c r="G602" s="0" t="n">
        <s:v>2626</s:v>
      </s:c>
      <s:c r="H602" s="0" t="n">
        <s:v>4095</s:v>
      </s:c>
      <s:c r="I602" s="0" t="n">
        <s:v>1925</s:v>
      </s:c>
      <s:c r="J602" s="0" t="n">
        <s:v>2312</s:v>
      </s:c>
      <s:c r="K602" s="22">
        <s:f>'1'!F603</s:f>
        <s:v>46247.56711805556</s:v>
      </s:c>
      <s:c r="L602" s="22">
        <s:f>'2'!F603</s:f>
        <s:v>46247.548854166664</s:v>
      </s:c>
      <s:c r="M602" s="22">
        <s:f>'3'!F603</s:f>
        <s:v>46247.53144675926</s:v>
      </s:c>
      <s:c r="N602" s="22">
        <s:f>'4'!F603</s:f>
        <s:v>46247.485555555555</s:v>
      </s:c>
      <s:c r="O602" s="22">
        <s:f>'5'!F603</s:f>
        <s:v>46247.45721064815</s:v>
      </s:c>
      <s:c r="P602" s="22">
        <s:f>'6'!F603</s:f>
        <s:v>46247.43775462963</s:v>
      </s:c>
      <s:c r="Q602" s="22">
        <s:f>'7'!F603</s:f>
        <s:v>46247.41510416667</s:v>
      </s:c>
      <s:c r="R602" s="22">
        <s:f>'8'!F603</s:f>
        <s:v>46247.390914351854</s:v>
      </s:c>
      <s:c r="S602" s="22">
        <s:f>'9'!F603</s:f>
        <s:v>46247.37310185185</s:v>
      </s:c>
      <s:c r="T602" s="22">
        <s:f>'10'!F603</s:f>
        <s:v>46247.343877314815</s:v>
      </s:c>
      <s:c r="U602" s="23">
        <s:f>'자료구성'!$B$2</s:f>
        <s:v>46247.0</s:v>
      </s:c>
    </s:row>
    <s:row r="603">
      <s:c r="A603" s="0" t="n">
        <s:v>1960</s:v>
      </s:c>
      <s:c r="B603" s="0" t="n">
        <s:v>1306</s:v>
      </s:c>
      <s:c r="C603" s="0" t="n">
        <s:v>2616</s:v>
      </s:c>
      <s:c r="D603" s="0" t="n">
        <s:v>796</s:v>
      </s:c>
      <s:c r="E603" s="0" t="n">
        <s:v>1268</s:v>
      </s:c>
      <s:c r="F603" s="0" t="n">
        <s:v>3181</s:v>
      </s:c>
      <s:c r="G603" s="0" t="n">
        <s:v>2573</s:v>
      </s:c>
      <s:c r="H603" s="0" t="n">
        <s:v>4031</s:v>
      </s:c>
      <s:c r="I603" s="0" t="n">
        <s:v>1937</s:v>
      </s:c>
      <s:c r="J603" s="0" t="n">
        <s:v>2338</s:v>
      </s:c>
      <s:c r="K603" s="22">
        <s:f>'1'!F604</s:f>
        <s:v>46247.56712962963</s:v>
      </s:c>
      <s:c r="L603" s="22">
        <s:f>'2'!F604</s:f>
        <s:v>46247.54886574074</s:v>
      </s:c>
      <s:c r="M603" s="22">
        <s:f>'3'!F604</s:f>
        <s:v>46247.53145833333</s:v>
      </s:c>
      <s:c r="N603" s="22">
        <s:f>'4'!F604</s:f>
        <s:v>46247.48556712963</s:v>
      </s:c>
      <s:c r="O603" s="22">
        <s:f>'5'!F604</s:f>
        <s:v>46247.45722222222</s:v>
      </s:c>
      <s:c r="P603" s="22">
        <s:f>'6'!F604</s:f>
        <s:v>46247.4377662037</s:v>
      </s:c>
      <s:c r="Q603" s="22">
        <s:f>'7'!F604</s:f>
        <s:v>46247.41511574074</s:v>
      </s:c>
      <s:c r="R603" s="22">
        <s:f>'8'!F604</s:f>
        <s:v>46247.39092592592</s:v>
      </s:c>
      <s:c r="S603" s="22">
        <s:f>'9'!F604</s:f>
        <s:v>46247.37311342593</s:v>
      </s:c>
      <s:c r="T603" s="22">
        <s:f>'10'!F604</s:f>
        <s:v>46247.34388888889</s:v>
      </s:c>
      <s:c r="U603" s="23">
        <s:f>'자료구성'!$B$2</s:f>
        <s:v>46247.0</s:v>
      </s:c>
    </s:row>
    <s:row r="604">
      <s:c r="A604" s="0" t="n">
        <s:v>1959</s:v>
      </s:c>
      <s:c r="B604" s="0" t="n">
        <s:v>1334</s:v>
      </s:c>
      <s:c r="C604" s="0" t="n">
        <s:v>2594</s:v>
      </s:c>
      <s:c r="D604" s="0" t="n">
        <s:v>750</s:v>
      </s:c>
      <s:c r="E604" s="0" t="n">
        <s:v>1252</s:v>
      </s:c>
      <s:c r="F604" s="0" t="n">
        <s:v>3207</s:v>
      </s:c>
      <s:c r="G604" s="0" t="n">
        <s:v>2538</s:v>
      </s:c>
      <s:c r="H604" s="0" t="n">
        <s:v>4089</s:v>
      </s:c>
      <s:c r="I604" s="0" t="n">
        <s:v>1991</s:v>
      </s:c>
      <s:c r="J604" s="0" t="n">
        <s:v>2314</s:v>
      </s:c>
      <s:c r="K604" s="22">
        <s:f>'1'!F605</s:f>
        <s:v>46247.567141203705</s:v>
      </s:c>
      <s:c r="L604" s="22">
        <s:f>'2'!F605</s:f>
        <s:v>46247.54887731482</s:v>
      </s:c>
      <s:c r="M604" s="22">
        <s:f>'3'!F605</s:f>
        <s:v>46247.53146990741</s:v>
      </s:c>
      <s:c r="N604" s="22">
        <s:f>'4'!F605</s:f>
        <s:v>46247.4855787037</s:v>
      </s:c>
      <s:c r="O604" s="22">
        <s:f>'5'!F605</s:f>
        <s:v>46247.457233796296</s:v>
      </s:c>
      <s:c r="P604" s="22">
        <s:f>'6'!F605</s:f>
        <s:v>46247.43777777778</s:v>
      </s:c>
      <s:c r="Q604" s="22">
        <s:f>'7'!F605</s:f>
        <s:v>46247.415127314816</s:v>
      </s:c>
      <s:c r="R604" s="22">
        <s:f>'8'!F605</s:f>
        <s:v>46247.3909375</s:v>
      </s:c>
      <s:c r="S604" s="22">
        <s:f>'9'!F605</s:f>
        <s:v>46247.373125</s:v>
      </s:c>
      <s:c r="T604" s="22">
        <s:f>'10'!F605</s:f>
        <s:v>46247.34390046296</s:v>
      </s:c>
      <s:c r="U604" s="23">
        <s:f>'자료구성'!$B$2</s:f>
        <s:v>46247.0</s:v>
      </s:c>
    </s:row>
    <s:row r="605">
      <s:c r="A605" s="0" t="n">
        <s:v>1941</s:v>
      </s:c>
      <s:c r="B605" s="0" t="n">
        <s:v>1349</s:v>
      </s:c>
      <s:c r="C605" s="0" t="n">
        <s:v>2567</s:v>
      </s:c>
      <s:c r="D605" s="0" t="n">
        <s:v>698</s:v>
      </s:c>
      <s:c r="E605" s="0" t="n">
        <s:v>1227</s:v>
      </s:c>
      <s:c r="F605" s="0" t="n">
        <s:v>3254</s:v>
      </s:c>
      <s:c r="G605" s="0" t="n">
        <s:v>2538</s:v>
      </s:c>
      <s:c r="H605" s="0" t="n">
        <s:v>4217</s:v>
      </s:c>
      <s:c r="I605" s="0" t="n">
        <s:v>2011</s:v>
      </s:c>
      <s:c r="J605" s="0" t="n">
        <s:v>2269</s:v>
      </s:c>
      <s:c r="K605" s="22">
        <s:f>'1'!F606</s:f>
        <s:v>46247.56715277778</s:v>
      </s:c>
      <s:c r="L605" s="22">
        <s:f>'2'!F606</s:f>
        <s:v>46247.54888888889</s:v>
      </s:c>
      <s:c r="M605" s="22">
        <s:f>'3'!F606</s:f>
        <s:v>46247.531481481485</s:v>
      </s:c>
      <s:c r="N605" s="22">
        <s:f>'4'!F606</s:f>
        <s:v>46247.48559027778</s:v>
      </s:c>
      <s:c r="O605" s="22">
        <s:f>'5'!F606</s:f>
        <s:v>46247.45724537037</s:v>
      </s:c>
      <s:c r="P605" s="22">
        <s:f>'6'!F606</s:f>
        <s:v>46247.437789351854</s:v>
      </s:c>
      <s:c r="Q605" s="22">
        <s:f>'7'!F606</s:f>
        <s:v>46247.415138888886</s:v>
      </s:c>
      <s:c r="R605" s="22">
        <s:f>'8'!F606</s:f>
        <s:v>46247.39094907408</s:v>
      </s:c>
      <s:c r="S605" s="22">
        <s:f>'9'!F606</s:f>
        <s:v>46247.373136574075</s:v>
      </s:c>
      <s:c r="T605" s="22">
        <s:f>'10'!F606</s:f>
        <s:v>46247.34391203704</s:v>
      </s:c>
      <s:c r="U605" s="23">
        <s:f>'자료구성'!$B$2</s:f>
        <s:v>46247.0</s:v>
      </s:c>
    </s:row>
    <s:row r="606">
      <s:c r="A606" s="0" t="n">
        <s:v>2016</s:v>
      </s:c>
      <s:c r="B606" s="0" t="n">
        <s:v>1370</s:v>
      </s:c>
      <s:c r="C606" s="0" t="n">
        <s:v>2551</s:v>
      </s:c>
      <s:c r="D606" s="0" t="n">
        <s:v>663</s:v>
      </s:c>
      <s:c r="E606" s="0" t="n">
        <s:v>1230</s:v>
      </s:c>
      <s:c r="F606" s="0" t="n">
        <s:v>3284</s:v>
      </s:c>
      <s:c r="G606" s="0" t="n">
        <s:v>2524</s:v>
      </s:c>
      <s:c r="H606" s="0" t="n">
        <s:v>4193</s:v>
      </s:c>
      <s:c r="I606" s="0" t="n">
        <s:v>2007</s:v>
      </s:c>
      <s:c r="J606" s="0" t="n">
        <s:v>2251</s:v>
      </s:c>
      <s:c r="K606" s="22">
        <s:f>'1'!F607</s:f>
        <s:v>46247.56716435185</s:v>
      </s:c>
      <s:c r="L606" s="22">
        <s:f>'2'!F607</s:f>
        <s:v>46247.54890046296</s:v>
      </s:c>
      <s:c r="M606" s="22">
        <s:f>'3'!F607</s:f>
        <s:v>46247.531493055554</s:v>
      </s:c>
      <s:c r="N606" s="22">
        <s:f>'4'!F607</s:f>
        <s:v>46247.485601851855</s:v>
      </s:c>
      <s:c r="O606" s="22">
        <s:f>'5'!F607</s:f>
        <s:v>46247.45725694444</s:v>
      </s:c>
      <s:c r="P606" s="22">
        <s:f>'6'!F607</s:f>
        <s:v>46247.43780092592</s:v>
      </s:c>
      <s:c r="Q606" s="22">
        <s:f>'7'!F607</s:f>
        <s:v>46247.41515046296</s:v>
      </s:c>
      <s:c r="R606" s="22">
        <s:f>'8'!F607</s:f>
        <s:v>46247.39096064815</s:v>
      </s:c>
      <s:c r="S606" s="22">
        <s:f>'9'!F607</s:f>
        <s:v>46247.373148148145</s:v>
      </s:c>
      <s:c r="T606" s="22">
        <s:f>'10'!F607</s:f>
        <s:v>46247.34392361111</s:v>
      </s:c>
      <s:c r="U606" s="23">
        <s:f>'자료구성'!$B$2</s:f>
        <s:v>46247.0</s:v>
      </s:c>
    </s:row>
    <s:row r="607">
      <s:c r="A607" s="0" t="n">
        <s:v>2123</s:v>
      </s:c>
      <s:c r="B607" s="0" t="n">
        <s:v>1371</s:v>
      </s:c>
      <s:c r="C607" s="0" t="n">
        <s:v>2562</s:v>
      </s:c>
      <s:c r="D607" s="0" t="n">
        <s:v>640</s:v>
      </s:c>
      <s:c r="E607" s="0" t="n">
        <s:v>1212</s:v>
      </s:c>
      <s:c r="F607" s="0" t="n">
        <s:v>3268</s:v>
      </s:c>
      <s:c r="G607" s="0" t="n">
        <s:v>2492</s:v>
      </s:c>
      <s:c r="H607" s="0" t="n">
        <s:v>4108</s:v>
      </s:c>
      <s:c r="I607" s="0" t="n">
        <s:v>1990</s:v>
      </s:c>
      <s:c r="J607" s="0" t="n">
        <s:v>2188</s:v>
      </s:c>
      <s:c r="K607" s="22">
        <s:f>'1'!F608</s:f>
        <s:v>46247.56717592593</s:v>
      </s:c>
      <s:c r="L607" s="22">
        <s:f>'2'!F608</s:f>
        <s:v>46247.54891203704</s:v>
      </s:c>
      <s:c r="M607" s="22">
        <s:f>'3'!F608</s:f>
        <s:v>46247.53150462963</s:v>
      </s:c>
      <s:c r="N607" s="22">
        <s:f>'4'!F608</s:f>
        <s:v>46247.485613425924</s:v>
      </s:c>
      <s:c r="O607" s="22">
        <s:f>'5'!F608</s:f>
        <s:v>46247.45726851852</s:v>
      </s:c>
      <s:c r="P607" s="22">
        <s:f>'6'!F608</s:f>
        <s:v>46247.4378125</s:v>
      </s:c>
      <s:c r="Q607" s="22">
        <s:f>'7'!F608</s:f>
        <s:v>46247.41516203704</s:v>
      </s:c>
      <s:c r="R607" s="22">
        <s:f>'8'!F608</s:f>
        <s:v>46247.39097222222</s:v>
      </s:c>
      <s:c r="S607" s="22">
        <s:f>'9'!F608</s:f>
        <s:v>46247.37315972222</s:v>
      </s:c>
      <s:c r="T607" s="22">
        <s:f>'10'!F608</s:f>
        <s:v>46247.343935185185</s:v>
      </s:c>
      <s:c r="U607" s="23">
        <s:f>'자료구성'!$B$2</s:f>
        <s:v>46247.0</s:v>
      </s:c>
    </s:row>
    <s:row r="608">
      <s:c r="A608" s="0" t="n">
        <s:v>2192</s:v>
      </s:c>
      <s:c r="B608" s="0" t="n">
        <s:v>1387</s:v>
      </s:c>
      <s:c r="C608" s="0" t="n">
        <s:v>2536</s:v>
      </s:c>
      <s:c r="D608" s="0" t="n">
        <s:v>641</s:v>
      </s:c>
      <s:c r="E608" s="0" t="n">
        <s:v>1193</s:v>
      </s:c>
      <s:c r="F608" s="0" t="n">
        <s:v>3275</s:v>
      </s:c>
      <s:c r="G608" s="0" t="n">
        <s:v>2450</s:v>
      </s:c>
      <s:c r="H608" s="0" t="n">
        <s:v>4020</s:v>
      </s:c>
      <s:c r="I608" s="0" t="n">
        <s:v>1997</s:v>
      </s:c>
      <s:c r="J608" s="0" t="n">
        <s:v>2125</s:v>
      </s:c>
      <s:c r="K608" s="22">
        <s:f>'1'!F609</s:f>
        <s:v>46247.5671875</s:v>
      </s:c>
      <s:c r="L608" s="22">
        <s:f>'2'!F609</s:f>
        <s:v>46247.54892361111</s:v>
      </s:c>
      <s:c r="M608" s="22">
        <s:f>'3'!F609</s:f>
        <s:v>46247.5315162037</s:v>
      </s:c>
      <s:c r="N608" s="22">
        <s:f>'4'!F609</s:f>
        <s:v>46247.485625</s:v>
      </s:c>
      <s:c r="O608" s="22">
        <s:f>'5'!F609</s:f>
        <s:v>46247.457280092596</s:v>
      </s:c>
      <s:c r="P608" s="22">
        <s:f>'6'!F609</s:f>
        <s:v>46247.43782407408</s:v>
      </s:c>
      <s:c r="Q608" s="22">
        <s:f>'7'!F609</s:f>
        <s:v>46247.41517361111</s:v>
      </s:c>
      <s:c r="R608" s="22">
        <s:f>'8'!F609</s:f>
        <s:v>46247.39098379629</s:v>
      </s:c>
      <s:c r="S608" s="22">
        <s:f>'9'!F609</s:f>
        <s:v>46247.3731712963</s:v>
      </s:c>
      <s:c r="T608" s="22">
        <s:f>'10'!F609</s:f>
        <s:v>46247.34394675926</s:v>
      </s:c>
      <s:c r="U608" s="23">
        <s:f>'자료구성'!$B$2</s:f>
        <s:v>46247.0</s:v>
      </s:c>
    </s:row>
    <s:row r="609">
      <s:c r="A609" s="0" t="n">
        <s:v>2252</s:v>
      </s:c>
      <s:c r="B609" s="0" t="n">
        <s:v>1381</s:v>
      </s:c>
      <s:c r="C609" s="0" t="n">
        <s:v>2513</s:v>
      </s:c>
      <s:c r="D609" s="0" t="n">
        <s:v>637</s:v>
      </s:c>
      <s:c r="E609" s="0" t="n">
        <s:v>1202</s:v>
      </s:c>
      <s:c r="F609" s="0" t="n">
        <s:v>3251</s:v>
      </s:c>
      <s:c r="G609" s="0" t="n">
        <s:v>2436</s:v>
      </s:c>
      <s:c r="H609" s="0" t="n">
        <s:v>3992</s:v>
      </s:c>
      <s:c r="I609" s="0" t="n">
        <s:v>1984</s:v>
      </s:c>
      <s:c r="J609" s="0" t="n">
        <s:v>2091</s:v>
      </s:c>
      <s:c r="K609" s="22">
        <s:f>'1'!F610</s:f>
        <s:v>46247.567199074074</s:v>
      </s:c>
      <s:c r="L609" s="22">
        <s:f>'2'!F610</s:f>
        <s:v>46247.54893518519</s:v>
      </s:c>
      <s:c r="M609" s="22">
        <s:f>'3'!F610</s:f>
        <s:v>46247.53152777778</s:v>
      </s:c>
      <s:c r="N609" s="22">
        <s:f>'4'!F610</s:f>
        <s:v>46247.48563657407</s:v>
      </s:c>
      <s:c r="O609" s="22">
        <s:f>'5'!F610</s:f>
        <s:v>46247.457291666666</s:v>
      </s:c>
      <s:c r="P609" s="22">
        <s:f>'6'!F610</s:f>
        <s:v>46247.43783564815</s:v>
      </s:c>
      <s:c r="Q609" s="22">
        <s:f>'7'!F610</s:f>
        <s:v>46247.415185185186</s:v>
      </s:c>
      <s:c r="R609" s="22">
        <s:f>'8'!F610</s:f>
        <s:v>46247.39099537037</s:v>
      </s:c>
      <s:c r="S609" s="22">
        <s:f>'9'!F610</s:f>
        <s:v>46247.37318287037</s:v>
      </s:c>
      <s:c r="T609" s="22">
        <s:f>'10'!F610</s:f>
        <s:v>46247.34395833333</s:v>
      </s:c>
      <s:c r="U609" s="23">
        <s:f>'자료구성'!$B$2</s:f>
        <s:v>46247.0</s:v>
      </s:c>
    </s:row>
    <s:row r="610">
      <s:c r="A610" s="0" t="n">
        <s:v>2304</s:v>
      </s:c>
      <s:c r="B610" s="0" t="n">
        <s:v>1372</s:v>
      </s:c>
      <s:c r="C610" s="0" t="n">
        <s:v>2472</s:v>
      </s:c>
      <s:c r="D610" s="0" t="n">
        <s:v>609</s:v>
      </s:c>
      <s:c r="E610" s="0" t="n">
        <s:v>1201</s:v>
      </s:c>
      <s:c r="F610" s="0" t="n">
        <s:v>3202</s:v>
      </s:c>
      <s:c r="G610" s="0" t="n">
        <s:v>2424</s:v>
      </s:c>
      <s:c r="H610" s="0" t="n">
        <s:v>3989</s:v>
      </s:c>
      <s:c r="I610" s="0" t="n">
        <s:v>1966</s:v>
      </s:c>
      <s:c r="J610" s="0" t="n">
        <s:v>2075</s:v>
      </s:c>
      <s:c r="K610" s="22">
        <s:f>'1'!F611</s:f>
        <s:v>46247.56721064815</s:v>
      </s:c>
      <s:c r="L610" s="22">
        <s:f>'2'!F611</s:f>
        <s:v>46247.548946759256</s:v>
      </s:c>
      <s:c r="M610" s="22">
        <s:f>'3'!F611</s:f>
        <s:v>46247.531539351854</s:v>
      </s:c>
      <s:c r="N610" s="22">
        <s:f>'4'!F611</s:f>
        <s:v>46247.48564814815</s:v>
      </s:c>
      <s:c r="O610" s="22">
        <s:f>'5'!F611</s:f>
        <s:v>46247.45730324074</s:v>
      </s:c>
      <s:c r="P610" s="22">
        <s:f>'6'!F611</s:f>
        <s:v>46247.43784722222</s:v>
      </s:c>
      <s:c r="Q610" s="22">
        <s:f>'7'!F611</s:f>
        <s:v>46247.41519675926</s:v>
      </s:c>
      <s:c r="R610" s="22">
        <s:f>'8'!F611</s:f>
        <s:v>46247.39100694445</s:v>
      </s:c>
      <s:c r="S610" s="22">
        <s:f>'9'!F611</s:f>
        <s:v>46247.373194444444</s:v>
      </s:c>
      <s:c r="T610" s="22">
        <s:f>'10'!F611</s:f>
        <s:v>46247.34396990741</s:v>
      </s:c>
      <s:c r="U610" s="23">
        <s:f>'자료구성'!$B$2</s:f>
        <s:v>46247.0</s:v>
      </s:c>
    </s:row>
    <s:row r="611">
      <s:c r="A611" s="0" t="n">
        <s:v>2269</s:v>
      </s:c>
      <s:c r="B611" s="0" t="n">
        <s:v>1364</s:v>
      </s:c>
      <s:c r="C611" s="0" t="n">
        <s:v>2453</s:v>
      </s:c>
      <s:c r="D611" s="0" t="n">
        <s:v>569</s:v>
      </s:c>
      <s:c r="E611" s="0" t="n">
        <s:v>1195</s:v>
      </s:c>
      <s:c r="F611" s="0" t="n">
        <s:v>3162</s:v>
      </s:c>
      <s:c r="G611" s="0" t="n">
        <s:v>2395</s:v>
      </s:c>
      <s:c r="H611" s="0" t="n">
        <s:v>3957</s:v>
      </s:c>
      <s:c r="I611" s="0" t="n">
        <s:v>1952</s:v>
      </s:c>
      <s:c r="J611" s="0" t="n">
        <s:v>2056</s:v>
      </s:c>
      <s:c r="K611" s="22">
        <s:f>'1'!F612</s:f>
        <s:v>46247.56722222222</s:v>
      </s:c>
      <s:c r="L611" s="22">
        <s:f>'2'!F612</s:f>
        <s:v>46247.54895833333</s:v>
      </s:c>
      <s:c r="M611" s="22">
        <s:f>'3'!F612</s:f>
        <s:v>46247.53155092592</s:v>
      </s:c>
      <s:c r="N611" s="22">
        <s:f>'4'!F612</s:f>
        <s:v>46247.485659722224</s:v>
      </s:c>
      <s:c r="O611" s="22">
        <s:f>'5'!F612</s:f>
        <s:v>46247.45731481481</s:v>
      </s:c>
      <s:c r="P611" s="22">
        <s:f>'6'!F612</s:f>
        <s:v>46247.43785879629</s:v>
      </s:c>
      <s:c r="Q611" s="22">
        <s:f>'7'!F612</s:f>
        <s:v>46247.41520833333</s:v>
      </s:c>
      <s:c r="R611" s="22">
        <s:f>'8'!F612</s:f>
        <s:v>46247.391018518516</s:v>
      </s:c>
      <s:c r="S611" s="22">
        <s:f>'9'!F612</s:f>
        <s:v>46247.37320601852</s:v>
      </s:c>
      <s:c r="T611" s="22">
        <s:f>'10'!F612</s:f>
        <s:v>46247.343981481485</s:v>
      </s:c>
      <s:c r="U611" s="23">
        <s:f>'자료구성'!$B$2</s:f>
        <s:v>46247.0</s:v>
      </s:c>
    </s:row>
    <s:row r="612">
      <s:c r="A612" s="0" t="n">
        <s:v>2212</s:v>
      </s:c>
      <s:c r="B612" s="0" t="n">
        <s:v>1336</s:v>
      </s:c>
      <s:c r="C612" s="0" t="n">
        <s:v>2454</s:v>
      </s:c>
      <s:c r="D612" s="0" t="n">
        <s:v>554</s:v>
      </s:c>
      <s:c r="E612" s="0" t="n">
        <s:v>1197</s:v>
      </s:c>
      <s:c r="F612" s="0" t="n">
        <s:v>3120</s:v>
      </s:c>
      <s:c r="G612" s="0" t="n">
        <s:v>2414</s:v>
      </s:c>
      <s:c r="H612" s="0" t="n">
        <s:v>3936</s:v>
      </s:c>
      <s:c r="I612" s="0" t="n">
        <s:v>1961</s:v>
      </s:c>
      <s:c r="J612" s="0" t="n">
        <s:v>2003</s:v>
      </s:c>
      <s:c r="K612" s="22">
        <s:f>'1'!F613</s:f>
        <s:v>46247.5672337963</s:v>
      </s:c>
      <s:c r="L612" s="22">
        <s:f>'2'!F613</s:f>
        <s:v>46247.54896990741</s:v>
      </s:c>
      <s:c r="M612" s="22">
        <s:f>'3'!F613</s:f>
        <s:v>46247.5315625</s:v>
      </s:c>
      <s:c r="N612" s="22">
        <s:f>'4'!F613</s:f>
        <s:v>46247.485671296294</s:v>
      </s:c>
      <s:c r="O612" s="22">
        <s:f>'5'!F613</s:f>
        <s:v>46247.45732638889</s:v>
      </s:c>
      <s:c r="P612" s="22">
        <s:f>'6'!F613</s:f>
        <s:v>46247.43787037037</s:v>
      </s:c>
      <s:c r="Q612" s="22">
        <s:f>'7'!F613</s:f>
        <s:v>46247.41521990741</s:v>
      </s:c>
      <s:c r="R612" s="22">
        <s:f>'8'!F613</s:f>
        <s:v>46247.39103009259</s:v>
      </s:c>
      <s:c r="S612" s="22">
        <s:f>'9'!F613</s:f>
        <s:v>46247.37321759259</s:v>
      </s:c>
      <s:c r="T612" s="22">
        <s:f>'10'!F613</s:f>
        <s:v>46247.343993055554</s:v>
      </s:c>
      <s:c r="U612" s="23">
        <s:f>'자료구성'!$B$2</s:f>
        <s:v>46247.0</s:v>
      </s:c>
    </s:row>
    <s:row r="613">
      <s:c r="A613" s="0" t="n">
        <s:v>2186</s:v>
      </s:c>
      <s:c r="B613" s="0" t="n">
        <s:v>1333</s:v>
      </s:c>
      <s:c r="C613" s="0" t="n">
        <s:v>2470</s:v>
      </s:c>
      <s:c r="D613" s="0" t="n">
        <s:v>526</s:v>
      </s:c>
      <s:c r="E613" s="0" t="n">
        <s:v>1197</s:v>
      </s:c>
      <s:c r="F613" s="0" t="n">
        <s:v>3142</s:v>
      </s:c>
      <s:c r="G613" s="0" t="n">
        <s:v>2413</s:v>
      </s:c>
      <s:c r="H613" s="0" t="n">
        <s:v>3962</s:v>
      </s:c>
      <s:c r="I613" s="0" t="n">
        <s:v>1968</s:v>
      </s:c>
      <s:c r="J613" s="0" t="n">
        <s:v>1936</s:v>
      </s:c>
      <s:c r="K613" s="22">
        <s:f>'1'!F614</s:f>
        <s:v>46247.567245370374</s:v>
      </s:c>
      <s:c r="L613" s="22">
        <s:f>'2'!F614</s:f>
        <s:v>46247.54898148148</s:v>
      </s:c>
      <s:c r="M613" s="22">
        <s:f>'3'!F614</s:f>
        <s:v>46247.53157407408</s:v>
      </s:c>
      <s:c r="N613" s="22">
        <s:f>'4'!F614</s:f>
        <s:v>46247.48568287037</s:v>
      </s:c>
      <s:c r="O613" s="22">
        <s:f>'5'!F614</s:f>
        <s:v>46247.457337962966</s:v>
      </s:c>
      <s:c r="P613" s="22">
        <s:f>'6'!F614</s:f>
        <s:v>46247.43788194445</s:v>
      </s:c>
      <s:c r="Q613" s="22">
        <s:f>'7'!F614</s:f>
        <s:v>46247.41523148148</s:v>
      </s:c>
      <s:c r="R613" s="22">
        <s:f>'8'!F614</s:f>
        <s:v>46247.39104166667</s:v>
      </s:c>
      <s:c r="S613" s="22">
        <s:f>'9'!F614</s:f>
        <s:v>46247.37322916667</s:v>
      </s:c>
      <s:c r="T613" s="22">
        <s:f>'10'!F614</s:f>
        <s:v>46247.34400462963</s:v>
      </s:c>
      <s:c r="U613" s="23">
        <s:f>'자료구성'!$B$2</s:f>
        <s:v>46247.0</s:v>
      </s:c>
    </s:row>
    <s:row r="614">
      <s:c r="A614" s="0" t="n">
        <s:v>2185</s:v>
      </s:c>
      <s:c r="B614" s="0" t="n">
        <s:v>1284</s:v>
      </s:c>
      <s:c r="C614" s="0" t="n">
        <s:v>2476</s:v>
      </s:c>
      <s:c r="D614" s="0" t="n">
        <s:v>502</s:v>
      </s:c>
      <s:c r="E614" s="0" t="n">
        <s:v>1185</s:v>
      </s:c>
      <s:c r="F614" s="0" t="n">
        <s:v>3127</s:v>
      </s:c>
      <s:c r="G614" s="0" t="n">
        <s:v>2504</s:v>
      </s:c>
      <s:c r="H614" s="0" t="n">
        <s:v>4074</s:v>
      </s:c>
      <s:c r="I614" s="0" t="n">
        <s:v>2082</s:v>
      </s:c>
      <s:c r="J614" s="0" t="n">
        <s:v>1853</s:v>
      </s:c>
      <s:c r="K614" s="22">
        <s:f>'1'!F615</s:f>
        <s:v>46247.56725694444</s:v>
      </s:c>
      <s:c r="L614" s="22">
        <s:f>'2'!F615</s:f>
        <s:v>46247.548993055556</s:v>
      </s:c>
      <s:c r="M614" s="22">
        <s:f>'3'!F615</s:f>
        <s:v>46247.53158564815</s:v>
      </s:c>
      <s:c r="N614" s="22">
        <s:f>'4'!F615</s:f>
        <s:v>46247.48569444445</s:v>
      </s:c>
      <s:c r="O614" s="22">
        <s:f>'5'!F615</s:f>
        <s:v>46247.457349537035</s:v>
      </s:c>
      <s:c r="P614" s="22">
        <s:f>'6'!F615</s:f>
        <s:v>46247.437893518516</s:v>
      </s:c>
      <s:c r="Q614" s="22">
        <s:f>'7'!F615</s:f>
        <s:v>46247.415243055555</s:v>
      </s:c>
      <s:c r="R614" s="22">
        <s:f>'8'!F615</s:f>
        <s:v>46247.39105324074</s:v>
      </s:c>
      <s:c r="S614" s="22">
        <s:f>'9'!F615</s:f>
        <s:v>46247.373240740744</s:v>
      </s:c>
      <s:c r="T614" s="22">
        <s:f>'10'!F615</s:f>
        <s:v>46247.3440162037</s:v>
      </s:c>
      <s:c r="U614" s="23">
        <s:f>'자료구성'!$B$2</s:f>
        <s:v>46247.0</s:v>
      </s:c>
    </s:row>
    <s:row r="615">
      <s:c r="A615" s="0" t="n">
        <s:v>2200</s:v>
      </s:c>
      <s:c r="B615" s="0" t="n">
        <s:v>1223</s:v>
      </s:c>
      <s:c r="C615" s="0" t="n">
        <s:v>2491</s:v>
      </s:c>
      <s:c r="D615" s="0" t="n">
        <s:v>490</s:v>
      </s:c>
      <s:c r="E615" s="0" t="n">
        <s:v>1184</s:v>
      </s:c>
      <s:c r="F615" s="0" t="n">
        <s:v>3131</s:v>
      </s:c>
      <s:c r="G615" s="0" t="n">
        <s:v>2645</s:v>
      </s:c>
      <s:c r="H615" s="0" t="n">
        <s:v>4193</s:v>
      </s:c>
      <s:c r="I615" s="0" t="n">
        <s:v>2138</s:v>
      </s:c>
      <s:c r="J615" s="0" t="n">
        <s:v>1774</s:v>
      </s:c>
      <s:c r="K615" s="22">
        <s:f>'1'!F616</s:f>
        <s:v>46247.56726851852</s:v>
      </s:c>
      <s:c r="L615" s="22">
        <s:f>'2'!F616</s:f>
        <s:v>46247.54900462963</s:v>
      </s:c>
      <s:c r="M615" s="22">
        <s:f>'3'!F616</s:f>
        <s:v>46247.53159722222</s:v>
      </s:c>
      <s:c r="N615" s="22">
        <s:f>'4'!F616</s:f>
        <s:v>46247.48570601852</s:v>
      </s:c>
      <s:c r="O615" s="22">
        <s:f>'5'!F616</s:f>
        <s:v>46247.45736111111</s:v>
      </s:c>
      <s:c r="P615" s="22">
        <s:f>'6'!F616</s:f>
        <s:v>46247.43790509259</s:v>
      </s:c>
      <s:c r="Q615" s="22">
        <s:f>'7'!F616</s:f>
        <s:v>46247.41525462963</s:v>
      </s:c>
      <s:c r="R615" s="22">
        <s:f>'8'!F616</s:f>
        <s:v>46247.391064814816</s:v>
      </s:c>
      <s:c r="S615" s="22">
        <s:f>'9'!F616</s:f>
        <s:v>46247.373252314814</s:v>
      </s:c>
      <s:c r="T615" s="22">
        <s:f>'10'!F616</s:f>
        <s:v>46247.34402777778</s:v>
      </s:c>
      <s:c r="U615" s="23">
        <s:f>'자료구성'!$B$2</s:f>
        <s:v>46247.0</s:v>
      </s:c>
    </s:row>
    <s:row r="616">
      <s:c r="A616" s="0" t="n">
        <s:v>2290</s:v>
      </s:c>
      <s:c r="B616" s="0" t="n">
        <s:v>1171</s:v>
      </s:c>
      <s:c r="C616" s="0" t="n">
        <s:v>2521</s:v>
      </s:c>
      <s:c r="D616" s="0" t="n">
        <s:v>486</s:v>
      </s:c>
      <s:c r="E616" s="0" t="n">
        <s:v>1141</s:v>
      </s:c>
      <s:c r="F616" s="0" t="n">
        <s:v>3154</s:v>
      </s:c>
      <s:c r="G616" s="0" t="n">
        <s:v>2800</s:v>
      </s:c>
      <s:c r="H616" s="0" t="n">
        <s:v>4296</s:v>
      </s:c>
      <s:c r="I616" s="0" t="n">
        <s:v>2210</s:v>
      </s:c>
      <s:c r="J616" s="0" t="n">
        <s:v>1730</s:v>
      </s:c>
      <s:c r="K616" s="22">
        <s:f>'1'!F617</s:f>
        <s:v>46247.56728009259</s:v>
      </s:c>
      <s:c r="L616" s="22">
        <s:f>'2'!F617</s:f>
        <s:v>46247.5490162037</s:v>
      </s:c>
      <s:c r="M616" s="22">
        <s:f>'3'!F617</s:f>
        <s:v>46247.53160879629</s:v>
      </s:c>
      <s:c r="N616" s="22">
        <s:f>'4'!F617</s:f>
        <s:v>46247.48571759259</s:v>
      </s:c>
      <s:c r="O616" s="22">
        <s:f>'5'!F617</s:f>
        <s:v>46247.45737268519</s:v>
      </s:c>
      <s:c r="P616" s="22">
        <s:f>'6'!F617</s:f>
        <s:v>46247.43791666667</s:v>
      </s:c>
      <s:c r="Q616" s="22">
        <s:f>'7'!F617</s:f>
        <s:v>46247.4152662037</s:v>
      </s:c>
      <s:c r="R616" s="22">
        <s:f>'8'!F617</s:f>
        <s:v>46247.391076388885</s:v>
      </s:c>
      <s:c r="S616" s="22">
        <s:f>'9'!F617</s:f>
        <s:v>46247.37326388889</s:v>
      </s:c>
      <s:c r="T616" s="22">
        <s:f>'10'!F617</s:f>
        <s:v>46247.344039351854</s:v>
      </s:c>
      <s:c r="U616" s="23">
        <s:f>'자료구성'!$B$2</s:f>
        <s:v>46247.0</s:v>
      </s:c>
    </s:row>
    <s:row r="617">
      <s:c r="A617" s="0" t="n">
        <s:v>2313</s:v>
      </s:c>
      <s:c r="B617" s="0" t="n">
        <s:v>1104</s:v>
      </s:c>
      <s:c r="C617" s="0" t="n">
        <s:v>2562</s:v>
      </s:c>
      <s:c r="D617" s="0" t="n">
        <s:v>499</s:v>
      </s:c>
      <s:c r="E617" s="0" t="n">
        <s:v>1130</s:v>
      </s:c>
      <s:c r="F617" s="0" t="n">
        <s:v>3162</s:v>
      </s:c>
      <s:c r="G617" s="0" t="n">
        <s:v>2840</s:v>
      </s:c>
      <s:c r="H617" s="0" t="n">
        <s:v>4273</s:v>
      </s:c>
      <s:c r="I617" s="0" t="n">
        <s:v>2345</s:v>
      </s:c>
      <s:c r="J617" s="0" t="n">
        <s:v>1696</s:v>
      </s:c>
      <s:c r="K617" s="22">
        <s:f>'1'!F618</s:f>
        <s:v>46247.567291666666</s:v>
      </s:c>
      <s:c r="L617" s="22">
        <s:f>'2'!F618</s:f>
        <s:v>46247.54902777778</s:v>
      </s:c>
      <s:c r="M617" s="22">
        <s:f>'3'!F618</s:f>
        <s:v>46247.53162037037</s:v>
      </s:c>
      <s:c r="N617" s="22">
        <s:f>'4'!F618</s:f>
        <s:v>46247.48572916666</s:v>
      </s:c>
      <s:c r="O617" s="22">
        <s:f>'5'!F618</s:f>
        <s:v>46247.45738425926</s:v>
      </s:c>
      <s:c r="P617" s="22">
        <s:f>'6'!F618</s:f>
        <s:v>46247.43792824074</s:v>
      </s:c>
      <s:c r="Q617" s="22">
        <s:f>'7'!F618</s:f>
        <s:v>46247.41527777778</s:v>
      </s:c>
      <s:c r="R617" s="22">
        <s:f>'8'!F618</s:f>
        <s:v>46247.39108796296</s:v>
      </s:c>
      <s:c r="S617" s="22">
        <s:f>'9'!F618</s:f>
        <s:v>46247.37327546296</s:v>
      </s:c>
      <s:c r="T617" s="22">
        <s:f>'10'!F618</s:f>
        <s:v>46247.34405092592</s:v>
      </s:c>
      <s:c r="U617" s="23">
        <s:f>'자료구성'!$B$2</s:f>
        <s:v>46247.0</s:v>
      </s:c>
    </s:row>
    <s:row r="618">
      <s:c r="A618" s="0" t="n">
        <s:v>2331</s:v>
      </s:c>
      <s:c r="B618" s="0" t="n">
        <s:v>1041</s:v>
      </s:c>
      <s:c r="C618" s="0" t="n">
        <s:v>2598</s:v>
      </s:c>
      <s:c r="D618" s="0" t="n">
        <s:v>483</s:v>
      </s:c>
      <s:c r="E618" s="0" t="n">
        <s:v>1131</s:v>
      </s:c>
      <s:c r="F618" s="0" t="n">
        <s:v>3153</s:v>
      </s:c>
      <s:c r="G618" s="0" t="n">
        <s:v>2656</s:v>
      </s:c>
      <s:c r="H618" s="0" t="n">
        <s:v>4289</s:v>
      </s:c>
      <s:c r="I618" s="0" t="n">
        <s:v>2445</s:v>
      </s:c>
      <s:c r="J618" s="0" t="n">
        <s:v>1679</s:v>
      </s:c>
      <s:c r="K618" s="22">
        <s:f>'1'!F619</s:f>
        <s:v>46247.56730324074</s:v>
      </s:c>
      <s:c r="L618" s="22">
        <s:f>'2'!F619</s:f>
        <s:v>46247.54903935185</s:v>
      </s:c>
      <s:c r="M618" s="22">
        <s:f>'3'!F619</s:f>
        <s:v>46247.53163194445</s:v>
      </s:c>
      <s:c r="N618" s="22">
        <s:f>'4'!F619</s:f>
        <s:v>46247.48574074074</s:v>
      </s:c>
      <s:c r="O618" s="22">
        <s:f>'5'!F619</s:f>
        <s:v>46247.457395833335</s:v>
      </s:c>
      <s:c r="P618" s="22">
        <s:f>'6'!F619</s:f>
        <s:v>46247.437939814816</s:v>
      </s:c>
      <s:c r="Q618" s="22">
        <s:f>'7'!F619</s:f>
        <s:v>46247.415289351855</s:v>
      </s:c>
      <s:c r="R618" s="22">
        <s:f>'8'!F619</s:f>
        <s:v>46247.39109953704</s:v>
      </s:c>
      <s:c r="S618" s="22">
        <s:f>'9'!F619</s:f>
        <s:v>46247.37328703704</s:v>
      </s:c>
      <s:c r="T618" s="22">
        <s:f>'10'!F619</s:f>
        <s:v>46247.3440625</s:v>
      </s:c>
      <s:c r="U618" s="23">
        <s:f>'자료구성'!$B$2</s:f>
        <s:v>46247.0</s:v>
      </s:c>
    </s:row>
    <s:row r="619">
      <s:c r="A619" s="0" t="n">
        <s:v>2317</s:v>
      </s:c>
      <s:c r="B619" s="0" t="n">
        <s:v>997</s:v>
      </s:c>
      <s:c r="C619" s="0" t="n">
        <s:v>2622</s:v>
      </s:c>
      <s:c r="D619" s="0" t="n">
        <s:v>480</s:v>
      </s:c>
      <s:c r="E619" s="0" t="n">
        <s:v>1115</s:v>
      </s:c>
      <s:c r="F619" s="0" t="n">
        <s:v>3128</s:v>
      </s:c>
      <s:c r="G619" s="0" t="n">
        <s:v>2593</s:v>
      </s:c>
      <s:c r="H619" s="0" t="n">
        <s:v>4260</s:v>
      </s:c>
      <s:c r="I619" s="0" t="n">
        <s:v>2563</s:v>
      </s:c>
      <s:c r="J619" s="0" t="n">
        <s:v>1646</s:v>
      </s:c>
      <s:c r="K619" s="22">
        <s:f>'1'!F620</s:f>
        <s:v>46247.56731481481</s:v>
      </s:c>
      <s:c r="L619" s="22">
        <s:f>'2'!F620</s:f>
        <s:v>46247.549050925925</s:v>
      </s:c>
      <s:c r="M619" s="22">
        <s:f>'3'!F620</s:f>
        <s:v>46247.531643518516</s:v>
      </s:c>
      <s:c r="N619" s="22">
        <s:f>'4'!F620</s:f>
        <s:v>46247.48575231482</s:v>
      </s:c>
      <s:c r="O619" s="22">
        <s:f>'5'!F620</s:f>
        <s:v>46247.457407407404</s:v>
      </s:c>
      <s:c r="P619" s="22">
        <s:f>'6'!F620</s:f>
        <s:v>46247.437951388885</s:v>
      </s:c>
      <s:c r="Q619" s="22">
        <s:f>'7'!F620</s:f>
        <s:v>46247.415300925924</s:v>
      </s:c>
      <s:c r="R619" s="22">
        <s:f>'8'!F620</s:f>
        <s:v>46247.39111111111</s:v>
      </s:c>
      <s:c r="S619" s="22">
        <s:f>'9'!F620</s:f>
        <s:v>46247.37329861111</s:v>
      </s:c>
      <s:c r="T619" s="22">
        <s:f>'10'!F620</s:f>
        <s:v>46247.34407407408</s:v>
      </s:c>
      <s:c r="U619" s="23">
        <s:f>'자료구성'!$B$2</s:f>
        <s:v>46247.0</s:v>
      </s:c>
    </s:row>
    <s:row r="620">
      <s:c r="A620" s="0" t="n">
        <s:v>2277</s:v>
      </s:c>
      <s:c r="B620" s="0" t="n">
        <s:v>966</s:v>
      </s:c>
      <s:c r="C620" s="0" t="n">
        <s:v>2624</s:v>
      </s:c>
      <s:c r="D620" s="0" t="n">
        <s:v>483</s:v>
      </s:c>
      <s:c r="E620" s="0" t="n">
        <s:v>1104</s:v>
      </s:c>
      <s:c r="F620" s="0" t="n">
        <s:v>3144</s:v>
      </s:c>
      <s:c r="G620" s="0" t="n">
        <s:v>2503</s:v>
      </s:c>
      <s:c r="H620" s="0" t="n">
        <s:v>4236</s:v>
      </s:c>
      <s:c r="I620" s="0" t="n">
        <s:v>2598</s:v>
      </s:c>
      <s:c r="J620" s="0" t="n">
        <s:v>1633</s:v>
      </s:c>
      <s:c r="K620" s="22">
        <s:f>'1'!F621</s:f>
        <s:v>46247.56732638889</s:v>
      </s:c>
      <s:c r="L620" s="22">
        <s:f>'2'!F621</s:f>
        <s:v>46247.5490625</s:v>
      </s:c>
      <s:c r="M620" s="22">
        <s:f>'3'!F621</s:f>
        <s:v>46247.53165509259</s:v>
      </s:c>
      <s:c r="N620" s="22">
        <s:f>'4'!F621</s:f>
        <s:v>46247.485763888886</s:v>
      </s:c>
      <s:c r="O620" s="22">
        <s:f>'5'!F621</s:f>
        <s:v>46247.45741898148</s:v>
      </s:c>
      <s:c r="P620" s="22">
        <s:f>'6'!F621</s:f>
        <s:v>46247.43796296296</s:v>
      </s:c>
      <s:c r="Q620" s="22">
        <s:f>'7'!F621</s:f>
        <s:v>46247.4153125</s:v>
      </s:c>
      <s:c r="R620" s="22">
        <s:f>'8'!F621</s:f>
        <s:v>46247.391122685185</s:v>
      </s:c>
      <s:c r="S620" s="22">
        <s:f>'9'!F621</s:f>
        <s:v>46247.37331018518</s:v>
      </s:c>
      <s:c r="T620" s="22">
        <s:f>'10'!F621</s:f>
        <s:v>46247.34408564815</s:v>
      </s:c>
      <s:c r="U620" s="23">
        <s:f>'자료구성'!$B$2</s:f>
        <s:v>46247.0</s:v>
      </s:c>
    </s:row>
    <s:row r="621">
      <s:c r="A621" s="0" t="n">
        <s:v>2236</s:v>
      </s:c>
      <s:c r="B621" s="0" t="n">
        <s:v>928</s:v>
      </s:c>
      <s:c r="C621" s="0" t="n">
        <s:v>2660</s:v>
      </s:c>
      <s:c r="D621" s="0" t="n">
        <s:v>507</s:v>
      </s:c>
      <s:c r="E621" s="0" t="n">
        <s:v>1099</s:v>
      </s:c>
      <s:c r="F621" s="0" t="n">
        <s:v>3127</s:v>
      </s:c>
      <s:c r="G621" s="0" t="n">
        <s:v>2440</s:v>
      </s:c>
      <s:c r="H621" s="0" t="n">
        <s:v>4228</s:v>
      </s:c>
      <s:c r="I621" s="0" t="n">
        <s:v>2627</s:v>
      </s:c>
      <s:c r="J621" s="0" t="n">
        <s:v>1586</s:v>
      </s:c>
      <s:c r="K621" s="22">
        <s:f>'1'!F622</s:f>
        <s:v>46247.567337962966</s:v>
      </s:c>
      <s:c r="L621" s="22">
        <s:f>'2'!F622</s:f>
        <s:v>46247.54907407407</s:v>
      </s:c>
      <s:c r="M621" s="22">
        <s:f>'3'!F622</s:f>
        <s:v>46247.53166666667</s:v>
      </s:c>
      <s:c r="N621" s="22">
        <s:f>'4'!F622</s:f>
        <s:v>46247.48577546296</s:v>
      </s:c>
      <s:c r="O621" s="22">
        <s:f>'5'!F622</s:f>
        <s:v>46247.45743055556</s:v>
      </s:c>
      <s:c r="P621" s="22">
        <s:f>'6'!F622</s:f>
        <s:v>46247.43797453704</s:v>
      </s:c>
      <s:c r="Q621" s="22">
        <s:f>'7'!F622</s:f>
        <s:v>46247.41532407407</s:v>
      </s:c>
      <s:c r="R621" s="22">
        <s:f>'8'!F622</s:f>
        <s:v>46247.39113425926</s:v>
      </s:c>
      <s:c r="S621" s="22">
        <s:f>'9'!F622</s:f>
        <s:v>46247.37332175926</s:v>
      </s:c>
      <s:c r="T621" s="22">
        <s:f>'10'!F622</s:f>
        <s:v>46247.34409722222</s:v>
      </s:c>
      <s:c r="U621" s="23">
        <s:f>'자료구성'!$B$2</s:f>
        <s:v>46247.0</s:v>
      </s:c>
    </s:row>
    <s:row r="622">
      <s:c r="A622" s="0" t="n">
        <s:v>2183</s:v>
      </s:c>
      <s:c r="B622" s="0" t="n">
        <s:v>915</s:v>
      </s:c>
      <s:c r="C622" s="0" t="n">
        <s:v>2725</s:v>
      </s:c>
      <s:c r="D622" s="0" t="n">
        <s:v>533</s:v>
      </s:c>
      <s:c r="E622" s="0" t="n">
        <s:v>1097</s:v>
      </s:c>
      <s:c r="F622" s="0" t="n">
        <s:v>3184</s:v>
      </s:c>
      <s:c r="G622" s="0" t="n">
        <s:v>2407</s:v>
      </s:c>
      <s:c r="H622" s="0" t="n">
        <s:v>4287</s:v>
      </s:c>
      <s:c r="I622" s="0" t="n">
        <s:v>2666</s:v>
      </s:c>
      <s:c r="J622" s="0" t="n">
        <s:v>1542</s:v>
      </s:c>
      <s:c r="K622" s="22">
        <s:f>'1'!F623</s:f>
        <s:v>46247.567349537036</s:v>
      </s:c>
      <s:c r="L622" s="22">
        <s:f>'2'!F623</s:f>
        <s:v>46247.54908564815</s:v>
      </s:c>
      <s:c r="M622" s="22">
        <s:f>'3'!F623</s:f>
        <s:v>46247.53167824074</s:v>
      </s:c>
      <s:c r="N622" s="22">
        <s:f>'4'!F623</s:f>
        <s:v>46247.48578703704</s:v>
      </s:c>
      <s:c r="O622" s="22">
        <s:f>'5'!F623</s:f>
        <s:v>46247.45744212963</s:v>
      </s:c>
      <s:c r="P622" s="22">
        <s:f>'6'!F623</s:f>
        <s:v>46247.43798611111</s:v>
      </s:c>
      <s:c r="Q622" s="22">
        <s:f>'7'!F623</s:f>
        <s:v>46247.41533564815</s:v>
      </s:c>
      <s:c r="R622" s="22">
        <s:f>'8'!F623</s:f>
        <s:v>46247.39114583333</s:v>
      </s:c>
      <s:c r="S622" s="22">
        <s:f>'9'!F623</s:f>
        <s:v>46247.37333333334</s:v>
      </s:c>
      <s:c r="T622" s="22">
        <s:f>'10'!F623</s:f>
        <s:v>46247.34410879629</s:v>
      </s:c>
      <s:c r="U622" s="23">
        <s:f>'자료구성'!$B$2</s:f>
        <s:v>46247.0</s:v>
      </s:c>
    </s:row>
    <s:row r="623">
      <s:c r="A623" s="0" t="n">
        <s:v>2121</s:v>
      </s:c>
      <s:c r="B623" s="0" t="n">
        <s:v>891</s:v>
      </s:c>
      <s:c r="C623" s="0" t="n">
        <s:v>2725</s:v>
      </s:c>
      <s:c r="D623" s="0" t="n">
        <s:v>551</s:v>
      </s:c>
      <s:c r="E623" s="0" t="n">
        <s:v>1104</s:v>
      </s:c>
      <s:c r="F623" s="0" t="n">
        <s:v>3201</s:v>
      </s:c>
      <s:c r="G623" s="0" t="n">
        <s:v>2386</s:v>
      </s:c>
      <s:c r="H623" s="0" t="n">
        <s:v>4362</s:v>
      </s:c>
      <s:c r="I623" s="0" t="n">
        <s:v>2707</s:v>
      </s:c>
      <s:c r="J623" s="0" t="n">
        <s:v>1501</s:v>
      </s:c>
      <s:c r="K623" s="22">
        <s:f>'1'!F624</s:f>
        <s:v>46247.56736111111</s:v>
      </s:c>
      <s:c r="L623" s="22">
        <s:f>'2'!F624</s:f>
        <s:v>46247.549097222225</s:v>
      </s:c>
      <s:c r="M623" s="22">
        <s:f>'3'!F624</s:f>
        <s:v>46247.531689814816</s:v>
      </s:c>
      <s:c r="N623" s="22">
        <s:f>'4'!F624</s:f>
        <s:v>46247.48579861111</s:v>
      </s:c>
      <s:c r="O623" s="22">
        <s:f>'5'!F624</s:f>
        <s:v>46247.457453703704</s:v>
      </s:c>
      <s:c r="P623" s="22">
        <s:f>'6'!F624</s:f>
        <s:v>46247.437997685185</s:v>
      </s:c>
      <s:c r="Q623" s="22">
        <s:f>'7'!F624</s:f>
        <s:v>46247.415347222224</s:v>
      </s:c>
      <s:c r="R623" s="22">
        <s:f>'8'!F624</s:f>
        <s:v>46247.39115740741</s:v>
      </s:c>
      <s:c r="S623" s="22">
        <s:f>'9'!F624</s:f>
        <s:v>46247.373344907406</s:v>
      </s:c>
      <s:c r="T623" s="22">
        <s:f>'10'!F624</s:f>
        <s:v>46247.34412037037</s:v>
      </s:c>
      <s:c r="U623" s="23">
        <s:f>'자료구성'!$B$2</s:f>
        <s:v>46247.0</s:v>
      </s:c>
    </s:row>
    <s:row r="624">
      <s:c r="A624" s="0" t="n">
        <s:v>2092</s:v>
      </s:c>
      <s:c r="B624" s="0" t="n">
        <s:v>875</s:v>
      </s:c>
      <s:c r="C624" s="0" t="n">
        <s:v>2725</s:v>
      </s:c>
      <s:c r="D624" s="0" t="n">
        <s:v>597</s:v>
      </s:c>
      <s:c r="E624" s="0" t="n">
        <s:v>1114</s:v>
      </s:c>
      <s:c r="F624" s="0" t="n">
        <s:v>3086</s:v>
      </s:c>
      <s:c r="G624" s="0" t="n">
        <s:v>2397</s:v>
      </s:c>
      <s:c r="H624" s="0" t="n">
        <s:v>4385</s:v>
      </s:c>
      <s:c r="I624" s="0" t="n">
        <s:v>2729</s:v>
      </s:c>
      <s:c r="J624" s="0" t="n">
        <s:v>1479</s:v>
      </s:c>
      <s:c r="K624" s="22">
        <s:f>'1'!F625</s:f>
        <s:v>46247.56737268518</s:v>
      </s:c>
      <s:c r="L624" s="22">
        <s:f>'2'!F625</s:f>
        <s:v>46247.549108796295</s:v>
      </s:c>
      <s:c r="M624" s="22">
        <s:f>'3'!F625</s:f>
        <s:v>46247.531701388885</s:v>
      </s:c>
      <s:c r="N624" s="22">
        <s:f>'4'!F625</s:f>
        <s:v>46247.485810185186</s:v>
      </s:c>
      <s:c r="O624" s="22">
        <s:f>'5'!F625</s:f>
        <s:v>46247.45746527778</s:v>
      </s:c>
      <s:c r="P624" s="22">
        <s:f>'6'!F625</s:f>
        <s:v>46247.43800925926</s:v>
      </s:c>
      <s:c r="Q624" s="22">
        <s:f>'7'!F625</s:f>
        <s:v>46247.415358796294</s:v>
      </s:c>
      <s:c r="R624" s="22">
        <s:f>'8'!F625</s:f>
        <s:v>46247.391168981485</s:v>
      </s:c>
      <s:c r="S624" s="22">
        <s:f>'9'!F625</s:f>
        <s:v>46247.37335648148</s:v>
      </s:c>
      <s:c r="T624" s="22">
        <s:f>'10'!F625</s:f>
        <s:v>46247.34413194445</s:v>
      </s:c>
      <s:c r="U624" s="23">
        <s:f>'자료구성'!$B$2</s:f>
        <s:v>46247.0</s:v>
      </s:c>
    </s:row>
    <s:row r="625">
      <s:c r="A625" s="0" t="n">
        <s:v>2048</s:v>
      </s:c>
      <s:c r="B625" s="0" t="n">
        <s:v>851</s:v>
      </s:c>
      <s:c r="C625" s="0" t="n">
        <s:v>2763</s:v>
      </s:c>
      <s:c r="D625" s="0" t="n">
        <s:v>627</s:v>
      </s:c>
      <s:c r="E625" s="0" t="n">
        <s:v>1105</s:v>
      </s:c>
      <s:c r="F625" s="0" t="n">
        <s:v>2971</s:v>
      </s:c>
      <s:c r="G625" s="0" t="n">
        <s:v>2455</s:v>
      </s:c>
      <s:c r="H625" s="0" t="n">
        <s:v>4397</s:v>
      </s:c>
      <s:c r="I625" s="0" t="n">
        <s:v>2713</s:v>
      </s:c>
      <s:c r="J625" s="0" t="n">
        <s:v>1474</s:v>
      </s:c>
      <s:c r="K625" s="22">
        <s:f>'1'!F626</s:f>
        <s:v>46247.56738425926</s:v>
      </s:c>
      <s:c r="L625" s="22">
        <s:f>'2'!F626</s:f>
        <s:v>46247.54912037037</s:v>
      </s:c>
      <s:c r="M625" s="22">
        <s:f>'3'!F626</s:f>
        <s:v>46247.53171296296</s:v>
      </s:c>
      <s:c r="N625" s="22">
        <s:f>'4'!F626</s:f>
        <s:v>46247.48582175926</s:v>
      </s:c>
      <s:c r="O625" s="22">
        <s:f>'5'!F626</s:f>
        <s:v>46247.45747685185</s:v>
      </s:c>
      <s:c r="P625" s="22">
        <s:f>'6'!F626</s:f>
        <s:v>46247.43802083333</s:v>
      </s:c>
      <s:c r="Q625" s="22">
        <s:f>'7'!F626</s:f>
        <s:v>46247.41537037037</s:v>
      </s:c>
      <s:c r="R625" s="22">
        <s:f>'8'!F626</s:f>
        <s:v>46247.391180555554</s:v>
      </s:c>
      <s:c r="S625" s="22">
        <s:f>'9'!F626</s:f>
        <s:v>46247.37336805555</s:v>
      </s:c>
      <s:c r="T625" s="22">
        <s:f>'10'!F626</s:f>
        <s:v>46247.344143518516</s:v>
      </s:c>
      <s:c r="U625" s="23">
        <s:f>'자료구성'!$B$2</s:f>
        <s:v>46247.0</s:v>
      </s:c>
    </s:row>
    <s:row r="626">
      <s:c r="A626" s="0" t="n">
        <s:v>2054</s:v>
      </s:c>
      <s:c r="B626" s="0" t="n">
        <s:v>843</s:v>
      </s:c>
      <s:c r="C626" s="0" t="n">
        <s:v>2798</s:v>
      </s:c>
      <s:c r="D626" s="0" t="n">
        <s:v>634</s:v>
      </s:c>
      <s:c r="E626" s="0" t="n">
        <s:v>1136</s:v>
      </s:c>
      <s:c r="F626" s="0" t="n">
        <s:v>2939</s:v>
      </s:c>
      <s:c r="G626" s="0" t="n">
        <s:v>2408</s:v>
      </s:c>
      <s:c r="H626" s="0" t="n">
        <s:v>4361</s:v>
      </s:c>
      <s:c r="I626" s="0" t="n">
        <s:v>2700</s:v>
      </s:c>
      <s:c r="J626" s="0" t="n">
        <s:v>1446</s:v>
      </s:c>
      <s:c r="K626" s="22">
        <s:f>'1'!F627</s:f>
        <s:v>46247.567395833335</s:v>
      </s:c>
      <s:c r="L626" s="22">
        <s:f>'2'!F627</s:f>
        <s:v>46247.54913194444</s:v>
      </s:c>
      <s:c r="M626" s="22">
        <s:f>'3'!F627</s:f>
        <s:v>46247.53172453704</s:v>
      </s:c>
      <s:c r="N626" s="22">
        <s:f>'4'!F627</s:f>
        <s:v>46247.48583333333</s:v>
      </s:c>
      <s:c r="O626" s="22">
        <s:f>'5'!F627</s:f>
        <s:v>46247.45748842593</s:v>
      </s:c>
      <s:c r="P626" s="22">
        <s:f>'6'!F627</s:f>
        <s:v>46247.43803240741</s:v>
      </s:c>
      <s:c r="Q626" s="22">
        <s:f>'7'!F627</s:f>
        <s:v>46247.41538194445</s:v>
      </s:c>
      <s:c r="R626" s="22">
        <s:f>'8'!F627</s:f>
        <s:v>46247.39119212963</s:v>
      </s:c>
      <s:c r="S626" s="22">
        <s:f>'9'!F627</s:f>
        <s:v>46247.37337962963</s:v>
      </s:c>
      <s:c r="T626" s="22">
        <s:f>'10'!F627</s:f>
        <s:v>46247.34415509259</s:v>
      </s:c>
      <s:c r="U626" s="23">
        <s:f>'자료구성'!$B$2</s:f>
        <s:v>46247.0</s:v>
      </s:c>
    </s:row>
    <s:row r="627">
      <s:c r="A627" s="0" t="n">
        <s:v>2048</s:v>
      </s:c>
      <s:c r="B627" s="0" t="n">
        <s:v>850</s:v>
      </s:c>
      <s:c r="C627" s="0" t="n">
        <s:v>2839</s:v>
      </s:c>
      <s:c r="D627" s="0" t="n">
        <s:v>639</s:v>
      </s:c>
      <s:c r="E627" s="0" t="n">
        <s:v>1132</s:v>
      </s:c>
      <s:c r="F627" s="0" t="n">
        <s:v>2982</s:v>
      </s:c>
      <s:c r="G627" s="0" t="n">
        <s:v>2356</s:v>
      </s:c>
      <s:c r="H627" s="0" t="n">
        <s:v>4305</s:v>
      </s:c>
      <s:c r="I627" s="0" t="n">
        <s:v>2681</s:v>
      </s:c>
      <s:c r="J627" s="0" t="n">
        <s:v>1437</s:v>
      </s:c>
      <s:c r="K627" s="22">
        <s:f>'1'!F628</s:f>
        <s:v>46247.567407407405</s:v>
      </s:c>
      <s:c r="L627" s="22">
        <s:f>'2'!F628</s:f>
        <s:v>46247.54914351852</s:v>
      </s:c>
      <s:c r="M627" s="22">
        <s:f>'3'!F628</s:f>
        <s:v>46247.53173611111</s:v>
      </s:c>
      <s:c r="N627" s="22">
        <s:f>'4'!F628</s:f>
        <s:v>46247.48584490741</s:v>
      </s:c>
      <s:c r="O627" s="22">
        <s:f>'5'!F628</s:f>
        <s:v>46247.4575</s:v>
      </s:c>
      <s:c r="P627" s="22">
        <s:f>'6'!F628</s:f>
        <s:v>46247.438043981485</s:v>
      </s:c>
      <s:c r="Q627" s="22">
        <s:f>'7'!F628</s:f>
        <s:v>46247.41539351852</s:v>
      </s:c>
      <s:c r="R627" s="22">
        <s:f>'8'!F628</s:f>
        <s:v>46247.3912037037</s:v>
      </s:c>
      <s:c r="S627" s="22">
        <s:f>'9'!F628</s:f>
        <s:v>46247.373391203706</s:v>
      </s:c>
      <s:c r="T627" s="22">
        <s:f>'10'!F628</s:f>
        <s:v>46247.34416666667</s:v>
      </s:c>
      <s:c r="U627" s="23">
        <s:f>'자료구성'!$B$2</s:f>
        <s:v>46247.0</s:v>
      </s:c>
    </s:row>
    <s:row r="628">
      <s:c r="A628" s="0" t="n">
        <s:v>2029</s:v>
      </s:c>
      <s:c r="B628" s="0" t="n">
        <s:v>829</s:v>
      </s:c>
      <s:c r="C628" s="0" t="n">
        <s:v>2832</s:v>
      </s:c>
      <s:c r="D628" s="0" t="n">
        <s:v>665</s:v>
      </s:c>
      <s:c r="E628" s="0" t="n">
        <s:v>1132</s:v>
      </s:c>
      <s:c r="F628" s="0" t="n">
        <s:v>2985</s:v>
      </s:c>
      <s:c r="G628" s="0" t="n">
        <s:v>2353</s:v>
      </s:c>
      <s:c r="H628" s="0" t="n">
        <s:v>4268</s:v>
      </s:c>
      <s:c r="I628" s="0" t="n">
        <s:v>2643</s:v>
      </s:c>
      <s:c r="J628" s="0" t="n">
        <s:v>1457</s:v>
      </s:c>
      <s:c r="K628" s="22">
        <s:f>'1'!F629</s:f>
        <s:v>46247.56741898148</s:v>
      </s:c>
      <s:c r="L628" s="22">
        <s:f>'2'!F629</s:f>
        <s:v>46247.549155092594</s:v>
      </s:c>
      <s:c r="M628" s="22">
        <s:f>'3'!F629</s:f>
        <s:v>46247.531747685185</s:v>
      </s:c>
      <s:c r="N628" s="22">
        <s:f>'4'!F629</s:f>
        <s:v>46247.48585648148</s:v>
      </s:c>
      <s:c r="O628" s="22">
        <s:f>'5'!F629</s:f>
        <s:v>46247.45751157407</s:v>
      </s:c>
      <s:c r="P628" s="22">
        <s:f>'6'!F629</s:f>
        <s:v>46247.438055555554</s:v>
      </s:c>
      <s:c r="Q628" s="22">
        <s:f>'7'!F629</s:f>
        <s:v>46247.41540509259</s:v>
      </s:c>
      <s:c r="R628" s="22">
        <s:f>'8'!F629</s:f>
        <s:v>46247.39121527778</s:v>
      </s:c>
      <s:c r="S628" s="22">
        <s:f>'9'!F629</s:f>
        <s:v>46247.373402777775</s:v>
      </s:c>
      <s:c r="T628" s="22">
        <s:f>'10'!F629</s:f>
        <s:v>46247.34417824074</s:v>
      </s:c>
      <s:c r="U628" s="23">
        <s:f>'자료구성'!$B$2</s:f>
        <s:v>46247.0</s:v>
      </s:c>
    </s:row>
    <s:row r="629">
      <s:c r="A629" s="0" t="n">
        <s:v>2006</s:v>
      </s:c>
      <s:c r="B629" s="0" t="n">
        <s:v>819</s:v>
      </s:c>
      <s:c r="C629" s="0" t="n">
        <s:v>2855</s:v>
      </s:c>
      <s:c r="D629" s="0" t="n">
        <s:v>706</s:v>
      </s:c>
      <s:c r="E629" s="0" t="n">
        <s:v>1120</s:v>
      </s:c>
      <s:c r="F629" s="0" t="n">
        <s:v>2948</s:v>
      </s:c>
      <s:c r="G629" s="0" t="n">
        <s:v>2476</s:v>
      </s:c>
      <s:c r="H629" s="0" t="n">
        <s:v>4220</s:v>
      </s:c>
      <s:c r="I629" s="0" t="n">
        <s:v>2613</s:v>
      </s:c>
      <s:c r="J629" s="0" t="n">
        <s:v>1468</s:v>
      </s:c>
      <s:c r="K629" s="22">
        <s:f>'1'!F630</s:f>
        <s:v>46247.56743055556</s:v>
      </s:c>
      <s:c r="L629" s="22">
        <s:f>'2'!F630</s:f>
        <s:v>46247.549166666664</s:v>
      </s:c>
      <s:c r="M629" s="22">
        <s:f>'3'!F630</s:f>
        <s:v>46247.53175925926</s:v>
      </s:c>
      <s:c r="N629" s="22">
        <s:f>'4'!F630</s:f>
        <s:v>46247.485868055555</s:v>
      </s:c>
      <s:c r="O629" s="22">
        <s:f>'5'!F630</s:f>
        <s:v>46247.45752314815</s:v>
      </s:c>
      <s:c r="P629" s="22">
        <s:f>'6'!F630</s:f>
        <s:v>46247.43806712963</s:v>
      </s:c>
      <s:c r="Q629" s="22">
        <s:f>'7'!F630</s:f>
        <s:v>46247.41541666666</s:v>
      </s:c>
      <s:c r="R629" s="22">
        <s:f>'8'!F630</s:f>
        <s:v>46247.391226851854</s:v>
      </s:c>
      <s:c r="S629" s="22">
        <s:f>'9'!F630</s:f>
        <s:v>46247.37341435185</s:v>
      </s:c>
      <s:c r="T629" s="22">
        <s:f>'10'!F630</s:f>
        <s:v>46247.344189814816</s:v>
      </s:c>
      <s:c r="U629" s="23">
        <s:f>'자료구성'!$B$2</s:f>
        <s:v>46247.0</s:v>
      </s:c>
    </s:row>
    <s:row r="630">
      <s:c r="A630" s="0" t="n">
        <s:v>2004</s:v>
      </s:c>
      <s:c r="B630" s="0" t="n">
        <s:v>832</s:v>
      </s:c>
      <s:c r="C630" s="0" t="n">
        <s:v>2837</s:v>
      </s:c>
      <s:c r="D630" s="0" t="n">
        <s:v>751</s:v>
      </s:c>
      <s:c r="E630" s="0" t="n">
        <s:v>1116</s:v>
      </s:c>
      <s:c r="F630" s="0" t="n">
        <s:v>2943</s:v>
      </s:c>
      <s:c r="G630" s="0" t="n">
        <s:v>2595</s:v>
      </s:c>
      <s:c r="H630" s="0" t="n">
        <s:v>4076</s:v>
      </s:c>
      <s:c r="I630" s="0" t="n">
        <s:v>2594</s:v>
      </s:c>
      <s:c r="J630" s="0" t="n">
        <s:v>1468</s:v>
      </s:c>
      <s:c r="K630" s="22">
        <s:f>'1'!F631</s:f>
        <s:v>46247.56744212963</s:v>
      </s:c>
      <s:c r="L630" s="22">
        <s:f>'2'!F631</s:f>
        <s:v>46247.54917824074</s:v>
      </s:c>
      <s:c r="M630" s="22">
        <s:f>'3'!F631</s:f>
        <s:v>46247.53177083333</s:v>
      </s:c>
      <s:c r="N630" s="22">
        <s:f>'4'!F631</s:f>
        <s:v>46247.48587962963</s:v>
      </s:c>
      <s:c r="O630" s="22">
        <s:f>'5'!F631</s:f>
        <s:v>46247.45753472222</s:v>
      </s:c>
      <s:c r="P630" s="22">
        <s:f>'6'!F631</s:f>
        <s:v>46247.4380787037</s:v>
      </s:c>
      <s:c r="Q630" s="22">
        <s:f>'7'!F631</s:f>
        <s:v>46247.41542824074</s:v>
      </s:c>
      <s:c r="R630" s="22">
        <s:f>'8'!F631</s:f>
        <s:v>46247.391238425924</s:v>
      </s:c>
      <s:c r="S630" s="22">
        <s:f>'9'!F631</s:f>
        <s:v>46247.37342592593</s:v>
      </s:c>
      <s:c r="T630" s="22">
        <s:f>'10'!F631</s:f>
        <s:v>46247.344201388885</s:v>
      </s:c>
      <s:c r="U630" s="23">
        <s:f>'자료구성'!$B$2</s:f>
        <s:v>46247.0</s:v>
      </s:c>
    </s:row>
    <s:row r="631">
      <s:c r="A631" s="0" t="n">
        <s:v>1998</s:v>
      </s:c>
      <s:c r="B631" s="0" t="n">
        <s:v>816</s:v>
      </s:c>
      <s:c r="C631" s="0" t="n">
        <s:v>2812</s:v>
      </s:c>
      <s:c r="D631" s="0" t="n">
        <s:v>780</s:v>
      </s:c>
      <s:c r="E631" s="0" t="n">
        <s:v>1109</s:v>
      </s:c>
      <s:c r="F631" s="0" t="n">
        <s:v>2913</s:v>
      </s:c>
      <s:c r="G631" s="0" t="n">
        <s:v>2584</s:v>
      </s:c>
      <s:c r="H631" s="0" t="n">
        <s:v>3990</s:v>
      </s:c>
      <s:c r="I631" s="0" t="n">
        <s:v>2566</s:v>
      </s:c>
      <s:c r="J631" s="0" t="n">
        <s:v>1473</s:v>
      </s:c>
      <s:c r="K631" s="22">
        <s:f>'1'!F632</s:f>
        <s:v>46247.567453703705</s:v>
      </s:c>
      <s:c r="L631" s="22">
        <s:f>'2'!F632</s:f>
        <s:v>46247.54918981482</s:v>
      </s:c>
      <s:c r="M631" s="22">
        <s:f>'3'!F632</s:f>
        <s:v>46247.53178240741</s:v>
      </s:c>
      <s:c r="N631" s="22">
        <s:f>'4'!F632</s:f>
        <s:v>46247.4858912037</s:v>
      </s:c>
      <s:c r="O631" s="22">
        <s:f>'5'!F632</s:f>
        <s:v>46247.4575462963</s:v>
      </s:c>
      <s:c r="P631" s="22">
        <s:f>'6'!F632</s:f>
        <s:v>46247.43809027778</s:v>
      </s:c>
      <s:c r="Q631" s="22">
        <s:f>'7'!F632</s:f>
        <s:v>46247.41543981482</s:v>
      </s:c>
      <s:c r="R631" s="22">
        <s:f>'8'!F632</s:f>
        <s:v>46247.39125</s:v>
      </s:c>
      <s:c r="S631" s="22">
        <s:f>'9'!F632</s:f>
        <s:v>46247.3734375</s:v>
      </s:c>
      <s:c r="T631" s="22">
        <s:f>'10'!F632</s:f>
        <s:v>46247.34421296296</s:v>
      </s:c>
      <s:c r="U631" s="23">
        <s:f>'자료구성'!$B$2</s:f>
        <s:v>46247.0</s:v>
      </s:c>
    </s:row>
    <s:row r="632">
      <s:c r="A632" s="0" t="n">
        <s:v>1998</s:v>
      </s:c>
      <s:c r="B632" s="0" t="n">
        <s:v>829</s:v>
      </s:c>
      <s:c r="C632" s="0" t="n">
        <s:v>2766</s:v>
      </s:c>
      <s:c r="D632" s="0" t="n">
        <s:v>805</s:v>
      </s:c>
      <s:c r="E632" s="0" t="n">
        <s:v>1105</s:v>
      </s:c>
      <s:c r="F632" s="0" t="n">
        <s:v>2853</s:v>
      </s:c>
      <s:c r="G632" s="0" t="n">
        <s:v>2575</s:v>
      </s:c>
      <s:c r="H632" s="0" t="n">
        <s:v>3915</s:v>
      </s:c>
      <s:c r="I632" s="0" t="n">
        <s:v>2545</s:v>
      </s:c>
      <s:c r="J632" s="0" t="n">
        <s:v>1499</s:v>
      </s:c>
      <s:c r="K632" s="22">
        <s:f>'1'!F633</s:f>
        <s:v>46247.567465277774</s:v>
      </s:c>
      <s:c r="L632" s="22">
        <s:f>'2'!F633</s:f>
        <s:v>46247.54920138889</s:v>
      </s:c>
      <s:c r="M632" s="22">
        <s:f>'3'!F633</s:f>
        <s:v>46247.531793981485</s:v>
      </s:c>
      <s:c r="N632" s="22">
        <s:f>'4'!F633</s:f>
        <s:v>46247.48590277778</s:v>
      </s:c>
      <s:c r="O632" s="22">
        <s:f>'5'!F633</s:f>
        <s:v>46247.45755787037</s:v>
      </s:c>
      <s:c r="P632" s="22">
        <s:f>'6'!F633</s:f>
        <s:v>46247.438101851854</s:v>
      </s:c>
      <s:c r="Q632" s="22">
        <s:f>'7'!F633</s:f>
        <s:v>46247.415451388886</s:v>
      </s:c>
      <s:c r="R632" s="22">
        <s:f>'8'!F633</s:f>
        <s:v>46247.39126157408</s:v>
      </s:c>
      <s:c r="S632" s="22">
        <s:f>'9'!F633</s:f>
        <s:v>46247.373449074075</s:v>
      </s:c>
      <s:c r="T632" s="22">
        <s:f>'10'!F633</s:f>
        <s:v>46247.34422453704</s:v>
      </s:c>
      <s:c r="U632" s="23">
        <s:f>'자료구성'!$B$2</s:f>
        <s:v>46247.0</s:v>
      </s:c>
    </s:row>
    <s:row r="633">
      <s:c r="A633" s="0" t="n">
        <s:v>1973</s:v>
      </s:c>
      <s:c r="B633" s="0" t="n">
        <s:v>821</s:v>
      </s:c>
      <s:c r="C633" s="0" t="n">
        <s:v>2738</s:v>
      </s:c>
      <s:c r="D633" s="0" t="n">
        <s:v>874</s:v>
      </s:c>
      <s:c r="E633" s="0" t="n">
        <s:v>1109</s:v>
      </s:c>
      <s:c r="F633" s="0" t="n">
        <s:v>2809</s:v>
      </s:c>
      <s:c r="G633" s="0" t="n">
        <s:v>2523</s:v>
      </s:c>
      <s:c r="H633" s="0" t="n">
        <s:v>3853</s:v>
      </s:c>
      <s:c r="I633" s="0" t="n">
        <s:v>2539</s:v>
      </s:c>
      <s:c r="J633" s="0" t="n">
        <s:v>1495</s:v>
      </s:c>
      <s:c r="K633" s="22">
        <s:f>'1'!F634</s:f>
        <s:v>46247.56747685185</s:v>
      </s:c>
      <s:c r="L633" s="22">
        <s:f>'2'!F634</s:f>
        <s:v>46247.549212962964</s:v>
      </s:c>
      <s:c r="M633" s="22">
        <s:f>'3'!F634</s:f>
        <s:v>46247.531805555554</s:v>
      </s:c>
      <s:c r="N633" s="22">
        <s:f>'4'!F634</s:f>
        <s:v>46247.485914351855</s:v>
      </s:c>
      <s:c r="O633" s="22">
        <s:f>'5'!F634</s:f>
        <s:v>46247.45756944444</s:v>
      </s:c>
      <s:c r="P633" s="22">
        <s:f>'6'!F634</s:f>
        <s:v>46247.438113425924</s:v>
      </s:c>
      <s:c r="Q633" s="22">
        <s:f>'7'!F634</s:f>
        <s:v>46247.41546296296</s:v>
      </s:c>
      <s:c r="R633" s="22">
        <s:f>'8'!F634</s:f>
        <s:v>46247.39127314815</s:v>
      </s:c>
      <s:c r="S633" s="22">
        <s:f>'9'!F634</s:f>
        <s:v>46247.373460648145</s:v>
      </s:c>
      <s:c r="T633" s="22">
        <s:f>'10'!F634</s:f>
        <s:v>46247.34423611111</s:v>
      </s:c>
      <s:c r="U633" s="23">
        <s:f>'자료구성'!$B$2</s:f>
        <s:v>46247.0</s:v>
      </s:c>
    </s:row>
    <s:row r="634">
      <s:c r="A634" s="0" t="n">
        <s:v>1956</s:v>
      </s:c>
      <s:c r="B634" s="0" t="n">
        <s:v>819</s:v>
      </s:c>
      <s:c r="C634" s="0" t="n">
        <s:v>2729</s:v>
      </s:c>
      <s:c r="D634" s="0" t="n">
        <s:v>911</s:v>
      </s:c>
      <s:c r="E634" s="0" t="n">
        <s:v>1121</s:v>
      </s:c>
      <s:c r="F634" s="0" t="n">
        <s:v>2764</s:v>
      </s:c>
      <s:c r="G634" s="0" t="n">
        <s:v>2493</s:v>
      </s:c>
      <s:c r="H634" s="0" t="n">
        <s:v>3844</s:v>
      </s:c>
      <s:c r="I634" s="0" t="n">
        <s:v>2531</s:v>
      </s:c>
      <s:c r="J634" s="0" t="n">
        <s:v>1506</s:v>
      </s:c>
      <s:c r="K634" s="22">
        <s:f>'1'!F635</s:f>
        <s:v>46247.56748842593</s:v>
      </s:c>
      <s:c r="L634" s="22">
        <s:f>'2'!F635</s:f>
        <s:v>46247.54922453704</s:v>
      </s:c>
      <s:c r="M634" s="22">
        <s:f>'3'!F635</s:f>
        <s:v>46247.53181712963</s:v>
      </s:c>
      <s:c r="N634" s="22">
        <s:f>'4'!F635</s:f>
        <s:v>46247.485925925925</s:v>
      </s:c>
      <s:c r="O634" s="22">
        <s:f>'5'!F635</s:f>
        <s:v>46247.45758101852</s:v>
      </s:c>
      <s:c r="P634" s="22">
        <s:f>'6'!F635</s:f>
        <s:v>46247.438125</s:v>
      </s:c>
      <s:c r="Q634" s="22">
        <s:f>'7'!F635</s:f>
        <s:v>46247.41547453704</s:v>
      </s:c>
      <s:c r="R634" s="22">
        <s:f>'8'!F635</s:f>
        <s:v>46247.391284722224</s:v>
      </s:c>
      <s:c r="S634" s="22">
        <s:f>'9'!F635</s:f>
        <s:v>46247.37347222222</s:v>
      </s:c>
      <s:c r="T634" s="22">
        <s:f>'10'!F635</s:f>
        <s:v>46247.344247685185</s:v>
      </s:c>
      <s:c r="U634" s="23">
        <s:f>'자료구성'!$B$2</s:f>
        <s:v>46247.0</s:v>
      </s:c>
    </s:row>
    <s:row r="635">
      <s:c r="A635" s="0" t="n">
        <s:v>1951</s:v>
      </s:c>
      <s:c r="B635" s="0" t="n">
        <s:v>821</s:v>
      </s:c>
      <s:c r="C635" s="0" t="n">
        <s:v>2701</s:v>
      </s:c>
      <s:c r="D635" s="0" t="n">
        <s:v>908</s:v>
      </s:c>
      <s:c r="E635" s="0" t="n">
        <s:v>1149</s:v>
      </s:c>
      <s:c r="F635" s="0" t="n">
        <s:v>2735</s:v>
      </s:c>
      <s:c r="G635" s="0" t="n">
        <s:v>2482</s:v>
      </s:c>
      <s:c r="H635" s="0" t="n">
        <s:v>3889</s:v>
      </s:c>
      <s:c r="I635" s="0" t="n">
        <s:v>2484</s:v>
      </s:c>
      <s:c r="J635" s="0" t="n">
        <s:v>1511</s:v>
      </s:c>
      <s:c r="K635" s="22">
        <s:f>'1'!F636</s:f>
        <s:v>46247.5675</s:v>
      </s:c>
      <s:c r="L635" s="22">
        <s:f>'2'!F636</s:f>
        <s:v>46247.54923611111</s:v>
      </s:c>
      <s:c r="M635" s="22">
        <s:f>'3'!F636</s:f>
        <s:v>46247.5318287037</s:v>
      </s:c>
      <s:c r="N635" s="22">
        <s:f>'4'!F636</s:f>
        <s:v>46247.4859375</s:v>
      </s:c>
      <s:c r="O635" s="22">
        <s:f>'5'!F636</s:f>
        <s:v>46247.45759259259</s:v>
      </s:c>
      <s:c r="P635" s="22">
        <s:f>'6'!F636</s:f>
        <s:v>46247.43813657408</s:v>
      </s:c>
      <s:c r="Q635" s="22">
        <s:f>'7'!F636</s:f>
        <s:v>46247.41548611111</s:v>
      </s:c>
      <s:c r="R635" s="22">
        <s:f>'8'!F636</s:f>
        <s:v>46247.39129629629</s:v>
      </s:c>
      <s:c r="S635" s="22">
        <s:f>'9'!F636</s:f>
        <s:v>46247.3734837963</s:v>
      </s:c>
      <s:c r="T635" s="22">
        <s:f>'10'!F636</s:f>
        <s:v>46247.34425925926</s:v>
      </s:c>
      <s:c r="U635" s="23">
        <s:f>'자료구성'!$B$2</s:f>
        <s:v>46247.0</s:v>
      </s:c>
    </s:row>
    <s:row r="636">
      <s:c r="A636" s="0" t="n">
        <s:v>1927</s:v>
      </s:c>
      <s:c r="B636" s="0" t="n">
        <s:v>814</s:v>
      </s:c>
      <s:c r="C636" s="0" t="n">
        <s:v>2672</s:v>
      </s:c>
      <s:c r="D636" s="0" t="n">
        <s:v>877</s:v>
      </s:c>
      <s:c r="E636" s="0" t="n">
        <s:v>1163</s:v>
      </s:c>
      <s:c r="F636" s="0" t="n">
        <s:v>2780</s:v>
      </s:c>
      <s:c r="G636" s="0" t="n">
        <s:v>2444</s:v>
      </s:c>
      <s:c r="H636" s="0" t="n">
        <s:v>3875</s:v>
      </s:c>
      <s:c r="I636" s="0" t="n">
        <s:v>2437</s:v>
      </s:c>
      <s:c r="J636" s="0" t="n">
        <s:v>1513</s:v>
      </s:c>
      <s:c r="K636" s="22">
        <s:f>'1'!F637</s:f>
        <s:v>46247.567511574074</s:v>
      </s:c>
      <s:c r="L636" s="22">
        <s:f>'2'!F637</s:f>
        <s:v>46247.54924768519</s:v>
      </s:c>
      <s:c r="M636" s="22">
        <s:f>'3'!F637</s:f>
        <s:v>46247.53184027778</s:v>
      </s:c>
      <s:c r="N636" s="22">
        <s:f>'4'!F637</s:f>
        <s:v>46247.48594907407</s:v>
      </s:c>
      <s:c r="O636" s="22">
        <s:f>'5'!F637</s:f>
        <s:v>46247.457604166666</s:v>
      </s:c>
      <s:c r="P636" s="22">
        <s:f>'6'!F637</s:f>
        <s:v>46247.43814814815</s:v>
      </s:c>
      <s:c r="Q636" s="22">
        <s:f>'7'!F637</s:f>
        <s:v>46247.415497685186</s:v>
      </s:c>
      <s:c r="R636" s="22">
        <s:f>'8'!F637</s:f>
        <s:v>46247.39130787037</s:v>
      </s:c>
      <s:c r="S636" s="22">
        <s:f>'9'!F637</s:f>
        <s:v>46247.37349537037</s:v>
      </s:c>
      <s:c r="T636" s="22">
        <s:f>'10'!F637</s:f>
        <s:v>46247.34427083333</s:v>
      </s:c>
      <s:c r="U636" s="23">
        <s:f>'자료구성'!$B$2</s:f>
        <s:v>46247.0</s:v>
      </s:c>
    </s:row>
    <s:row r="637">
      <s:c r="A637" s="0" t="n">
        <s:v>1895</s:v>
      </s:c>
      <s:c r="B637" s="0" t="n">
        <s:v>807</s:v>
      </s:c>
      <s:c r="C637" s="0" t="n">
        <s:v>2720</s:v>
      </s:c>
      <s:c r="D637" s="0" t="n">
        <s:v>825</s:v>
      </s:c>
      <s:c r="E637" s="0" t="n">
        <s:v>1179</s:v>
      </s:c>
      <s:c r="F637" s="0" t="n">
        <s:v>2764</s:v>
      </s:c>
      <s:c r="G637" s="0" t="n">
        <s:v>2378</s:v>
      </s:c>
      <s:c r="H637" s="0" t="n">
        <s:v>3932</s:v>
      </s:c>
      <s:c r="I637" s="0" t="n">
        <s:v>2432</s:v>
      </s:c>
      <s:c r="J637" s="0" t="n">
        <s:v>1502</s:v>
      </s:c>
      <s:c r="K637" s="22">
        <s:f>'1'!F638</s:f>
        <s:v>46247.56752314815</s:v>
      </s:c>
      <s:c r="L637" s="22">
        <s:f>'2'!F638</s:f>
        <s:v>46247.549259259256</s:v>
      </s:c>
      <s:c r="M637" s="22">
        <s:f>'3'!F638</s:f>
        <s:v>46247.531851851854</s:v>
      </s:c>
      <s:c r="N637" s="22">
        <s:f>'4'!F638</s:f>
        <s:v>46247.48596064815</s:v>
      </s:c>
      <s:c r="O637" s="22">
        <s:f>'5'!F638</s:f>
        <s:v>46247.45761574074</s:v>
      </s:c>
      <s:c r="P637" s="22">
        <s:f>'6'!F638</s:f>
        <s:v>46247.438159722224</s:v>
      </s:c>
      <s:c r="Q637" s="22">
        <s:f>'7'!F638</s:f>
        <s:v>46247.41550925926</s:v>
      </s:c>
      <s:c r="R637" s="22">
        <s:f>'8'!F638</s:f>
        <s:v>46247.39131944445</s:v>
      </s:c>
      <s:c r="S637" s="22">
        <s:f>'9'!F638</s:f>
        <s:v>46247.373506944445</s:v>
      </s:c>
      <s:c r="T637" s="22">
        <s:f>'10'!F638</s:f>
        <s:v>46247.34428240741</s:v>
      </s:c>
      <s:c r="U637" s="23">
        <s:f>'자료구성'!$B$2</s:f>
        <s:v>46247.0</s:v>
      </s:c>
    </s:row>
    <s:row r="638">
      <s:c r="A638" s="0" t="n">
        <s:v>1850</s:v>
      </s:c>
      <s:c r="B638" s="0" t="n">
        <s:v>816</s:v>
      </s:c>
      <s:c r="C638" s="0" t="n">
        <s:v>2895</s:v>
      </s:c>
      <s:c r="D638" s="0" t="n">
        <s:v>796</s:v>
      </s:c>
      <s:c r="E638" s="0" t="n">
        <s:v>1187</s:v>
      </s:c>
      <s:c r="F638" s="0" t="n">
        <s:v>2765</s:v>
      </s:c>
      <s:c r="G638" s="0" t="n">
        <s:v>2361</s:v>
      </s:c>
      <s:c r="H638" s="0" t="n">
        <s:v>4032</s:v>
      </s:c>
      <s:c r="I638" s="0" t="n">
        <s:v>2425</s:v>
      </s:c>
      <s:c r="J638" s="0" t="n">
        <s:v>1515</s:v>
      </s:c>
      <s:c r="K638" s="22">
        <s:f>'1'!F639</s:f>
        <s:v>46247.56753472222</s:v>
      </s:c>
      <s:c r="L638" s="22">
        <s:f>'2'!F639</s:f>
        <s:v>46247.54927083333</s:v>
      </s:c>
      <s:c r="M638" s="22">
        <s:f>'3'!F639</s:f>
        <s:v>46247.531863425924</s:v>
      </s:c>
      <s:c r="N638" s="22">
        <s:f>'4'!F639</s:f>
        <s:v>46247.485972222225</s:v>
      </s:c>
      <s:c r="O638" s="22">
        <s:f>'5'!F639</s:f>
        <s:v>46247.45762731481</s:v>
      </s:c>
      <s:c r="P638" s="22">
        <s:f>'6'!F639</s:f>
        <s:v>46247.43817129629</s:v>
      </s:c>
      <s:c r="Q638" s="22">
        <s:f>'7'!F639</s:f>
        <s:v>46247.41552083333</s:v>
      </s:c>
      <s:c r="R638" s="22">
        <s:f>'8'!F639</s:f>
        <s:v>46247.391331018516</s:v>
      </s:c>
      <s:c r="S638" s="22">
        <s:f>'9'!F639</s:f>
        <s:v>46247.37351851852</s:v>
      </s:c>
      <s:c r="T638" s="22">
        <s:f>'10'!F639</s:f>
        <s:v>46247.344293981485</s:v>
      </s:c>
      <s:c r="U638" s="23">
        <s:f>'자료구성'!$B$2</s:f>
        <s:v>46247.0</s:v>
      </s:c>
    </s:row>
    <s:row r="639">
      <s:c r="A639" s="0" t="n">
        <s:v>1823</s:v>
      </s:c>
      <s:c r="B639" s="0" t="n">
        <s:v>822</s:v>
      </s:c>
      <s:c r="C639" s="0" t="n">
        <s:v>3002</s:v>
      </s:c>
      <s:c r="D639" s="0" t="n">
        <s:v>787</s:v>
      </s:c>
      <s:c r="E639" s="0" t="n">
        <s:v>1193</s:v>
      </s:c>
      <s:c r="F639" s="0" t="n">
        <s:v>2750</s:v>
      </s:c>
      <s:c r="G639" s="0" t="inlineStr">
        <s:is>
          <s:t>****</s:t>
        </s:is>
      </s:c>
      <s:c r="H639" s="0" t="n">
        <s:v>4157</s:v>
      </s:c>
      <s:c r="I639" s="0" t="n">
        <s:v>2407</s:v>
      </s:c>
      <s:c r="J639" s="0" t="n">
        <s:v>1539</s:v>
      </s:c>
      <s:c r="K639" s="22">
        <s:f>'1'!F640</s:f>
        <s:v>46247.5675462963</s:v>
      </s:c>
      <s:c r="L639" s="22">
        <s:f>'2'!F640</s:f>
        <s:v>46247.54928240741</s:v>
      </s:c>
      <s:c r="M639" s="22">
        <s:f>'3'!F640</s:f>
        <s:v>46247.531875</s:v>
      </s:c>
      <s:c r="N639" s="22">
        <s:f>'4'!F640</s:f>
        <s:v>46247.485983796294</s:v>
      </s:c>
      <s:c r="O639" s="22">
        <s:f>'5'!F640</s:f>
        <s:v>46247.45763888889</s:v>
      </s:c>
      <s:c r="P639" s="22">
        <s:f>'6'!F640</s:f>
        <s:v>46247.43818287037</s:v>
      </s:c>
      <s:c r="Q639" s="22">
        <s:f>'7'!F640</s:f>
        <s:v>46247.41553240741</s:v>
      </s:c>
      <s:c r="R639" s="22">
        <s:f>'8'!F640</s:f>
        <s:v>46247.39134259259</s:v>
      </s:c>
      <s:c r="S639" s="22">
        <s:f>'9'!F640</s:f>
        <s:v>46247.37353009259</s:v>
      </s:c>
      <s:c r="T639" s="22">
        <s:f>'10'!F640</s:f>
        <s:v>46247.344305555554</s:v>
      </s:c>
      <s:c r="U639" s="23">
        <s:f>'자료구성'!$B$2</s:f>
        <s:v>46247.0</s:v>
      </s:c>
    </s:row>
    <s:row r="640">
      <s:c r="A640" s="0" t="n">
        <s:v>1819</s:v>
      </s:c>
      <s:c r="B640" s="0" t="n">
        <s:v>831</s:v>
      </s:c>
      <s:c r="C640" s="0" t="n">
        <s:v>3032</s:v>
      </s:c>
      <s:c r="D640" s="0" t="n">
        <s:v>747</s:v>
      </s:c>
      <s:c r="E640" s="0" t="n">
        <s:v>1191</s:v>
      </s:c>
      <s:c r="F640" s="0" t="n">
        <s:v>2744</s:v>
      </s:c>
      <s:c r="G640" s="0" t="n">
        <s:v>2392</s:v>
      </s:c>
      <s:c r="H640" s="0" t="n">
        <s:v>4288</s:v>
      </s:c>
      <s:c r="I640" s="0" t="n">
        <s:v>2365</s:v>
      </s:c>
      <s:c r="J640" s="0" t="n">
        <s:v>1568</s:v>
      </s:c>
      <s:c r="K640" s="22">
        <s:f>'1'!F641</s:f>
        <s:v>46247.567557870374</s:v>
      </s:c>
      <s:c r="L640" s="22">
        <s:f>'2'!F641</s:f>
        <s:v>46247.54929398148</s:v>
      </s:c>
      <s:c r="M640" s="22">
        <s:f>'3'!F641</s:f>
        <s:v>46247.53188657408</s:v>
      </s:c>
      <s:c r="N640" s="22">
        <s:f>'4'!F641</s:f>
        <s:v>46247.48599537037</s:v>
      </s:c>
      <s:c r="O640" s="22">
        <s:f>'5'!F641</s:f>
        <s:v>46247.457650462966</s:v>
      </s:c>
      <s:c r="P640" s="22">
        <s:f>'6'!F641</s:f>
        <s:v>46247.43819444445</s:v>
      </s:c>
      <s:c r="Q640" s="22">
        <s:f>'7'!F641</s:f>
        <s:v>46247.41554398148</s:v>
      </s:c>
      <s:c r="R640" s="22">
        <s:f>'8'!F641</s:f>
        <s:v>46247.39135416667</s:v>
      </s:c>
      <s:c r="S640" s="22">
        <s:f>'9'!F641</s:f>
        <s:v>46247.37354166667</s:v>
      </s:c>
      <s:c r="T640" s="22">
        <s:f>'10'!F641</s:f>
        <s:v>46247.34431712963</s:v>
      </s:c>
      <s:c r="U640" s="23">
        <s:f>'자료구성'!$B$2</s:f>
        <s:v>46247.0</s:v>
      </s:c>
    </s:row>
    <s:row r="641">
      <s:c r="A641" s="0" t="n">
        <s:v>1811</s:v>
      </s:c>
      <s:c r="B641" s="0" t="n">
        <s:v>826</s:v>
      </s:c>
      <s:c r="C641" s="0" t="n">
        <s:v>3098</s:v>
      </s:c>
      <s:c r="D641" s="0" t="n">
        <s:v>703</s:v>
      </s:c>
      <s:c r="E641" s="0" t="n">
        <s:v>1202</s:v>
      </s:c>
      <s:c r="F641" s="0" t="n">
        <s:v>2712</s:v>
      </s:c>
      <s:c r="G641" s="0" t="n">
        <s:v>2387</s:v>
      </s:c>
      <s:c r="H641" s="0" t="n">
        <s:v>4351</s:v>
      </s:c>
      <s:c r="I641" s="0" t="n">
        <s:v>2365</s:v>
      </s:c>
      <s:c r="J641" s="0" t="n">
        <s:v>1571</s:v>
      </s:c>
      <s:c r="K641" s="22">
        <s:f>'1'!F642</s:f>
        <s:v>46247.56756944444</s:v>
      </s:c>
      <s:c r="L641" s="22">
        <s:f>'2'!F642</s:f>
        <s:v>46247.549305555556</s:v>
      </s:c>
      <s:c r="M641" s="22">
        <s:f>'3'!F642</s:f>
        <s:v>46247.53189814815</s:v>
      </s:c>
      <s:c r="N641" s="22">
        <s:f>'4'!F642</s:f>
        <s:v>46247.48600694445</s:v>
      </s:c>
      <s:c r="O641" s="22">
        <s:f>'5'!F642</s:f>
        <s:v>46247.457662037035</s:v>
      </s:c>
      <s:c r="P641" s="22">
        <s:f>'6'!F642</s:f>
        <s:v>46247.438206018516</s:v>
      </s:c>
      <s:c r="Q641" s="22">
        <s:f>'7'!F642</s:f>
        <s:v>46247.415555555555</s:v>
      </s:c>
      <s:c r="R641" s="22">
        <s:f>'8'!F642</s:f>
        <s:v>46247.39136574074</s:v>
      </s:c>
      <s:c r="S641" s="22">
        <s:f>'9'!F642</s:f>
        <s:v>46247.37355324074</s:v>
      </s:c>
      <s:c r="T641" s="22">
        <s:f>'10'!F642</s:f>
        <s:v>46247.3443287037</s:v>
      </s:c>
      <s:c r="U641" s="23">
        <s:f>'자료구성'!$B$2</s:f>
        <s:v>46247.0</s:v>
      </s:c>
    </s:row>
    <s:row r="642">
      <s:c r="A642" s="0" t="n">
        <s:v>1772</s:v>
      </s:c>
      <s:c r="B642" s="0" t="n">
        <s:v>830</s:v>
      </s:c>
      <s:c r="C642" s="0" t="n">
        <s:v>3164</s:v>
      </s:c>
      <s:c r="D642" s="0" t="n">
        <s:v>678</s:v>
      </s:c>
      <s:c r="E642" s="0" t="n">
        <s:v>1205</s:v>
      </s:c>
      <s:c r="F642" s="0" t="n">
        <s:v>2721</s:v>
      </s:c>
      <s:c r="G642" s="0" t="n">
        <s:v>2378</s:v>
      </s:c>
      <s:c r="H642" s="0" t="n">
        <s:v>4353</s:v>
      </s:c>
      <s:c r="I642" s="0" t="n">
        <s:v>2355</s:v>
      </s:c>
      <s:c r="J642" s="0" t="n">
        <s:v>1578</s:v>
      </s:c>
      <s:c r="K642" s="22">
        <s:f>'1'!F643</s:f>
        <s:v>46247.56758101852</s:v>
      </s:c>
      <s:c r="L642" s="22">
        <s:f>'2'!F643</s:f>
        <s:v>46247.54931712963</s:v>
      </s:c>
      <s:c r="M642" s="22">
        <s:f>'3'!F643</s:f>
        <s:v>46247.531909722224</s:v>
      </s:c>
      <s:c r="N642" s="22">
        <s:f>'4'!F643</s:f>
        <s:v>46247.48601851852</s:v>
      </s:c>
      <s:c r="O642" s="22">
        <s:f>'5'!F643</s:f>
        <s:v>46247.45767361111</s:v>
      </s:c>
      <s:c r="P642" s="22">
        <s:f>'6'!F643</s:f>
        <s:v>46247.43821759259</s:v>
      </s:c>
      <s:c r="Q642" s="22">
        <s:f>'7'!F643</s:f>
        <s:v>46247.41556712963</s:v>
      </s:c>
      <s:c r="R642" s="22">
        <s:f>'8'!F643</s:f>
        <s:v>46247.391377314816</s:v>
      </s:c>
      <s:c r="S642" s="22">
        <s:f>'9'!F643</s:f>
        <s:v>46247.373564814814</s:v>
      </s:c>
      <s:c r="T642" s="22">
        <s:f>'10'!F643</s:f>
        <s:v>46247.34434027778</s:v>
      </s:c>
      <s:c r="U642" s="23">
        <s:f>'자료구성'!$B$2</s:f>
        <s:v>46247.0</s:v>
      </s:c>
    </s:row>
    <s:row r="643">
      <s:c r="A643" s="0" t="n">
        <s:v>1782</s:v>
      </s:c>
      <s:c r="B643" s="0" t="n">
        <s:v>818</s:v>
      </s:c>
      <s:c r="C643" s="0" t="n">
        <s:v>3250</s:v>
      </s:c>
      <s:c r="D643" s="0" t="n">
        <s:v>652</s:v>
      </s:c>
      <s:c r="E643" s="0" t="n">
        <s:v>1195</s:v>
      </s:c>
      <s:c r="F643" s="0" t="n">
        <s:v>2856</s:v>
      </s:c>
      <s:c r="G643" s="0" t="n">
        <s:v>2385</s:v>
      </s:c>
      <s:c r="H643" s="0" t="n">
        <s:v>4433</s:v>
      </s:c>
      <s:c r="I643" s="0" t="n">
        <s:v>2403</s:v>
      </s:c>
      <s:c r="J643" s="0" t="n">
        <s:v>1602</s:v>
      </s:c>
      <s:c r="K643" s="22">
        <s:f>'1'!F644</s:f>
        <s:v>46247.56759259259</s:v>
      </s:c>
      <s:c r="L643" s="22">
        <s:f>'2'!F644</s:f>
        <s:v>46247.5493287037</s:v>
      </s:c>
      <s:c r="M643" s="22">
        <s:f>'3'!F644</s:f>
        <s:v>46247.53192129629</s:v>
      </s:c>
      <s:c r="N643" s="22">
        <s:f>'4'!F644</s:f>
        <s:v>46247.486030092594</s:v>
      </s:c>
      <s:c r="O643" s="22">
        <s:f>'5'!F644</s:f>
        <s:v>46247.45768518518</s:v>
      </s:c>
      <s:c r="P643" s="22">
        <s:f>'6'!F644</s:f>
        <s:v>46247.43822916667</s:v>
      </s:c>
      <s:c r="Q643" s="22">
        <s:f>'7'!F644</s:f>
        <s:v>46247.4155787037</s:v>
      </s:c>
      <s:c r="R643" s="22">
        <s:f>'8'!F644</s:f>
        <s:v>46247.391388888886</s:v>
      </s:c>
      <s:c r="S643" s="22">
        <s:f>'9'!F644</s:f>
        <s:v>46247.37357638889</s:v>
      </s:c>
      <s:c r="T643" s="22">
        <s:f>'10'!F644</s:f>
        <s:v>46247.344351851854</s:v>
      </s:c>
      <s:c r="U643" s="23">
        <s:f>'자료구성'!$B$2</s:f>
        <s:v>46247.0</s:v>
      </s:c>
    </s:row>
    <s:row r="644">
      <s:c r="A644" s="0" t="n">
        <s:v>1746</s:v>
      </s:c>
      <s:c r="B644" s="0" t="n">
        <s:v>823</s:v>
      </s:c>
      <s:c r="C644" s="0" t="n">
        <s:v>3298</s:v>
      </s:c>
      <s:c r="D644" s="0" t="n">
        <s:v>637</s:v>
      </s:c>
      <s:c r="E644" s="0" t="n">
        <s:v>1192</s:v>
      </s:c>
      <s:c r="F644" s="0" t="n">
        <s:v>2973</s:v>
      </s:c>
      <s:c r="G644" s="0" t="n">
        <s:v>2381</s:v>
      </s:c>
      <s:c r="H644" s="0" t="n">
        <s:v>4471</s:v>
      </s:c>
      <s:c r="I644" s="0" t="n">
        <s:v>2480</s:v>
      </s:c>
      <s:c r="J644" s="0" t="n">
        <s:v>1610</s:v>
      </s:c>
      <s:c r="K644" s="22">
        <s:f>'1'!F645</s:f>
        <s:v>46247.56760416667</s:v>
      </s:c>
      <s:c r="L644" s="22">
        <s:f>'2'!F645</s:f>
        <s:v>46247.54934027778</s:v>
      </s:c>
      <s:c r="M644" s="22">
        <s:f>'3'!F645</s:f>
        <s:v>46247.53193287037</s:v>
      </s:c>
      <s:c r="N644" s="22">
        <s:f>'4'!F645</s:f>
        <s:v>46247.48604166666</s:v>
      </s:c>
      <s:c r="O644" s="22">
        <s:f>'5'!F645</s:f>
        <s:v>46247.45769675926</s:v>
      </s:c>
      <s:c r="P644" s="22">
        <s:f>'6'!F645</s:f>
        <s:v>46247.43824074074</s:v>
      </s:c>
      <s:c r="Q644" s="22">
        <s:f>'7'!F645</s:f>
        <s:v>46247.41559027778</s:v>
      </s:c>
      <s:c r="R644" s="22">
        <s:f>'8'!F645</s:f>
        <s:v>46247.39140046296</s:v>
      </s:c>
      <s:c r="S644" s="22">
        <s:f>'9'!F645</s:f>
        <s:v>46247.37358796296</s:v>
      </s:c>
      <s:c r="T644" s="22">
        <s:f>'10'!F645</s:f>
        <s:v>46247.344363425924</s:v>
      </s:c>
      <s:c r="U644" s="23">
        <s:f>'자료구성'!$B$2</s:f>
        <s:v>46247.0</s:v>
      </s:c>
    </s:row>
    <s:row r="645">
      <s:c r="A645" s="0" t="n">
        <s:v>1704</s:v>
      </s:c>
      <s:c r="B645" s="0" t="n">
        <s:v>824</s:v>
      </s:c>
      <s:c r="C645" s="0" t="n">
        <s:v>3310</s:v>
      </s:c>
      <s:c r="D645" s="0" t="n">
        <s:v>616</s:v>
      </s:c>
      <s:c r="E645" s="0" t="n">
        <s:v>1181</s:v>
      </s:c>
      <s:c r="F645" s="0" t="n">
        <s:v>3075</s:v>
      </s:c>
      <s:c r="G645" s="0" t="n">
        <s:v>2369</s:v>
      </s:c>
      <s:c r="H645" s="0" t="n">
        <s:v>4442</s:v>
      </s:c>
      <s:c r="I645" s="0" t="n">
        <s:v>2513</s:v>
      </s:c>
      <s:c r="J645" s="0" t="n">
        <s:v>1580</s:v>
      </s:c>
      <s:c r="K645" s="22">
        <s:f>'1'!F646</s:f>
        <s:v>46247.56761574074</s:v>
      </s:c>
      <s:c r="L645" s="22">
        <s:f>'2'!F646</s:f>
        <s:v>46247.54935185185</s:v>
      </s:c>
      <s:c r="M645" s="22">
        <s:f>'3'!F646</s:f>
        <s:v>46247.53194444445</s:v>
      </s:c>
      <s:c r="N645" s="22">
        <s:f>'4'!F646</s:f>
        <s:v>46247.48605324074</s:v>
      </s:c>
      <s:c r="O645" s="22">
        <s:f>'5'!F646</s:f>
        <s:v>46247.457708333335</s:v>
      </s:c>
      <s:c r="P645" s="22">
        <s:f>'6'!F646</s:f>
        <s:v>46247.438252314816</s:v>
      </s:c>
      <s:c r="Q645" s="22">
        <s:f>'7'!F646</s:f>
        <s:v>46247.415601851855</s:v>
      </s:c>
      <s:c r="R645" s="22">
        <s:f>'8'!F646</s:f>
        <s:v>46247.39141203704</s:v>
      </s:c>
      <s:c r="S645" s="22">
        <s:f>'9'!F646</s:f>
        <s:v>46247.37359953704</s:v>
      </s:c>
      <s:c r="T645" s="22">
        <s:f>'10'!F646</s:f>
        <s:v>46247.344375</s:v>
      </s:c>
      <s:c r="U645" s="23">
        <s:f>'자료구성'!$B$2</s:f>
        <s:v>46247.0</s:v>
      </s:c>
    </s:row>
    <s:row r="646">
      <s:c r="A646" s="0" t="n">
        <s:v>1664</s:v>
      </s:c>
      <s:c r="B646" s="0" t="n">
        <s:v>839</s:v>
      </s:c>
      <s:c r="C646" s="0" t="n">
        <s:v>3328</s:v>
      </s:c>
      <s:c r="D646" s="0" t="n">
        <s:v>599</s:v>
      </s:c>
      <s:c r="E646" s="0" t="n">
        <s:v>1175</s:v>
      </s:c>
      <s:c r="F646" s="0" t="n">
        <s:v>3127</s:v>
      </s:c>
      <s:c r="G646" s="0" t="n">
        <s:v>2365</s:v>
      </s:c>
      <s:c r="H646" s="0" t="n">
        <s:v>4464</s:v>
      </s:c>
      <s:c r="I646" s="0" t="n">
        <s:v>2604</s:v>
      </s:c>
      <s:c r="J646" s="0" t="n">
        <s:v>1554</s:v>
      </s:c>
      <s:c r="K646" s="22">
        <s:f>'1'!F647</s:f>
        <s:v>46247.56762731481</s:v>
      </s:c>
      <s:c r="L646" s="22">
        <s:f>'2'!F647</s:f>
        <s:v>46247.549363425926</s:v>
      </s:c>
      <s:c r="M646" s="22">
        <s:f>'3'!F647</s:f>
        <s:v>46247.531956018516</s:v>
      </s:c>
      <s:c r="N646" s="22">
        <s:f>'4'!F647</s:f>
        <s:v>46247.48606481482</s:v>
      </s:c>
      <s:c r="O646" s="22">
        <s:f>'5'!F647</s:f>
        <s:v>46247.457719907405</s:v>
      </s:c>
      <s:c r="P646" s="22">
        <s:f>'6'!F647</s:f>
        <s:v>46247.438263888886</s:v>
      </s:c>
      <s:c r="Q646" s="22">
        <s:f>'7'!F647</s:f>
        <s:v>46247.415613425925</s:v>
      </s:c>
      <s:c r="R646" s="22">
        <s:f>'8'!F647</s:f>
        <s:v>46247.39142361111</s:v>
      </s:c>
      <s:c r="S646" s="22">
        <s:f>'9'!F647</s:f>
        <s:v>46247.373611111114</s:v>
      </s:c>
      <s:c r="T646" s="22">
        <s:f>'10'!F647</s:f>
        <s:v>46247.34438657408</s:v>
      </s:c>
      <s:c r="U646" s="23">
        <s:f>'자료구성'!$B$2</s:f>
        <s:v>46247.0</s:v>
      </s:c>
    </s:row>
    <s:row r="647">
      <s:c r="A647" s="0" t="n">
        <s:v>1668</s:v>
      </s:c>
      <s:c r="B647" s="0" t="n">
        <s:v>852</s:v>
      </s:c>
      <s:c r="C647" s="0" t="n">
        <s:v>3313</s:v>
      </s:c>
      <s:c r="D647" s="0" t="n">
        <s:v>578</s:v>
      </s:c>
      <s:c r="E647" s="0" t="n">
        <s:v>1163</s:v>
      </s:c>
      <s:c r="F647" s="0" t="n">
        <s:v>3185</s:v>
      </s:c>
      <s:c r="G647" s="0" t="n">
        <s:v>2362</s:v>
      </s:c>
      <s:c r="H647" s="0" t="n">
        <s:v>4503</s:v>
      </s:c>
      <s:c r="I647" s="0" t="n">
        <s:v>2699</s:v>
      </s:c>
      <s:c r="J647" s="0" t="n">
        <s:v>1550</s:v>
      </s:c>
      <s:c r="K647" s="22">
        <s:f>'1'!F648</s:f>
        <s:v>46247.56763888889</s:v>
      </s:c>
      <s:c r="L647" s="22">
        <s:f>'2'!F648</s:f>
        <s:v>46247.549375</s:v>
      </s:c>
      <s:c r="M647" s="22">
        <s:f>'3'!F648</s:f>
        <s:v>46247.53196759259</s:v>
      </s:c>
      <s:c r="N647" s="22">
        <s:f>'4'!F648</s:f>
        <s:v>46247.48607638889</s:v>
      </s:c>
      <s:c r="O647" s="22">
        <s:f>'5'!F648</s:f>
        <s:v>46247.45773148148</s:v>
      </s:c>
      <s:c r="P647" s="22">
        <s:f>'6'!F648</s:f>
        <s:v>46247.43827546296</s:v>
      </s:c>
      <s:c r="Q647" s="22">
        <s:f>'7'!F648</s:f>
        <s:v>46247.415625</s:v>
      </s:c>
      <s:c r="R647" s="22">
        <s:f>'8'!F648</s:f>
        <s:v>46247.391435185185</s:v>
      </s:c>
      <s:c r="S647" s="22">
        <s:f>'9'!F648</s:f>
        <s:v>46247.37362268518</s:v>
      </s:c>
      <s:c r="T647" s="22">
        <s:f>'10'!F648</s:f>
        <s:v>46247.34439814815</s:v>
      </s:c>
      <s:c r="U647" s="23">
        <s:f>'자료구성'!$B$2</s:f>
        <s:v>46247.0</s:v>
      </s:c>
    </s:row>
    <s:row r="648">
      <s:c r="A648" s="0" t="n">
        <s:v>1628</s:v>
      </s:c>
      <s:c r="B648" s="0" t="n">
        <s:v>857</s:v>
      </s:c>
      <s:c r="C648" s="0" t="n">
        <s:v>3346</s:v>
      </s:c>
      <s:c r="D648" s="0" t="n">
        <s:v>567</s:v>
      </s:c>
      <s:c r="E648" s="0" t="n">
        <s:v>1158</s:v>
      </s:c>
      <s:c r="F648" s="0" t="n">
        <s:v>3254</s:v>
      </s:c>
      <s:c r="G648" s="0" t="n">
        <s:v>2438</s:v>
      </s:c>
      <s:c r="H648" s="0" t="n">
        <s:v>4562</s:v>
      </s:c>
      <s:c r="I648" s="0" t="n">
        <s:v>2831</s:v>
      </s:c>
      <s:c r="J648" s="0" t="n">
        <s:v>1557</s:v>
      </s:c>
      <s:c r="K648" s="22">
        <s:f>'1'!F649</s:f>
        <s:v>46247.56765046297</s:v>
      </s:c>
      <s:c r="L648" s="22">
        <s:f>'2'!F649</s:f>
        <s:v>46247.54938657407</s:v>
      </s:c>
      <s:c r="M648" s="22">
        <s:f>'3'!F649</s:f>
        <s:v>46247.53197916667</s:v>
      </s:c>
      <s:c r="N648" s="22">
        <s:f>'4'!F649</s:f>
        <s:v>46247.48608796296</s:v>
      </s:c>
      <s:c r="O648" s="22">
        <s:f>'5'!F649</s:f>
        <s:v>46247.45774305556</s:v>
      </s:c>
      <s:c r="P648" s="22">
        <s:f>'6'!F649</s:f>
        <s:v>46247.43828703704</s:v>
      </s:c>
      <s:c r="Q648" s="22">
        <s:f>'7'!F649</s:f>
        <s:v>46247.41563657407</s:v>
      </s:c>
      <s:c r="R648" s="22">
        <s:f>'8'!F649</s:f>
        <s:v>46247.39144675926</s:v>
      </s:c>
      <s:c r="S648" s="22">
        <s:f>'9'!F649</s:f>
        <s:v>46247.37363425926</s:v>
      </s:c>
      <s:c r="T648" s="22">
        <s:f>'10'!F649</s:f>
        <s:v>46247.344409722224</s:v>
      </s:c>
      <s:c r="U648" s="23">
        <s:f>'자료구성'!$B$2</s:f>
        <s:v>46247.0</s:v>
      </s:c>
    </s:row>
    <s:row r="649">
      <s:c r="A649" s="0" t="n">
        <s:v>1547</s:v>
      </s:c>
      <s:c r="B649" s="0" t="n">
        <s:v>867</s:v>
      </s:c>
      <s:c r="C649" s="0" t="n">
        <s:v>3394</s:v>
      </s:c>
      <s:c r="D649" s="0" t="n">
        <s:v>581</s:v>
      </s:c>
      <s:c r="E649" s="0" t="n">
        <s:v>1157</s:v>
      </s:c>
      <s:c r="F649" s="0" t="n">
        <s:v>3338</s:v>
      </s:c>
      <s:c r="G649" s="0" t="n">
        <s:v>2574</s:v>
      </s:c>
      <s:c r="H649" s="0" t="n">
        <s:v>4667</s:v>
      </s:c>
      <s:c r="I649" s="0" t="n">
        <s:v>2865</s:v>
      </s:c>
      <s:c r="J649" s="0" t="n">
        <s:v>1558</s:v>
      </s:c>
      <s:c r="K649" s="22">
        <s:f>'1'!F650</s:f>
        <s:v>46247.567662037036</s:v>
      </s:c>
      <s:c r="L649" s="22">
        <s:f>'2'!F650</s:f>
        <s:v>46247.54939814815</s:v>
      </s:c>
      <s:c r="M649" s="22">
        <s:f>'3'!F650</s:f>
        <s:v>46247.53199074074</s:v>
      </s:c>
      <s:c r="N649" s="22">
        <s:f>'4'!F650</s:f>
        <s:v>46247.48609953704</s:v>
      </s:c>
      <s:c r="O649" s="22">
        <s:f>'5'!F650</s:f>
        <s:v>46247.45775462963</s:v>
      </s:c>
      <s:c r="P649" s="22">
        <s:f>'6'!F650</s:f>
        <s:v>46247.43829861111</s:v>
      </s:c>
      <s:c r="Q649" s="22">
        <s:f>'7'!F650</s:f>
        <s:v>46247.41564814815</s:v>
      </s:c>
      <s:c r="R649" s="22">
        <s:f>'8'!F650</s:f>
        <s:v>46247.39145833333</s:v>
      </s:c>
      <s:c r="S649" s="22">
        <s:f>'9'!F650</s:f>
        <s:v>46247.37364583334</s:v>
      </s:c>
      <s:c r="T649" s="22">
        <s:f>'10'!F650</s:f>
        <s:v>46247.34442129629</s:v>
      </s:c>
      <s:c r="U649" s="23">
        <s:f>'자료구성'!$B$2</s:f>
        <s:v>46247.0</s:v>
      </s:c>
    </s:row>
    <s:row r="650">
      <s:c r="A650" s="0" t="n">
        <s:v>1487</s:v>
      </s:c>
      <s:c r="B650" s="0" t="n">
        <s:v>890</s:v>
      </s:c>
      <s:c r="C650" s="0" t="n">
        <s:v>3456</s:v>
      </s:c>
      <s:c r="D650" s="0" t="n">
        <s:v>581</s:v>
      </s:c>
      <s:c r="E650" s="0" t="n">
        <s:v>1154</s:v>
      </s:c>
      <s:c r="F650" s="0" t="n">
        <s:v>3446</s:v>
      </s:c>
      <s:c r="G650" s="0" t="n">
        <s:v>2578</s:v>
      </s:c>
      <s:c r="H650" s="0" t="n">
        <s:v>4667</s:v>
      </s:c>
      <s:c r="I650" s="0" t="n">
        <s:v>2894</s:v>
      </s:c>
      <s:c r="J650" s="0" t="n">
        <s:v>1556</s:v>
      </s:c>
      <s:c r="K650" s="22">
        <s:f>'1'!F651</s:f>
        <s:v>46247.56767361111</s:v>
      </s:c>
      <s:c r="L650" s="22">
        <s:f>'2'!F651</s:f>
        <s:v>46247.549409722225</s:v>
      </s:c>
      <s:c r="M650" s="22">
        <s:f>'3'!F651</s:f>
        <s:v>46247.532002314816</s:v>
      </s:c>
      <s:c r="N650" s="22">
        <s:f>'4'!F651</s:f>
        <s:v>46247.48611111111</s:v>
      </s:c>
      <s:c r="O650" s="22">
        <s:f>'5'!F651</s:f>
        <s:v>46247.457766203705</s:v>
      </s:c>
      <s:c r="P650" s="22">
        <s:f>'6'!F651</s:f>
        <s:v>46247.438310185185</s:v>
      </s:c>
      <s:c r="Q650" s="22">
        <s:f>'7'!F651</s:f>
        <s:v>46247.415659722225</s:v>
      </s:c>
      <s:c r="R650" s="22">
        <s:f>'8'!F651</s:f>
        <s:v>46247.39146990741</s:v>
      </s:c>
      <s:c r="S650" s="22">
        <s:f>'9'!F651</s:f>
        <s:v>46247.37365740741</s:v>
      </s:c>
      <s:c r="T650" s="22">
        <s:f>'10'!F651</s:f>
        <s:v>46247.34443287037</s:v>
      </s:c>
      <s:c r="U650" s="23">
        <s:f>'자료구성'!$B$2</s:f>
        <s:v>46247.0</s:v>
      </s:c>
    </s:row>
    <s:row r="651">
      <s:c r="A651" s="0" t="n">
        <s:v>1454</s:v>
      </s:c>
      <s:c r="B651" s="0" t="n">
        <s:v>867</s:v>
      </s:c>
      <s:c r="C651" s="0" t="n">
        <s:v>3402</s:v>
      </s:c>
      <s:c r="D651" s="0" t="n">
        <s:v>584</s:v>
      </s:c>
      <s:c r="E651" s="0" t="n">
        <s:v>1162</s:v>
      </s:c>
      <s:c r="F651" s="0" t="n">
        <s:v>3518</s:v>
      </s:c>
      <s:c r="G651" s="0" t="n">
        <s:v>2565</s:v>
      </s:c>
      <s:c r="H651" s="0" t="n">
        <s:v>4724</s:v>
      </s:c>
      <s:c r="I651" s="0" t="n">
        <s:v>2895</s:v>
      </s:c>
      <s:c r="J651" s="0" t="n">
        <s:v>1567</s:v>
      </s:c>
      <s:c r="K651" s="22">
        <s:f>'1'!F652</s:f>
        <s:v>46247.56768518518</s:v>
      </s:c>
      <s:c r="L651" s="22">
        <s:f>'2'!F652</s:f>
        <s:v>46247.549421296295</s:v>
      </s:c>
      <s:c r="M651" s="22">
        <s:f>'3'!F652</s:f>
        <s:v>46247.532013888886</s:v>
      </s:c>
      <s:c r="N651" s="22">
        <s:f>'4'!F652</s:f>
        <s:v>46247.486122685186</s:v>
      </s:c>
      <s:c r="O651" s="22">
        <s:f>'5'!F652</s:f>
        <s:v>46247.45777777778</s:v>
      </s:c>
      <s:c r="P651" s="22">
        <s:f>'6'!F652</s:f>
        <s:v>46247.43832175926</s:v>
      </s:c>
      <s:c r="Q651" s="22">
        <s:f>'7'!F652</s:f>
        <s:v>46247.415671296294</s:v>
      </s:c>
      <s:c r="R651" s="22">
        <s:f>'8'!F652</s:f>
        <s:v>46247.39148148148</s:v>
      </s:c>
      <s:c r="S651" s="22">
        <s:f>'9'!F652</s:f>
        <s:v>46247.37366898148</s:v>
      </s:c>
      <s:c r="T651" s="22">
        <s:f>'10'!F652</s:f>
        <s:v>46247.34444444445</s:v>
      </s:c>
      <s:c r="U651" s="23">
        <s:f>'자료구성'!$B$2</s:f>
        <s:v>46247.0</s:v>
      </s:c>
    </s:row>
    <s:row r="652">
      <s:c r="A652" s="0" t="n">
        <s:v>1429</s:v>
      </s:c>
      <s:c r="B652" s="0" t="n">
        <s:v>889</s:v>
      </s:c>
      <s:c r="C652" s="0" t="n">
        <s:v>3387</s:v>
      </s:c>
      <s:c r="D652" s="0" t="n">
        <s:v>571</s:v>
      </s:c>
      <s:c r="E652" s="0" t="n">
        <s:v>1164</s:v>
      </s:c>
      <s:c r="F652" s="0" t="n">
        <s:v>3634</s:v>
      </s:c>
      <s:c r="G652" s="0" t="n">
        <s:v>2582</s:v>
      </s:c>
      <s:c r="H652" s="0" t="n">
        <s:v>4870</s:v>
      </s:c>
      <s:c r="I652" s="0" t="n">
        <s:v>2867</s:v>
      </s:c>
      <s:c r="J652" s="0" t="n">
        <s:v>1570</s:v>
      </s:c>
      <s:c r="K652" s="22">
        <s:f>'1'!F653</s:f>
        <s:v>46247.56769675926</s:v>
      </s:c>
      <s:c r="L652" s="22">
        <s:f>'2'!F653</s:f>
        <s:v>46247.54943287037</s:v>
      </s:c>
      <s:c r="M652" s="22">
        <s:f>'3'!F653</s:f>
        <s:v>46247.53202546296</s:v>
      </s:c>
      <s:c r="N652" s="22">
        <s:f>'4'!F653</s:f>
        <s:v>46247.486134259256</s:v>
      </s:c>
      <s:c r="O652" s="22">
        <s:f>'5'!F653</s:f>
        <s:v>46247.45778935185</s:v>
      </s:c>
      <s:c r="P652" s="22">
        <s:f>'6'!F653</s:f>
        <s:v>46247.43833333333</s:v>
      </s:c>
      <s:c r="Q652" s="22">
        <s:f>'7'!F653</s:f>
        <s:v>46247.41568287037</s:v>
      </s:c>
      <s:c r="R652" s="22">
        <s:f>'8'!F653</s:f>
        <s:v>46247.391493055555</s:v>
      </s:c>
      <s:c r="S652" s="22">
        <s:f>'9'!F653</s:f>
        <s:v>46247.37368055555</s:v>
      </s:c>
      <s:c r="T652" s="22">
        <s:f>'10'!F653</s:f>
        <s:v>46247.344456018516</s:v>
      </s:c>
      <s:c r="U652" s="23">
        <s:f>'자료구성'!$B$2</s:f>
        <s:v>46247.0</s:v>
      </s:c>
    </s:row>
    <s:row r="653">
      <s:c r="A653" s="0" t="n">
        <s:v>1416</s:v>
      </s:c>
      <s:c r="B653" s="0" t="n">
        <s:v>877</s:v>
      </s:c>
      <s:c r="C653" s="0" t="n">
        <s:v>3436</s:v>
      </s:c>
      <s:c r="D653" s="0" t="n">
        <s:v>585</s:v>
      </s:c>
      <s:c r="E653" s="0" t="n">
        <s:v>1162</s:v>
      </s:c>
      <s:c r="F653" s="0" t="n">
        <s:v>3742</s:v>
      </s:c>
      <s:c r="G653" s="0" t="n">
        <s:v>2538</s:v>
      </s:c>
      <s:c r="H653" s="0" t="n">
        <s:v>4911</s:v>
      </s:c>
      <s:c r="I653" s="0" t="n">
        <s:v>2812</s:v>
      </s:c>
      <s:c r="J653" s="0" t="n">
        <s:v>1564</s:v>
      </s:c>
      <s:c r="K653" s="22">
        <s:f>'1'!F654</s:f>
        <s:v>46247.567708333336</s:v>
      </s:c>
      <s:c r="L653" s="22">
        <s:f>'2'!F654</s:f>
        <s:v>46247.54944444444</s:v>
      </s:c>
      <s:c r="M653" s="22">
        <s:f>'3'!F654</s:f>
        <s:v>46247.53203703704</s:v>
      </s:c>
      <s:c r="N653" s="22">
        <s:f>'4'!F654</s:f>
        <s:v>46247.48614583333</s:v>
      </s:c>
      <s:c r="O653" s="22">
        <s:f>'5'!F654</s:f>
        <s:v>46247.45780092593</s:v>
      </s:c>
      <s:c r="P653" s="22">
        <s:f>'6'!F654</s:f>
        <s:v>46247.43834490741</s:v>
      </s:c>
      <s:c r="Q653" s="22">
        <s:f>'7'!F654</s:f>
        <s:v>46247.41569444445</s:v>
      </s:c>
      <s:c r="R653" s="22">
        <s:f>'8'!F654</s:f>
        <s:v>46247.39150462963</s:v>
      </s:c>
      <s:c r="S653" s="22">
        <s:f>'9'!F654</s:f>
        <s:v>46247.37369212963</s:v>
      </s:c>
      <s:c r="T653" s="22">
        <s:f>'10'!F654</s:f>
        <s:v>46247.34446759259</s:v>
      </s:c>
      <s:c r="U653" s="23">
        <s:f>'자료구성'!$B$2</s:f>
        <s:v>46247.0</s:v>
      </s:c>
    </s:row>
    <s:row r="654">
      <s:c r="A654" s="0" t="n">
        <s:v>1412</s:v>
      </s:c>
      <s:c r="B654" s="0" t="n">
        <s:v>883</s:v>
      </s:c>
      <s:c r="C654" s="0" t="n">
        <s:v>3515</s:v>
      </s:c>
      <s:c r="D654" s="0" t="n">
        <s:v>650</s:v>
      </s:c>
      <s:c r="E654" s="0" t="n">
        <s:v>1181</s:v>
      </s:c>
      <s:c r="F654" s="0" t="n">
        <s:v>3888</s:v>
      </s:c>
      <s:c r="G654" s="0" t="n">
        <s:v>2488</s:v>
      </s:c>
      <s:c r="H654" s="0" t="n">
        <s:v>4961</s:v>
      </s:c>
      <s:c r="I654" s="0" t="n">
        <s:v>2840</s:v>
      </s:c>
      <s:c r="J654" s="0" t="n">
        <s:v>1571</s:v>
      </s:c>
      <s:c r="K654" s="22">
        <s:f>'1'!F655</s:f>
        <s:v>46247.567719907405</s:v>
      </s:c>
      <s:c r="L654" s="22">
        <s:f>'2'!F655</s:f>
        <s:v>46247.54945601852</s:v>
      </s:c>
      <s:c r="M654" s="22">
        <s:f>'3'!F655</s:f>
        <s:v>46247.53204861111</s:v>
      </s:c>
      <s:c r="N654" s="22">
        <s:f>'4'!F655</s:f>
        <s:v>46247.48615740741</s:v>
      </s:c>
      <s:c r="O654" s="22">
        <s:f>'5'!F655</s:f>
        <s:v>46247.4578125</s:v>
      </s:c>
      <s:c r="P654" s="22">
        <s:f>'6'!F655</s:f>
        <s:v>46247.43835648148</s:v>
      </s:c>
      <s:c r="Q654" s="22">
        <s:f>'7'!F655</s:f>
        <s:v>46247.41570601852</s:v>
      </s:c>
      <s:c r="R654" s="22">
        <s:f>'8'!F655</s:f>
        <s:v>46247.3915162037</s:v>
      </s:c>
      <s:c r="S654" s="22">
        <s:f>'9'!F655</s:f>
        <s:v>46247.373703703706</s:v>
      </s:c>
      <s:c r="T654" s="22">
        <s:f>'10'!F655</s:f>
        <s:v>46247.34447916667</s:v>
      </s:c>
      <s:c r="U654" s="23">
        <s:f>'자료구성'!$B$2</s:f>
        <s:v>46247.0</s:v>
      </s:c>
    </s:row>
    <s:row r="655">
      <s:c r="A655" s="0" t="n">
        <s:v>1413</s:v>
      </s:c>
      <s:c r="B655" s="0" t="n">
        <s:v>892</s:v>
      </s:c>
      <s:c r="C655" s="0" t="n">
        <s:v>3591</s:v>
      </s:c>
      <s:c r="D655" s="0" t="n">
        <s:v>706</s:v>
      </s:c>
      <s:c r="E655" s="0" t="n">
        <s:v>1180</s:v>
      </s:c>
      <s:c r="F655" s="0" t="n">
        <s:v>3837</s:v>
      </s:c>
      <s:c r="G655" s="0" t="n">
        <s:v>2429</s:v>
      </s:c>
      <s:c r="H655" s="0" t="n">
        <s:v>5075</s:v>
      </s:c>
      <s:c r="I655" s="0" t="n">
        <s:v>2864</s:v>
      </s:c>
      <s:c r="J655" s="0" t="n">
        <s:v>1563</s:v>
      </s:c>
      <s:c r="K655" s="22">
        <s:f>'1'!F656</s:f>
        <s:v>46247.56773148148</s:v>
      </s:c>
      <s:c r="L655" s="22">
        <s:f>'2'!F656</s:f>
        <s:v>46247.549467592595</s:v>
      </s:c>
      <s:c r="M655" s="22">
        <s:f>'3'!F656</s:f>
        <s:v>46247.532060185185</s:v>
      </s:c>
      <s:c r="N655" s="22">
        <s:f>'4'!F656</s:f>
        <s:v>46247.48616898148</s:v>
      </s:c>
      <s:c r="O655" s="22">
        <s:f>'5'!F656</s:f>
        <s:v>46247.457824074074</s:v>
      </s:c>
      <s:c r="P655" s="22">
        <s:f>'6'!F656</s:f>
        <s:v>46247.438368055555</s:v>
      </s:c>
      <s:c r="Q655" s="22">
        <s:f>'7'!F656</s:f>
        <s:v>46247.415717592594</s:v>
      </s:c>
      <s:c r="R655" s="22">
        <s:f>'8'!F656</s:f>
        <s:v>46247.39152777778</s:v>
      </s:c>
      <s:c r="S655" s="22">
        <s:f>'9'!F656</s:f>
        <s:v>46247.373715277776</s:v>
      </s:c>
      <s:c r="T655" s="22">
        <s:f>'10'!F656</s:f>
        <s:v>46247.34449074074</s:v>
      </s:c>
      <s:c r="U655" s="23">
        <s:f>'자료구성'!$B$2</s:f>
        <s:v>46247.0</s:v>
      </s:c>
    </s:row>
    <s:row r="656">
      <s:c r="A656" s="0" t="n">
        <s:v>1421</s:v>
      </s:c>
      <s:c r="B656" s="0" t="n">
        <s:v>903</s:v>
      </s:c>
      <s:c r="C656" s="0" t="n">
        <s:v>3689</s:v>
      </s:c>
      <s:c r="D656" s="0" t="n">
        <s:v>770</s:v>
      </s:c>
      <s:c r="E656" s="0" t="n">
        <s:v>1189</s:v>
      </s:c>
      <s:c r="F656" s="0" t="n">
        <s:v>3995</s:v>
      </s:c>
      <s:c r="G656" s="0" t="n">
        <s:v>2435</s:v>
      </s:c>
      <s:c r="H656" s="0" t="n">
        <s:v>5074</s:v>
      </s:c>
      <s:c r="I656" s="0" t="n">
        <s:v>2829</s:v>
      </s:c>
      <s:c r="J656" s="0" t="n">
        <s:v>1558</s:v>
      </s:c>
      <s:c r="K656" s="22">
        <s:f>'1'!F657</s:f>
        <s:v>46247.56774305556</s:v>
      </s:c>
      <s:c r="L656" s="22">
        <s:f>'2'!F657</s:f>
        <s:v>46247.549479166664</s:v>
      </s:c>
      <s:c r="M656" s="22">
        <s:f>'3'!F657</s:f>
        <s:v>46247.53207175926</s:v>
      </s:c>
      <s:c r="N656" s="22">
        <s:f>'4'!F657</s:f>
        <s:v>46247.486180555556</s:v>
      </s:c>
      <s:c r="O656" s="22">
        <s:f>'5'!F657</s:f>
        <s:v>46247.45783564815</s:v>
      </s:c>
      <s:c r="P656" s="22">
        <s:f>'6'!F657</s:f>
        <s:v>46247.43837962963</s:v>
      </s:c>
      <s:c r="Q656" s="22">
        <s:f>'7'!F657</s:f>
        <s:v>46247.41572916666</s:v>
      </s:c>
      <s:c r="R656" s="22">
        <s:f>'8'!F657</s:f>
        <s:v>46247.391539351855</s:v>
      </s:c>
      <s:c r="S656" s="22">
        <s:f>'9'!F657</s:f>
        <s:v>46247.37372685185</s:v>
      </s:c>
      <s:c r="T656" s="22">
        <s:f>'10'!F657</s:f>
        <s:v>46247.344502314816</s:v>
      </s:c>
      <s:c r="U656" s="23">
        <s:f>'자료구성'!$B$2</s:f>
        <s:v>46247.0</s:v>
      </s:c>
    </s:row>
    <s:row r="657">
      <s:c r="A657" s="0" t="n">
        <s:v>1409</s:v>
      </s:c>
      <s:c r="B657" s="0" t="n">
        <s:v>912</s:v>
      </s:c>
      <s:c r="C657" s="0" t="n">
        <s:v>3820</s:v>
      </s:c>
      <s:c r="D657" s="0" t="n">
        <s:v>858</s:v>
      </s:c>
      <s:c r="E657" s="0" t="n">
        <s:v>1209</s:v>
      </s:c>
      <s:c r="F657" s="0" t="n">
        <s:v>3849</s:v>
      </s:c>
      <s:c r="G657" s="0" t="n">
        <s:v>2445</s:v>
      </s:c>
      <s:c r="H657" s="0" t="n">
        <s:v>5038</s:v>
      </s:c>
      <s:c r="I657" s="0" t="n">
        <s:v>2844</s:v>
      </s:c>
      <s:c r="J657" s="0" t="n">
        <s:v>1575</s:v>
      </s:c>
      <s:c r="K657" s="22">
        <s:f>'1'!F658</s:f>
        <s:v>46247.56775462963</s:v>
      </s:c>
      <s:c r="L657" s="22">
        <s:f>'2'!F658</s:f>
        <s:v>46247.54949074074</s:v>
      </s:c>
      <s:c r="M657" s="22">
        <s:f>'3'!F658</s:f>
        <s:v>46247.53208333333</s:v>
      </s:c>
      <s:c r="N657" s="22">
        <s:f>'4'!F658</s:f>
        <s:v>46247.48619212963</s:v>
      </s:c>
      <s:c r="O657" s="22">
        <s:f>'5'!F658</s:f>
        <s:v>46247.45784722222</s:v>
      </s:c>
      <s:c r="P657" s="22">
        <s:f>'6'!F658</s:f>
        <s:v>46247.4383912037</s:v>
      </s:c>
      <s:c r="Q657" s="22">
        <s:f>'7'!F658</s:f>
        <s:v>46247.41574074074</s:v>
      </s:c>
      <s:c r="R657" s="22">
        <s:f>'8'!F658</s:f>
        <s:v>46247.391550925924</s:v>
      </s:c>
      <s:c r="S657" s="22">
        <s:f>'9'!F658</s:f>
        <s:v>46247.37373842593</s:v>
      </s:c>
      <s:c r="T657" s="22">
        <s:f>'10'!F658</s:f>
        <s:v>46247.344513888886</s:v>
      </s:c>
      <s:c r="U657" s="23">
        <s:f>'자료구성'!$B$2</s:f>
        <s:v>46247.0</s:v>
      </s:c>
    </s:row>
    <s:row r="658">
      <s:c r="A658" s="0" t="n">
        <s:v>1387</s:v>
      </s:c>
      <s:c r="B658" s="0" t="n">
        <s:v>918</s:v>
      </s:c>
      <s:c r="C658" s="0" t="n">
        <s:v>3834</s:v>
      </s:c>
      <s:c r="D658" s="0" t="n">
        <s:v>870</s:v>
      </s:c>
      <s:c r="E658" s="0" t="n">
        <s:v>1225</s:v>
      </s:c>
      <s:c r="F658" s="0" t="n">
        <s:v>3636</s:v>
      </s:c>
      <s:c r="G658" s="0" t="n">
        <s:v>2433</s:v>
      </s:c>
      <s:c r="H658" s="0" t="n">
        <s:v>5137</s:v>
      </s:c>
      <s:c r="I658" s="0" t="n">
        <s:v>2816</s:v>
      </s:c>
      <s:c r="J658" s="0" t="n">
        <s:v>1607</s:v>
      </s:c>
      <s:c r="K658" s="22">
        <s:f>'1'!F659</s:f>
        <s:v>46247.567766203705</s:v>
      </s:c>
      <s:c r="L658" s="22">
        <s:f>'2'!F659</s:f>
        <s:v>46247.54950231482</s:v>
      </s:c>
      <s:c r="M658" s="22">
        <s:f>'3'!F659</s:f>
        <s:v>46247.53209490741</s:v>
      </s:c>
      <s:c r="N658" s="22">
        <s:f>'4'!F659</s:f>
        <s:v>46247.4862037037</s:v>
      </s:c>
      <s:c r="O658" s="22">
        <s:f>'5'!F659</s:f>
        <s:v>46247.4578587963</s:v>
      </s:c>
      <s:c r="P658" s="22">
        <s:f>'6'!F659</s:f>
        <s:v>46247.43840277778</s:v>
      </s:c>
      <s:c r="Q658" s="22">
        <s:f>'7'!F659</s:f>
        <s:v>46247.41575231482</s:v>
      </s:c>
      <s:c r="R658" s="22">
        <s:f>'8'!F659</s:f>
        <s:v>46247.3915625</s:v>
      </s:c>
      <s:c r="S658" s="22">
        <s:f>'9'!F659</s:f>
        <s:v>46247.37375</s:v>
      </s:c>
      <s:c r="T658" s="22">
        <s:f>'10'!F659</s:f>
        <s:v>46247.34452546296</s:v>
      </s:c>
      <s:c r="U658" s="23">
        <s:f>'자료구성'!$B$2</s:f>
        <s:v>46247.0</s:v>
      </s:c>
    </s:row>
    <s:row r="659">
      <s:c r="A659" s="0" t="n">
        <s:v>1378</s:v>
      </s:c>
      <s:c r="B659" s="0" t="n">
        <s:v>934</s:v>
      </s:c>
      <s:c r="C659" s="0" t="n">
        <s:v>3767</s:v>
      </s:c>
      <s:c r="D659" s="0" t="n">
        <s:v>866</s:v>
      </s:c>
      <s:c r="E659" s="0" t="n">
        <s:v>1233</s:v>
      </s:c>
      <s:c r="F659" s="0" t="n">
        <s:v>3534</s:v>
      </s:c>
      <s:c r="G659" s="0" t="n">
        <s:v>2429</s:v>
      </s:c>
      <s:c r="H659" s="0" t="n">
        <s:v>5138</s:v>
      </s:c>
      <s:c r="I659" s="0" t="n">
        <s:v>2753</s:v>
      </s:c>
      <s:c r="J659" s="0" t="n">
        <s:v>1636</s:v>
      </s:c>
      <s:c r="K659" s="22">
        <s:f>'1'!F660</s:f>
        <s:v>46247.567777777775</s:v>
      </s:c>
      <s:c r="L659" s="22">
        <s:f>'2'!F660</s:f>
        <s:v>46247.54951388889</s:v>
      </s:c>
      <s:c r="M659" s="22">
        <s:f>'3'!F660</s:f>
        <s:v>46247.53210648148</s:v>
      </s:c>
      <s:c r="N659" s="22">
        <s:f>'4'!F660</s:f>
        <s:v>46247.48621527778</s:v>
      </s:c>
      <s:c r="O659" s="22">
        <s:f>'5'!F660</s:f>
        <s:v>46247.457870370374</s:v>
      </s:c>
      <s:c r="P659" s="22">
        <s:f>'6'!F660</s:f>
        <s:v>46247.438414351855</s:v>
      </s:c>
      <s:c r="Q659" s="22">
        <s:f>'7'!F660</s:f>
        <s:v>46247.41576388889</s:v>
      </s:c>
      <s:c r="R659" s="22">
        <s:f>'8'!F660</s:f>
        <s:v>46247.39157407408</s:v>
      </s:c>
      <s:c r="S659" s="22">
        <s:f>'9'!F660</s:f>
        <s:v>46247.373761574076</s:v>
      </s:c>
      <s:c r="T659" s="22">
        <s:f>'10'!F660</s:f>
        <s:v>46247.34453703704</s:v>
      </s:c>
      <s:c r="U659" s="23">
        <s:f>'자료구성'!$B$2</s:f>
        <s:v>46247.0</s:v>
      </s:c>
    </s:row>
    <s:row r="660">
      <s:c r="A660" s="0" t="n">
        <s:v>1385</s:v>
      </s:c>
      <s:c r="B660" s="0" t="n">
        <s:v>944</s:v>
      </s:c>
      <s:c r="C660" s="0" t="n">
        <s:v>3658</s:v>
      </s:c>
      <s:c r="D660" s="0" t="n">
        <s:v>929</s:v>
      </s:c>
      <s:c r="E660" s="0" t="n">
        <s:v>1242</s:v>
      </s:c>
      <s:c r="F660" s="0" t="n">
        <s:v>3372</s:v>
      </s:c>
      <s:c r="G660" s="0" t="n">
        <s:v>2426</s:v>
      </s:c>
      <s:c r="H660" s="0" t="n">
        <s:v>4959</s:v>
      </s:c>
      <s:c r="I660" s="0" t="n">
        <s:v>2679</s:v>
      </s:c>
      <s:c r="J660" s="0" t="n">
        <s:v>1661</s:v>
      </s:c>
      <s:c r="K660" s="22">
        <s:f>'1'!F661</s:f>
        <s:v>46247.56778935185</s:v>
      </s:c>
      <s:c r="L660" s="22">
        <s:f>'2'!F661</s:f>
        <s:v>46247.549525462964</s:v>
      </s:c>
      <s:c r="M660" s="22">
        <s:f>'3'!F661</s:f>
        <s:v>46247.532118055555</s:v>
      </s:c>
      <s:c r="N660" s="22">
        <s:f>'4'!F661</s:f>
        <s:v>46247.486226851855</s:v>
      </s:c>
      <s:c r="O660" s="22">
        <s:f>'5'!F661</s:f>
        <s:v>46247.45788194444</s:v>
      </s:c>
      <s:c r="P660" s="22">
        <s:f>'6'!F661</s:f>
        <s:v>46247.438425925924</s:v>
      </s:c>
      <s:c r="Q660" s="22">
        <s:f>'7'!F661</s:f>
        <s:v>46247.41577546296</s:v>
      </s:c>
      <s:c r="R660" s="22">
        <s:f>'8'!F661</s:f>
        <s:v>46247.39158564815</s:v>
      </s:c>
      <s:c r="S660" s="22">
        <s:f>'9'!F661</s:f>
        <s:v>46247.373773148145</s:v>
      </s:c>
      <s:c r="T660" s="22">
        <s:f>'10'!F661</s:f>
        <s:v>46247.34454861111</s:v>
      </s:c>
      <s:c r="U660" s="23">
        <s:f>'자료구성'!$B$2</s:f>
        <s:v>46247.0</s:v>
      </s:c>
    </s:row>
    <s:row r="661">
      <s:c r="A661" s="0" t="n">
        <s:v>1387</s:v>
      </s:c>
      <s:c r="B661" s="0" t="n">
        <s:v>963</s:v>
      </s:c>
      <s:c r="C661" s="0" t="n">
        <s:v>3646</s:v>
      </s:c>
      <s:c r="D661" s="0" t="n">
        <s:v>56</s:v>
      </s:c>
      <s:c r="E661" s="0" t="n">
        <s:v>1248</s:v>
      </s:c>
      <s:c r="F661" s="0" t="n">
        <s:v>3223</s:v>
      </s:c>
      <s:c r="G661" s="0" t="n">
        <s:v>2383</s:v>
      </s:c>
      <s:c r="H661" s="0" t="n">
        <s:v>4811</s:v>
      </s:c>
      <s:c r="I661" s="0" t="n">
        <s:v>2640</s:v>
      </s:c>
      <s:c r="J661" s="0" t="n">
        <s:v>1680</s:v>
      </s:c>
      <s:c r="K661" s="22">
        <s:f>'1'!F662</s:f>
        <s:v>46247.56780092593</s:v>
      </s:c>
      <s:c r="L661" s="22">
        <s:f>'2'!F662</s:f>
        <s:v>46247.54953703703</s:v>
      </s:c>
      <s:c r="M661" s="22">
        <s:f>'3'!F662</s:f>
        <s:v>46247.53212962963</s:v>
      </s:c>
      <s:c r="N661" s="22">
        <s:f>'4'!F662</s:f>
        <s:v>46247.486238425925</s:v>
      </s:c>
      <s:c r="O661" s="22">
        <s:f>'5'!F662</s:f>
        <s:v>46247.45789351852</s:v>
      </s:c>
      <s:c r="P661" s="22">
        <s:f>'6'!F662</s:f>
        <s:v>46247.4384375</s:v>
      </s:c>
      <s:c r="Q661" s="22">
        <s:f>'7'!F662</s:f>
        <s:v>46247.41578703704</s:v>
      </s:c>
      <s:c r="R661" s="22">
        <s:f>'8'!F662</s:f>
        <s:v>46247.391597222224</s:v>
      </s:c>
      <s:c r="S661" s="22">
        <s:f>'9'!F662</s:f>
        <s:v>46247.37378472222</s:v>
      </s:c>
      <s:c r="T661" s="22">
        <s:f>'10'!F662</s:f>
        <s:v>46247.344560185185</s:v>
      </s:c>
      <s:c r="U661" s="23">
        <s:f>'자료구성'!$B$2</s:f>
        <s:v>46247.0</s:v>
      </s:c>
    </s:row>
    <s:row r="662">
      <s:c r="A662" s="0" t="n">
        <s:v>1376</s:v>
      </s:c>
      <s:c r="B662" s="0" t="n">
        <s:v>992</s:v>
      </s:c>
      <s:c r="C662" s="0" t="n">
        <s:v>3628</s:v>
      </s:c>
      <s:c r="D662" s="0" t="n">
        <s:v>93</s:v>
      </s:c>
      <s:c r="E662" s="0" t="n">
        <s:v>1257</s:v>
      </s:c>
      <s:c r="F662" s="0" t="n">
        <s:v>3086</s:v>
      </s:c>
      <s:c r="G662" s="0" t="n">
        <s:v>2348</s:v>
      </s:c>
      <s:c r="H662" s="0" t="n">
        <s:v>4666</s:v>
      </s:c>
      <s:c r="I662" s="0" t="n">
        <s:v>2628</s:v>
      </s:c>
      <s:c r="J662" s="0" t="n">
        <s:v>1690</s:v>
      </s:c>
      <s:c r="K662" s="22">
        <s:f>'1'!F663</s:f>
        <s:v>46247.5678125</s:v>
      </s:c>
      <s:c r="L662" s="22">
        <s:f>'2'!F663</s:f>
        <s:v>46247.54954861111</s:v>
      </s:c>
      <s:c r="M662" s="22">
        <s:f>'3'!F663</s:f>
        <s:v>46247.5321412037</s:v>
      </s:c>
      <s:c r="N662" s="22">
        <s:f>'4'!F663</s:f>
        <s:v>46247.48625</s:v>
      </s:c>
      <s:c r="O662" s="22">
        <s:f>'5'!F663</s:f>
        <s:v>46247.45790509259</s:v>
      </s:c>
      <s:c r="P662" s="22">
        <s:f>'6'!F663</s:f>
        <s:v>46247.43844907408</s:v>
      </s:c>
      <s:c r="Q662" s="22">
        <s:f>'7'!F663</s:f>
        <s:v>46247.41579861111</s:v>
      </s:c>
      <s:c r="R662" s="22">
        <s:f>'8'!F663</s:f>
        <s:v>46247.39160879629</s:v>
      </s:c>
      <s:c r="S662" s="22">
        <s:f>'9'!F663</s:f>
        <s:v>46247.3737962963</s:v>
      </s:c>
      <s:c r="T662" s="22">
        <s:f>'10'!F663</s:f>
        <s:v>46247.34457175926</s:v>
      </s:c>
      <s:c r="U662" s="23">
        <s:f>'자료구성'!$B$2</s:f>
        <s:v>46247.0</s:v>
      </s:c>
    </s:row>
    <s:row r="663">
      <s:c r="A663" s="0" t="n">
        <s:v>1355</s:v>
      </s:c>
      <s:c r="B663" s="0" t="n">
        <s:v>1006</s:v>
      </s:c>
      <s:c r="C663" s="0" t="n">
        <s:v>3621</s:v>
      </s:c>
      <s:c r="D663" s="0" t="n">
        <s:v>54</s:v>
      </s:c>
      <s:c r="E663" s="0" t="n">
        <s:v>1277</s:v>
      </s:c>
      <s:c r="F663" s="0" t="n">
        <s:v>2992</s:v>
      </s:c>
      <s:c r="G663" s="0" t="n">
        <s:v>2311</s:v>
      </s:c>
      <s:c r="H663" s="0" t="n">
        <s:v>4568</s:v>
      </s:c>
      <s:c r="I663" s="0" t="n">
        <s:v>2588</s:v>
      </s:c>
      <s:c r="J663" s="0" t="n">
        <s:v>1707</s:v>
      </s:c>
      <s:c r="K663" s="22">
        <s:f>'1'!F664</s:f>
        <s:v>46247.567824074074</s:v>
      </s:c>
      <s:c r="L663" s="22">
        <s:f>'2'!F664</s:f>
        <s:v>46247.54956018519</s:v>
      </s:c>
      <s:c r="M663" s="22">
        <s:f>'3'!F664</s:f>
        <s:v>46247.53215277778</s:v>
      </s:c>
      <s:c r="N663" s="22">
        <s:f>'4'!F664</s:f>
        <s:v>46247.48626157407</s:v>
      </s:c>
      <s:c r="O663" s="22">
        <s:f>'5'!F664</s:f>
        <s:v>46247.457916666666</s:v>
      </s:c>
      <s:c r="P663" s="22">
        <s:f>'6'!F664</s:f>
        <s:v>46247.43846064815</s:v>
      </s:c>
      <s:c r="Q663" s="22">
        <s:f>'7'!F664</s:f>
        <s:v>46247.415810185186</s:v>
      </s:c>
      <s:c r="R663" s="22">
        <s:f>'8'!F664</s:f>
        <s:v>46247.39162037037</s:v>
      </s:c>
      <s:c r="S663" s="22">
        <s:f>'9'!F664</s:f>
        <s:v>46247.37380787037</s:v>
      </s:c>
      <s:c r="T663" s="22">
        <s:f>'10'!F664</s:f>
        <s:v>46247.34458333333</s:v>
      </s:c>
      <s:c r="U663" s="23">
        <s:f>'자료구성'!$B$2</s:f>
        <s:v>46247.0</s:v>
      </s:c>
    </s:row>
    <s:row r="664">
      <s:c r="A664" s="0" t="n">
        <s:v>1353</s:v>
      </s:c>
      <s:c r="B664" s="0" t="n">
        <s:v>1030</s:v>
      </s:c>
      <s:c r="C664" s="0" t="n">
        <s:v>3652</s:v>
      </s:c>
      <s:c r="D664" s="0" t="n">
        <s:v>6</s:v>
      </s:c>
      <s:c r="E664" s="0" t="n">
        <s:v>1285</s:v>
      </s:c>
      <s:c r="F664" s="0" t="n">
        <s:v>2978</s:v>
      </s:c>
      <s:c r="G664" s="0" t="n">
        <s:v>2284</s:v>
      </s:c>
      <s:c r="H664" s="0" t="n">
        <s:v>4539</s:v>
      </s:c>
      <s:c r="I664" s="0" t="n">
        <s:v>2548</s:v>
      </s:c>
      <s:c r="J664" s="0" t="n">
        <s:v>1734</s:v>
      </s:c>
      <s:c r="K664" s="22">
        <s:f>'1'!F665</s:f>
        <s:v>46247.56783564815</s:v>
      </s:c>
      <s:c r="L664" s="22">
        <s:f>'2'!F665</s:f>
        <s:v>46247.54957175926</s:v>
      </s:c>
      <s:c r="M664" s="22">
        <s:f>'3'!F665</s:f>
        <s:v>46247.532164351855</s:v>
      </s:c>
      <s:c r="N664" s="22">
        <s:f>'4'!F665</s:f>
        <s:v>46247.48627314815</s:v>
      </s:c>
      <s:c r="O664" s="22">
        <s:f>'5'!F665</s:f>
        <s:v>46247.45792824074</s:v>
      </s:c>
      <s:c r="P664" s="22">
        <s:f>'6'!F665</s:f>
        <s:v>46247.438472222224</s:v>
      </s:c>
      <s:c r="Q664" s="22">
        <s:f>'7'!F665</s:f>
        <s:v>46247.415821759256</s:v>
      </s:c>
      <s:c r="R664" s="22">
        <s:f>'8'!F665</s:f>
        <s:v>46247.39163194445</s:v>
      </s:c>
      <s:c r="S664" s="22">
        <s:f>'9'!F665</s:f>
        <s:v>46247.373819444445</s:v>
      </s:c>
      <s:c r="T664" s="22">
        <s:f>'10'!F665</s:f>
        <s:v>46247.34459490741</s:v>
      </s:c>
      <s:c r="U664" s="23">
        <s:f>'자료구성'!$B$2</s:f>
        <s:v>46247.0</s:v>
      </s:c>
    </s:row>
    <s:row r="665">
      <s:c r="A665" s="0" t="n">
        <s:v>1365</s:v>
      </s:c>
      <s:c r="B665" s="0" t="n">
        <s:v>1059</s:v>
      </s:c>
      <s:c r="C665" s="0" t="n">
        <s:v>3743</s:v>
      </s:c>
      <s:c r="D665" s="0" t="n">
        <s:v>963</s:v>
      </s:c>
      <s:c r="E665" s="0" t="n">
        <s:v>1299</s:v>
      </s:c>
      <s:c r="F665" s="0" t="n">
        <s:v>2938</s:v>
      </s:c>
      <s:c r="G665" s="0" t="n">
        <s:v>2271</s:v>
      </s:c>
      <s:c r="H665" s="0" t="n">
        <s:v>4579</s:v>
      </s:c>
      <s:c r="I665" s="0" t="n">
        <s:v>2452</s:v>
      </s:c>
      <s:c r="J665" s="0" t="n">
        <s:v>1766</s:v>
      </s:c>
      <s:c r="K665" s="22">
        <s:f>'1'!F666</s:f>
        <s:v>46247.56784722222</s:v>
      </s:c>
      <s:c r="L665" s="22">
        <s:f>'2'!F666</s:f>
        <s:v>46247.54958333333</s:v>
      </s:c>
      <s:c r="M665" s="22">
        <s:f>'3'!F666</s:f>
        <s:v>46247.532175925924</s:v>
      </s:c>
      <s:c r="N665" s="22">
        <s:f>'4'!F666</s:f>
        <s:v>46247.486284722225</s:v>
      </s:c>
      <s:c r="O665" s="22">
        <s:f>'5'!F666</s:f>
        <s:v>46247.45793981481</s:v>
      </s:c>
      <s:c r="P665" s="22">
        <s:f>'6'!F666</s:f>
        <s:v>46247.43848379629</s:v>
      </s:c>
      <s:c r="Q665" s="22">
        <s:f>'7'!F666</s:f>
        <s:v>46247.41583333333</s:v>
      </s:c>
      <s:c r="R665" s="22">
        <s:f>'8'!F666</s:f>
        <s:v>46247.39164351852</s:v>
      </s:c>
      <s:c r="S665" s="22">
        <s:f>'9'!F666</s:f>
        <s:v>46247.37383101852</s:v>
      </s:c>
      <s:c r="T665" s="22">
        <s:f>'10'!F666</s:f>
        <s:v>46247.34460648148</s:v>
      </s:c>
      <s:c r="U665" s="23">
        <s:f>'자료구성'!$B$2</s:f>
        <s:v>46247.0</s:v>
      </s:c>
    </s:row>
    <s:row r="666">
      <s:c r="A666" s="0" t="n">
        <s:v>1388</s:v>
      </s:c>
      <s:c r="B666" s="0" t="n">
        <s:v>1126</s:v>
      </s:c>
      <s:c r="C666" s="0" t="n">
        <s:v>3799</s:v>
      </s:c>
      <s:c r="D666" s="0" t="n">
        <s:v>913</s:v>
      </s:c>
      <s:c r="E666" s="0" t="n">
        <s:v>1324</s:v>
      </s:c>
      <s:c r="F666" s="0" t="n">
        <s:v>2851</s:v>
      </s:c>
      <s:c r="G666" s="0" t="n">
        <s:v>2255</s:v>
      </s:c>
      <s:c r="H666" s="0" t="n">
        <s:v>4519</s:v>
      </s:c>
      <s:c r="I666" s="0" t="n">
        <s:v>2380</s:v>
      </s:c>
      <s:c r="J666" s="0" t="n">
        <s:v>1779</s:v>
      </s:c>
      <s:c r="K666" s="22">
        <s:f>'1'!F667</s:f>
        <s:v>46247.5678587963</s:v>
      </s:c>
      <s:c r="L666" s="22">
        <s:f>'2'!F667</s:f>
        <s:v>46247.54959490741</s:v>
      </s:c>
      <s:c r="M666" s="22">
        <s:f>'3'!F667</s:f>
        <s:v>46247.5321875</s:v>
      </s:c>
      <s:c r="N666" s="22">
        <s:f>'4'!F667</s:f>
        <s:v>46247.486296296294</s:v>
      </s:c>
      <s:c r="O666" s="22">
        <s:f>'5'!F667</s:f>
        <s:v>46247.45795138889</s:v>
      </s:c>
      <s:c r="P666" s="22">
        <s:f>'6'!F667</s:f>
        <s:v>46247.43849537037</s:v>
      </s:c>
      <s:c r="Q666" s="22">
        <s:f>'7'!F667</s:f>
        <s:v>46247.41584490741</s:v>
      </s:c>
      <s:c r="R666" s="22">
        <s:f>'8'!F667</s:f>
        <s:v>46247.39165509259</s:v>
      </s:c>
      <s:c r="S666" s="22">
        <s:f>'9'!F667</s:f>
        <s:v>46247.37384259259</s:v>
      </s:c>
      <s:c r="T666" s="22">
        <s:f>'10'!F667</s:f>
        <s:v>46247.344618055555</s:v>
      </s:c>
      <s:c r="U666" s="23">
        <s:f>'자료구성'!$B$2</s:f>
        <s:v>46247.0</s:v>
      </s:c>
    </s:row>
    <s:row r="667">
      <s:c r="A667" s="0" t="n">
        <s:v>1385</s:v>
      </s:c>
      <s:c r="B667" s="0" t="n">
        <s:v>1151</s:v>
      </s:c>
      <s:c r="C667" s="0" t="n">
        <s:v>3797</s:v>
      </s:c>
      <s:c r="D667" s="0" t="n">
        <s:v>872</s:v>
      </s:c>
      <s:c r="E667" s="0" t="n">
        <s:v>1331</s:v>
      </s:c>
      <s:c r="F667" s="0" t="n">
        <s:v>2802</s:v>
      </s:c>
      <s:c r="G667" s="0" t="n">
        <s:v>2235</s:v>
      </s:c>
      <s:c r="H667" s="0" t="n">
        <s:v>4466</s:v>
      </s:c>
      <s:c r="I667" s="0" t="n">
        <s:v>2343</s:v>
      </s:c>
      <s:c r="J667" s="0" t="n">
        <s:v>1785</s:v>
      </s:c>
      <s:c r="K667" s="22">
        <s:f>'1'!F668</s:f>
        <s:v>46247.56787037037</s:v>
      </s:c>
      <s:c r="L667" s="22">
        <s:f>'2'!F668</s:f>
        <s:v>46247.54960648148</s:v>
      </s:c>
      <s:c r="M667" s="22">
        <s:f>'3'!F668</s:f>
        <s:v>46247.53219907408</s:v>
      </s:c>
      <s:c r="N667" s="22">
        <s:f>'4'!F668</s:f>
        <s:v>46247.48630787037</s:v>
      </s:c>
      <s:c r="O667" s="22">
        <s:f>'5'!F668</s:f>
        <s:v>46247.457962962966</s:v>
      </s:c>
      <s:c r="P667" s="22">
        <s:f>'6'!F668</s:f>
        <s:v>46247.43850694445</s:v>
      </s:c>
      <s:c r="Q667" s="22">
        <s:f>'7'!F668</s:f>
        <s:v>46247.41585648148</s:v>
      </s:c>
      <s:c r="R667" s="22">
        <s:f>'8'!F668</s:f>
        <s:v>46247.39166666667</s:v>
      </s:c>
      <s:c r="S667" s="22">
        <s:f>'9'!F668</s:f>
        <s:v>46247.37385416667</s:v>
      </s:c>
      <s:c r="T667" s="22">
        <s:f>'10'!F668</s:f>
        <s:v>46247.34462962963</s:v>
      </s:c>
      <s:c r="U667" s="23">
        <s:f>'자료구성'!$B$2</s:f>
        <s:v>46247.0</s:v>
      </s:c>
    </s:row>
    <s:row r="668">
      <s:c r="A668" s="0" t="n">
        <s:v>1365</s:v>
      </s:c>
      <s:c r="B668" s="0" t="n">
        <s:v>1163</s:v>
      </s:c>
      <s:c r="C668" s="0" t="n">
        <s:v>3811</s:v>
      </s:c>
      <s:c r="D668" s="0" t="n">
        <s:v>856</s:v>
      </s:c>
      <s:c r="E668" s="0" t="n">
        <s:v>1352</s:v>
      </s:c>
      <s:c r="F668" s="0" t="n">
        <s:v>2749</s:v>
      </s:c>
      <s:c r="G668" s="0" t="n">
        <s:v>2232</s:v>
      </s:c>
      <s:c r="H668" s="0" t="n">
        <s:v>4501</s:v>
      </s:c>
      <s:c r="I668" s="0" t="n">
        <s:v>2315</s:v>
      </s:c>
      <s:c r="J668" s="0" t="n">
        <s:v>1842</s:v>
      </s:c>
      <s:c r="K668" s="22">
        <s:f>'1'!F669</s:f>
        <s:v>46247.567881944444</s:v>
      </s:c>
      <s:c r="L668" s="22">
        <s:f>'2'!F669</s:f>
        <s:v>46247.54961805556</s:v>
      </s:c>
      <s:c r="M668" s="22">
        <s:f>'3'!F669</s:f>
        <s:v>46247.53221064815</s:v>
      </s:c>
      <s:c r="N668" s="22">
        <s:f>'4'!F669</s:f>
        <s:v>46247.48631944445</s:v>
      </s:c>
      <s:c r="O668" s="22">
        <s:f>'5'!F669</s:f>
        <s:v>46247.457974537036</s:v>
      </s:c>
      <s:c r="P668" s="22">
        <s:f>'6'!F669</s:f>
        <s:v>46247.43851851852</s:v>
      </s:c>
      <s:c r="Q668" s="22">
        <s:f>'7'!F669</s:f>
        <s:v>46247.415868055556</s:v>
      </s:c>
      <s:c r="R668" s="22">
        <s:f>'8'!F669</s:f>
        <s:v>46247.39167824074</s:v>
      </s:c>
      <s:c r="S668" s="22">
        <s:f>'9'!F669</s:f>
        <s:v>46247.37386574074</s:v>
      </s:c>
      <s:c r="T668" s="22">
        <s:f>'10'!F669</s:f>
        <s:v>46247.3446412037</s:v>
      </s:c>
      <s:c r="U668" s="23">
        <s:f>'자료구성'!$B$2</s:f>
        <s:v>46247.0</s:v>
      </s:c>
    </s:row>
    <s:row r="669">
      <s:c r="A669" s="0" t="n">
        <s:v>1333</s:v>
      </s:c>
      <s:c r="B669" s="0" t="n">
        <s:v>1177</s:v>
      </s:c>
      <s:c r="C669" s="0" t="n">
        <s:v>3755</s:v>
      </s:c>
      <s:c r="D669" s="0" t="n">
        <s:v>837</s:v>
      </s:c>
      <s:c r="E669" s="0" t="n">
        <s:v>1374</s:v>
      </s:c>
      <s:c r="F669" s="0" t="n">
        <s:v>2724</s:v>
      </s:c>
      <s:c r="G669" s="0" t="n">
        <s:v>2212</s:v>
      </s:c>
      <s:c r="H669" s="0" t="n">
        <s:v>4470</s:v>
      </s:c>
      <s:c r="I669" s="0" t="n">
        <s:v>2306</s:v>
      </s:c>
      <s:c r="J669" s="0" t="n">
        <s:v>1863</s:v>
      </s:c>
      <s:c r="K669" s="22">
        <s:f>'1'!F670</s:f>
        <s:v>46247.56789351852</s:v>
      </s:c>
      <s:c r="L669" s="22">
        <s:f>'2'!F670</s:f>
        <s:v>46247.549629629626</s:v>
      </s:c>
      <s:c r="M669" s="22">
        <s:f>'3'!F670</s:f>
        <s:v>46247.532222222224</s:v>
      </s:c>
      <s:c r="N669" s="22">
        <s:f>'4'!F670</s:f>
        <s:v>46247.48633101852</s:v>
      </s:c>
      <s:c r="O669" s="22">
        <s:f>'5'!F670</s:f>
        <s:v>46247.45798611111</s:v>
      </s:c>
      <s:c r="P669" s="22">
        <s:f>'6'!F670</s:f>
        <s:v>46247.43853009259</s:v>
      </s:c>
      <s:c r="Q669" s="22">
        <s:f>'7'!F670</s:f>
        <s:v>46247.41587962963</s:v>
      </s:c>
      <s:c r="R669" s="22">
        <s:f>'8'!F670</s:f>
        <s:v>46247.391689814816</s:v>
      </s:c>
      <s:c r="S669" s="22">
        <s:f>'9'!F670</s:f>
        <s:v>46247.373877314814</s:v>
      </s:c>
      <s:c r="T669" s="22">
        <s:f>'10'!F670</s:f>
        <s:v>46247.34465277778</s:v>
      </s:c>
      <s:c r="U669" s="23">
        <s:f>'자료구성'!$B$2</s:f>
        <s:v>46247.0</s:v>
      </s:c>
    </s:row>
    <s:row r="670">
      <s:c r="A670" s="0" t="n">
        <s:v>1312</s:v>
      </s:c>
      <s:c r="B670" s="0" t="n">
        <s:v>1202</s:v>
      </s:c>
      <s:c r="C670" s="0" t="n">
        <s:v>3699</s:v>
      </s:c>
      <s:c r="D670" s="0" t="n">
        <s:v>834</s:v>
      </s:c>
      <s:c r="E670" s="0" t="n">
        <s:v>1348</s:v>
      </s:c>
      <s:c r="F670" s="0" t="n">
        <s:v>2687</s:v>
      </s:c>
      <s:c r="G670" s="0" t="n">
        <s:v>2187</s:v>
      </s:c>
      <s:c r="H670" s="0" t="n">
        <s:v>4453</s:v>
      </s:c>
      <s:c r="I670" s="0" t="n">
        <s:v>2300</s:v>
      </s:c>
      <s:c r="J670" s="0" t="n">
        <s:v>1887</s:v>
      </s:c>
      <s:c r="K670" s="22">
        <s:f>'1'!F671</s:f>
        <s:v>46247.56790509259</s:v>
      </s:c>
      <s:c r="L670" s="22">
        <s:f>'2'!F671</s:f>
        <s:v>46247.5496412037</s:v>
      </s:c>
      <s:c r="M670" s="22">
        <s:f>'3'!F671</s:f>
        <s:v>46247.53223379629</s:v>
      </s:c>
      <s:c r="N670" s="22">
        <s:f>'4'!F671</s:f>
        <s:v>46247.486342592594</s:v>
      </s:c>
      <s:c r="O670" s="22">
        <s:f>'5'!F671</s:f>
        <s:v>46247.45799768518</s:v>
      </s:c>
      <s:c r="P670" s="22">
        <s:f>'6'!F671</s:f>
        <s:v>46247.43854166667</s:v>
      </s:c>
      <s:c r="Q670" s="22">
        <s:f>'7'!F671</s:f>
        <s:v>46247.4158912037</s:v>
      </s:c>
      <s:c r="R670" s="22">
        <s:f>'8'!F671</s:f>
        <s:v>46247.391701388886</s:v>
      </s:c>
      <s:c r="S670" s="22">
        <s:f>'9'!F671</s:f>
        <s:v>46247.37388888889</s:v>
      </s:c>
      <s:c r="T670" s="22">
        <s:f>'10'!F671</s:f>
        <s:v>46247.344664351855</s:v>
      </s:c>
      <s:c r="U670" s="23">
        <s:f>'자료구성'!$B$2</s:f>
        <s:v>46247.0</s:v>
      </s:c>
    </s:row>
    <s:row r="671">
      <s:c r="A671" s="0" t="n">
        <s:v>1297</s:v>
      </s:c>
      <s:c r="B671" s="0" t="n">
        <s:v>1240</s:v>
      </s:c>
      <s:c r="C671" s="0" t="n">
        <s:v>3596</s:v>
      </s:c>
      <s:c r="D671" s="0" t="n">
        <s:v>825</s:v>
      </s:c>
      <s:c r="E671" s="0" t="n">
        <s:v>1303</s:v>
      </s:c>
      <s:c r="F671" s="0" t="n">
        <s:v>2685</s:v>
      </s:c>
      <s:c r="G671" s="0" t="n">
        <s:v>2181</s:v>
      </s:c>
      <s:c r="H671" s="0" t="n">
        <s:v>4402</s:v>
      </s:c>
      <s:c r="I671" s="0" t="n">
        <s:v>2269</s:v>
      </s:c>
      <s:c r="J671" s="0" t="n">
        <s:v>1895</s:v>
      </s:c>
      <s:c r="K671" s="22">
        <s:f>'1'!F672</s:f>
        <s:v>46247.56791666667</s:v>
      </s:c>
      <s:c r="L671" s="22">
        <s:f>'2'!F672</s:f>
        <s:v>46247.54965277778</s:v>
      </s:c>
      <s:c r="M671" s="22">
        <s:f>'3'!F672</s:f>
        <s:v>46247.53224537037</s:v>
      </s:c>
      <s:c r="N671" s="22">
        <s:f>'4'!F672</s:f>
        <s:v>46247.486354166664</s:v>
      </s:c>
      <s:c r="O671" s="22">
        <s:f>'5'!F672</s:f>
        <s:v>46247.45800925926</s:v>
      </s:c>
      <s:c r="P671" s="22">
        <s:f>'6'!F672</s:f>
        <s:v>46247.43855324074</s:v>
      </s:c>
      <s:c r="Q671" s="22">
        <s:f>'7'!F672</s:f>
        <s:v>46247.41590277778</s:v>
      </s:c>
      <s:c r="R671" s="22">
        <s:f>'8'!F672</s:f>
        <s:v>46247.39171296296</s:v>
      </s:c>
      <s:c r="S671" s="22">
        <s:f>'9'!F672</s:f>
        <s:v>46247.37390046296</s:v>
      </s:c>
      <s:c r="T671" s="22">
        <s:f>'10'!F672</s:f>
        <s:v>46247.344675925924</s:v>
      </s:c>
      <s:c r="U671" s="23">
        <s:f>'자료구성'!$B$2</s:f>
        <s:v>46247.0</s:v>
      </s:c>
    </s:row>
    <s:row r="672">
      <s:c r="A672" s="0" t="n">
        <s:v>1279</s:v>
      </s:c>
      <s:c r="B672" s="0" t="n">
        <s:v>1265</s:v>
      </s:c>
      <s:c r="C672" s="0" t="n">
        <s:v>3508</s:v>
      </s:c>
      <s:c r="D672" s="0" t="n">
        <s:v>817</s:v>
      </s:c>
      <s:c r="E672" s="0" t="n">
        <s:v>1281</s:v>
      </s:c>
      <s:c r="F672" s="0" t="n">
        <s:v>2754</s:v>
      </s:c>
      <s:c r="G672" s="0" t="n">
        <s:v>2188</s:v>
      </s:c>
      <s:c r="H672" s="0" t="n">
        <s:v>4482</s:v>
      </s:c>
      <s:c r="I672" s="0" t="n">
        <s:v>2275</s:v>
      </s:c>
      <s:c r="J672" s="0" t="n">
        <s:v>1906</s:v>
      </s:c>
      <s:c r="K672" s="22">
        <s:f>'1'!F673</s:f>
        <s:v>46247.567928240744</s:v>
      </s:c>
      <s:c r="L672" s="22">
        <s:f>'2'!F673</s:f>
        <s:v>46247.54966435185</s:v>
      </s:c>
      <s:c r="M672" s="22">
        <s:f>'3'!F673</s:f>
        <s:v>46247.53225694445</s:v>
      </s:c>
      <s:c r="N672" s="22">
        <s:f>'4'!F673</s:f>
        <s:v>46247.48636574074</s:v>
      </s:c>
      <s:c r="O672" s="22">
        <s:f>'5'!F673</s:f>
        <s:v>46247.458020833335</s:v>
      </s:c>
      <s:c r="P672" s="22">
        <s:f>'6'!F673</s:f>
        <s:v>46247.438564814816</s:v>
      </s:c>
      <s:c r="Q672" s="22">
        <s:f>'7'!F673</s:f>
        <s:v>46247.415914351855</s:v>
      </s:c>
      <s:c r="R672" s="22">
        <s:f>'8'!F673</s:f>
        <s:v>46247.39172453704</s:v>
      </s:c>
      <s:c r="S672" s="22">
        <s:f>'9'!F673</s:f>
        <s:v>46247.37391203704</s:v>
      </s:c>
      <s:c r="T672" s="22">
        <s:f>'10'!F673</s:f>
        <s:v>46247.3446875</s:v>
      </s:c>
      <s:c r="U672" s="23">
        <s:f>'자료구성'!$B$2</s:f>
        <s:v>46247.0</s:v>
      </s:c>
    </s:row>
    <s:row r="673">
      <s:c r="A673" s="0" t="n">
        <s:v>1272</s:v>
      </s:c>
      <s:c r="B673" s="0" t="n">
        <s:v>1279</s:v>
      </s:c>
      <s:c r="C673" s="0" t="n">
        <s:v>3404</s:v>
      </s:c>
      <s:c r="D673" s="0" t="n">
        <s:v>821</s:v>
      </s:c>
      <s:c r="E673" s="0" t="n">
        <s:v>1261</s:v>
      </s:c>
      <s:c r="F673" s="0" t="n">
        <s:v>2770</s:v>
      </s:c>
      <s:c r="G673" s="0" t="n">
        <s:v>2229</s:v>
      </s:c>
      <s:c r="H673" s="0" t="n">
        <s:v>4448</s:v>
      </s:c>
      <s:c r="I673" s="0" t="n">
        <s:v>2356</s:v>
      </s:c>
      <s:c r="J673" s="0" t="n">
        <s:v>1921</s:v>
      </s:c>
      <s:c r="K673" s="22">
        <s:f>'1'!F674</s:f>
        <s:v>46247.56793981481</s:v>
      </s:c>
      <s:c r="L673" s="22">
        <s:f>'2'!F674</s:f>
        <s:v>46247.549675925926</s:v>
      </s:c>
      <s:c r="M673" s="22">
        <s:f>'3'!F674</s:f>
        <s:v>46247.53226851852</s:v>
      </s:c>
      <s:c r="N673" s="22">
        <s:f>'4'!F674</s:f>
        <s:v>46247.48637731482</s:v>
      </s:c>
      <s:c r="O673" s="22">
        <s:f>'5'!F674</s:f>
        <s:v>46247.458032407405</s:v>
      </s:c>
      <s:c r="P673" s="22">
        <s:f>'6'!F674</s:f>
        <s:v>46247.438576388886</s:v>
      </s:c>
      <s:c r="Q673" s="22">
        <s:f>'7'!F674</s:f>
        <s:v>46247.415925925925</s:v>
      </s:c>
      <s:c r="R673" s="22">
        <s:f>'8'!F674</s:f>
        <s:v>46247.39173611111</s:v>
      </s:c>
      <s:c r="S673" s="22">
        <s:f>'9'!F674</s:f>
        <s:v>46247.373923611114</s:v>
      </s:c>
      <s:c r="T673" s="22">
        <s:f>'10'!F674</s:f>
        <s:v>46247.34469907408</s:v>
      </s:c>
      <s:c r="U673" s="23">
        <s:f>'자료구성'!$B$2</s:f>
        <s:v>46247.0</s:v>
      </s:c>
    </s:row>
    <s:row r="674">
      <s:c r="A674" s="0" t="n">
        <s:v>1266</s:v>
      </s:c>
      <s:c r="B674" s="0" t="n">
        <s:v>1281</s:v>
      </s:c>
      <s:c r="C674" s="0" t="n">
        <s:v>3317</s:v>
      </s:c>
      <s:c r="D674" s="0" t="n">
        <s:v>821</s:v>
      </s:c>
      <s:c r="E674" s="0" t="n">
        <s:v>1244</s:v>
      </s:c>
      <s:c r="F674" s="0" t="n">
        <s:v>2843</s:v>
      </s:c>
      <s:c r="G674" s="0" t="n">
        <s:v>2292</s:v>
      </s:c>
      <s:c r="H674" s="0" t="n">
        <s:v>4399</s:v>
      </s:c>
      <s:c r="I674" s="0" t="n">
        <s:v>2473</s:v>
      </s:c>
      <s:c r="J674" s="0" t="n">
        <s:v>1957</s:v>
      </s:c>
      <s:c r="K674" s="22">
        <s:f>'1'!F675</s:f>
        <s:v>46247.56795138889</s:v>
      </s:c>
      <s:c r="L674" s="22">
        <s:f>'2'!F675</s:f>
        <s:v>46247.5496875</s:v>
      </s:c>
      <s:c r="M674" s="22">
        <s:f>'3'!F675</s:f>
        <s:v>46247.53228009259</s:v>
      </s:c>
      <s:c r="N674" s="22">
        <s:f>'4'!F675</s:f>
        <s:v>46247.48638888889</s:v>
      </s:c>
      <s:c r="O674" s="22">
        <s:f>'5'!F675</s:f>
        <s:v>46247.45804398148</s:v>
      </s:c>
      <s:c r="P674" s="22">
        <s:f>'6'!F675</s:f>
        <s:v>46247.43858796296</s:v>
      </s:c>
      <s:c r="Q674" s="22">
        <s:f>'7'!F675</s:f>
        <s:v>46247.4159375</s:v>
      </s:c>
      <s:c r="R674" s="22">
        <s:f>'8'!F675</s:f>
        <s:v>46247.391747685186</s:v>
      </s:c>
      <s:c r="S674" s="22">
        <s:f>'9'!F675</s:f>
        <s:v>46247.373935185184</s:v>
      </s:c>
      <s:c r="T674" s="22">
        <s:f>'10'!F675</s:f>
        <s:v>46247.34471064815</s:v>
      </s:c>
      <s:c r="U674" s="23">
        <s:f>'자료구성'!$B$2</s:f>
        <s:v>46247.0</s:v>
      </s:c>
    </s:row>
    <s:row r="675">
      <s:c r="A675" s="0" t="n">
        <s:v>1266</s:v>
      </s:c>
      <s:c r="B675" s="0" t="n">
        <s:v>1276</s:v>
      </s:c>
      <s:c r="C675" s="0" t="n">
        <s:v>3265</s:v>
      </s:c>
      <s:c r="D675" s="0" t="n">
        <s:v>831</s:v>
      </s:c>
      <s:c r="E675" s="0" t="n">
        <s:v>1255</s:v>
      </s:c>
      <s:c r="F675" s="0" t="n">
        <s:v>2906</s:v>
      </s:c>
      <s:c r="G675" s="0" t="n">
        <s:v>2358</s:v>
      </s:c>
      <s:c r="H675" s="0" t="n">
        <s:v>4399</s:v>
      </s:c>
      <s:c r="I675" s="0" t="n">
        <s:v>2537</s:v>
      </s:c>
      <s:c r="J675" s="0" t="n">
        <s:v>1993</s:v>
      </s:c>
      <s:c r="K675" s="22">
        <s:f>'1'!F676</s:f>
        <s:v>46247.56796296296</s:v>
      </s:c>
      <s:c r="L675" s="22">
        <s:f>'2'!F676</s:f>
        <s:v>46247.54969907407</s:v>
      </s:c>
      <s:c r="M675" s="22">
        <s:f>'3'!F676</s:f>
        <s:v>46247.53229166667</s:v>
      </s:c>
      <s:c r="N675" s="22">
        <s:f>'4'!F676</s:f>
        <s:v>46247.48640046296</s:v>
      </s:c>
      <s:c r="O675" s="22">
        <s:f>'5'!F676</s:f>
        <s:v>46247.45805555556</s:v>
      </s:c>
      <s:c r="P675" s="22">
        <s:f>'6'!F676</s:f>
        <s:v>46247.43859953704</s:v>
      </s:c>
      <s:c r="Q675" s="22">
        <s:f>'7'!F676</s:f>
        <s:v>46247.41594907407</s:v>
      </s:c>
      <s:c r="R675" s="22">
        <s:f>'8'!F676</s:f>
        <s:v>46247.39175925926</s:v>
      </s:c>
      <s:c r="S675" s="22">
        <s:f>'9'!F676</s:f>
        <s:v>46247.37394675926</s:v>
      </s:c>
      <s:c r="T675" s="22">
        <s:f>'10'!F676</s:f>
        <s:v>46247.344722222224</s:v>
      </s:c>
      <s:c r="U675" s="23">
        <s:f>'자료구성'!$B$2</s:f>
        <s:v>46247.0</s:v>
      </s:c>
    </s:row>
    <s:row r="676">
      <s:c r="A676" s="0" t="n">
        <s:v>1295</s:v>
      </s:c>
      <s:c r="B676" s="0" t="n">
        <s:v>1296</s:v>
      </s:c>
      <s:c r="C676" s="0" t="n">
        <s:v>3196</s:v>
      </s:c>
      <s:c r="D676" s="0" t="n">
        <s:v>834</s:v>
      </s:c>
      <s:c r="E676" s="0" t="n">
        <s:v>1263</s:v>
      </s:c>
      <s:c r="F676" s="0" t="n">
        <s:v>2919</s:v>
      </s:c>
      <s:c r="G676" s="0" t="n">
        <s:v>2390</s:v>
      </s:c>
      <s:c r="H676" s="0" t="n">
        <s:v>4360</s:v>
      </s:c>
      <s:c r="I676" s="0" t="n">
        <s:v>2551</s:v>
      </s:c>
      <s:c r="J676" s="0" t="n">
        <s:v>2053</s:v>
      </s:c>
      <s:c r="K676" s="22">
        <s:f>'1'!F677</s:f>
        <s:v>46247.567974537036</s:v>
      </s:c>
      <s:c r="L676" s="22">
        <s:f>'2'!F677</s:f>
        <s:v>46247.54971064815</s:v>
      </s:c>
      <s:c r="M676" s="22">
        <s:f>'3'!F677</s:f>
        <s:v>46247.53230324074</s:v>
      </s:c>
      <s:c r="N676" s="22">
        <s:f>'4'!F677</s:f>
        <s:v>46247.48641203704</s:v>
      </s:c>
      <s:c r="O676" s="22">
        <s:f>'5'!F677</s:f>
        <s:v>46247.45806712963</s:v>
      </s:c>
      <s:c r="P676" s="22">
        <s:f>'6'!F677</s:f>
        <s:v>46247.43861111111</s:v>
      </s:c>
      <s:c r="Q676" s="22">
        <s:f>'7'!F677</s:f>
        <s:v>46247.41596064815</s:v>
      </s:c>
      <s:c r="R676" s="22">
        <s:f>'8'!F677</s:f>
        <s:v>46247.39177083333</s:v>
      </s:c>
      <s:c r="S676" s="22">
        <s:f>'9'!F677</s:f>
        <s:v>46247.37395833333</s:v>
      </s:c>
      <s:c r="T676" s="22">
        <s:f>'10'!F677</s:f>
        <s:v>46247.34473379629</s:v>
      </s:c>
      <s:c r="U676" s="23">
        <s:f>'자료구성'!$B$2</s:f>
        <s:v>46247.0</s:v>
      </s:c>
    </s:row>
    <s:row r="677">
      <s:c r="A677" s="0" t="n">
        <s:v>1333</s:v>
      </s:c>
      <s:c r="B677" s="0" t="n">
        <s:v>1300</s:v>
      </s:c>
      <s:c r="C677" s="0" t="n">
        <s:v>3116</s:v>
      </s:c>
      <s:c r="D677" s="0" t="n">
        <s:v>857</s:v>
      </s:c>
      <s:c r="E677" s="0" t="n">
        <s:v>1263</s:v>
      </s:c>
      <s:c r="F677" s="0" t="n">
        <s:v>2929</s:v>
      </s:c>
      <s:c r="G677" s="0" t="n">
        <s:v>2405</s:v>
      </s:c>
      <s:c r="H677" s="0" t="n">
        <s:v>4257</s:v>
      </s:c>
      <s:c r="I677" s="0" t="n">
        <s:v>2572</s:v>
      </s:c>
      <s:c r="J677" s="0" t="n">
        <s:v>2085</s:v>
      </s:c>
      <s:c r="K677" s="22">
        <s:f>'1'!F678</s:f>
        <s:v>46247.56798611111</s:v>
      </s:c>
      <s:c r="L677" s="22">
        <s:f>'2'!F678</s:f>
        <s:v>46247.549722222226</s:v>
      </s:c>
      <s:c r="M677" s="22">
        <s:f>'3'!F678</s:f>
        <s:v>46247.532314814816</s:v>
      </s:c>
      <s:c r="N677" s="22">
        <s:f>'4'!F678</s:f>
        <s:v>46247.48642361111</s:v>
      </s:c>
      <s:c r="O677" s="22">
        <s:f>'5'!F678</s:f>
        <s:v>46247.458078703705</s:v>
      </s:c>
      <s:c r="P677" s="22">
        <s:f>'6'!F678</s:f>
        <s:v>46247.438622685186</s:v>
      </s:c>
      <s:c r="Q677" s="22">
        <s:f>'7'!F678</s:f>
        <s:v>46247.415972222225</s:v>
      </s:c>
      <s:c r="R677" s="22">
        <s:f>'8'!F678</s:f>
        <s:v>46247.39178240741</s:v>
      </s:c>
      <s:c r="S677" s="22">
        <s:f>'9'!F678</s:f>
        <s:v>46247.37396990741</s:v>
      </s:c>
      <s:c r="T677" s="22">
        <s:f>'10'!F678</s:f>
        <s:v>46247.34474537037</s:v>
      </s:c>
      <s:c r="U677" s="23">
        <s:f>'자료구성'!$B$2</s:f>
        <s:v>46247.0</s:v>
      </s:c>
    </s:row>
    <s:row r="678">
      <s:c r="A678" s="0" t="n">
        <s:v>1334</s:v>
      </s:c>
      <s:c r="B678" s="0" t="n">
        <s:v>1288</s:v>
      </s:c>
      <s:c r="C678" s="0" t="n">
        <s:v>3097</s:v>
      </s:c>
      <s:c r="D678" s="0" t="n">
        <s:v>940</s:v>
      </s:c>
      <s:c r="E678" s="0" t="n">
        <s:v>1309</s:v>
      </s:c>
      <s:c r="F678" s="0" t="n">
        <s:v>2928</s:v>
      </s:c>
      <s:c r="G678" s="0" t="n">
        <s:v>2426</s:v>
      </s:c>
      <s:c r="H678" s="0" t="n">
        <s:v>4158</s:v>
      </s:c>
      <s:c r="I678" s="0" t="n">
        <s:v>2603</s:v>
      </s:c>
      <s:c r="J678" s="0" t="n">
        <s:v>2107</s:v>
      </s:c>
      <s:c r="K678" s="22">
        <s:f>'1'!F679</s:f>
        <s:v>46247.56799768518</s:v>
      </s:c>
      <s:c r="L678" s="22">
        <s:f>'2'!F679</s:f>
        <s:v>46247.549733796295</s:v>
      </s:c>
      <s:c r="M678" s="22">
        <s:f>'3'!F679</s:f>
        <s:v>46247.532326388886</s:v>
      </s:c>
      <s:c r="N678" s="22">
        <s:f>'4'!F679</s:f>
        <s:v>46247.48643518519</s:v>
      </s:c>
      <s:c r="O678" s="22">
        <s:f>'5'!F679</s:f>
        <s:v>46247.458090277774</s:v>
      </s:c>
      <s:c r="P678" s="22">
        <s:f>'6'!F679</s:f>
        <s:v>46247.43863425926</s:v>
      </s:c>
      <s:c r="Q678" s="22">
        <s:f>'7'!F679</s:f>
        <s:v>46247.415983796294</s:v>
      </s:c>
      <s:c r="R678" s="22">
        <s:f>'8'!F679</s:f>
        <s:v>46247.39179398148</s:v>
      </s:c>
      <s:c r="S678" s="22">
        <s:f>'9'!F679</s:f>
        <s:v>46247.37398148148</s:v>
      </s:c>
      <s:c r="T678" s="22">
        <s:f>'10'!F679</s:f>
        <s:v>46247.34475694445</s:v>
      </s:c>
      <s:c r="U678" s="23">
        <s:f>'자료구성'!$B$2</s:f>
        <s:v>46247.0</s:v>
      </s:c>
    </s:row>
    <s:row r="679">
      <s:c r="A679" s="0" t="n">
        <s:v>1363</s:v>
      </s:c>
      <s:c r="B679" s="0" t="n">
        <s:v>1316</s:v>
      </s:c>
      <s:c r="C679" s="0" t="n">
        <s:v>3017</s:v>
      </s:c>
      <s:c r="D679" s="0" t="n">
        <s:v>17</s:v>
      </s:c>
      <s:c r="E679" s="0" t="n">
        <s:v>1316</s:v>
      </s:c>
      <s:c r="F679" s="0" t="n">
        <s:v>2940</s:v>
      </s:c>
      <s:c r="G679" s="0" t="n">
        <s:v>2375</s:v>
      </s:c>
      <s:c r="H679" s="0" t="n">
        <s:v>4084</s:v>
      </s:c>
      <s:c r="I679" s="0" t="n">
        <s:v>2615</s:v>
      </s:c>
      <s:c r="J679" s="0" t="n">
        <s:v>2154</s:v>
      </s:c>
      <s:c r="K679" s="22">
        <s:f>'1'!F680</s:f>
        <s:v>46247.56800925926</s:v>
      </s:c>
      <s:c r="L679" s="22">
        <s:f>'2'!F680</s:f>
        <s:v>46247.54974537037</s:v>
      </s:c>
      <s:c r="M679" s="22">
        <s:f>'3'!F680</s:f>
        <s:v>46247.53233796296</s:v>
      </s:c>
      <s:c r="N679" s="22">
        <s:f>'4'!F680</s:f>
        <s:v>46247.486446759256</s:v>
      </s:c>
      <s:c r="O679" s="22">
        <s:f>'5'!F680</s:f>
        <s:v>46247.45810185185</s:v>
      </s:c>
      <s:c r="P679" s="22">
        <s:f>'6'!F680</s:f>
        <s:v>46247.43864583333</s:v>
      </s:c>
      <s:c r="Q679" s="22">
        <s:f>'7'!F680</s:f>
        <s:v>46247.41599537037</s:v>
      </s:c>
      <s:c r="R679" s="22">
        <s:f>'8'!F680</s:f>
        <s:v>46247.391805555555</s:v>
      </s:c>
      <s:c r="S679" s="22">
        <s:f>'9'!F680</s:f>
        <s:v>46247.37399305555</s:v>
      </s:c>
      <s:c r="T679" s="22">
        <s:f>'10'!F680</s:f>
        <s:v>46247.34476851852</s:v>
      </s:c>
      <s:c r="U679" s="23">
        <s:f>'자료구성'!$B$2</s:f>
        <s:v>46247.0</s:v>
      </s:c>
    </s:row>
    <s:row r="680">
      <s:c r="A680" s="0" t="n">
        <s:v>1400</s:v>
      </s:c>
      <s:c r="B680" s="0" t="n">
        <s:v>1323</s:v>
      </s:c>
      <s:c r="C680" s="0" t="n">
        <s:v>2951</s:v>
      </s:c>
      <s:c r="D680" s="0" t="n">
        <s:v>61</s:v>
      </s:c>
      <s:c r="E680" s="0" t="n">
        <s:v>1337</s:v>
      </s:c>
      <s:c r="F680" s="0" t="n">
        <s:v>3123</s:v>
      </s:c>
      <s:c r="G680" s="0" t="n">
        <s:v>2322</s:v>
      </s:c>
      <s:c r="H680" s="0" t="n">
        <s:v>4192</s:v>
      </s:c>
      <s:c r="I680" s="0" t="n">
        <s:v>2662</s:v>
      </s:c>
      <s:c r="J680" s="0" t="n">
        <s:v>2200</s:v>
      </s:c>
      <s:c r="K680" s="22">
        <s:f>'1'!F681</s:f>
        <s:v>46247.568020833336</s:v>
      </s:c>
      <s:c r="L680" s="22">
        <s:f>'2'!F681</s:f>
        <s:v>46247.54975694444</s:v>
      </s:c>
      <s:c r="M680" s="22">
        <s:f>'3'!F681</s:f>
        <s:v>46247.53234953704</s:v>
      </s:c>
      <s:c r="N680" s="22">
        <s:f>'4'!F681</s:f>
        <s:v>46247.48645833333</s:v>
      </s:c>
      <s:c r="O680" s="22">
        <s:f>'5'!F681</s:f>
        <s:v>46247.45811342593</s:v>
      </s:c>
      <s:c r="P680" s="22">
        <s:f>'6'!F681</s:f>
        <s:v>46247.43865740741</s:v>
      </s:c>
      <s:c r="Q680" s="22">
        <s:f>'7'!F681</s:f>
        <s:v>46247.41600694445</s:v>
      </s:c>
      <s:c r="R680" s="22">
        <s:f>'8'!F681</s:f>
        <s:v>46247.39181712963</s:v>
      </s:c>
      <s:c r="S680" s="22">
        <s:f>'9'!F681</s:f>
        <s:v>46247.37400462963</s:v>
      </s:c>
      <s:c r="T680" s="22">
        <s:f>'10'!F681</s:f>
        <s:v>46247.34478009259</s:v>
      </s:c>
      <s:c r="U680" s="23">
        <s:f>'자료구성'!$B$2</s:f>
        <s:v>46247.0</s:v>
      </s:c>
    </s:row>
    <s:row r="681">
      <s:c r="A681" s="0" t="n">
        <s:v>1420</s:v>
      </s:c>
      <s:c r="B681" s="0" t="n">
        <s:v>1329</s:v>
      </s:c>
      <s:c r="C681" s="0" t="n">
        <s:v>2936</s:v>
      </s:c>
      <s:c r="D681" s="0" t="n">
        <s:v>124</s:v>
      </s:c>
      <s:c r="E681" s="0" t="n">
        <s:v>1393</s:v>
      </s:c>
      <s:c r="F681" s="0" t="n">
        <s:v>3282</s:v>
      </s:c>
      <s:c r="G681" s="0" t="n">
        <s:v>2287</s:v>
      </s:c>
      <s:c r="H681" s="0" t="n">
        <s:v>4395</s:v>
      </s:c>
      <s:c r="I681" s="0" t="n">
        <s:v>2682</s:v>
      </s:c>
      <s:c r="J681" s="0" t="n">
        <s:v>2268</s:v>
      </s:c>
      <s:c r="K681" s="22">
        <s:f>'1'!F682</s:f>
        <s:v>46247.568032407406</s:v>
      </s:c>
      <s:c r="L681" s="22">
        <s:f>'2'!F682</s:f>
        <s:v>46247.54976851852</s:v>
      </s:c>
      <s:c r="M681" s="22">
        <s:f>'3'!F682</s:f>
        <s:v>46247.53236111111</s:v>
      </s:c>
      <s:c r="N681" s="22">
        <s:f>'4'!F682</s:f>
        <s:v>46247.48646990741</s:v>
      </s:c>
      <s:c r="O681" s="22">
        <s:f>'5'!F682</s:f>
        <s:v>46247.458125</s:v>
      </s:c>
      <s:c r="P681" s="22">
        <s:f>'6'!F682</s:f>
        <s:v>46247.43866898148</s:v>
      </s:c>
      <s:c r="Q681" s="22">
        <s:f>'7'!F682</s:f>
        <s:v>46247.41601851852</s:v>
      </s:c>
      <s:c r="R681" s="22">
        <s:f>'8'!F682</s:f>
        <s:v>46247.3918287037</s:v>
      </s:c>
      <s:c r="S681" s="22">
        <s:f>'9'!F682</s:f>
        <s:v>46247.37401620371</s:v>
      </s:c>
      <s:c r="T681" s="22">
        <s:f>'10'!F682</s:f>
        <s:v>46247.34479166667</s:v>
      </s:c>
      <s:c r="U681" s="23">
        <s:f>'자료구성'!$B$2</s:f>
        <s:v>46247.0</s:v>
      </s:c>
    </s:row>
    <s:row r="682">
      <s:c r="A682" s="0" t="n">
        <s:v>1428</s:v>
      </s:c>
      <s:c r="B682" s="0" t="n">
        <s:v>1350</s:v>
      </s:c>
      <s:c r="C682" s="0" t="n">
        <s:v>2910</s:v>
      </s:c>
      <s:c r="D682" s="0" t="n">
        <s:v>137</s:v>
      </s:c>
      <s:c r="E682" s="0" t="n">
        <s:v>1436</s:v>
      </s:c>
      <s:c r="F682" s="0" t="n">
        <s:v>3328</s:v>
      </s:c>
      <s:c r="G682" s="0" t="n">
        <s:v>2216</s:v>
      </s:c>
      <s:c r="H682" s="0" t="n">
        <s:v>4578</s:v>
      </s:c>
      <s:c r="I682" s="0" t="n">
        <s:v>2653</s:v>
      </s:c>
      <s:c r="J682" s="0" t="n">
        <s:v>2349</s:v>
      </s:c>
      <s:c r="K682" s="22">
        <s:f>'1'!F683</s:f>
        <s:v>46247.56804398148</s:v>
      </s:c>
      <s:c r="L682" s="22">
        <s:f>'2'!F683</s:f>
        <s:v>46247.549780092595</s:v>
      </s:c>
      <s:c r="M682" s="22">
        <s:f>'3'!F683</s:f>
        <s:v>46247.532372685186</s:v>
      </s:c>
      <s:c r="N682" s="22">
        <s:f>'4'!F683</s:f>
        <s:v>46247.48648148148</s:v>
      </s:c>
      <s:c r="O682" s="22">
        <s:f>'5'!F683</s:f>
        <s:v>46247.458136574074</s:v>
      </s:c>
      <s:c r="P682" s="22">
        <s:f>'6'!F683</s:f>
        <s:v>46247.438680555555</s:v>
      </s:c>
      <s:c r="Q682" s="22">
        <s:f>'7'!F683</s:f>
        <s:v>46247.416030092594</s:v>
      </s:c>
      <s:c r="R682" s="22">
        <s:f>'8'!F683</s:f>
        <s:v>46247.39184027778</s:v>
      </s:c>
      <s:c r="S682" s="22">
        <s:f>'9'!F683</s:f>
        <s:v>46247.374027777776</s:v>
      </s:c>
      <s:c r="T682" s="22">
        <s:f>'10'!F683</s:f>
        <s:v>46247.34480324074</s:v>
      </s:c>
      <s:c r="U682" s="23">
        <s:f>'자료구성'!$B$2</s:f>
        <s:v>46247.0</s:v>
      </s:c>
    </s:row>
    <s:row r="683">
      <s:c r="A683" s="0" t="n">
        <s:v>1439</s:v>
      </s:c>
      <s:c r="B683" s="0" t="n">
        <s:v>1339</s:v>
      </s:c>
      <s:c r="C683" s="0" t="n">
        <s:v>2934</s:v>
      </s:c>
      <s:c r="D683" s="0" t="n">
        <s:v>124</s:v>
      </s:c>
      <s:c r="E683" s="0" t="n">
        <s:v>1445</s:v>
      </s:c>
      <s:c r="F683" s="0" t="n">
        <s:v>3454</s:v>
      </s:c>
      <s:c r="G683" s="0" t="n">
        <s:v>2185</s:v>
      </s:c>
      <s:c r="H683" s="0" t="n">
        <s:v>4439</s:v>
      </s:c>
      <s:c r="I683" s="0" t="n">
        <s:v>2622</s:v>
      </s:c>
      <s:c r="J683" s="0" t="n">
        <s:v>2408</s:v>
      </s:c>
      <s:c r="K683" s="22">
        <s:f>'1'!F684</s:f>
        <s:v>46247.56805555556</s:v>
      </s:c>
      <s:c r="L683" s="22">
        <s:f>'2'!F684</s:f>
        <s:v>46247.549791666665</s:v>
      </s:c>
      <s:c r="M683" s="22">
        <s:f>'3'!F684</s:f>
        <s:v>46247.53238425926</s:v>
      </s:c>
      <s:c r="N683" s="22">
        <s:f>'4'!F684</s:f>
        <s:v>46247.486493055556</s:v>
      </s:c>
      <s:c r="O683" s="22">
        <s:f>'5'!F684</s:f>
        <s:v>46247.45814814815</s:v>
      </s:c>
      <s:c r="P683" s="22">
        <s:f>'6'!F684</s:f>
        <s:v>46247.43869212963</s:v>
      </s:c>
      <s:c r="Q683" s="22">
        <s:f>'7'!F684</s:f>
        <s:v>46247.416041666664</s:v>
      </s:c>
      <s:c r="R683" s="22">
        <s:f>'8'!F684</s:f>
        <s:v>46247.391851851855</s:v>
      </s:c>
      <s:c r="S683" s="22">
        <s:f>'9'!F684</s:f>
        <s:v>46247.37403935185</s:v>
      </s:c>
      <s:c r="T683" s="22">
        <s:f>'10'!F684</s:f>
        <s:v>46247.344814814816</s:v>
      </s:c>
      <s:c r="U683" s="23">
        <s:f>'자료구성'!$B$2</s:f>
        <s:v>46247.0</s:v>
      </s:c>
    </s:row>
    <s:row r="684">
      <s:c r="A684" s="0" t="n">
        <s:v>1464</s:v>
      </s:c>
      <s:c r="B684" s="0" t="n">
        <s:v>1345</s:v>
      </s:c>
      <s:c r="C684" s="0" t="n">
        <s:v>2960</s:v>
      </s:c>
      <s:c r="D684" s="0" t="n">
        <s:v>195</s:v>
      </s:c>
      <s:c r="E684" s="0" t="n">
        <s:v>1469</s:v>
      </s:c>
      <s:c r="F684" s="0" t="n">
        <s:v>3597</s:v>
      </s:c>
      <s:c r="G684" s="0" t="n">
        <s:v>2124</s:v>
      </s:c>
      <s:c r="H684" s="0" t="n">
        <s:v>4308</s:v>
      </s:c>
      <s:c r="I684" s="0" t="n">
        <s:v>2625</s:v>
      </s:c>
      <s:c r="J684" s="0" t="n">
        <s:v>2405</s:v>
      </s:c>
      <s:c r="K684" s="22">
        <s:f>'1'!F685</s:f>
        <s:v>46247.56806712963</s:v>
      </s:c>
      <s:c r="L684" s="22">
        <s:f>'2'!F685</s:f>
        <s:v>46247.54980324074</s:v>
      </s:c>
      <s:c r="M684" s="22">
        <s:f>'3'!F685</s:f>
        <s:v>46247.53239583333</s:v>
      </s:c>
      <s:c r="N684" s="22">
        <s:f>'4'!F685</s:f>
        <s:v>46247.48650462963</s:v>
      </s:c>
      <s:c r="O684" s="22">
        <s:f>'5'!F685</s:f>
        <s:v>46247.45815972222</s:v>
      </s:c>
      <s:c r="P684" s="22">
        <s:f>'6'!F685</s:f>
        <s:v>46247.4387037037</s:v>
      </s:c>
      <s:c r="Q684" s="22">
        <s:f>'7'!F685</s:f>
        <s:v>46247.41605324074</s:v>
      </s:c>
      <s:c r="R684" s="22">
        <s:f>'8'!F685</s:f>
        <s:v>46247.391863425924</s:v>
      </s:c>
      <s:c r="S684" s="22">
        <s:f>'9'!F685</s:f>
        <s:v>46247.37405092592</s:v>
      </s:c>
      <s:c r="T684" s="22">
        <s:f>'10'!F685</s:f>
        <s:v>46247.344826388886</s:v>
      </s:c>
      <s:c r="U684" s="23">
        <s:f>'자료구성'!$B$2</s:f>
        <s:v>46247.0</s:v>
      </s:c>
    </s:row>
    <s:row r="685">
      <s:c r="A685" s="0" t="n">
        <s:v>1455</s:v>
      </s:c>
      <s:c r="B685" s="0" t="n">
        <s:v>1348</s:v>
      </s:c>
      <s:c r="C685" s="0" t="n">
        <s:v>2985</s:v>
      </s:c>
      <s:c r="D685" s="0" t="n">
        <s:v>260</s:v>
      </s:c>
      <s:c r="E685" s="0" t="n">
        <s:v>1449</s:v>
      </s:c>
      <s:c r="F685" s="0" t="n">
        <s:v>3632</s:v>
      </s:c>
      <s:c r="G685" s="0" t="n">
        <s:v>2084</s:v>
      </s:c>
      <s:c r="H685" s="0" t="n">
        <s:v>4214</s:v>
      </s:c>
      <s:c r="I685" s="0" t="n">
        <s:v>2624</s:v>
      </s:c>
      <s:c r="J685" s="0" t="n">
        <s:v>2398</s:v>
      </s:c>
      <s:c r="K685" s="22">
        <s:f>'1'!F686</s:f>
        <s:v>46247.568078703705</s:v>
      </s:c>
      <s:c r="L685" s="22">
        <s:f>'2'!F686</s:f>
        <s:v>46247.54981481482</s:v>
      </s:c>
      <s:c r="M685" s="22">
        <s:f>'3'!F686</s:f>
        <s:v>46247.53240740741</s:v>
      </s:c>
      <s:c r="N685" s="22">
        <s:f>'4'!F686</s:f>
        <s:v>46247.4865162037</s:v>
      </s:c>
      <s:c r="O685" s="22">
        <s:f>'5'!F686</s:f>
        <s:v>46247.4581712963</s:v>
      </s:c>
      <s:c r="P685" s="22">
        <s:f>'6'!F686</s:f>
        <s:v>46247.43871527778</s:v>
      </s:c>
      <s:c r="Q685" s="22">
        <s:f>'7'!F686</s:f>
        <s:v>46247.41606481482</s:v>
      </s:c>
      <s:c r="R685" s="22">
        <s:f>'8'!F686</s:f>
        <s:v>46247.391875</s:v>
      </s:c>
      <s:c r="S685" s="22">
        <s:f>'9'!F686</s:f>
        <s:v>46247.3740625</s:v>
      </s:c>
      <s:c r="T685" s="22">
        <s:f>'10'!F686</s:f>
        <s:v>46247.34483796296</s:v>
      </s:c>
      <s:c r="U685" s="23">
        <s:f>'자료구성'!$B$2</s:f>
        <s:v>46247.0</s:v>
      </s:c>
    </s:row>
    <s:row r="686">
      <s:c r="A686" s="0" t="n">
        <s:v>1445</s:v>
      </s:c>
      <s:c r="B686" s="0" t="n">
        <s:v>1348</s:v>
      </s:c>
      <s:c r="C686" s="0" t="n">
        <s:v>2960</s:v>
      </s:c>
      <s:c r="D686" s="0" t="n">
        <s:v>284</s:v>
      </s:c>
      <s:c r="E686" s="0" t="n">
        <s:v>1438</s:v>
      </s:c>
      <s:c r="F686" s="0" t="n">
        <s:v>3632</s:v>
      </s:c>
      <s:c r="G686" s="0" t="n">
        <s:v>2059</s:v>
      </s:c>
      <s:c r="H686" s="0" t="n">
        <s:v>4115</s:v>
      </s:c>
      <s:c r="I686" s="0" t="n">
        <s:v>2614</s:v>
      </s:c>
      <s:c r="J686" s="0" t="n">
        <s:v>2395</s:v>
      </s:c>
      <s:c r="K686" s="22">
        <s:f>'1'!F687</s:f>
        <s:v>46247.568090277775</s:v>
      </s:c>
      <s:c r="L686" s="22">
        <s:f>'2'!F687</s:f>
        <s:v>46247.54982638889</s:v>
      </s:c>
      <s:c r="M686" s="22">
        <s:f>'3'!F687</s:f>
        <s:v>46247.53241898148</s:v>
      </s:c>
      <s:c r="N686" s="22">
        <s:f>'4'!F687</s:f>
        <s:v>46247.48652777778</s:v>
      </s:c>
      <s:c r="O686" s="22">
        <s:f>'5'!F687</s:f>
        <s:v>46247.458182870374</s:v>
      </s:c>
      <s:c r="P686" s="22">
        <s:f>'6'!F687</s:f>
        <s:v>46247.438726851855</s:v>
      </s:c>
      <s:c r="Q686" s="22">
        <s:f>'7'!F687</s:f>
        <s:v>46247.41607638889</s:v>
      </s:c>
      <s:c r="R686" s="22">
        <s:f>'8'!F687</s:f>
        <s:v>46247.39188657407</s:v>
      </s:c>
      <s:c r="S686" s="22">
        <s:f>'9'!F687</s:f>
        <s:v>46247.374074074076</s:v>
      </s:c>
      <s:c r="T686" s="22">
        <s:f>'10'!F687</s:f>
        <s:v>46247.34484953704</s:v>
      </s:c>
      <s:c r="U686" s="23">
        <s:f>'자료구성'!$B$2</s:f>
        <s:v>46247.0</s:v>
      </s:c>
    </s:row>
    <s:row r="687">
      <s:c r="A687" s="0" t="n">
        <s:v>1419</s:v>
      </s:c>
      <s:c r="B687" s="0" t="n">
        <s:v>1358</s:v>
      </s:c>
      <s:c r="C687" s="0" t="n">
        <s:v>2900</s:v>
      </s:c>
      <s:c r="D687" s="0" t="n">
        <s:v>319</s:v>
      </s:c>
      <s:c r="E687" s="0" t="n">
        <s:v>1399</s:v>
      </s:c>
      <s:c r="F687" s="0" t="n">
        <s:v>3579</s:v>
      </s:c>
      <s:c r="G687" s="0" t="n">
        <s:v>2024</s:v>
      </s:c>
      <s:c r="H687" s="0" t="n">
        <s:v>4049</s:v>
      </s:c>
      <s:c r="I687" s="0" t="n">
        <s:v>2589</s:v>
      </s:c>
      <s:c r="J687" s="0" t="n">
        <s:v>2294</s:v>
      </s:c>
      <s:c r="K687" s="22">
        <s:f>'1'!F688</s:f>
        <s:v>46247.56810185185</s:v>
      </s:c>
      <s:c r="L687" s="22">
        <s:f>'2'!F688</s:f>
        <s:v>46247.549837962964</s:v>
      </s:c>
      <s:c r="M687" s="22">
        <s:f>'3'!F688</s:f>
        <s:v>46247.532430555555</s:v>
      </s:c>
      <s:c r="N687" s="22">
        <s:f>'4'!F688</s:f>
        <s:v>46247.48653935185</s:v>
      </s:c>
      <s:c r="O687" s="22">
        <s:f>'5'!F688</s:f>
        <s:v>46247.45819444444</s:v>
      </s:c>
      <s:c r="P687" s="22">
        <s:f>'6'!F688</s:f>
        <s:v>46247.438738425924</s:v>
      </s:c>
      <s:c r="Q687" s="22">
        <s:f>'7'!F688</s:f>
        <s:v>46247.41608796296</s:v>
      </s:c>
      <s:c r="R687" s="22">
        <s:f>'8'!F688</s:f>
        <s:v>46247.39189814815</s:v>
      </s:c>
      <s:c r="S687" s="22">
        <s:f>'9'!F688</s:f>
        <s:v>46247.374085648145</s:v>
      </s:c>
      <s:c r="T687" s="22">
        <s:f>'10'!F688</s:f>
        <s:v>46247.34486111111</s:v>
      </s:c>
      <s:c r="U687" s="23">
        <s:f>'자료구성'!$B$2</s:f>
        <s:v>46247.0</s:v>
      </s:c>
    </s:row>
    <s:row r="688">
      <s:c r="A688" s="0" t="n">
        <s:v>1402</s:v>
      </s:c>
      <s:c r="B688" s="0" t="n">
        <s:v>1377</s:v>
      </s:c>
      <s:c r="C688" s="0" t="n">
        <s:v>2810</s:v>
      </s:c>
      <s:c r="D688" s="0" t="n">
        <s:v>345</s:v>
      </s:c>
      <s:c r="E688" s="0" t="n">
        <s:v>1382</s:v>
      </s:c>
      <s:c r="F688" s="0" t="n">
        <s:v>3562</s:v>
      </s:c>
      <s:c r="G688" s="0" t="n">
        <s:v>2001</s:v>
      </s:c>
      <s:c r="H688" s="0" t="n">
        <s:v>4009</s:v>
      </s:c>
      <s:c r="I688" s="0" t="n">
        <s:v>2554</s:v>
      </s:c>
      <s:c r="J688" s="0" t="n">
        <s:v>2175</s:v>
      </s:c>
      <s:c r="K688" s="22">
        <s:f>'1'!F689</s:f>
        <s:v>46247.56811342593</s:v>
      </s:c>
      <s:c r="L688" s="22">
        <s:f>'2'!F689</s:f>
        <s:v>46247.549849537034</s:v>
      </s:c>
      <s:c r="M688" s="22">
        <s:f>'3'!F689</s:f>
        <s:v>46247.53244212963</s:v>
      </s:c>
      <s:c r="N688" s="22">
        <s:f>'4'!F689</s:f>
        <s:v>46247.486550925925</s:v>
      </s:c>
      <s:c r="O688" s="22">
        <s:f>'5'!F689</s:f>
        <s:v>46247.45820601852</s:v>
      </s:c>
      <s:c r="P688" s="22">
        <s:f>'6'!F689</s:f>
        <s:v>46247.43875</s:v>
      </s:c>
      <s:c r="Q688" s="22">
        <s:f>'7'!F689</s:f>
        <s:v>46247.41609953704</s:v>
      </s:c>
      <s:c r="R688" s="22">
        <s:f>'8'!F689</s:f>
        <s:v>46247.391909722224</s:v>
      </s:c>
      <s:c r="S688" s="22">
        <s:f>'9'!F689</s:f>
        <s:v>46247.37409722222</s:v>
      </s:c>
      <s:c r="T688" s="22">
        <s:f>'10'!F689</s:f>
        <s:v>46247.344872685186</s:v>
      </s:c>
      <s:c r="U688" s="23">
        <s:f>'자료구성'!$B$2</s:f>
        <s:v>46247.0</s:v>
      </s:c>
    </s:row>
    <s:row r="689">
      <s:c r="A689" s="0" t="n">
        <s:v>1402</s:v>
      </s:c>
      <s:c r="B689" s="0" t="n">
        <s:v>1385</s:v>
      </s:c>
      <s:c r="C689" s="0" t="n">
        <s:v>2769</s:v>
      </s:c>
      <s:c r="D689" s="0" t="n">
        <s:v>359</s:v>
      </s:c>
      <s:c r="E689" s="0" t="n">
        <s:v>1395</s:v>
      </s:c>
      <s:c r="F689" s="0" t="n">
        <s:v>3590</s:v>
      </s:c>
      <s:c r="G689" s="0" t="n">
        <s:v>2008</s:v>
      </s:c>
      <s:c r="H689" s="0" t="n">
        <s:v>4066</s:v>
      </s:c>
      <s:c r="I689" s="0" t="n">
        <s:v>2485</s:v>
      </s:c>
      <s:c r="J689" s="0" t="n">
        <s:v>2092</s:v>
      </s:c>
      <s:c r="K689" s="22">
        <s:f>'1'!F690</s:f>
        <s:v>46247.568125</s:v>
      </s:c>
      <s:c r="L689" s="22">
        <s:f>'2'!F690</s:f>
        <s:v>46247.54986111111</s:v>
      </s:c>
      <s:c r="M689" s="22">
        <s:f>'3'!F690</s:f>
        <s:v>46247.5324537037</s:v>
      </s:c>
      <s:c r="N689" s="22">
        <s:f>'4'!F690</s:f>
        <s:v>46247.4865625</s:v>
      </s:c>
      <s:c r="O689" s="22">
        <s:f>'5'!F690</s:f>
        <s:v>46247.45821759259</s:v>
      </s:c>
      <s:c r="P689" s="22">
        <s:f>'6'!F690</s:f>
        <s:v>46247.43876157407</s:v>
      </s:c>
      <s:c r="Q689" s="22">
        <s:f>'7'!F690</s:f>
        <s:v>46247.41611111111</s:v>
      </s:c>
      <s:c r="R689" s="22">
        <s:f>'8'!F690</s:f>
        <s:v>46247.391921296294</s:v>
      </s:c>
      <s:c r="S689" s="22">
        <s:f>'9'!F690</s:f>
        <s:v>46247.3741087963</s:v>
      </s:c>
      <s:c r="T689" s="22">
        <s:f>'10'!F690</s:f>
        <s:v>46247.34488425926</s:v>
      </s:c>
      <s:c r="U689" s="23">
        <s:f>'자료구성'!$B$2</s:f>
        <s:v>46247.0</s:v>
      </s:c>
    </s:row>
    <s:row r="690">
      <s:c r="A690" s="0" t="n">
        <s:v>1369</s:v>
      </s:c>
      <s:c r="B690" s="0" t="n">
        <s:v>1375</s:v>
      </s:c>
      <s:c r="C690" s="0" t="n">
        <s:v>2742</s:v>
      </s:c>
      <s:c r="D690" s="0" t="n">
        <s:v>386</s:v>
      </s:c>
      <s:c r="E690" s="0" t="n">
        <s:v>1383</s:v>
      </s:c>
      <s:c r="F690" s="0" t="n">
        <s:v>3630</s:v>
      </s:c>
      <s:c r="G690" s="0" t="n">
        <s:v>2044</s:v>
      </s:c>
      <s:c r="H690" s="0" t="n">
        <s:v>4132</s:v>
      </s:c>
      <s:c r="I690" s="0" t="n">
        <s:v>2421</s:v>
      </s:c>
      <s:c r="J690" s="0" t="n">
        <s:v>2025</s:v>
      </s:c>
      <s:c r="K690" s="22">
        <s:f>'1'!F691</s:f>
        <s:v>46247.568136574075</s:v>
      </s:c>
      <s:c r="L690" s="22">
        <s:f>'2'!F691</s:f>
        <s:v>46247.54987268519</s:v>
      </s:c>
      <s:c r="M690" s="22">
        <s:f>'3'!F691</s:f>
        <s:v>46247.53246527778</s:v>
      </s:c>
      <s:c r="N690" s="22">
        <s:f>'4'!F691</s:f>
        <s:v>46247.48657407407</s:v>
      </s:c>
      <s:c r="O690" s="22">
        <s:f>'5'!F691</s:f>
        <s:v>46247.45822916667</s:v>
      </s:c>
      <s:c r="P690" s="22">
        <s:f>'6'!F691</s:f>
        <s:v>46247.43877314815</s:v>
      </s:c>
      <s:c r="Q690" s="22">
        <s:f>'7'!F691</s:f>
        <s:v>46247.41612268519</s:v>
      </s:c>
      <s:c r="R690" s="22">
        <s:f>'8'!F691</s:f>
        <s:v>46247.39193287037</s:v>
      </s:c>
      <s:c r="S690" s="22">
        <s:f>'9'!F691</s:f>
        <s:v>46247.37412037037</s:v>
      </s:c>
      <s:c r="T690" s="22">
        <s:f>'10'!F691</s:f>
        <s:v>46247.34489583333</s:v>
      </s:c>
      <s:c r="U690" s="23">
        <s:f>'자료구성'!$B$2</s:f>
        <s:v>46247.0</s:v>
      </s:c>
    </s:row>
    <s:row r="691">
      <s:c r="A691" s="0" t="n">
        <s:v>1329</s:v>
      </s:c>
      <s:c r="B691" s="0" t="n">
        <s:v>1350</s:v>
      </s:c>
      <s:c r="C691" s="0" t="n">
        <s:v>2712</s:v>
      </s:c>
      <s:c r="D691" s="0" t="n">
        <s:v>404</s:v>
      </s:c>
      <s:c r="E691" s="0" t="n">
        <s:v>1341</s:v>
      </s:c>
      <s:c r="F691" s="0" t="n">
        <s:v>3694</s:v>
      </s:c>
      <s:c r="G691" s="0" t="n">
        <s:v>2084</s:v>
      </s:c>
      <s:c r="H691" s="0" t="n">
        <s:v>4228</s:v>
      </s:c>
      <s:c r="I691" s="0" t="n">
        <s:v>2338</s:v>
      </s:c>
      <s:c r="J691" s="0" t="n">
        <s:v>1967</s:v>
      </s:c>
      <s:c r="K691" s="22">
        <s:f>'1'!F692</s:f>
        <s:v>46247.56814814815</s:v>
      </s:c>
      <s:c r="L691" s="22">
        <s:f>'2'!F692</s:f>
        <s:v>46247.54988425926</s:v>
      </s:c>
      <s:c r="M691" s="22">
        <s:f>'3'!F692</s:f>
        <s:v>46247.532476851855</s:v>
      </s:c>
      <s:c r="N691" s="22">
        <s:f>'4'!F692</s:f>
        <s:v>46247.48658564815</s:v>
      </s:c>
      <s:c r="O691" s="22">
        <s:f>'5'!F692</s:f>
        <s:v>46247.45824074074</s:v>
      </s:c>
      <s:c r="P691" s="22">
        <s:f>'6'!F692</s:f>
        <s:v>46247.438784722224</s:v>
      </s:c>
      <s:c r="Q691" s="22">
        <s:f>'7'!F692</s:f>
        <s:v>46247.416134259256</s:v>
      </s:c>
      <s:c r="R691" s="22">
        <s:f>'8'!F692</s:f>
        <s:v>46247.39194444445</s:v>
      </s:c>
      <s:c r="S691" s="22">
        <s:f>'9'!F692</s:f>
        <s:v>46247.374131944445</s:v>
      </s:c>
      <s:c r="T691" s="22">
        <s:f>'10'!F692</s:f>
        <s:v>46247.34490740741</s:v>
      </s:c>
      <s:c r="U691" s="23">
        <s:f>'자료구성'!$B$2</s:f>
        <s:v>46247.0</s:v>
      </s:c>
    </s:row>
    <s:row r="692">
      <s:c r="A692" s="0" t="n">
        <s:v>1320</s:v>
      </s:c>
      <s:c r="B692" s="0" t="n">
        <s:v>1318</s:v>
      </s:c>
      <s:c r="C692" s="0" t="n">
        <s:v>2711</s:v>
      </s:c>
      <s:c r="D692" s="0" t="n">
        <s:v>403</s:v>
      </s:c>
      <s:c r="E692" s="0" t="n">
        <s:v>1343</s:v>
      </s:c>
      <s:c r="F692" s="0" t="n">
        <s:v>3677</s:v>
      </s:c>
      <s:c r="G692" s="0" t="n">
        <s:v>2049</s:v>
      </s:c>
      <s:c r="H692" s="0" t="n">
        <s:v>4262</s:v>
      </s:c>
      <s:c r="I692" s="0" t="n">
        <s:v>2302</s:v>
      </s:c>
      <s:c r="J692" s="0" t="n">
        <s:v>1912</s:v>
      </s:c>
      <s:c r="K692" s="22">
        <s:f>'1'!F693</s:f>
        <s:v>46247.56815972222</s:v>
      </s:c>
      <s:c r="L692" s="22">
        <s:f>'2'!F693</s:f>
        <s:v>46247.549895833334</s:v>
      </s:c>
      <s:c r="M692" s="22">
        <s:f>'3'!F693</s:f>
        <s:v>46247.532488425924</s:v>
      </s:c>
      <s:c r="N692" s="22">
        <s:f>'4'!F693</s:f>
        <s:v>46247.486597222225</s:v>
      </s:c>
      <s:c r="O692" s="22">
        <s:f>'5'!F693</s:f>
        <s:v>46247.45825231481</s:v>
      </s:c>
      <s:c r="P692" s="22">
        <s:f>'6'!F693</s:f>
        <s:v>46247.438796296294</s:v>
      </s:c>
      <s:c r="Q692" s="22">
        <s:f>'7'!F693</s:f>
        <s:v>46247.41614583333</s:v>
      </s:c>
      <s:c r="R692" s="22">
        <s:f>'8'!F693</s:f>
        <s:v>46247.39195601852</s:v>
      </s:c>
      <s:c r="S692" s="22">
        <s:f>'9'!F693</s:f>
        <s:v>46247.37414351852</s:v>
      </s:c>
      <s:c r="T692" s="22">
        <s:f>'10'!F693</s:f>
        <s:v>46247.34491898148</s:v>
      </s:c>
      <s:c r="U692" s="23">
        <s:f>'자료구성'!$B$2</s:f>
        <s:v>46247.0</s:v>
      </s:c>
    </s:row>
    <s:row r="693">
      <s:c r="A693" s="0" t="n">
        <s:v>1309</s:v>
      </s:c>
      <s:c r="B693" s="0" t="n">
        <s:v>1305</s:v>
      </s:c>
      <s:c r="C693" s="0" t="n">
        <s:v>2732</s:v>
      </s:c>
      <s:c r="D693" s="0" t="n">
        <s:v>322</s:v>
      </s:c>
      <s:c r="E693" s="0" t="n">
        <s:v>1333</s:v>
      </s:c>
      <s:c r="F693" s="0" t="n">
        <s:v>3702</s:v>
      </s:c>
      <s:c r="G693" s="0" t="n">
        <s:v>2041</s:v>
      </s:c>
      <s:c r="H693" s="0" t="n">
        <s:v>4372</s:v>
      </s:c>
      <s:c r="I693" s="0" t="n">
        <s:v>2231</s:v>
      </s:c>
      <s:c r="J693" s="0" t="n">
        <s:v>1883</s:v>
      </s:c>
      <s:c r="K693" s="22">
        <s:f>'1'!F694</s:f>
        <s:v>46247.5681712963</s:v>
      </s:c>
      <s:c r="L693" s="22">
        <s:f>'2'!F694</s:f>
        <s:v>46247.54990740741</s:v>
      </s:c>
      <s:c r="M693" s="22">
        <s:f>'3'!F694</s:f>
        <s:v>46247.5325</s:v>
      </s:c>
      <s:c r="N693" s="22">
        <s:f>'4'!F694</s:f>
        <s:v>46247.486608796295</s:v>
      </s:c>
      <s:c r="O693" s="22">
        <s:f>'5'!F694</s:f>
        <s:v>46247.45826388889</s:v>
      </s:c>
      <s:c r="P693" s="22">
        <s:f>'6'!F694</s:f>
        <s:v>46247.43880787037</s:v>
      </s:c>
      <s:c r="Q693" s="22">
        <s:f>'7'!F694</s:f>
        <s:v>46247.41615740741</s:v>
      </s:c>
      <s:c r="R693" s="22">
        <s:f>'8'!F694</s:f>
        <s:v>46247.39196759259</s:v>
      </s:c>
      <s:c r="S693" s="22">
        <s:f>'9'!F694</s:f>
        <s:v>46247.37415509259</s:v>
      </s:c>
      <s:c r="T693" s="22">
        <s:f>'10'!F694</s:f>
        <s:v>46247.344930555555</s:v>
      </s:c>
      <s:c r="U693" s="23">
        <s:f>'자료구성'!$B$2</s:f>
        <s:v>46247.0</s:v>
      </s:c>
    </s:row>
    <s:row r="694">
      <s:c r="A694" s="0" t="n">
        <s:v>1291</s:v>
      </s:c>
      <s:c r="B694" s="0" t="n">
        <s:v>1283</s:v>
      </s:c>
      <s:c r="C694" s="0" t="n">
        <s:v>2724</s:v>
      </s:c>
      <s:c r="D694" s="0" t="n">
        <s:v>284</s:v>
      </s:c>
      <s:c r="E694" s="0" t="n">
        <s:v>1320</s:v>
      </s:c>
      <s:c r="F694" s="0" t="n">
        <s:v>3842</s:v>
      </s:c>
      <s:c r="G694" s="0" t="n">
        <s:v>1993</s:v>
      </s:c>
      <s:c r="H694" s="0" t="n">
        <s:v>4513</s:v>
      </s:c>
      <s:c r="I694" s="0" t="n">
        <s:v>2219</s:v>
      </s:c>
      <s:c r="J694" s="0" t="n">
        <s:v>1885</s:v>
      </s:c>
      <s:c r="K694" s="22">
        <s:f>'1'!F695</s:f>
        <s:v>46247.56818287037</s:v>
      </s:c>
      <s:c r="L694" s="22">
        <s:f>'2'!F695</s:f>
        <s:v>46247.54991898148</s:v>
      </s:c>
      <s:c r="M694" s="22">
        <s:f>'3'!F695</s:f>
        <s:v>46247.53251157407</s:v>
      </s:c>
      <s:c r="N694" s="22">
        <s:f>'4'!F695</s:f>
        <s:v>46247.48662037037</s:v>
      </s:c>
      <s:c r="O694" s="22">
        <s:f>'5'!F695</s:f>
        <s:v>46247.45827546297</s:v>
      </s:c>
      <s:c r="P694" s="22">
        <s:f>'6'!F695</s:f>
        <s:v>46247.43881944445</s:v>
      </s:c>
      <s:c r="Q694" s="22">
        <s:f>'7'!F695</s:f>
        <s:v>46247.41616898148</s:v>
      </s:c>
      <s:c r="R694" s="22">
        <s:f>'8'!F695</s:f>
        <s:v>46247.39197916666</s:v>
      </s:c>
      <s:c r="S694" s="22">
        <s:f>'9'!F695</s:f>
        <s:v>46247.37416666667</s:v>
      </s:c>
      <s:c r="T694" s="22">
        <s:f>'10'!F695</s:f>
        <s:v>46247.34494212963</s:v>
      </s:c>
      <s:c r="U694" s="23">
        <s:f>'자료구성'!$B$2</s:f>
        <s:v>46247.0</s:v>
      </s:c>
    </s:row>
    <s:row r="695">
      <s:c r="A695" s="0" t="n">
        <s:v>1323</s:v>
      </s:c>
      <s:c r="B695" s="0" t="n">
        <s:v>1293</s:v>
      </s:c>
      <s:c r="C695" s="0" t="n">
        <s:v>2767</s:v>
      </s:c>
      <s:c r="D695" s="0" t="n">
        <s:v>220</s:v>
      </s:c>
      <s:c r="E695" s="0" t="n">
        <s:v>1330</s:v>
      </s:c>
      <s:c r="F695" s="0" t="n">
        <s:v>4036</s:v>
      </s:c>
      <s:c r="G695" s="0" t="n">
        <s:v>1981</s:v>
      </s:c>
      <s:c r="H695" s="0" t="n">
        <s:v>4643</s:v>
      </s:c>
      <s:c r="I695" s="0" t="n">
        <s:v>2249</s:v>
      </s:c>
      <s:c r="J695" s="0" t="n">
        <s:v>1885</s:v>
      </s:c>
      <s:c r="K695" s="22">
        <s:f>'1'!F696</s:f>
        <s:v>46247.568194444444</s:v>
      </s:c>
      <s:c r="L695" s="22">
        <s:f>'2'!F696</s:f>
        <s:v>46247.54993055556</s:v>
      </s:c>
      <s:c r="M695" s="22">
        <s:f>'3'!F696</s:f>
        <s:v>46247.53252314815</s:v>
      </s:c>
      <s:c r="N695" s="22">
        <s:f>'4'!F696</s:f>
        <s:v>46247.48663194444</s:v>
      </s:c>
      <s:c r="O695" s="22">
        <s:f>'5'!F696</s:f>
        <s:v>46247.458287037036</s:v>
      </s:c>
      <s:c r="P695" s="22">
        <s:f>'6'!F696</s:f>
        <s:v>46247.43883101852</s:v>
      </s:c>
      <s:c r="Q695" s="22">
        <s:f>'7'!F696</s:f>
        <s:v>46247.416180555556</s:v>
      </s:c>
      <s:c r="R695" s="22">
        <s:f>'8'!F696</s:f>
        <s:v>46247.39199074074</s:v>
      </s:c>
      <s:c r="S695" s="22">
        <s:f>'9'!F696</s:f>
        <s:v>46247.37417824074</s:v>
      </s:c>
      <s:c r="T695" s="22">
        <s:f>'10'!F696</s:f>
        <s:v>46247.3449537037</s:v>
      </s:c>
      <s:c r="U695" s="23">
        <s:f>'자료구성'!$B$2</s:f>
        <s:v>46247.0</s:v>
      </s:c>
    </s:row>
    <s:row r="696">
      <s:c r="A696" s="0" t="n">
        <s:v>1371</s:v>
      </s:c>
      <s:c r="B696" s="0" t="n">
        <s:v>1301</s:v>
      </s:c>
      <s:c r="C696" s="0" t="n">
        <s:v>2710</s:v>
      </s:c>
      <s:c r="D696" s="0" t="n">
        <s:v>176</s:v>
      </s:c>
      <s:c r="E696" s="0" t="n">
        <s:v>1313</s:v>
      </s:c>
      <s:c r="F696" s="0" t="n">
        <s:v>4168</s:v>
      </s:c>
      <s:c r="G696" s="0" t="n">
        <s:v>2016</s:v>
      </s:c>
      <s:c r="H696" s="0" t="n">
        <s:v>4604</s:v>
      </s:c>
      <s:c r="I696" s="0" t="n">
        <s:v>2330</s:v>
      </s:c>
      <s:c r="J696" s="0" t="n">
        <s:v>1874</s:v>
      </s:c>
      <s:c r="K696" s="22">
        <s:f>'1'!F697</s:f>
        <s:v>46247.56820601852</s:v>
      </s:c>
      <s:c r="L696" s="22">
        <s:f>'2'!F697</s:f>
        <s:v>46247.549942129626</s:v>
      </s:c>
      <s:c r="M696" s="22">
        <s:f>'3'!F697</s:f>
        <s:v>46247.532534722224</s:v>
      </s:c>
      <s:c r="N696" s="22">
        <s:f>'4'!F697</s:f>
        <s:v>46247.48664351852</s:v>
      </s:c>
      <s:c r="O696" s="22">
        <s:f>'5'!F697</s:f>
        <s:v>46247.45829861111</s:v>
      </s:c>
      <s:c r="P696" s="22">
        <s:f>'6'!F697</s:f>
        <s:v>46247.43884259259</s:v>
      </s:c>
      <s:c r="Q696" s="22">
        <s:f>'7'!F697</s:f>
        <s:v>46247.41619212963</s:v>
      </s:c>
      <s:c r="R696" s="22">
        <s:f>'8'!F697</s:f>
        <s:v>46247.39200231482</s:v>
      </s:c>
      <s:c r="S696" s="22">
        <s:f>'9'!F697</s:f>
        <s:v>46247.374189814815</s:v>
      </s:c>
      <s:c r="T696" s="22">
        <s:f>'10'!F697</s:f>
        <s:v>46247.34496527778</s:v>
      </s:c>
      <s:c r="U696" s="23">
        <s:f>'자료구성'!$B$2</s:f>
        <s:v>46247.0</s:v>
      </s:c>
    </s:row>
    <s:row r="697">
      <s:c r="A697" s="0" t="n">
        <s:v>1391</s:v>
      </s:c>
      <s:c r="B697" s="0" t="n">
        <s:v>1308</s:v>
      </s:c>
      <s:c r="C697" s="0" t="n">
        <s:v>2603</s:v>
      </s:c>
      <s:c r="D697" s="0" t="n">
        <s:v>165</s:v>
      </s:c>
      <s:c r="E697" s="0" t="n">
        <s:v>1344</s:v>
      </s:c>
      <s:c r="F697" s="0" t="n">
        <s:v>4303</s:v>
      </s:c>
      <s:c r="G697" s="0" t="n">
        <s:v>2036</s:v>
      </s:c>
      <s:c r="H697" s="0" t="n">
        <s:v>4574</s:v>
      </s:c>
      <s:c r="I697" s="0" t="n">
        <s:v>2424</s:v>
      </s:c>
      <s:c r="J697" s="0" t="n">
        <s:v>1879</s:v>
      </s:c>
      <s:c r="K697" s="22">
        <s:f>'1'!F698</s:f>
        <s:v>46247.56821759259</s:v>
      </s:c>
      <s:c r="L697" s="22">
        <s:f>'2'!F698</s:f>
        <s:v>46247.5499537037</s:v>
      </s:c>
      <s:c r="M697" s="22">
        <s:f>'3'!F698</s:f>
        <s:v>46247.532546296294</s:v>
      </s:c>
      <s:c r="N697" s="22">
        <s:f>'4'!F698</s:f>
        <s:v>46247.486655092594</s:v>
      </s:c>
      <s:c r="O697" s="22">
        <s:f>'5'!F698</s:f>
        <s:v>46247.45831018518</s:v>
      </s:c>
      <s:c r="P697" s="22">
        <s:f>'6'!F698</s:f>
        <s:v>46247.43885416666</s:v>
      </s:c>
      <s:c r="Q697" s="22">
        <s:f>'7'!F698</s:f>
        <s:v>46247.4162037037</s:v>
      </s:c>
      <s:c r="R697" s="22">
        <s:f>'8'!F698</s:f>
        <s:v>46247.392013888886</s:v>
      </s:c>
      <s:c r="S697" s="22">
        <s:f>'9'!F698</s:f>
        <s:v>46247.37420138889</s:v>
      </s:c>
      <s:c r="T697" s="22">
        <s:f>'10'!F698</s:f>
        <s:v>46247.344976851855</s:v>
      </s:c>
      <s:c r="U697" s="23">
        <s:f>'자료구성'!$B$2</s:f>
        <s:v>46247.0</s:v>
      </s:c>
    </s:row>
    <s:row r="698">
      <s:c r="A698" s="0" t="n">
        <s:v>1381</s:v>
      </s:c>
      <s:c r="B698" s="0" t="n">
        <s:v>1329</s:v>
      </s:c>
      <s:c r="C698" s="0" t="n">
        <s:v>2528</s:v>
      </s:c>
      <s:c r="D698" s="0" t="n">
        <s:v>122</s:v>
      </s:c>
      <s:c r="E698" s="0" t="n">
        <s:v>1370</s:v>
      </s:c>
      <s:c r="F698" s="0" t="n">
        <s:v>4303</s:v>
      </s:c>
      <s:c r="G698" s="0" t="n">
        <s:v>2013</s:v>
      </s:c>
      <s:c r="H698" s="0" t="n">
        <s:v>4737</s:v>
      </s:c>
      <s:c r="I698" s="0" t="n">
        <s:v>2535</s:v>
      </s:c>
      <s:c r="J698" s="0" t="n">
        <s:v>1897</s:v>
      </s:c>
      <s:c r="K698" s="22">
        <s:f>'1'!F699</s:f>
        <s:v>46247.56822916667</s:v>
      </s:c>
      <s:c r="L698" s="22">
        <s:f>'2'!F699</s:f>
        <s:v>46247.54996527778</s:v>
      </s:c>
      <s:c r="M698" s="22">
        <s:f>'3'!F699</s:f>
        <s:v>46247.53255787037</s:v>
      </s:c>
      <s:c r="N698" s="22">
        <s:f>'4'!F699</s:f>
        <s:v>46247.486666666664</s:v>
      </s:c>
      <s:c r="O698" s="22">
        <s:f>'5'!F699</s:f>
        <s:v>46247.45832175926</s:v>
      </s:c>
      <s:c r="P698" s="22">
        <s:f>'6'!F699</s:f>
        <s:v>46247.43886574074</s:v>
      </s:c>
      <s:c r="Q698" s="22">
        <s:f>'7'!F699</s:f>
        <s:v>46247.41621527778</s:v>
      </s:c>
      <s:c r="R698" s="22">
        <s:f>'8'!F699</s:f>
        <s:v>46247.39202546296</s:v>
      </s:c>
      <s:c r="S698" s="22">
        <s:f>'9'!F699</s:f>
        <s:v>46247.37421296296</s:v>
      </s:c>
      <s:c r="T698" s="22">
        <s:f>'10'!F699</s:f>
        <s:v>46247.344988425924</s:v>
      </s:c>
      <s:c r="U698" s="23">
        <s:f>'자료구성'!$B$2</s:f>
        <s:v>46247.0</s:v>
      </s:c>
    </s:row>
    <s:row r="699">
      <s:c r="A699" s="0" t="n">
        <s:v>1410</s:v>
      </s:c>
      <s:c r="B699" s="0" t="n">
        <s:v>1333</s:v>
      </s:c>
      <s:c r="C699" s="0" t="n">
        <s:v>2492</s:v>
      </s:c>
      <s:c r="D699" s="0" t="n">
        <s:v>101</s:v>
      </s:c>
      <s:c r="E699" s="0" t="n">
        <s:v>1376</s:v>
      </s:c>
      <s:c r="F699" s="0" t="n">
        <s:v>4319</s:v>
      </s:c>
      <s:c r="G699" s="0" t="n">
        <s:v>1990</s:v>
      </s:c>
      <s:c r="H699" s="0" t="n">
        <s:v>4994</s:v>
      </s:c>
      <s:c r="I699" s="0" t="n">
        <s:v>2587</s:v>
      </s:c>
      <s:c r="J699" s="0" t="n">
        <s:v>1931</s:v>
      </s:c>
      <s:c r="K699" s="22">
        <s:f>'1'!F700</s:f>
        <s:v>46247.568240740744</s:v>
      </s:c>
      <s:c r="L699" s="22">
        <s:f>'2'!F700</s:f>
        <s:v>46247.54997685185</s:v>
      </s:c>
      <s:c r="M699" s="22">
        <s:f>'3'!F700</s:f>
        <s:v>46247.53256944445</s:v>
      </s:c>
      <s:c r="N699" s="22">
        <s:f>'4'!F700</s:f>
        <s:v>46247.48667824074</s:v>
      </s:c>
      <s:c r="O699" s="22">
        <s:f>'5'!F700</s:f>
        <s:v>46247.458333333336</s:v>
      </s:c>
      <s:c r="P699" s="22">
        <s:f>'6'!F700</s:f>
        <s:v>46247.43887731482</s:v>
      </s:c>
      <s:c r="Q699" s="22">
        <s:f>'7'!F700</s:f>
        <s:v>46247.41622685185</s:v>
      </s:c>
      <s:c r="R699" s="22">
        <s:f>'8'!F700</s:f>
        <s:v>46247.39203703704</s:v>
      </s:c>
      <s:c r="S699" s="22">
        <s:f>'9'!F700</s:f>
        <s:v>46247.37422453704</s:v>
      </s:c>
      <s:c r="T699" s="22">
        <s:f>'10'!F700</s:f>
        <s:v>46247.345</s:v>
      </s:c>
      <s:c r="U699" s="23">
        <s:f>'자료구성'!$B$2</s:f>
        <s:v>46247.0</s:v>
      </s:c>
    </s:row>
    <s:row r="700">
      <s:c r="A700" s="0" t="n">
        <s:v>1430</s:v>
      </s:c>
      <s:c r="B700" s="0" t="n">
        <s:v>1327</s:v>
      </s:c>
      <s:c r="C700" s="0" t="n">
        <s:v>2485</s:v>
      </s:c>
      <s:c r="D700" s="0" t="n">
        <s:v>34</s:v>
      </s:c>
      <s:c r="E700" s="0" t="n">
        <s:v>1356</s:v>
      </s:c>
      <s:c r="F700" s="0" t="n">
        <s:v>4296</s:v>
      </s:c>
      <s:c r="G700" s="0" t="n">
        <s:v>2036</s:v>
      </s:c>
      <s:c r="H700" s="0" t="n">
        <s:v>5068</s:v>
      </s:c>
      <s:c r="I700" s="0" t="n">
        <s:v>2560</s:v>
      </s:c>
      <s:c r="J700" s="0" t="n">
        <s:v>1967</s:v>
      </s:c>
      <s:c r="K700" s="22">
        <s:f>'1'!F701</s:f>
        <s:v>46247.56825231481</s:v>
      </s:c>
      <s:c r="L700" s="22">
        <s:f>'2'!F701</s:f>
        <s:v>46247.549988425926</s:v>
      </s:c>
      <s:c r="M700" s="22">
        <s:f>'3'!F701</s:f>
        <s:v>46247.53258101852</s:v>
      </s:c>
      <s:c r="N700" s="22">
        <s:f>'4'!F701</s:f>
        <s:v>46247.48668981482</s:v>
      </s:c>
      <s:c r="O700" s="22">
        <s:f>'5'!F701</s:f>
        <s:v>46247.458344907405</s:v>
      </s:c>
      <s:c r="P700" s="22">
        <s:f>'6'!F701</s:f>
        <s:v>46247.438888888886</s:v>
      </s:c>
      <s:c r="Q700" s="22">
        <s:f>'7'!F701</s:f>
        <s:v>46247.416238425925</s:v>
      </s:c>
      <s:c r="R700" s="22">
        <s:f>'8'!F701</s:f>
        <s:v>46247.39204861111</s:v>
      </s:c>
      <s:c r="S700" s="22">
        <s:f>'9'!F701</s:f>
        <s:v>46247.374236111114</s:v>
      </s:c>
      <s:c r="T700" s="22">
        <s:f>'10'!F701</s:f>
        <s:v>46247.34501157407</s:v>
      </s:c>
      <s:c r="U700" s="23">
        <s:f>'자료구성'!$B$2</s:f>
        <s:v>46247.0</s:v>
      </s:c>
    </s:row>
    <s:row r="701">
      <s:c r="A701" s="0" t="n">
        <s:v>1452</s:v>
      </s:c>
      <s:c r="B701" s="0" t="n">
        <s:v>1318</s:v>
      </s:c>
      <s:c r="C701" s="0" t="n">
        <s:v>2517</s:v>
      </s:c>
      <s:c r="D701" s="0" t="n">
        <s:v>983</s:v>
      </s:c>
      <s:c r="E701" s="0" t="n">
        <s:v>1343</s:v>
      </s:c>
      <s:c r="F701" s="0" t="n">
        <s:v>4330</s:v>
      </s:c>
      <s:c r="G701" s="0" t="n">
        <s:v>2061</s:v>
      </s:c>
      <s:c r="H701" s="0" t="n">
        <s:v>5086</s:v>
      </s:c>
      <s:c r="I701" s="0" t="n">
        <s:v>2567</s:v>
      </s:c>
      <s:c r="J701" s="0" t="n">
        <s:v>1948</s:v>
      </s:c>
      <s:c r="K701" s="22">
        <s:f>'1'!F702</s:f>
        <s:v>46247.56826388889</s:v>
      </s:c>
      <s:c r="L701" s="22">
        <s:f>'2'!F702</s:f>
        <s:v>46247.55</s:v>
      </s:c>
      <s:c r="M701" s="22">
        <s:f>'3'!F702</s:f>
        <s:v>46247.53259259259</s:v>
      </s:c>
      <s:c r="N701" s="22">
        <s:f>'4'!F702</s:f>
        <s:v>46247.48670138889</s:v>
      </s:c>
      <s:c r="O701" s="22">
        <s:f>'5'!F702</s:f>
        <s:v>46247.45835648148</s:v>
      </s:c>
      <s:c r="P701" s="22">
        <s:f>'6'!F702</s:f>
        <s:v>46247.43890046296</s:v>
      </s:c>
      <s:c r="Q701" s="22">
        <s:f>'7'!F702</s:f>
        <s:v>46247.41625</s:v>
      </s:c>
      <s:c r="R701" s="22">
        <s:f>'8'!F702</s:f>
        <s:v>46247.392060185186</s:v>
      </s:c>
      <s:c r="S701" s="22">
        <s:f>'9'!F702</s:f>
        <s:v>46247.374247685184</s:v>
      </s:c>
      <s:c r="T701" s="22">
        <s:f>'10'!F702</s:f>
        <s:v>46247.34502314815</s:v>
      </s:c>
      <s:c r="U701" s="23">
        <s:f>'자료구성'!$B$2</s:f>
        <s:v>46247.0</s:v>
      </s:c>
    </s:row>
    <s:row r="702">
      <s:c r="A702" s="0" t="n">
        <s:v>1479</s:v>
      </s:c>
      <s:c r="B702" s="0" t="n">
        <s:v>1308</s:v>
      </s:c>
      <s:c r="C702" s="0" t="n">
        <s:v>2570</s:v>
      </s:c>
      <s:c r="D702" s="0" t="n">
        <s:v>958</s:v>
      </s:c>
      <s:c r="E702" s="0" t="n">
        <s:v>1327</s:v>
      </s:c>
      <s:c r="F702" s="0" t="n">
        <s:v>4356</s:v>
      </s:c>
      <s:c r="G702" s="0" t="n">
        <s:v>2004</s:v>
      </s:c>
      <s:c r="H702" s="0" t="n">
        <s:v>5013</s:v>
      </s:c>
      <s:c r="I702" s="0" t="n">
        <s:v>2599</s:v>
      </s:c>
      <s:c r="J702" s="0" t="n">
        <s:v>1950</s:v>
      </s:c>
      <s:c r="K702" s="22">
        <s:f>'1'!F703</s:f>
        <s:v>46247.56827546296</s:v>
      </s:c>
      <s:c r="L702" s="22">
        <s:f>'2'!F703</s:f>
        <s:v>46247.55001157407</s:v>
      </s:c>
      <s:c r="M702" s="22">
        <s:f>'3'!F703</s:f>
        <s:v>46247.53260416666</s:v>
      </s:c>
      <s:c r="N702" s="22">
        <s:f>'4'!F703</s:f>
        <s:v>46247.486712962964</s:v>
      </s:c>
      <s:c r="O702" s="22">
        <s:f>'5'!F703</s:f>
        <s:v>46247.45836805556</s:v>
      </s:c>
      <s:c r="P702" s="22">
        <s:f>'6'!F703</s:f>
        <s:v>46247.43891203704</s:v>
      </s:c>
      <s:c r="Q702" s="22">
        <s:f>'7'!F703</s:f>
        <s:v>46247.41626157407</s:v>
      </s:c>
      <s:c r="R702" s="22">
        <s:f>'8'!F703</s:f>
        <s:v>46247.39207175926</s:v>
      </s:c>
      <s:c r="S702" s="22">
        <s:f>'9'!F703</s:f>
        <s:v>46247.37425925926</s:v>
      </s:c>
      <s:c r="T702" s="22">
        <s:f>'10'!F703</s:f>
        <s:v>46247.345034722224</s:v>
      </s:c>
      <s:c r="U702" s="23">
        <s:f>'자료구성'!$B$2</s:f>
        <s:v>46247.0</s:v>
      </s:c>
    </s:row>
    <s:row r="703">
      <s:c r="A703" s="0" t="n">
        <s:v>1482</s:v>
      </s:c>
      <s:c r="B703" s="0" t="n">
        <s:v>1294</s:v>
      </s:c>
      <s:c r="C703" s="0" t="n">
        <s:v>2597</s:v>
      </s:c>
      <s:c r="D703" s="0" t="n">
        <s:v>955</s:v>
      </s:c>
      <s:c r="E703" s="0" t="n">
        <s:v>1323</s:v>
      </s:c>
      <s:c r="F703" s="0" t="n">
        <s:v>4308</s:v>
      </s:c>
      <s:c r="G703" s="0" t="n">
        <s:v>1911</s:v>
      </s:c>
      <s:c r="H703" s="0" t="n">
        <s:v>4923</s:v>
      </s:c>
      <s:c r="I703" s="0" t="n">
        <s:v>2614</s:v>
      </s:c>
      <s:c r="J703" s="0" t="n">
        <s:v>1948</s:v>
      </s:c>
      <s:c r="K703" s="22">
        <s:f>'1'!F704</s:f>
        <s:v>46247.56828703704</s:v>
      </s:c>
      <s:c r="L703" s="22">
        <s:f>'2'!F704</s:f>
        <s:v>46247.55002314815</s:v>
      </s:c>
      <s:c r="M703" s="22">
        <s:f>'3'!F704</s:f>
        <s:v>46247.53261574074</s:v>
      </s:c>
      <s:c r="N703" s="22">
        <s:f>'4'!F704</s:f>
        <s:v>46247.48672453704</s:v>
      </s:c>
      <s:c r="O703" s="22">
        <s:f>'5'!F704</s:f>
        <s:v>46247.45837962963</s:v>
      </s:c>
      <s:c r="P703" s="22">
        <s:f>'6'!F704</s:f>
        <s:v>46247.43892361111</s:v>
      </s:c>
      <s:c r="Q703" s="22">
        <s:f>'7'!F704</s:f>
        <s:v>46247.41627314815</s:v>
      </s:c>
      <s:c r="R703" s="22">
        <s:f>'8'!F704</s:f>
        <s:v>46247.39208333333</s:v>
      </s:c>
      <s:c r="S703" s="22">
        <s:f>'9'!F704</s:f>
        <s:v>46247.37427083333</s:v>
      </s:c>
      <s:c r="T703" s="22">
        <s:f>'10'!F704</s:f>
        <s:v>46247.345046296294</s:v>
      </s:c>
      <s:c r="U703" s="23">
        <s:f>'자료구성'!$B$2</s:f>
        <s:v>46247.0</s:v>
      </s:c>
    </s:row>
    <s:row r="704">
      <s:c r="A704" s="0" t="n">
        <s:v>1488</s:v>
      </s:c>
      <s:c r="B704" s="0" t="n">
        <s:v>1262</s:v>
      </s:c>
      <s:c r="C704" s="0" t="n">
        <s:v>2620</s:v>
      </s:c>
      <s:c r="D704" s="0" t="n">
        <s:v>952</s:v>
      </s:c>
      <s:c r="E704" s="0" t="n">
        <s:v>1359</s:v>
      </s:c>
      <s:c r="F704" s="0" t="n">
        <s:v>4293</s:v>
      </s:c>
      <s:c r="G704" s="0" t="n">
        <s:v>1836</s:v>
      </s:c>
      <s:c r="H704" s="0" t="n">
        <s:v>4828</s:v>
      </s:c>
      <s:c r="I704" s="0" t="n">
        <s:v>2674</s:v>
      </s:c>
      <s:c r="J704" s="0" t="n">
        <s:v>1944</s:v>
      </s:c>
      <s:c r="K704" s="22">
        <s:f>'1'!F705</s:f>
        <s:v>46247.56829861111</s:v>
      </s:c>
      <s:c r="L704" s="22">
        <s:f>'2'!F705</s:f>
        <s:v>46247.55003472222</s:v>
      </s:c>
      <s:c r="M704" s="22">
        <s:f>'3'!F705</s:f>
        <s:v>46247.53262731482</s:v>
      </s:c>
      <s:c r="N704" s="22">
        <s:f>'4'!F705</s:f>
        <s:v>46247.48673611111</s:v>
      </s:c>
      <s:c r="O704" s="22">
        <s:f>'5'!F705</s:f>
        <s:v>46247.458391203705</s:v>
      </s:c>
      <s:c r="P704" s="22">
        <s:f>'6'!F705</s:f>
        <s:v>46247.438935185186</s:v>
      </s:c>
      <s:c r="Q704" s="22">
        <s:f>'7'!F705</s:f>
        <s:v>46247.416284722225</s:v>
      </s:c>
      <s:c r="R704" s="22">
        <s:f>'8'!F705</s:f>
        <s:v>46247.39209490741</s:v>
      </s:c>
      <s:c r="S704" s="22">
        <s:f>'9'!F705</s:f>
        <s:v>46247.37428240741</s:v>
      </s:c>
      <s:c r="T704" s="22">
        <s:f>'10'!F705</s:f>
        <s:v>46247.34505787037</s:v>
      </s:c>
      <s:c r="U704" s="23">
        <s:f>'자료구성'!$B$2</s:f>
        <s:v>46247.0</s:v>
      </s:c>
    </s:row>
    <s:row r="705">
      <s:c r="A705" s="0" t="n">
        <s:v>1498</s:v>
      </s:c>
      <s:c r="B705" s="0" t="n">
        <s:v>1230</s:v>
      </s:c>
      <s:c r="C705" s="0" t="n">
        <s:v>2601</s:v>
      </s:c>
      <s:c r="D705" s="0" t="n">
        <s:v>949</s:v>
      </s:c>
      <s:c r="E705" s="0" t="n">
        <s:v>1355</s:v>
      </s:c>
      <s:c r="F705" s="0" t="n">
        <s:v>4286</s:v>
      </s:c>
      <s:c r="G705" s="0" t="n">
        <s:v>1809</s:v>
      </s:c>
      <s:c r="H705" s="0" t="n">
        <s:v>4777</s:v>
      </s:c>
      <s:c r="I705" s="0" t="n">
        <s:v>2729</s:v>
      </s:c>
      <s:c r="J705" s="0" t="n">
        <s:v>1937</s:v>
      </s:c>
      <s:c r="K705" s="22">
        <s:f>'1'!F706</s:f>
        <s:v>46247.56831018518</s:v>
      </s:c>
      <s:c r="L705" s="22">
        <s:f>'2'!F706</s:f>
        <s:v>46247.550046296295</s:v>
      </s:c>
      <s:c r="M705" s="22">
        <s:f>'3'!F706</s:f>
        <s:v>46247.532638888886</s:v>
      </s:c>
      <s:c r="N705" s="22">
        <s:f>'4'!F706</s:f>
        <s:v>46247.48674768519</s:v>
      </s:c>
      <s:c r="O705" s="22">
        <s:f>'5'!F706</s:f>
        <s:v>46247.458402777775</s:v>
      </s:c>
      <s:c r="P705" s="22">
        <s:f>'6'!F706</s:f>
        <s:v>46247.43894675926</s:v>
      </s:c>
      <s:c r="Q705" s="22">
        <s:f>'7'!F706</s:f>
        <s:v>46247.416296296295</s:v>
      </s:c>
      <s:c r="R705" s="22">
        <s:f>'8'!F706</s:f>
        <s:v>46247.39210648148</s:v>
      </s:c>
      <s:c r="S705" s="22">
        <s:f>'9'!F706</s:f>
        <s:v>46247.374293981484</s:v>
      </s:c>
      <s:c r="T705" s="22">
        <s:f>'10'!F706</s:f>
        <s:v>46247.34506944445</s:v>
      </s:c>
      <s:c r="U705" s="23">
        <s:f>'자료구성'!$B$2</s:f>
        <s:v>46247.0</s:v>
      </s:c>
    </s:row>
    <s:row r="706">
      <s:c r="A706" s="0" t="n">
        <s:v>1529</s:v>
      </s:c>
      <s:c r="B706" s="0" t="n">
        <s:v>1192</s:v>
      </s:c>
      <s:c r="C706" s="0" t="n">
        <s:v>2549</s:v>
      </s:c>
      <s:c r="D706" s="0" t="n">
        <s:v>949</s:v>
      </s:c>
      <s:c r="E706" s="0" t="n">
        <s:v>1364</s:v>
      </s:c>
      <s:c r="F706" s="0" t="n">
        <s:v>4309</s:v>
      </s:c>
      <s:c r="G706" s="0" t="n">
        <s:v>1776</s:v>
      </s:c>
      <s:c r="H706" s="0" t="n">
        <s:v>4730</s:v>
      </s:c>
      <s:c r="I706" s="0" t="n">
        <s:v>2763</s:v>
      </s:c>
      <s:c r="J706" s="0" t="n">
        <s:v>1915</s:v>
      </s:c>
      <s:c r="K706" s="22">
        <s:f>'1'!F707</s:f>
        <s:v>46247.56832175926</s:v>
      </s:c>
      <s:c r="L706" s="22">
        <s:f>'2'!F707</s:f>
        <s:v>46247.55005787037</s:v>
      </s:c>
      <s:c r="M706" s="22">
        <s:f>'3'!F707</s:f>
        <s:v>46247.53265046296</s:v>
      </s:c>
      <s:c r="N706" s="22">
        <s:f>'4'!F707</s:f>
        <s:v>46247.486759259256</s:v>
      </s:c>
      <s:c r="O706" s="22">
        <s:f>'5'!F707</s:f>
        <s:v>46247.45841435185</s:v>
      </s:c>
      <s:c r="P706" s="22">
        <s:f>'6'!F707</s:f>
        <s:v>46247.43895833333</s:v>
      </s:c>
      <s:c r="Q706" s="22">
        <s:f>'7'!F707</s:f>
        <s:v>46247.41630787037</s:v>
      </s:c>
      <s:c r="R706" s="22">
        <s:f>'8'!F707</s:f>
        <s:v>46247.392118055555</s:v>
      </s:c>
      <s:c r="S706" s="22">
        <s:f>'9'!F707</s:f>
        <s:v>46247.37430555555</s:v>
      </s:c>
      <s:c r="T706" s="22">
        <s:f>'10'!F707</s:f>
        <s:v>46247.34508101852</s:v>
      </s:c>
      <s:c r="U706" s="23">
        <s:f>'자료구성'!$B$2</s:f>
        <s:v>46247.0</s:v>
      </s:c>
    </s:row>
    <s:row r="707">
      <s:c r="A707" s="0" t="n">
        <s:v>1553</s:v>
      </s:c>
      <s:c r="B707" s="0" t="n">
        <s:v>1151</s:v>
      </s:c>
      <s:c r="C707" s="0" t="n">
        <s:v>2490</s:v>
      </s:c>
      <s:c r="D707" s="0" t="n">
        <s:v>953</s:v>
      </s:c>
      <s:c r="E707" s="0" t="n">
        <s:v>1350</s:v>
      </s:c>
      <s:c r="F707" s="0" t="n">
        <s:v>4337</s:v>
      </s:c>
      <s:c r="G707" s="0" t="n">
        <s:v>1687</s:v>
      </s:c>
      <s:c r="H707" s="0" t="n">
        <s:v>4634</s:v>
      </s:c>
      <s:c r="I707" s="0" t="n">
        <s:v>2780</s:v>
      </s:c>
      <s:c r="J707" s="0" t="n">
        <s:v>1922</s:v>
      </s:c>
      <s:c r="K707" s="22">
        <s:f>'1'!F708</s:f>
        <s:v>46247.568333333336</s:v>
      </s:c>
      <s:c r="L707" s="22">
        <s:f>'2'!F708</s:f>
        <s:v>46247.55006944444</s:v>
      </s:c>
      <s:c r="M707" s="22">
        <s:f>'3'!F708</s:f>
        <s:v>46247.53266203704</s:v>
      </s:c>
      <s:c r="N707" s="22">
        <s:f>'4'!F708</s:f>
        <s:v>46247.48677083333</s:v>
      </s:c>
      <s:c r="O707" s="22">
        <s:f>'5'!F708</s:f>
        <s:v>46247.45842592593</s:v>
      </s:c>
      <s:c r="P707" s="22">
        <s:f>'6'!F708</s:f>
        <s:v>46247.43896990741</s:v>
      </s:c>
      <s:c r="Q707" s="22">
        <s:f>'7'!F708</s:f>
        <s:v>46247.41631944444</s:v>
      </s:c>
      <s:c r="R707" s="22">
        <s:f>'8'!F708</s:f>
        <s:v>46247.39212962963</s:v>
      </s:c>
      <s:c r="S707" s="22">
        <s:f>'9'!F708</s:f>
        <s:v>46247.37431712963</s:v>
      </s:c>
      <s:c r="T707" s="22">
        <s:f>'10'!F708</s:f>
        <s:v>46247.34509259259</s:v>
      </s:c>
      <s:c r="U707" s="23">
        <s:f>'자료구성'!$B$2</s:f>
        <s:v>46247.0</s:v>
      </s:c>
    </s:row>
    <s:row r="708">
      <s:c r="A708" s="0" t="n">
        <s:v>1584</s:v>
      </s:c>
      <s:c r="B708" s="0" t="n">
        <s:v>1123</s:v>
      </s:c>
      <s:c r="C708" s="0" t="inlineStr">
        <s:is>
          <s:t>****</s:t>
        </s:is>
      </s:c>
      <s:c r="D708" s="0" t="n">
        <s:v>951</s:v>
      </s:c>
      <s:c r="E708" s="0" t="n">
        <s:v>1337</s:v>
      </s:c>
      <s:c r="F708" s="0" t="n">
        <s:v>4290</s:v>
      </s:c>
      <s:c r="G708" s="0" t="n">
        <s:v>1630</s:v>
      </s:c>
      <s:c r="H708" s="0" t="n">
        <s:v>4591</s:v>
      </s:c>
      <s:c r="I708" s="0" t="n">
        <s:v>2778</s:v>
      </s:c>
      <s:c r="J708" s="0" t="n">
        <s:v>1914</s:v>
      </s:c>
      <s:c r="K708" s="22">
        <s:f>'1'!F709</s:f>
        <s:v>46247.568344907406</s:v>
      </s:c>
      <s:c r="L708" s="22">
        <s:f>'2'!F709</s:f>
        <s:v>46247.55008101852</s:v>
      </s:c>
      <s:c r="M708" s="22">
        <s:f>'3'!F709</s:f>
        <s:v>46247.53267361111</s:v>
      </s:c>
      <s:c r="N708" s="22">
        <s:f>'4'!F709</s:f>
        <s:v>46247.48678240741</s:v>
      </s:c>
      <s:c r="O708" s="22">
        <s:f>'5'!F709</s:f>
        <s:v>46247.4584375</s:v>
      </s:c>
      <s:c r="P708" s="22">
        <s:f>'6'!F709</s:f>
        <s:v>46247.43898148148</s:v>
      </s:c>
      <s:c r="Q708" s="22">
        <s:f>'7'!F709</s:f>
        <s:v>46247.41633101852</s:v>
      </s:c>
      <s:c r="R708" s="22">
        <s:f>'8'!F709</s:f>
        <s:v>46247.3921412037</s:v>
      </s:c>
      <s:c r="S708" s="22">
        <s:f>'9'!F709</s:f>
        <s:v>46247.37432870371</s:v>
      </s:c>
      <s:c r="T708" s="22">
        <s:f>'10'!F709</s:f>
        <s:v>46247.34510416666</s:v>
      </s:c>
      <s:c r="U708" s="23">
        <s:f>'자료구성'!$B$2</s:f>
        <s:v>46247.0</s:v>
      </s:c>
    </s:row>
    <s:row r="709">
      <s:c r="A709" s="0" t="n">
        <s:v>1624</s:v>
      </s:c>
      <s:c r="B709" s="0" t="n">
        <s:v>1103</s:v>
      </s:c>
      <s:c r="C709" s="0" t="n">
        <s:v>2484</s:v>
      </s:c>
      <s:c r="D709" s="0" t="n">
        <s:v>993</s:v>
      </s:c>
      <s:c r="E709" s="0" t="n">
        <s:v>1337</s:v>
      </s:c>
      <s:c r="F709" s="0" t="n">
        <s:v>4355</s:v>
      </s:c>
      <s:c r="G709" s="0" t="n">
        <s:v>1558</s:v>
      </s:c>
      <s:c r="H709" s="0" t="n">
        <s:v>4616</s:v>
      </s:c>
      <s:c r="I709" s="0" t="n">
        <s:v>2768</s:v>
      </s:c>
      <s:c r="J709" s="0" t="n">
        <s:v>1885</s:v>
      </s:c>
      <s:c r="K709" s="22">
        <s:f>'1'!F710</s:f>
        <s:v>46247.56835648148</s:v>
      </s:c>
      <s:c r="L709" s="22">
        <s:f>'2'!F710</s:f>
        <s:v>46247.550092592595</s:v>
      </s:c>
      <s:c r="M709" s="22">
        <s:f>'3'!F710</s:f>
        <s:v>46247.532685185186</s:v>
      </s:c>
      <s:c r="N709" s="22">
        <s:f>'4'!F710</s:f>
        <s:v>46247.48679398148</s:v>
      </s:c>
      <s:c r="O709" s="22">
        <s:f>'5'!F710</s:f>
        <s:v>46247.458449074074</s:v>
      </s:c>
      <s:c r="P709" s="22">
        <s:f>'6'!F710</s:f>
        <s:v>46247.438993055555</s:v>
      </s:c>
      <s:c r="Q709" s="22">
        <s:f>'7'!F710</s:f>
        <s:v>46247.416342592594</s:v>
      </s:c>
      <s:c r="R709" s="22">
        <s:f>'8'!F710</s:f>
        <s:v>46247.39215277778</s:v>
      </s:c>
      <s:c r="S709" s="22">
        <s:f>'9'!F710</s:f>
        <s:v>46247.374340277776</s:v>
      </s:c>
      <s:c r="T709" s="22">
        <s:f>'10'!F710</s:f>
        <s:v>46247.34511574074</s:v>
      </s:c>
      <s:c r="U709" s="23">
        <s:f>'자료구성'!$B$2</s:f>
        <s:v>46247.0</s:v>
      </s:c>
    </s:row>
    <s:row r="710">
      <s:c r="A710" s="0" t="n">
        <s:v>1664</s:v>
      </s:c>
      <s:c r="B710" s="0" t="n">
        <s:v>1100</s:v>
      </s:c>
      <s:c r="C710" s="0" t="n">
        <s:v>2561</s:v>
      </s:c>
      <s:c r="D710" s="0" t="n">
        <s:v>9</s:v>
      </s:c>
      <s:c r="E710" s="0" t="n">
        <s:v>1350</s:v>
      </s:c>
      <s:c r="F710" s="0" t="n">
        <s:v>4370</s:v>
      </s:c>
      <s:c r="G710" s="0" t="n">
        <s:v>1505</s:v>
      </s:c>
      <s:c r="H710" s="0" t="n">
        <s:v>4673</s:v>
      </s:c>
      <s:c r="I710" s="0" t="n">
        <s:v>2855</s:v>
      </s:c>
      <s:c r="J710" s="0" t="n">
        <s:v>1856</s:v>
      </s:c>
      <s:c r="K710" s="22">
        <s:f>'1'!F711</s:f>
        <s:v>46247.56836805555</s:v>
      </s:c>
      <s:c r="L710" s="22">
        <s:f>'2'!F711</s:f>
        <s:v>46247.550104166665</s:v>
      </s:c>
      <s:c r="M710" s="22">
        <s:f>'3'!F711</s:f>
        <s:v>46247.53269675926</s:v>
      </s:c>
      <s:c r="N710" s="22">
        <s:f>'4'!F711</s:f>
        <s:v>46247.486805555556</s:v>
      </s:c>
      <s:c r="O710" s="22">
        <s:f>'5'!F711</s:f>
        <s:v>46247.45846064815</s:v>
      </s:c>
      <s:c r="P710" s="22">
        <s:f>'6'!F711</s:f>
        <s:v>46247.43900462963</s:v>
      </s:c>
      <s:c r="Q710" s="22">
        <s:f>'7'!F711</s:f>
        <s:v>46247.416354166664</s:v>
      </s:c>
      <s:c r="R710" s="22">
        <s:f>'8'!F711</s:f>
        <s:v>46247.392164351855</s:v>
      </s:c>
      <s:c r="S710" s="22">
        <s:f>'9'!F711</s:f>
        <s:v>46247.37435185185</s:v>
      </s:c>
      <s:c r="T710" s="22">
        <s:f>'10'!F711</s:f>
        <s:v>46247.34512731482</s:v>
      </s:c>
      <s:c r="U710" s="23">
        <s:f>'자료구성'!$B$2</s:f>
        <s:v>46247.0</s:v>
      </s:c>
    </s:row>
    <s:row r="711">
      <s:c r="A711" s="0" t="n">
        <s:v>1701</s:v>
      </s:c>
      <s:c r="B711" s="0" t="n">
        <s:v>1071</s:v>
      </s:c>
      <s:c r="C711" s="0" t="n">
        <s:v>2650</s:v>
      </s:c>
      <s:c r="D711" s="0" t="n">
        <s:v>978</s:v>
      </s:c>
      <s:c r="E711" s="0" t="n">
        <s:v>1377</s:v>
      </s:c>
      <s:c r="F711" s="0" t="n">
        <s:v>4370</s:v>
      </s:c>
      <s:c r="G711" s="0" t="n">
        <s:v>1504</s:v>
      </s:c>
      <s:c r="H711" s="0" t="n">
        <s:v>4658</s:v>
      </s:c>
      <s:c r="I711" s="0" t="n">
        <s:v>2927</s:v>
      </s:c>
      <s:c r="J711" s="0" t="n">
        <s:v>1850</s:v>
      </s:c>
      <s:c r="K711" s="22">
        <s:f>'1'!F712</s:f>
        <s:v>46247.56837962963</s:v>
      </s:c>
      <s:c r="L711" s="22">
        <s:f>'2'!F712</s:f>
        <s:v>46247.55011574074</s:v>
      </s:c>
      <s:c r="M711" s="22">
        <s:f>'3'!F712</s:f>
        <s:v>46247.53270833333</s:v>
      </s:c>
      <s:c r="N711" s="22">
        <s:f>'4'!F712</s:f>
        <s:v>46247.48681712963</s:v>
      </s:c>
      <s:c r="O711" s="22">
        <s:f>'5'!F712</s:f>
        <s:v>46247.45847222222</s:v>
      </s:c>
      <s:c r="P711" s="22">
        <s:f>'6'!F712</s:f>
        <s:v>46247.4390162037</s:v>
      </s:c>
      <s:c r="Q711" s="22">
        <s:f>'7'!F712</s:f>
        <s:v>46247.41636574074</s:v>
      </s:c>
      <s:c r="R711" s="22">
        <s:f>'8'!F712</s:f>
        <s:v>46247.392175925925</s:v>
      </s:c>
      <s:c r="S711" s="22">
        <s:f>'9'!F712</s:f>
        <s:v>46247.37436342592</s:v>
      </s:c>
      <s:c r="T711" s="22">
        <s:f>'10'!F712</s:f>
        <s:v>46247.345138888886</s:v>
      </s:c>
      <s:c r="U711" s="23">
        <s:f>'자료구성'!$B$2</s:f>
        <s:v>46247.0</s:v>
      </s:c>
    </s:row>
    <s:row r="712">
      <s:c r="A712" s="0" t="n">
        <s:v>1724</s:v>
      </s:c>
      <s:c r="B712" s="0" t="n">
        <s:v>1052</s:v>
      </s:c>
      <s:c r="C712" s="0" t="n">
        <s:v>2666</s:v>
      </s:c>
      <s:c r="D712" s="0" t="n">
        <s:v>937</s:v>
      </s:c>
      <s:c r="E712" s="0" t="n">
        <s:v>1365</s:v>
      </s:c>
      <s:c r="F712" s="0" t="n">
        <s:v>4404</s:v>
      </s:c>
      <s:c r="G712" s="0" t="n">
        <s:v>1548</s:v>
      </s:c>
      <s:c r="H712" s="0" t="n">
        <s:v>4667</s:v>
      </s:c>
      <s:c r="I712" s="0" t="n">
        <s:v>2997</s:v>
      </s:c>
      <s:c r="J712" s="0" t="n">
        <s:v>1862</s:v>
      </s:c>
      <s:c r="K712" s="22">
        <s:f>'1'!F713</s:f>
        <s:v>46247.568391203706</s:v>
      </s:c>
      <s:c r="L712" s="22">
        <s:f>'2'!F713</s:f>
        <s:v>46247.55012731482</s:v>
      </s:c>
      <s:c r="M712" s="22">
        <s:f>'3'!F713</s:f>
        <s:v>46247.53271990741</s:v>
      </s:c>
      <s:c r="N712" s="22">
        <s:f>'4'!F713</s:f>
        <s:v>46247.4868287037</s:v>
      </s:c>
      <s:c r="O712" s="22">
        <s:f>'5'!F713</s:f>
        <s:v>46247.4584837963</s:v>
      </s:c>
      <s:c r="P712" s="22">
        <s:f>'6'!F713</s:f>
        <s:v>46247.43902777778</s:v>
      </s:c>
      <s:c r="Q712" s="22">
        <s:f>'7'!F713</s:f>
        <s:v>46247.41637731482</s:v>
      </s:c>
      <s:c r="R712" s="22">
        <s:f>'8'!F713</s:f>
        <s:v>46247.3921875</s:v>
      </s:c>
      <s:c r="S712" s="22">
        <s:f>'9'!F713</s:f>
        <s:v>46247.374375</s:v>
      </s:c>
      <s:c r="T712" s="22">
        <s:f>'10'!F713</s:f>
        <s:v>46247.34515046296</s:v>
      </s:c>
      <s:c r="U712" s="23">
        <s:f>'자료구성'!$B$2</s:f>
        <s:v>46247.0</s:v>
      </s:c>
    </s:row>
    <s:row r="713">
      <s:c r="A713" s="0" t="n">
        <s:v>1733</s:v>
      </s:c>
      <s:c r="B713" s="0" t="n">
        <s:v>1037</s:v>
      </s:c>
      <s:c r="C713" s="0" t="n">
        <s:v>2611</s:v>
      </s:c>
      <s:c r="D713" s="0" t="n">
        <s:v>892</s:v>
      </s:c>
      <s:c r="E713" s="0" t="n">
        <s:v>1366</s:v>
      </s:c>
      <s:c r="F713" s="0" t="n">
        <s:v>4298</s:v>
      </s:c>
      <s:c r="G713" s="0" t="n">
        <s:v>1567</s:v>
      </s:c>
      <s:c r="H713" s="0" t="n">
        <s:v>4708</s:v>
      </s:c>
      <s:c r="I713" s="0" t="n">
        <s:v>3003</s:v>
      </s:c>
      <s:c r="J713" s="0" t="n">
        <s:v>1866</s:v>
      </s:c>
      <s:c r="K713" s="22">
        <s:f>'1'!F714</s:f>
        <s:v>46247.568402777775</s:v>
      </s:c>
      <s:c r="L713" s="22">
        <s:f>'2'!F714</s:f>
        <s:v>46247.55013888889</s:v>
      </s:c>
      <s:c r="M713" s="22">
        <s:f>'3'!F714</s:f>
        <s:v>46247.53273148148</s:v>
      </s:c>
      <s:c r="N713" s="22">
        <s:f>'4'!F714</s:f>
        <s:v>46247.48684027778</s:v>
      </s:c>
      <s:c r="O713" s="22">
        <s:f>'5'!F714</s:f>
        <s:v>46247.45849537037</s:v>
      </s:c>
      <s:c r="P713" s="22">
        <s:f>'6'!F714</s:f>
        <s:v>46247.439039351855</s:v>
      </s:c>
      <s:c r="Q713" s="22">
        <s:f>'7'!F714</s:f>
        <s:v>46247.41638888889</s:v>
      </s:c>
      <s:c r="R713" s="22">
        <s:f>'8'!F714</s:f>
        <s:v>46247.39219907407</s:v>
      </s:c>
      <s:c r="S713" s="22">
        <s:f>'9'!F714</s:f>
        <s:v>46247.374386574076</s:v>
      </s:c>
      <s:c r="T713" s="22">
        <s:f>'10'!F714</s:f>
        <s:v>46247.34516203704</s:v>
      </s:c>
      <s:c r="U713" s="23">
        <s:f>'자료구성'!$B$2</s:f>
        <s:v>46247.0</s:v>
      </s:c>
    </s:row>
    <s:row r="714">
      <s:c r="A714" s="0" t="n">
        <s:v>1735</s:v>
      </s:c>
      <s:c r="B714" s="0" t="n">
        <s:v>1067</s:v>
      </s:c>
      <s:c r="C714" s="0" t="n">
        <s:v>2506</s:v>
      </s:c>
      <s:c r="D714" s="0" t="n">
        <s:v>920</s:v>
      </s:c>
      <s:c r="E714" s="0" t="n">
        <s:v>1369</s:v>
      </s:c>
      <s:c r="F714" s="0" t="n">
        <s:v>4196</s:v>
      </s:c>
      <s:c r="G714" s="0" t="n">
        <s:v>1557</s:v>
      </s:c>
      <s:c r="H714" s="0" t="n">
        <s:v>4718</s:v>
      </s:c>
      <s:c r="I714" s="0" t="n">
        <s:v>3017</s:v>
      </s:c>
      <s:c r="J714" s="0" t="n">
        <s:v>1859</s:v>
      </s:c>
      <s:c r="K714" s="22">
        <s:f>'1'!F715</s:f>
        <s:v>46247.56841435185</s:v>
      </s:c>
      <s:c r="L714" s="22">
        <s:f>'2'!F715</s:f>
        <s:v>46247.550150462965</s:v>
      </s:c>
      <s:c r="M714" s="22">
        <s:f>'3'!F715</s:f>
        <s:v>46247.532743055555</s:v>
      </s:c>
      <s:c r="N714" s="22">
        <s:f>'4'!F715</s:f>
        <s:v>46247.48685185185</s:v>
      </s:c>
      <s:c r="O714" s="22">
        <s:f>'5'!F715</s:f>
        <s:v>46247.458506944444</s:v>
      </s:c>
      <s:c r="P714" s="22">
        <s:f>'6'!F715</s:f>
        <s:v>46247.439050925925</s:v>
      </s:c>
      <s:c r="Q714" s="22">
        <s:f>'7'!F715</s:f>
        <s:v>46247.416400462964</s:v>
      </s:c>
      <s:c r="R714" s="22">
        <s:f>'8'!F715</s:f>
        <s:v>46247.39221064815</s:v>
      </s:c>
      <s:c r="S714" s="22">
        <s:f>'9'!F715</s:f>
        <s:v>46247.374398148146</s:v>
      </s:c>
      <s:c r="T714" s="22">
        <s:f>'10'!F715</s:f>
        <s:v>46247.34517361111</s:v>
      </s:c>
      <s:c r="U714" s="23">
        <s:f>'자료구성'!$B$2</s:f>
        <s:v>46247.0</s:v>
      </s:c>
    </s:row>
    <s:row r="715">
      <s:c r="A715" s="0" t="n">
        <s:v>1752</s:v>
      </s:c>
      <s:c r="B715" s="0" t="n">
        <s:v>1080</s:v>
      </s:c>
      <s:c r="C715" s="0" t="n">
        <s:v>2434</s:v>
      </s:c>
      <s:c r="D715" s="0" t="n">
        <s:v>964</s:v>
      </s:c>
      <s:c r="E715" s="0" t="n">
        <s:v>1372</s:v>
      </s:c>
      <s:c r="F715" s="0" t="n">
        <s:v>4083</s:v>
      </s:c>
      <s:c r="G715" s="0" t="n">
        <s:v>1532</s:v>
      </s:c>
      <s:c r="H715" s="0" t="n">
        <s:v>4698</s:v>
      </s:c>
      <s:c r="I715" s="0" t="n">
        <s:v>3076</s:v>
      </s:c>
      <s:c r="J715" s="0" t="n">
        <s:v>1867</s:v>
      </s:c>
      <s:c r="K715" s="22">
        <s:f>'1'!F716</s:f>
        <s:v>46247.56842592593</s:v>
      </s:c>
      <s:c r="L715" s="22">
        <s:f>'2'!F716</s:f>
        <s:v>46247.550162037034</s:v>
      </s:c>
      <s:c r="M715" s="22">
        <s:f>'3'!F716</s:f>
        <s:v>46247.53275462963</s:v>
      </s:c>
      <s:c r="N715" s="22">
        <s:f>'4'!F716</s:f>
        <s:v>46247.486863425926</s:v>
      </s:c>
      <s:c r="O715" s="22">
        <s:f>'5'!F716</s:f>
        <s:v>46247.45851851852</s:v>
      </s:c>
      <s:c r="P715" s="22">
        <s:f>'6'!F716</s:f>
        <s:v>46247.4390625</s:v>
      </s:c>
      <s:c r="Q715" s="22">
        <s:f>'7'!F716</s:f>
        <s:v>46247.41641203704</s:v>
      </s:c>
      <s:c r="R715" s="22">
        <s:f>'8'!F716</s:f>
        <s:v>46247.392222222225</s:v>
      </s:c>
      <s:c r="S715" s="22">
        <s:f>'9'!F716</s:f>
        <s:v>46247.37440972222</s:v>
      </s:c>
      <s:c r="T715" s="22">
        <s:f>'10'!F716</s:f>
        <s:v>46247.345185185186</s:v>
      </s:c>
      <s:c r="U715" s="23">
        <s:f>'자료구성'!$B$2</s:f>
        <s:v>46247.0</s:v>
      </s:c>
    </s:row>
    <s:row r="716">
      <s:c r="A716" s="0" t="n">
        <s:v>1788</s:v>
      </s:c>
      <s:c r="B716" s="0" t="n">
        <s:v>1085</s:v>
      </s:c>
      <s:c r="C716" s="0" t="n">
        <s:v>2340</s:v>
      </s:c>
      <s:c r="D716" s="0" t="n">
        <s:v>998</s:v>
      </s:c>
      <s:c r="E716" s="0" t="n">
        <s:v>1357</s:v>
      </s:c>
      <s:c r="F716" s="0" t="n">
        <s:v>3964</s:v>
      </s:c>
      <s:c r="G716" s="0" t="n">
        <s:v>1513</s:v>
      </s:c>
      <s:c r="H716" s="0" t="n">
        <s:v>4747</s:v>
      </s:c>
      <s:c r="I716" s="0" t="n">
        <s:v>3129</s:v>
      </s:c>
      <s:c r="J716" s="0" t="n">
        <s:v>1877</s:v>
      </s:c>
      <s:c r="K716" s="22">
        <s:f>'1'!F717</s:f>
        <s:v>46247.5684375</s:v>
      </s:c>
      <s:c r="L716" s="22">
        <s:f>'2'!F717</s:f>
        <s:v>46247.55017361111</s:v>
      </s:c>
      <s:c r="M716" s="22">
        <s:f>'3'!F717</s:f>
        <s:v>46247.5327662037</s:v>
      </s:c>
      <s:c r="N716" s="22">
        <s:f>'4'!F717</s:f>
        <s:v>46247.486875</s:v>
      </s:c>
      <s:c r="O716" s="22">
        <s:f>'5'!F717</s:f>
        <s:v>46247.45853009259</s:v>
      </s:c>
      <s:c r="P716" s="22">
        <s:f>'6'!F717</s:f>
        <s:v>46247.43907407407</s:v>
      </s:c>
      <s:c r="Q716" s="22">
        <s:f>'7'!F717</s:f>
        <s:v>46247.41642361111</s:v>
      </s:c>
      <s:c r="R716" s="22">
        <s:f>'8'!F717</s:f>
        <s:v>46247.392233796294</s:v>
      </s:c>
      <s:c r="S716" s="22">
        <s:f>'9'!F717</s:f>
        <s:v>46247.3744212963</s:v>
      </s:c>
      <s:c r="T716" s="22">
        <s:f>'10'!F717</s:f>
        <s:v>46247.34519675926</s:v>
      </s:c>
      <s:c r="U716" s="23">
        <s:f>'자료구성'!$B$2</s:f>
        <s:v>46247.0</s:v>
      </s:c>
    </s:row>
    <s:row r="717">
      <s:c r="A717" s="0" t="n">
        <s:v>1802</s:v>
      </s:c>
      <s:c r="B717" s="0" t="n">
        <s:v>1099</s:v>
      </s:c>
      <s:c r="C717" s="0" t="n">
        <s:v>2245</s:v>
      </s:c>
      <s:c r="D717" s="0" t="n">
        <s:v>13</s:v>
      </s:c>
      <s:c r="E717" s="0" t="n">
        <s:v>1347</s:v>
      </s:c>
      <s:c r="F717" s="0" t="n">
        <s:v>3943</s:v>
      </s:c>
      <s:c r="G717" s="0" t="n">
        <s:v>1502</s:v>
      </s:c>
      <s:c r="H717" s="0" t="n">
        <s:v>4707</s:v>
      </s:c>
      <s:c r="I717" s="0" t="n">
        <s:v>3205</s:v>
      </s:c>
      <s:c r="J717" s="0" t="n">
        <s:v>1851</s:v>
      </s:c>
      <s:c r="K717" s="22">
        <s:f>'1'!F718</s:f>
        <s:v>46247.568449074075</s:v>
      </s:c>
      <s:c r="L717" s="22">
        <s:f>'2'!F718</s:f>
        <s:v>46247.55018518519</s:v>
      </s:c>
      <s:c r="M717" s="22">
        <s:f>'3'!F718</s:f>
        <s:v>46247.53277777778</s:v>
      </s:c>
      <s:c r="N717" s="22">
        <s:f>'4'!F718</s:f>
        <s:v>46247.48688657407</s:v>
      </s:c>
      <s:c r="O717" s="22">
        <s:f>'5'!F718</s:f>
        <s:v>46247.45854166667</s:v>
      </s:c>
      <s:c r="P717" s="22">
        <s:f>'6'!F718</s:f>
        <s:v>46247.43908564815</s:v>
      </s:c>
      <s:c r="Q717" s="22">
        <s:f>'7'!F718</s:f>
        <s:v>46247.41643518519</s:v>
      </s:c>
      <s:c r="R717" s="22">
        <s:f>'8'!F718</s:f>
        <s:v>46247.39224537037</s:v>
      </s:c>
      <s:c r="S717" s="22">
        <s:f>'9'!F718</s:f>
        <s:v>46247.37443287037</s:v>
      </s:c>
      <s:c r="T717" s="22">
        <s:f>'10'!F718</s:f>
        <s:v>46247.34520833333</s:v>
      </s:c>
      <s:c r="U717" s="23">
        <s:f>'자료구성'!$B$2</s:f>
        <s:v>46247.0</s:v>
      </s:c>
    </s:row>
    <s:row r="718">
      <s:c r="A718" s="0" t="n">
        <s:v>1830</s:v>
      </s:c>
      <s:c r="B718" s="0" t="n">
        <s:v>1105</s:v>
      </s:c>
      <s:c r="C718" s="0" t="n">
        <s:v>2195</s:v>
      </s:c>
      <s:c r="D718" s="0" t="n">
        <s:v>34</s:v>
      </s:c>
      <s:c r="E718" s="0" t="n">
        <s:v>1344</s:v>
      </s:c>
      <s:c r="F718" s="0" t="n">
        <s:v>3899</s:v>
      </s:c>
      <s:c r="G718" s="0" t="n">
        <s:v>1520</s:v>
      </s:c>
      <s:c r="H718" s="0" t="n">
        <s:v>4638</s:v>
      </s:c>
      <s:c r="I718" s="0" t="n">
        <s:v>3228</s:v>
      </s:c>
      <s:c r="J718" s="0" t="n">
        <s:v>1824</s:v>
      </s:c>
      <s:c r="K718" s="22">
        <s:f>'1'!F719</s:f>
        <s:v>46247.568460648145</s:v>
      </s:c>
      <s:c r="L718" s="22">
        <s:f>'2'!F719</s:f>
        <s:v>46247.55019675926</s:v>
      </s:c>
      <s:c r="M718" s="22">
        <s:f>'3'!F719</s:f>
        <s:v>46247.532789351855</s:v>
      </s:c>
      <s:c r="N718" s="22">
        <s:f>'4'!F719</s:f>
        <s:v>46247.48689814815</s:v>
      </s:c>
      <s:c r="O718" s="22">
        <s:f>'5'!F719</s:f>
        <s:v>46247.458553240744</s:v>
      </s:c>
      <s:c r="P718" s="22">
        <s:f>'6'!F719</s:f>
        <s:v>46247.439097222225</s:v>
      </s:c>
      <s:c r="Q718" s="22">
        <s:f>'7'!F719</s:f>
        <s:v>46247.416446759256</s:v>
      </s:c>
      <s:c r="R718" s="22">
        <s:f>'8'!F719</s:f>
        <s:v>46247.39225694445</s:v>
      </s:c>
      <s:c r="S718" s="22">
        <s:f>'9'!F719</s:f>
        <s:v>46247.374444444446</s:v>
      </s:c>
      <s:c r="T718" s="22">
        <s:f>'10'!F719</s:f>
        <s:v>46247.34521990741</s:v>
      </s:c>
      <s:c r="U718" s="23">
        <s:f>'자료구성'!$B$2</s:f>
        <s:v>46247.0</s:v>
      </s:c>
    </s:row>
    <s:row r="719">
      <s:c r="A719" s="0" t="n">
        <s:v>1863</s:v>
      </s:c>
      <s:c r="B719" s="0" t="n">
        <s:v>1131</s:v>
      </s:c>
      <s:c r="C719" s="0" t="n">
        <s:v>2166</s:v>
      </s:c>
      <s:c r="D719" s="0" t="n">
        <s:v>65</s:v>
      </s:c>
      <s:c r="E719" s="0" t="n">
        <s:v>1335</s:v>
      </s:c>
      <s:c r="F719" s="0" t="n">
        <s:v>3890</s:v>
      </s:c>
      <s:c r="G719" s="0" t="n">
        <s:v>1569</s:v>
      </s:c>
      <s:c r="H719" s="0" t="n">
        <s:v>4471</s:v>
      </s:c>
      <s:c r="I719" s="0" t="n">
        <s:v>3224</s:v>
      </s:c>
      <s:c r="J719" s="0" t="n">
        <s:v>1787</s:v>
      </s:c>
      <s:c r="K719" s="22">
        <s:f>'1'!F720</s:f>
        <s:v>46247.56847222222</s:v>
      </s:c>
      <s:c r="L719" s="22">
        <s:f>'2'!F720</s:f>
        <s:v>46247.550208333334</s:v>
      </s:c>
      <s:c r="M719" s="22">
        <s:f>'3'!F720</s:f>
        <s:v>46247.532800925925</s:v>
      </s:c>
      <s:c r="N719" s="22">
        <s:f>'4'!F720</s:f>
        <s:v>46247.486909722225</s:v>
      </s:c>
      <s:c r="O719" s="22">
        <s:f>'5'!F720</s:f>
        <s:v>46247.45856481481</s:v>
      </s:c>
      <s:c r="P719" s="22">
        <s:f>'6'!F720</s:f>
        <s:v>46247.439108796294</s:v>
      </s:c>
      <s:c r="Q719" s="22">
        <s:f>'7'!F720</s:f>
        <s:v>46247.41645833333</s:v>
      </s:c>
      <s:c r="R719" s="22">
        <s:f>'8'!F720</s:f>
        <s:v>46247.39226851852</s:v>
      </s:c>
      <s:c r="S719" s="22">
        <s:f>'9'!F720</s:f>
        <s:v>46247.374456018515</s:v>
      </s:c>
      <s:c r="T719" s="22">
        <s:f>'10'!F720</s:f>
        <s:v>46247.34523148148</s:v>
      </s:c>
      <s:c r="U719" s="23">
        <s:f>'자료구성'!$B$2</s:f>
        <s:v>46247.0</s:v>
      </s:c>
    </s:row>
    <s:row r="720">
      <s:c r="A720" s="0" t="n">
        <s:v>1910</s:v>
      </s:c>
      <s:c r="B720" s="0" t="n">
        <s:v>1109</s:v>
      </s:c>
      <s:c r="C720" s="0" t="n">
        <s:v>2111</s:v>
      </s:c>
      <s:c r="D720" s="0" t="n">
        <s:v>59</s:v>
      </s:c>
      <s:c r="E720" s="0" t="n">
        <s:v>1328</s:v>
      </s:c>
      <s:c r="F720" s="0" t="n">
        <s:v>3945</s:v>
      </s:c>
      <s:c r="G720" s="0" t="n">
        <s:v>1540</s:v>
      </s:c>
      <s:c r="H720" s="0" t="n">
        <s:v>4382</s:v>
      </s:c>
      <s:c r="I720" s="0" t="n">
        <s:v>3134</s:v>
      </s:c>
      <s:c r="J720" s="0" t="n">
        <s:v>1759</s:v>
      </s:c>
      <s:c r="K720" s="22">
        <s:f>'1'!F721</s:f>
        <s:v>46247.5684837963</s:v>
      </s:c>
      <s:c r="L720" s="22">
        <s:f>'2'!F721</s:f>
        <s:v>46247.55021990741</s:v>
      </s:c>
      <s:c r="M720" s="22">
        <s:f>'3'!F721</s:f>
        <s:v>46247.5328125</s:v>
      </s:c>
      <s:c r="N720" s="22">
        <s:f>'4'!F721</s:f>
        <s:v>46247.486921296295</s:v>
      </s:c>
      <s:c r="O720" s="22">
        <s:f>'5'!F721</s:f>
        <s:v>46247.45857638889</s:v>
      </s:c>
      <s:c r="P720" s="22">
        <s:f>'6'!F721</s:f>
        <s:v>46247.43912037037</s:v>
      </s:c>
      <s:c r="Q720" s="22">
        <s:f>'7'!F721</s:f>
        <s:v>46247.41646990741</s:v>
      </s:c>
      <s:c r="R720" s="22">
        <s:f>'8'!F721</s:f>
        <s:v>46247.392280092594</s:v>
      </s:c>
      <s:c r="S720" s="22">
        <s:f>'9'!F721</s:f>
        <s:v>46247.37446759259</s:v>
      </s:c>
      <s:c r="T720" s="22">
        <s:f>'10'!F721</s:f>
        <s:v>46247.345243055555</s:v>
      </s:c>
      <s:c r="U720" s="23">
        <s:f>'자료구성'!$B$2</s:f>
        <s:v>46247.0</s:v>
      </s:c>
    </s:row>
    <s:row r="721">
      <s:c r="A721" s="0" t="n">
        <s:v>1919</s:v>
      </s:c>
      <s:c r="B721" s="0" t="n">
        <s:v>1117</s:v>
      </s:c>
      <s:c r="C721" s="0" t="n">
        <s:v>2048</s:v>
      </s:c>
      <s:c r="D721" s="0" t="n">
        <s:v>67</s:v>
      </s:c>
      <s:c r="E721" s="0" t="n">
        <s:v>1335</s:v>
      </s:c>
      <s:c r="F721" s="0" t="n">
        <s:v>4033</s:v>
      </s:c>
      <s:c r="G721" s="0" t="n">
        <s:v>1538</s:v>
      </s:c>
      <s:c r="H721" s="0" t="n">
        <s:v>4325</s:v>
      </s:c>
      <s:c r="I721" s="0" t="n">
        <s:v>3026</s:v>
      </s:c>
      <s:c r="J721" s="0" t="n">
        <s:v>1724</s:v>
      </s:c>
      <s:c r="K721" s="22">
        <s:f>'1'!F722</s:f>
        <s:v>46247.56849537037</s:v>
      </s:c>
      <s:c r="L721" s="22">
        <s:f>'2'!F722</s:f>
        <s:v>46247.55023148148</s:v>
      </s:c>
      <s:c r="M721" s="22">
        <s:f>'3'!F722</s:f>
        <s:v>46247.53282407407</s:v>
      </s:c>
      <s:c r="N721" s="22">
        <s:f>'4'!F722</s:f>
        <s:v>46247.48693287037</s:v>
      </s:c>
      <s:c r="O721" s="22">
        <s:f>'5'!F722</s:f>
        <s:v>46247.45858796296</s:v>
      </s:c>
      <s:c r="P721" s="22">
        <s:f>'6'!F722</s:f>
        <s:v>46247.43913194445</s:v>
      </s:c>
      <s:c r="Q721" s="22">
        <s:f>'7'!F722</s:f>
        <s:v>46247.41648148148</s:v>
      </s:c>
      <s:c r="R721" s="22">
        <s:f>'8'!F722</s:f>
        <s:v>46247.39229166666</s:v>
      </s:c>
      <s:c r="S721" s="22">
        <s:f>'9'!F722</s:f>
        <s:v>46247.37447916667</s:v>
      </s:c>
      <s:c r="T721" s="22">
        <s:f>'10'!F722</s:f>
        <s:v>46247.34525462963</s:v>
      </s:c>
      <s:c r="U721" s="23">
        <s:f>'자료구성'!$B$2</s:f>
        <s:v>46247.0</s:v>
      </s:c>
    </s:row>
    <s:row r="722">
      <s:c r="A722" s="0" t="n">
        <s:v>1923</s:v>
      </s:c>
      <s:c r="B722" s="0" t="n">
        <s:v>1115</s:v>
      </s:c>
      <s:c r="C722" s="0" t="n">
        <s:v>2067</s:v>
      </s:c>
      <s:c r="D722" s="0" t="n">
        <s:v>56</s:v>
      </s:c>
      <s:c r="E722" s="0" t="n">
        <s:v>1347</s:v>
      </s:c>
      <s:c r="F722" s="0" t="n">
        <s:v>4134</s:v>
      </s:c>
      <s:c r="G722" s="0" t="n">
        <s:v>1588</s:v>
      </s:c>
      <s:c r="H722" s="0" t="n">
        <s:v>4373</s:v>
      </s:c>
      <s:c r="I722" s="0" t="n">
        <s:v>2970</s:v>
      </s:c>
      <s:c r="J722" s="0" t="n">
        <s:v>1686</s:v>
      </s:c>
      <s:c r="K722" s="22">
        <s:f>'1'!F723</s:f>
        <s:v>46247.568506944444</s:v>
      </s:c>
      <s:c r="L722" s="22">
        <s:f>'2'!F723</s:f>
        <s:v>46247.55024305556</s:v>
      </s:c>
      <s:c r="M722" s="22">
        <s:f>'3'!F723</s:f>
        <s:v>46247.53283564815</s:v>
      </s:c>
      <s:c r="N722" s="22">
        <s:f>'4'!F723</s:f>
        <s:v>46247.48694444444</s:v>
      </s:c>
      <s:c r="O722" s="22">
        <s:f>'5'!F723</s:f>
        <s:v>46247.458599537036</s:v>
      </s:c>
      <s:c r="P722" s="22">
        <s:f>'6'!F723</s:f>
        <s:v>46247.43914351852</s:v>
      </s:c>
      <s:c r="Q722" s="22">
        <s:f>'7'!F723</s:f>
        <s:v>46247.416493055556</s:v>
      </s:c>
      <s:c r="R722" s="22">
        <s:f>'8'!F723</s:f>
        <s:v>46247.39230324074</s:v>
      </s:c>
      <s:c r="S722" s="22">
        <s:f>'9'!F723</s:f>
        <s:v>46247.37449074074</s:v>
      </s:c>
      <s:c r="T722" s="22">
        <s:f>'10'!F723</s:f>
        <s:v>46247.3452662037</s:v>
      </s:c>
      <s:c r="U722" s="23">
        <s:f>'자료구성'!$B$2</s:f>
        <s:v>46247.0</s:v>
      </s:c>
    </s:row>
    <s:row r="723">
      <s:c r="A723" s="0" t="n">
        <s:v>1913</s:v>
      </s:c>
      <s:c r="B723" s="0" t="n">
        <s:v>1100</s:v>
      </s:c>
      <s:c r="C723" s="0" t="n">
        <s:v>2067</s:v>
      </s:c>
      <s:c r="D723" s="0" t="n">
        <s:v>30</s:v>
      </s:c>
      <s:c r="E723" s="0" t="n">
        <s:v>1379</s:v>
      </s:c>
      <s:c r="F723" s="0" t="n">
        <s:v>4179</s:v>
      </s:c>
      <s:c r="G723" s="0" t="n">
        <s:v>1624</s:v>
      </s:c>
      <s:c r="H723" s="0" t="n">
        <s:v>4508</s:v>
      </s:c>
      <s:c r="I723" s="0" t="n">
        <s:v>2898</s:v>
      </s:c>
      <s:c r="J723" s="0" t="n">
        <s:v>1644</s:v>
      </s:c>
      <s:c r="K723" s="22">
        <s:f>'1'!F724</s:f>
        <s:v>46247.56851851852</s:v>
      </s:c>
      <s:c r="L723" s="22">
        <s:f>'2'!F724</s:f>
        <s:v>46247.55025462963</s:v>
      </s:c>
      <s:c r="M723" s="22">
        <s:f>'3'!F724</s:f>
        <s:v>46247.532847222225</s:v>
      </s:c>
      <s:c r="N723" s="22">
        <s:f>'4'!F724</s:f>
        <s:v>46247.48695601852</s:v>
      </s:c>
      <s:c r="O723" s="22">
        <s:f>'5'!F724</s:f>
        <s:v>46247.45861111111</s:v>
      </s:c>
      <s:c r="P723" s="22">
        <s:f>'6'!F724</s:f>
        <s:v>46247.439155092594</s:v>
      </s:c>
      <s:c r="Q723" s="22">
        <s:f>'7'!F724</s:f>
        <s:v>46247.41650462963</s:v>
      </s:c>
      <s:c r="R723" s="22">
        <s:f>'8'!F724</s:f>
        <s:v>46247.39231481482</s:v>
      </s:c>
      <s:c r="S723" s="22">
        <s:f>'9'!F724</s:f>
        <s:v>46247.374502314815</s:v>
      </s:c>
      <s:c r="T723" s="22">
        <s:f>'10'!F724</s:f>
        <s:v>46247.34527777778</s:v>
      </s:c>
      <s:c r="U723" s="23">
        <s:f>'자료구성'!$B$2</s:f>
        <s:v>46247.0</s:v>
      </s:c>
    </s:row>
    <s:row r="724">
      <s:c r="A724" s="0" t="n">
        <s:v>1918</s:v>
      </s:c>
      <s:c r="B724" s="0" t="n">
        <s:v>1065</s:v>
      </s:c>
      <s:c r="C724" s="0" t="n">
        <s:v>2101</s:v>
      </s:c>
      <s:c r="D724" s="0" t="n">
        <s:v>21</s:v>
      </s:c>
      <s:c r="E724" s="0" t="n">
        <s:v>1388</s:v>
      </s:c>
      <s:c r="F724" s="0" t="n">
        <s:v>4215</s:v>
      </s:c>
      <s:c r="G724" s="0" t="n">
        <s:v>1627</s:v>
      </s:c>
      <s:c r="H724" s="0" t="n">
        <s:v>4635</s:v>
      </s:c>
      <s:c r="I724" s="0" t="n">
        <s:v>2813</s:v>
      </s:c>
      <s:c r="J724" s="0" t="n">
        <s:v>1605</s:v>
      </s:c>
      <s:c r="K724" s="22">
        <s:f>'1'!F725</s:f>
        <s:v>46247.56853009259</s:v>
      </s:c>
      <s:c r="L724" s="22">
        <s:f>'2'!F725</s:f>
        <s:v>46247.5502662037</s:v>
      </s:c>
      <s:c r="M724" s="22">
        <s:f>'3'!F725</s:f>
        <s:v>46247.532858796294</s:v>
      </s:c>
      <s:c r="N724" s="22">
        <s:f>'4'!F725</s:f>
        <s:v>46247.486967592595</s:v>
      </s:c>
      <s:c r="O724" s="22">
        <s:f>'5'!F725</s:f>
        <s:v>46247.45862268518</s:v>
      </s:c>
      <s:c r="P724" s="22">
        <s:f>'6'!F725</s:f>
        <s:v>46247.43916666666</s:v>
      </s:c>
      <s:c r="Q724" s="22">
        <s:f>'7'!F725</s:f>
        <s:v>46247.4165162037</s:v>
      </s:c>
      <s:c r="R724" s="22">
        <s:f>'8'!F725</s:f>
        <s:v>46247.39232638889</s:v>
      </s:c>
      <s:c r="S724" s="22">
        <s:f>'9'!F725</s:f>
        <s:v>46247.37451388889</s:v>
      </s:c>
      <s:c r="T724" s="22">
        <s:f>'10'!F725</s:f>
        <s:v>46247.345289351855</s:v>
      </s:c>
      <s:c r="U724" s="23">
        <s:f>'자료구성'!$B$2</s:f>
        <s:v>46247.0</s:v>
      </s:c>
    </s:row>
    <s:row r="725">
      <s:c r="A725" s="0" t="n">
        <s:v>1916</s:v>
      </s:c>
      <s:c r="B725" s="0" t="n">
        <s:v>1038</s:v>
      </s:c>
      <s:c r="C725" s="0" t="n">
        <s:v>2151</s:v>
      </s:c>
      <s:c r="D725" s="0" t="n">
        <s:v>40</s:v>
      </s:c>
      <s:c r="E725" s="0" t="n">
        <s:v>1386</s:v>
      </s:c>
      <s:c r="F725" s="0" t="n">
        <s:v>4333</s:v>
      </s:c>
      <s:c r="G725" s="0" t="n">
        <s:v>1668</s:v>
      </s:c>
      <s:c r="H725" s="0" t="n">
        <s:v>4755</s:v>
      </s:c>
      <s:c r="I725" s="0" t="n">
        <s:v>2721</s:v>
      </s:c>
      <s:c r="J725" s="0" t="n">
        <s:v>1594</s:v>
      </s:c>
      <s:c r="K725" s="22">
        <s:f>'1'!F726</s:f>
        <s:v>46247.56854166667</s:v>
      </s:c>
      <s:c r="L725" s="22">
        <s:f>'2'!F726</s:f>
        <s:v>46247.55027777778</s:v>
      </s:c>
      <s:c r="M725" s="22">
        <s:f>'3'!F726</s:f>
        <s:v>46247.53287037037</s:v>
      </s:c>
      <s:c r="N725" s="22">
        <s:f>'4'!F726</s:f>
        <s:v>46247.486979166664</s:v>
      </s:c>
      <s:c r="O725" s="22">
        <s:f>'5'!F726</s:f>
        <s:v>46247.45863425926</s:v>
      </s:c>
      <s:c r="P725" s="22">
        <s:f>'6'!F726</s:f>
        <s:v>46247.43917824074</s:v>
      </s:c>
      <s:c r="Q725" s="22">
        <s:f>'7'!F726</s:f>
        <s:v>46247.41652777778</s:v>
      </s:c>
      <s:c r="R725" s="22">
        <s:f>'8'!F726</s:f>
        <s:v>46247.39233796296</s:v>
      </s:c>
      <s:c r="S725" s="22">
        <s:f>'9'!F726</s:f>
        <s:v>46247.37452546296</s:v>
      </s:c>
      <s:c r="T725" s="22">
        <s:f>'10'!F726</s:f>
        <s:v>46247.345300925925</s:v>
      </s:c>
      <s:c r="U725" s="23">
        <s:f>'자료구성'!$B$2</s:f>
        <s:v>46247.0</s:v>
      </s:c>
    </s:row>
    <s:row r="726">
      <s:c r="A726" s="0" t="n">
        <s:v>1923</s:v>
      </s:c>
      <s:c r="B726" s="0" t="n">
        <s:v>1003</s:v>
      </s:c>
      <s:c r="C726" s="0" t="n">
        <s:v>2200</s:v>
      </s:c>
      <s:c r="D726" s="0" t="n">
        <s:v>96</s:v>
      </s:c>
      <s:c r="E726" s="0" t="n">
        <s:v>1401</s:v>
      </s:c>
      <s:c r="F726" s="0" t="n">
        <s:v>4370</s:v>
      </s:c>
      <s:c r="G726" s="0" t="n">
        <s:v>1744</s:v>
      </s:c>
      <s:c r="H726" s="0" t="n">
        <s:v>4843</s:v>
      </s:c>
      <s:c r="I726" s="0" t="n">
        <s:v>2695</s:v>
      </s:c>
      <s:c r="J726" s="0" t="n">
        <s:v>1589</s:v>
      </s:c>
      <s:c r="K726" s="22">
        <s:f>'1'!F727</s:f>
        <s:v>46247.568553240744</s:v>
      </s:c>
      <s:c r="L726" s="22">
        <s:f>'2'!F727</s:f>
        <s:v>46247.55028935185</s:v>
      </s:c>
      <s:c r="M726" s="22">
        <s:f>'3'!F727</s:f>
        <s:v>46247.53288194445</s:v>
      </s:c>
      <s:c r="N726" s="22">
        <s:f>'4'!F727</s:f>
        <s:v>46247.48699074074</s:v>
      </s:c>
      <s:c r="O726" s="22">
        <s:f>'5'!F727</s:f>
        <s:v>46247.458645833336</s:v>
      </s:c>
      <s:c r="P726" s="22">
        <s:f>'6'!F727</s:f>
        <s:v>46247.43918981482</s:v>
      </s:c>
      <s:c r="Q726" s="22">
        <s:f>'7'!F727</s:f>
        <s:v>46247.41653935185</s:v>
      </s:c>
      <s:c r="R726" s="22">
        <s:f>'8'!F727</s:f>
        <s:v>46247.39234953704</s:v>
      </s:c>
      <s:c r="S726" s="22">
        <s:f>'9'!F727</s:f>
        <s:v>46247.37453703704</s:v>
      </s:c>
      <s:c r="T726" s="22">
        <s:f>'10'!F727</s:f>
        <s:v>46247.3453125</s:v>
      </s:c>
      <s:c r="U726" s="23">
        <s:f>'자료구성'!$B$2</s:f>
        <s:v>46247.0</s:v>
      </s:c>
    </s:row>
    <s:row r="727">
      <s:c r="A727" s="0" t="n">
        <s:v>1919</s:v>
      </s:c>
      <s:c r="B727" s="0" t="n">
        <s:v>996</s:v>
      </s:c>
      <s:c r="C727" s="0" t="n">
        <s:v>2287</s:v>
      </s:c>
      <s:c r="D727" s="0" t="n">
        <s:v>95</s:v>
      </s:c>
      <s:c r="E727" s="0" t="n">
        <s:v>1386</s:v>
      </s:c>
      <s:c r="F727" s="0" t="n">
        <s:v>4351</s:v>
      </s:c>
      <s:c r="G727" s="0" t="n">
        <s:v>1774</s:v>
      </s:c>
      <s:c r="H727" s="0" t="n">
        <s:v>4883</s:v>
      </s:c>
      <s:c r="I727" s="0" t="n">
        <s:v>2634</s:v>
      </s:c>
      <s:c r="J727" s="0" t="n">
        <s:v>1597</s:v>
      </s:c>
      <s:c r="K727" s="22">
        <s:f>'1'!F728</s:f>
        <s:v>46247.568564814814</s:v>
      </s:c>
      <s:c r="L727" s="22">
        <s:f>'2'!F728</s:f>
        <s:v>46247.55030092593</s:v>
      </s:c>
      <s:c r="M727" s="22">
        <s:f>'3'!F728</s:f>
        <s:v>46247.53289351852</s:v>
      </s:c>
      <s:c r="N727" s="22">
        <s:f>'4'!F728</s:f>
        <s:v>46247.48700231482</s:v>
      </s:c>
      <s:c r="O727" s="22">
        <s:f>'5'!F728</s:f>
        <s:v>46247.458657407406</s:v>
      </s:c>
      <s:c r="P727" s="22">
        <s:f>'6'!F728</s:f>
        <s:v>46247.43920138889</s:v>
      </s:c>
      <s:c r="Q727" s="22">
        <s:f>'7'!F728</s:f>
        <s:v>46247.416550925926</s:v>
      </s:c>
      <s:c r="R727" s="22">
        <s:f>'8'!F728</s:f>
        <s:v>46247.39236111111</s:v>
      </s:c>
      <s:c r="S727" s="22">
        <s:f>'9'!F728</s:f>
        <s:v>46247.374548611115</s:v>
      </s:c>
      <s:c r="T727" s="22">
        <s:f>'10'!F728</s:f>
        <s:v>46247.34532407407</s:v>
      </s:c>
      <s:c r="U727" s="23">
        <s:f>'자료구성'!$B$2</s:f>
        <s:v>46247.0</s:v>
      </s:c>
    </s:row>
    <s:row r="728">
      <s:c r="A728" s="0" t="n">
        <s:v>1903</s:v>
      </s:c>
      <s:c r="B728" s="0" t="n">
        <s:v>973</s:v>
      </s:c>
      <s:c r="C728" s="0" t="n">
        <s:v>2369</s:v>
      </s:c>
      <s:c r="D728" s="0" t="n">
        <s:v>71</s:v>
      </s:c>
      <s:c r="E728" s="0" t="n">
        <s:v>1378</s:v>
      </s:c>
      <s:c r="F728" s="0" t="n">
        <s:v>4285</s:v>
      </s:c>
      <s:c r="G728" s="0" t="n">
        <s:v>1763</s:v>
      </s:c>
      <s:c r="H728" s="0" t="n">
        <s:v>4950</s:v>
      </s:c>
      <s:c r="I728" s="0" t="n">
        <s:v>2566</s:v>
      </s:c>
      <s:c r="J728" s="0" t="n">
        <s:v>1599</s:v>
      </s:c>
      <s:c r="K728" s="22">
        <s:f>'1'!F729</s:f>
        <s:v>46247.56857638889</s:v>
      </s:c>
      <s:c r="L728" s="22">
        <s:f>'2'!F729</s:f>
        <s:v>46247.5503125</s:v>
      </s:c>
      <s:c r="M728" s="22">
        <s:f>'3'!F729</s:f>
        <s:v>46247.532905092594</s:v>
      </s:c>
      <s:c r="N728" s="22">
        <s:f>'4'!F729</s:f>
        <s:v>46247.48701388889</s:v>
      </s:c>
      <s:c r="O728" s="22">
        <s:f>'5'!F729</s:f>
        <s:v>46247.45866898148</s:v>
      </s:c>
      <s:c r="P728" s="22">
        <s:f>'6'!F729</s:f>
        <s:v>46247.43921296296</s:v>
      </s:c>
      <s:c r="Q728" s="22">
        <s:f>'7'!F729</s:f>
        <s:v>46247.4165625</s:v>
      </s:c>
      <s:c r="R728" s="22">
        <s:f>'8'!F729</s:f>
        <s:v>46247.392372685186</s:v>
      </s:c>
      <s:c r="S728" s="22">
        <s:f>'9'!F729</s:f>
        <s:v>46247.374560185184</s:v>
      </s:c>
      <s:c r="T728" s="22">
        <s:f>'10'!F729</s:f>
        <s:v>46247.34533564815</s:v>
      </s:c>
      <s:c r="U728" s="23">
        <s:f>'자료구성'!$B$2</s:f>
        <s:v>46247.0</s:v>
      </s:c>
    </s:row>
    <s:row r="729">
      <s:c r="A729" s="0" t="n">
        <s:v>1889</s:v>
      </s:c>
      <s:c r="B729" s="0" t="n">
        <s:v>994</s:v>
      </s:c>
      <s:c r="C729" s="0" t="n">
        <s:v>2404</s:v>
      </s:c>
      <s:c r="D729" s="0" t="n">
        <s:v>29</s:v>
      </s:c>
      <s:c r="E729" s="0" t="n">
        <s:v>1373</s:v>
      </s:c>
      <s:c r="F729" s="0" t="n">
        <s:v>4311</s:v>
      </s:c>
      <s:c r="G729" s="0" t="n">
        <s:v>1739</s:v>
      </s:c>
      <s:c r="H729" s="0" t="n">
        <s:v>4978</s:v>
      </s:c>
      <s:c r="I729" s="0" t="n">
        <s:v>2513</s:v>
      </s:c>
      <s:c r="J729" s="0" t="n">
        <s:v>1618</s:v>
      </s:c>
      <s:c r="K729" s="22">
        <s:f>'1'!F730</s:f>
        <s:v>46247.56858796296</s:v>
      </s:c>
      <s:c r="L729" s="22">
        <s:f>'2'!F730</s:f>
        <s:v>46247.55032407407</s:v>
      </s:c>
      <s:c r="M729" s="22">
        <s:f>'3'!F730</s:f>
        <s:v>46247.53291666666</s:v>
      </s:c>
      <s:c r="N729" s="22">
        <s:f>'4'!F730</s:f>
        <s:v>46247.487025462964</s:v>
      </s:c>
      <s:c r="O729" s="22">
        <s:f>'5'!F730</s:f>
        <s:v>46247.45868055556</s:v>
      </s:c>
      <s:c r="P729" s="22">
        <s:f>'6'!F730</s:f>
        <s:v>46247.43922453704</s:v>
      </s:c>
      <s:c r="Q729" s="22">
        <s:f>'7'!F730</s:f>
        <s:v>46247.41657407407</s:v>
      </s:c>
      <s:c r="R729" s="22">
        <s:f>'8'!F730</s:f>
        <s:v>46247.392384259256</s:v>
      </s:c>
      <s:c r="S729" s="22">
        <s:f>'9'!F730</s:f>
        <s:v>46247.37457175926</s:v>
      </s:c>
      <s:c r="T729" s="22">
        <s:f>'10'!F730</s:f>
        <s:v>46247.345347222225</s:v>
      </s:c>
      <s:c r="U729" s="23">
        <s:f>'자료구성'!$B$2</s:f>
        <s:v>46247.0</s:v>
      </s:c>
    </s:row>
    <s:row r="730">
      <s:c r="A730" s="0" t="n">
        <s:v>1872</s:v>
      </s:c>
      <s:c r="B730" s="0" t="n">
        <s:v>984</s:v>
      </s:c>
      <s:c r="C730" s="0" t="n">
        <s:v>2416</s:v>
      </s:c>
      <s:c r="D730" s="0" t="n">
        <s:v>994</s:v>
      </s:c>
      <s:c r="E730" s="0" t="n">
        <s:v>1377</s:v>
      </s:c>
      <s:c r="F730" s="0" t="n">
        <s:v>4359</s:v>
      </s:c>
      <s:c r="G730" s="0" t="n">
        <s:v>1745</s:v>
      </s:c>
      <s:c r="H730" s="0" t="n">
        <s:v>4854</s:v>
      </s:c>
      <s:c r="I730" s="0" t="n">
        <s:v>2495</s:v>
      </s:c>
      <s:c r="J730" s="0" t="n">
        <s:v>1656</s:v>
      </s:c>
      <s:c r="K730" s="22">
        <s:f>'1'!F731</s:f>
        <s:v>46247.56859953704</s:v>
      </s:c>
      <s:c r="L730" s="22">
        <s:f>'2'!F731</s:f>
        <s:v>46247.55033564815</s:v>
      </s:c>
      <s:c r="M730" s="22">
        <s:f>'3'!F731</s:f>
        <s:v>46247.53292824074</s:v>
      </s:c>
      <s:c r="N730" s="22">
        <s:f>'4'!F731</s:f>
        <s:v>46247.48703703703</s:v>
      </s:c>
      <s:c r="O730" s="22">
        <s:f>'5'!F731</s:f>
        <s:v>46247.45869212963</s:v>
      </s:c>
      <s:c r="P730" s="22">
        <s:f>'6'!F731</s:f>
        <s:v>46247.43923611111</s:v>
      </s:c>
      <s:c r="Q730" s="22">
        <s:f>'7'!F731</s:f>
        <s:v>46247.41658564815</s:v>
      </s:c>
      <s:c r="R730" s="22">
        <s:f>'8'!F731</s:f>
        <s:v>46247.39239583333</s:v>
      </s:c>
      <s:c r="S730" s="22">
        <s:f>'9'!F731</s:f>
        <s:v>46247.37458333333</s:v>
      </s:c>
      <s:c r="T730" s="22">
        <s:f>'10'!F731</s:f>
        <s:v>46247.345358796294</s:v>
      </s:c>
      <s:c r="U730" s="23">
        <s:f>'자료구성'!$B$2</s:f>
        <s:v>46247.0</s:v>
      </s:c>
    </s:row>
    <s:row r="731">
      <s:c r="A731" s="0" t="n">
        <s:v>1852</s:v>
      </s:c>
      <s:c r="B731" s="0" t="n">
        <s:v>977</s:v>
      </s:c>
      <s:c r="C731" s="0" t="n">
        <s:v>2410</s:v>
      </s:c>
      <s:c r="D731" s="0" t="n">
        <s:v>969</s:v>
      </s:c>
      <s:c r="E731" s="0" t="n">
        <s:v>1371</s:v>
      </s:c>
      <s:c r="F731" s="0" t="n">
        <s:v>4334</s:v>
      </s:c>
      <s:c r="G731" s="0" t="n">
        <s:v>1776</s:v>
      </s:c>
      <s:c r="H731" s="0" t="n">
        <s:v>4779</s:v>
      </s:c>
      <s:c r="I731" s="0" t="n">
        <s:v>2468</s:v>
      </s:c>
      <s:c r="J731" s="0" t="n">
        <s:v>1709</s:v>
      </s:c>
      <s:c r="K731" s="22">
        <s:f>'1'!F732</s:f>
        <s:v>46247.56861111111</s:v>
      </s:c>
      <s:c r="L731" s="22">
        <s:f>'2'!F732</s:f>
        <s:v>46247.55034722222</s:v>
      </s:c>
      <s:c r="M731" s="22">
        <s:f>'3'!F732</s:f>
        <s:v>46247.53293981482</s:v>
      </s:c>
      <s:c r="N731" s="22">
        <s:f>'4'!F732</s:f>
        <s:v>46247.48704861111</s:v>
      </s:c>
      <s:c r="O731" s="22">
        <s:f>'5'!F732</s:f>
        <s:v>46247.458703703705</s:v>
      </s:c>
      <s:c r="P731" s="22">
        <s:f>'6'!F732</s:f>
        <s:v>46247.439247685186</s:v>
      </s:c>
      <s:c r="Q731" s="22">
        <s:f>'7'!F732</s:f>
        <s:v>46247.416597222225</s:v>
      </s:c>
      <s:c r="R731" s="22">
        <s:f>'8'!F732</s:f>
        <s:v>46247.39240740741</s:v>
      </s:c>
      <s:c r="S731" s="22">
        <s:f>'9'!F732</s:f>
        <s:v>46247.37459490741</s:v>
      </s:c>
      <s:c r="T731" s="22">
        <s:f>'10'!F732</s:f>
        <s:v>46247.34537037037</s:v>
      </s:c>
      <s:c r="U731" s="23">
        <s:f>'자료구성'!$B$2</s:f>
        <s:v>46247.0</s:v>
      </s:c>
    </s:row>
    <s:row r="732">
      <s:c r="A732" s="0" t="n">
        <s:v>1879</s:v>
      </s:c>
      <s:c r="B732" s="0" t="n">
        <s:v>996</s:v>
      </s:c>
      <s:c r="C732" s="0" t="n">
        <s:v>2414</s:v>
      </s:c>
      <s:c r="D732" s="0" t="n">
        <s:v>914</s:v>
      </s:c>
      <s:c r="E732" s="0" t="n">
        <s:v>1364</s:v>
      </s:c>
      <s:c r="F732" s="0" t="n">
        <s:v>4278</s:v>
      </s:c>
      <s:c r="G732" s="0" t="n">
        <s:v>1761</s:v>
      </s:c>
      <s:c r="H732" s="0" t="n">
        <s:v>4648</s:v>
      </s:c>
      <s:c r="I732" s="0" t="n">
        <s:v>2435</s:v>
      </s:c>
      <s:c r="J732" s="0" t="n">
        <s:v>1720</s:v>
      </s:c>
      <s:c r="K732" s="22">
        <s:f>'1'!F733</s:f>
        <s:v>46247.56862268518</s:v>
      </s:c>
      <s:c r="L732" s="22">
        <s:f>'2'!F733</s:f>
        <s:v>46247.550358796296</s:v>
      </s:c>
      <s:c r="M732" s="22">
        <s:f>'3'!F733</s:f>
        <s:v>46247.53295138889</s:v>
      </s:c>
      <s:c r="N732" s="22">
        <s:f>'4'!F733</s:f>
        <s:v>46247.48706018519</s:v>
      </s:c>
      <s:c r="O732" s="22">
        <s:f>'5'!F733</s:f>
        <s:v>46247.458715277775</s:v>
      </s:c>
      <s:c r="P732" s="22">
        <s:f>'6'!F733</s:f>
        <s:v>46247.439259259256</s:v>
      </s:c>
      <s:c r="Q732" s="22">
        <s:f>'7'!F733</s:f>
        <s:v>46247.416608796295</s:v>
      </s:c>
      <s:c r="R732" s="22">
        <s:f>'8'!F733</s:f>
        <s:v>46247.39241898148</s:v>
      </s:c>
      <s:c r="S732" s="22">
        <s:f>'9'!F733</s:f>
        <s:v>46247.374606481484</s:v>
      </s:c>
      <s:c r="T732" s="22">
        <s:f>'10'!F733</s:f>
        <s:v>46247.34538194445</s:v>
      </s:c>
      <s:c r="U732" s="23">
        <s:f>'자료구성'!$B$2</s:f>
        <s:v>46247.0</s:v>
      </s:c>
    </s:row>
    <s:row r="733">
      <s:c r="A733" s="0" t="n">
        <s:v>1903</s:v>
      </s:c>
      <s:c r="B733" s="0" t="n">
        <s:v>984</s:v>
      </s:c>
      <s:c r="C733" s="0" t="n">
        <s:v>2353</s:v>
      </s:c>
      <s:c r="D733" s="0" t="n">
        <s:v>876</s:v>
      </s:c>
      <s:c r="E733" s="0" t="n">
        <s:v>1359</s:v>
      </s:c>
      <s:c r="F733" s="0" t="n">
        <s:v>4248</s:v>
      </s:c>
      <s:c r="G733" s="0" t="n">
        <s:v>1738</s:v>
      </s:c>
      <s:c r="H733" s="0" t="n">
        <s:v>4540</s:v>
      </s:c>
      <s:c r="I733" s="0" t="n">
        <s:v>2404</s:v>
      </s:c>
      <s:c r="J733" s="0" t="n">
        <s:v>1749</s:v>
      </s:c>
      <s:c r="K733" s="22">
        <s:f>'1'!F734</s:f>
        <s:v>46247.56863425926</s:v>
      </s:c>
      <s:c r="L733" s="22">
        <s:f>'2'!F734</s:f>
        <s:v>46247.55037037037</s:v>
      </s:c>
      <s:c r="M733" s="22">
        <s:f>'3'!F734</s:f>
        <s:v>46247.53296296296</s:v>
      </s:c>
      <s:c r="N733" s="22">
        <s:f>'4'!F734</s:f>
        <s:v>46247.48707175926</s:v>
      </s:c>
      <s:c r="O733" s="22">
        <s:f>'5'!F734</s:f>
        <s:v>46247.45872685185</s:v>
      </s:c>
      <s:c r="P733" s="22">
        <s:f>'6'!F734</s:f>
        <s:v>46247.43927083333</s:v>
      </s:c>
      <s:c r="Q733" s="22">
        <s:f>'7'!F734</s:f>
        <s:v>46247.41662037037</s:v>
      </s:c>
      <s:c r="R733" s="22">
        <s:f>'8'!F734</s:f>
        <s:v>46247.392430555556</s:v>
      </s:c>
      <s:c r="S733" s="22">
        <s:f>'9'!F734</s:f>
        <s:v>46247.37461805555</s:v>
      </s:c>
      <s:c r="T733" s="22">
        <s:f>'10'!F734</s:f>
        <s:v>46247.34539351852</s:v>
      </s:c>
      <s:c r="U733" s="23">
        <s:f>'자료구성'!$B$2</s:f>
        <s:v>46247.0</s:v>
      </s:c>
    </s:row>
    <s:row r="734">
      <s:c r="A734" s="0" t="n">
        <s:v>1934</s:v>
      </s:c>
      <s:c r="B734" s="0" t="n">
        <s:v>970</s:v>
      </s:c>
      <s:c r="C734" s="0" t="n">
        <s:v>2292</s:v>
      </s:c>
      <s:c r="D734" s="0" t="n">
        <s:v>825</s:v>
      </s:c>
      <s:c r="E734" s="0" t="n">
        <s:v>1370</s:v>
      </s:c>
      <s:c r="F734" s="0" t="n">
        <s:v>4179</s:v>
      </s:c>
      <s:c r="G734" s="0" t="n">
        <s:v>1705</s:v>
      </s:c>
      <s:c r="H734" s="0" t="n">
        <s:v>4464</s:v>
      </s:c>
      <s:c r="I734" s="0" t="n">
        <s:v>2370</s:v>
      </s:c>
      <s:c r="J734" s="0" t="n">
        <s:v>1756</s:v>
      </s:c>
      <s:c r="K734" s="22">
        <s:f>'1'!F735</s:f>
        <s:v>46247.56864583334</s:v>
      </s:c>
      <s:c r="L734" s="22">
        <s:f>'2'!F735</s:f>
        <s:v>46247.55038194444</s:v>
      </s:c>
      <s:c r="M734" s="22">
        <s:f>'3'!F735</s:f>
        <s:v>46247.53297453704</s:v>
      </s:c>
      <s:c r="N734" s="22">
        <s:f>'4'!F735</s:f>
        <s:v>46247.48708333333</s:v>
      </s:c>
      <s:c r="O734" s="22">
        <s:f>'5'!F735</s:f>
        <s:v>46247.45873842593</s:v>
      </s:c>
      <s:c r="P734" s="22">
        <s:f>'6'!F735</s:f>
        <s:v>46247.43928240741</s:v>
      </s:c>
      <s:c r="Q734" s="22">
        <s:f>'7'!F735</s:f>
        <s:v>46247.41663194444</s:v>
      </s:c>
      <s:c r="R734" s="22">
        <s:f>'8'!F735</s:f>
        <s:v>46247.39244212963</s:v>
      </s:c>
      <s:c r="S734" s="22">
        <s:f>'9'!F735</s:f>
        <s:v>46247.37462962963</s:v>
      </s:c>
      <s:c r="T734" s="22">
        <s:f>'10'!F735</s:f>
        <s:v>46247.345405092594</s:v>
      </s:c>
      <s:c r="U734" s="23">
        <s:f>'자료구성'!$B$2</s:f>
        <s:v>46247.0</s:v>
      </s:c>
    </s:row>
    <s:row r="735">
      <s:c r="A735" s="0" t="n">
        <s:v>1930</s:v>
      </s:c>
      <s:c r="B735" s="0" t="n">
        <s:v>989</s:v>
      </s:c>
      <s:c r="C735" s="0" t="n">
        <s:v>2190</s:v>
      </s:c>
      <s:c r="D735" s="0" t="n">
        <s:v>782</s:v>
      </s:c>
      <s:c r="E735" s="0" t="n">
        <s:v>1400</s:v>
      </s:c>
      <s:c r="F735" s="0" t="n">
        <s:v>4161</s:v>
      </s:c>
      <s:c r="G735" s="0" t="n">
        <s:v>1673</s:v>
      </s:c>
      <s:c r="H735" s="0" t="n">
        <s:v>4433</s:v>
      </s:c>
      <s:c r="I735" s="0" t="n">
        <s:v>2360</s:v>
      </s:c>
      <s:c r="J735" s="0" t="n">
        <s:v>1774</s:v>
      </s:c>
      <s:c r="K735" s="22">
        <s:f>'1'!F736</s:f>
        <s:v>46247.568657407406</s:v>
      </s:c>
      <s:c r="L735" s="22">
        <s:f>'2'!F736</s:f>
        <s:v>46247.55039351852</s:v>
      </s:c>
      <s:c r="M735" s="22">
        <s:f>'3'!F736</s:f>
        <s:v>46247.53298611111</s:v>
      </s:c>
      <s:c r="N735" s="22">
        <s:f>'4'!F736</s:f>
        <s:v>46247.48709490741</s:v>
      </s:c>
      <s:c r="O735" s="22">
        <s:f>'5'!F736</s:f>
        <s:v>46247.45875</s:v>
      </s:c>
      <s:c r="P735" s="22">
        <s:f>'6'!F736</s:f>
        <s:v>46247.43929398148</s:v>
      </s:c>
      <s:c r="Q735" s="22">
        <s:f>'7'!F736</s:f>
        <s:v>46247.41664351852</s:v>
      </s:c>
      <s:c r="R735" s="22">
        <s:f>'8'!F736</s:f>
        <s:v>46247.3924537037</s:v>
      </s:c>
      <s:c r="S735" s="22">
        <s:f>'9'!F736</s:f>
        <s:v>46247.37464120371</s:v>
      </s:c>
      <s:c r="T735" s="22">
        <s:f>'10'!F736</s:f>
        <s:v>46247.34541666666</s:v>
      </s:c>
      <s:c r="U735" s="23">
        <s:f>'자료구성'!$B$2</s:f>
        <s:v>46247.0</s:v>
      </s:c>
    </s:row>
    <s:row r="736">
      <s:c r="A736" s="0" t="n">
        <s:v>1914</s:v>
      </s:c>
      <s:c r="B736" s="0" t="n">
        <s:v>971</s:v>
      </s:c>
      <s:c r="C736" s="0" t="n">
        <s:v>2093</s:v>
      </s:c>
      <s:c r="D736" s="0" t="n">
        <s:v>727</s:v>
      </s:c>
      <s:c r="E736" s="0" t="n">
        <s:v>1414</s:v>
      </s:c>
      <s:c r="F736" s="0" t="n">
        <s:v>4049</s:v>
      </s:c>
      <s:c r="G736" s="0" t="n">
        <s:v>1652</s:v>
      </s:c>
      <s:c r="H736" s="0" t="n">
        <s:v>4406</s:v>
      </s:c>
      <s:c r="I736" s="0" t="n">
        <s:v>2351</s:v>
      </s:c>
      <s:c r="J736" s="0" t="n">
        <s:v>1766</s:v>
      </s:c>
      <s:c r="K736" s="22">
        <s:f>'1'!F737</s:f>
        <s:v>46247.56866898148</s:v>
      </s:c>
      <s:c r="L736" s="22">
        <s:f>'2'!F737</s:f>
        <s:v>46247.550405092596</s:v>
      </s:c>
      <s:c r="M736" s="22">
        <s:f>'3'!F737</s:f>
        <s:v>46247.532997685186</s:v>
      </s:c>
      <s:c r="N736" s="22">
        <s:f>'4'!F737</s:f>
        <s:v>46247.48710648148</s:v>
      </s:c>
      <s:c r="O736" s="22">
        <s:f>'5'!F737</s:f>
        <s:v>46247.458761574075</s:v>
      </s:c>
      <s:c r="P736" s="22">
        <s:f>'6'!F737</s:f>
        <s:v>46247.439305555556</s:v>
      </s:c>
      <s:c r="Q736" s="22">
        <s:f>'7'!F737</s:f>
        <s:v>46247.416655092595</s:v>
      </s:c>
      <s:c r="R736" s="22">
        <s:f>'8'!F737</s:f>
        <s:v>46247.39246527778</s:v>
      </s:c>
      <s:c r="S736" s="22">
        <s:f>'9'!F737</s:f>
        <s:v>46247.37465277778</s:v>
      </s:c>
      <s:c r="T736" s="22">
        <s:f>'10'!F737</s:f>
        <s:v>46247.34542824074</s:v>
      </s:c>
      <s:c r="U736" s="23">
        <s:f>'자료구성'!$B$2</s:f>
        <s:v>46247.0</s:v>
      </s:c>
    </s:row>
    <s:row r="737">
      <s:c r="A737" s="0" t="n">
        <s:v>1911</s:v>
      </s:c>
      <s:c r="B737" s="0" t="n">
        <s:v>961</s:v>
      </s:c>
      <s:c r="C737" s="0" t="n">
        <s:v>1959</s:v>
      </s:c>
      <s:c r="D737" s="0" t="n">
        <s:v>687</s:v>
      </s:c>
      <s:c r="E737" s="0" t="n">
        <s:v>1429</s:v>
      </s:c>
      <s:c r="F737" s="0" t="n">
        <s:v>3819</s:v>
      </s:c>
      <s:c r="G737" s="0" t="n">
        <s:v>1609</s:v>
      </s:c>
      <s:c r="H737" s="0" t="n">
        <s:v>4430</s:v>
      </s:c>
      <s:c r="I737" s="0" t="n">
        <s:v>2334</s:v>
      </s:c>
      <s:c r="J737" s="0" t="n">
        <s:v>1737</s:v>
      </s:c>
      <s:c r="K737" s="22">
        <s:f>'1'!F738</s:f>
        <s:v>46247.56868055555</s:v>
      </s:c>
      <s:c r="L737" s="22">
        <s:f>'2'!F738</s:f>
        <s:v>46247.550416666665</s:v>
      </s:c>
      <s:c r="M737" s="22">
        <s:f>'3'!F738</s:f>
        <s:v>46247.533009259256</s:v>
      </s:c>
      <s:c r="N737" s="22">
        <s:f>'4'!F738</s:f>
        <s:v>46247.48711805556</s:v>
      </s:c>
      <s:c r="O737" s="22">
        <s:f>'5'!F738</s:f>
        <s:v>46247.45877314815</s:v>
      </s:c>
      <s:c r="P737" s="22">
        <s:f>'6'!F738</s:f>
        <s:v>46247.43931712963</s:v>
      </s:c>
      <s:c r="Q737" s="22">
        <s:f>'7'!F738</s:f>
        <s:v>46247.416666666664</s:v>
      </s:c>
      <s:c r="R737" s="22">
        <s:f>'8'!F738</s:f>
        <s:v>46247.392476851855</s:v>
      </s:c>
      <s:c r="S737" s="22">
        <s:f>'9'!F738</s:f>
        <s:v>46247.37466435185</s:v>
      </s:c>
      <s:c r="T737" s="22">
        <s:f>'10'!F738</s:f>
        <s:v>46247.34543981482</s:v>
      </s:c>
      <s:c r="U737" s="23">
        <s:f>'자료구성'!$B$2</s:f>
        <s:v>46247.0</s:v>
      </s:c>
    </s:row>
    <s:row r="738">
      <s:c r="A738" s="0" t="n">
        <s:v>1910</s:v>
      </s:c>
      <s:c r="B738" s="0" t="n">
        <s:v>952</s:v>
      </s:c>
      <s:c r="C738" s="0" t="n">
        <s:v>1848</s:v>
      </s:c>
      <s:c r="D738" s="0" t="n">
        <s:v>668</s:v>
      </s:c>
      <s:c r="E738" s="0" t="n">
        <s:v>1427</s:v>
      </s:c>
      <s:c r="F738" s="0" t="n">
        <s:v>3617</s:v>
      </s:c>
      <s:c r="G738" s="0" t="n">
        <s:v>1556</s:v>
      </s:c>
      <s:c r="H738" s="0" t="n">
        <s:v>4521</s:v>
      </s:c>
      <s:c r="I738" s="0" t="n">
        <s:v>2296</s:v>
      </s:c>
      <s:c r="J738" s="0" t="n">
        <s:v>1693</s:v>
      </s:c>
      <s:c r="K738" s="22">
        <s:f>'1'!F739</s:f>
        <s:v>46247.56869212963</s:v>
      </s:c>
      <s:c r="L738" s="22">
        <s:f>'2'!F739</s:f>
        <s:v>46247.55042824074</s:v>
      </s:c>
      <s:c r="M738" s="22">
        <s:f>'3'!F739</s:f>
        <s:v>46247.53302083333</s:v>
      </s:c>
      <s:c r="N738" s="22">
        <s:f>'4'!F739</s:f>
        <s:v>46247.487129629626</s:v>
      </s:c>
      <s:c r="O738" s="22">
        <s:f>'5'!F739</s:f>
        <s:v>46247.45878472222</s:v>
      </s:c>
      <s:c r="P738" s="22">
        <s:f>'6'!F739</s:f>
        <s:v>46247.4393287037</s:v>
      </s:c>
      <s:c r="Q738" s="22">
        <s:f>'7'!F739</s:f>
        <s:v>46247.41667824074</s:v>
      </s:c>
      <s:c r="R738" s="22">
        <s:f>'8'!F739</s:f>
        <s:v>46247.392488425925</s:v>
      </s:c>
      <s:c r="S738" s="22">
        <s:f>'9'!F739</s:f>
        <s:v>46247.37467592592</s:v>
      </s:c>
      <s:c r="T738" s="22">
        <s:f>'10'!F739</s:f>
        <s:v>46247.34545138889</s:v>
      </s:c>
      <s:c r="U738" s="23">
        <s:f>'자료구성'!$B$2</s:f>
        <s:v>46247.0</s:v>
      </s:c>
    </s:row>
    <s:row r="739">
      <s:c r="A739" s="0" t="n">
        <s:v>1900</s:v>
      </s:c>
      <s:c r="B739" s="0" t="n">
        <s:v>973</s:v>
      </s:c>
      <s:c r="C739" s="0" t="n">
        <s:v>1783</s:v>
      </s:c>
      <s:c r="D739" s="0" t="n">
        <s:v>655</s:v>
      </s:c>
      <s:c r="E739" s="0" t="n">
        <s:v>1446</s:v>
      </s:c>
      <s:c r="F739" s="0" t="n">
        <s:v>3489</s:v>
      </s:c>
      <s:c r="G739" s="0" t="n">
        <s:v>1566</s:v>
      </s:c>
      <s:c r="H739" s="0" t="n">
        <s:v>4511</s:v>
      </s:c>
      <s:c r="I739" s="0" t="n">
        <s:v>2302</s:v>
      </s:c>
      <s:c r="J739" s="0" t="n">
        <s:v>1679</s:v>
      </s:c>
      <s:c r="K739" s="22">
        <s:f>'1'!F740</s:f>
        <s:v>46247.568703703706</s:v>
      </s:c>
      <s:c r="L739" s="22">
        <s:f>'2'!F740</s:f>
        <s:v>46247.55043981481</s:v>
      </s:c>
      <s:c r="M739" s="22">
        <s:f>'3'!F740</s:f>
        <s:v>46247.53303240741</s:v>
      </s:c>
      <s:c r="N739" s="22">
        <s:f>'4'!F740</s:f>
        <s:v>46247.4871412037</s:v>
      </s:c>
      <s:c r="O739" s="22">
        <s:f>'5'!F740</s:f>
        <s:v>46247.4587962963</s:v>
      </s:c>
      <s:c r="P739" s="22">
        <s:f>'6'!F740</s:f>
        <s:v>46247.43934027778</s:v>
      </s:c>
      <s:c r="Q739" s="22">
        <s:f>'7'!F740</s:f>
        <s:v>46247.41668981482</s:v>
      </s:c>
      <s:c r="R739" s="22">
        <s:f>'8'!F740</s:f>
        <s:v>46247.3925</s:v>
      </s:c>
      <s:c r="S739" s="22">
        <s:f>'9'!F740</s:f>
        <s:v>46247.3746875</s:v>
      </s:c>
      <s:c r="T739" s="22">
        <s:f>'10'!F740</s:f>
        <s:v>46247.34546296296</s:v>
      </s:c>
      <s:c r="U739" s="23">
        <s:f>'자료구성'!$B$2</s:f>
        <s:v>46247.0</s:v>
      </s:c>
    </s:row>
    <s:row r="740">
      <s:c r="A740" s="0" t="n">
        <s:v>1892</s:v>
      </s:c>
      <s:c r="B740" s="0" t="n">
        <s:v>944</s:v>
      </s:c>
      <s:c r="C740" s="0" t="n">
        <s:v>1767</s:v>
      </s:c>
      <s:c r="D740" s="0" t="n">
        <s:v>636</s:v>
      </s:c>
      <s:c r="E740" s="0" t="n">
        <s:v>1480</s:v>
      </s:c>
      <s:c r="F740" s="0" t="n">
        <s:v>3494</s:v>
      </s:c>
      <s:c r="G740" s="0" t="n">
        <s:v>1601</s:v>
      </s:c>
      <s:c r="H740" s="0" t="n">
        <s:v>4576</s:v>
      </s:c>
      <s:c r="I740" s="0" t="n">
        <s:v>2309</s:v>
      </s:c>
      <s:c r="J740" s="0" t="n">
        <s:v>1665</s:v>
      </s:c>
      <s:c r="K740" s="22">
        <s:f>'1'!F741</s:f>
        <s:v>46247.568715277775</s:v>
      </s:c>
      <s:c r="L740" s="22">
        <s:f>'2'!F741</s:f>
        <s:v>46247.55045138889</s:v>
      </s:c>
      <s:c r="M740" s="22">
        <s:f>'3'!F741</s:f>
        <s:v>46247.53304398148</s:v>
      </s:c>
      <s:c r="N740" s="22">
        <s:f>'4'!F741</s:f>
        <s:v>46247.48715277778</s:v>
      </s:c>
      <s:c r="O740" s="22">
        <s:f>'5'!F741</s:f>
        <s:v>46247.45880787037</s:v>
      </s:c>
      <s:c r="P740" s="22">
        <s:f>'6'!F741</s:f>
        <s:v>46247.439351851855</s:v>
      </s:c>
      <s:c r="Q740" s="22">
        <s:f>'7'!F741</s:f>
        <s:v>46247.41670138889</s:v>
      </s:c>
      <s:c r="R740" s="22">
        <s:f>'8'!F741</s:f>
        <s:v>46247.39251157407</s:v>
      </s:c>
      <s:c r="S740" s="22">
        <s:f>'9'!F741</s:f>
        <s:v>46247.37469907408</s:v>
      </s:c>
      <s:c r="T740" s="22">
        <s:f>'10'!F741</s:f>
        <s:v>46247.34547453704</s:v>
      </s:c>
      <s:c r="U740" s="23">
        <s:f>'자료구성'!$B$2</s:f>
        <s:v>46247.0</s:v>
      </s:c>
    </s:row>
    <s:row r="741">
      <s:c r="A741" s="0" t="n">
        <s:v>1912</s:v>
      </s:c>
      <s:c r="B741" s="0" t="n">
        <s:v>940</s:v>
      </s:c>
      <s:c r="C741" s="0" t="n">
        <s:v>1764</s:v>
      </s:c>
      <s:c r="D741" s="0" t="n">
        <s:v>624</s:v>
      </s:c>
      <s:c r="E741" s="0" t="n">
        <s:v>1513</s:v>
      </s:c>
      <s:c r="F741" s="0" t="n">
        <s:v>3544</s:v>
      </s:c>
      <s:c r="G741" s="0" t="n">
        <s:v>1671</s:v>
      </s:c>
      <s:c r="H741" s="0" t="n">
        <s:v>4692</s:v>
      </s:c>
      <s:c r="I741" s="0" t="n">
        <s:v>2333</s:v>
      </s:c>
      <s:c r="J741" s="0" t="n">
        <s:v>1640</s:v>
      </s:c>
      <s:c r="K741" s="22">
        <s:f>'1'!F742</s:f>
        <s:v>46247.56872685185</s:v>
      </s:c>
      <s:c r="L741" s="22">
        <s:f>'2'!F742</s:f>
        <s:v>46247.550462962965</s:v>
      </s:c>
      <s:c r="M741" s="22">
        <s:f>'3'!F742</s:f>
        <s:v>46247.533055555556</s:v>
      </s:c>
      <s:c r="N741" s="22">
        <s:f>'4'!F742</s:f>
        <s:v>46247.48716435185</s:v>
      </s:c>
      <s:c r="O741" s="22">
        <s:f>'5'!F742</s:f>
        <s:v>46247.458819444444</s:v>
      </s:c>
      <s:c r="P741" s="22">
        <s:f>'6'!F742</s:f>
        <s:v>46247.439363425925</s:v>
      </s:c>
      <s:c r="Q741" s="22">
        <s:f>'7'!F742</s:f>
        <s:v>46247.416712962964</s:v>
      </s:c>
      <s:c r="R741" s="22">
        <s:f>'8'!F742</s:f>
        <s:v>46247.39252314815</s:v>
      </s:c>
      <s:c r="S741" s="22">
        <s:f>'9'!F742</s:f>
        <s:v>46247.374710648146</s:v>
      </s:c>
      <s:c r="T741" s="22">
        <s:f>'10'!F742</s:f>
        <s:v>46247.34548611111</s:v>
      </s:c>
      <s:c r="U741" s="23">
        <s:f>'자료구성'!$B$2</s:f>
        <s:v>46247.0</s:v>
      </s:c>
    </s:row>
    <s:row r="742">
      <s:c r="A742" s="0" t="n">
        <s:v>1977</s:v>
      </s:c>
      <s:c r="B742" s="0" t="n">
        <s:v>931</s:v>
      </s:c>
      <s:c r="C742" s="0" t="n">
        <s:v>1774</s:v>
      </s:c>
      <s:c r="D742" s="0" t="n">
        <s:v>616</s:v>
      </s:c>
      <s:c r="E742" s="0" t="n">
        <s:v>1543</s:v>
      </s:c>
      <s:c r="F742" s="0" t="n">
        <s:v>3635</s:v>
      </s:c>
      <s:c r="G742" s="0" t="n">
        <s:v>1715</s:v>
      </s:c>
      <s:c r="H742" s="0" t="n">
        <s:v>4773</s:v>
      </s:c>
      <s:c r="I742" s="0" t="n">
        <s:v>2328</s:v>
      </s:c>
      <s:c r="J742" s="0" t="n">
        <s:v>1608</s:v>
      </s:c>
      <s:c r="K742" s="22">
        <s:f>'1'!F743</s:f>
        <s:v>46247.56873842593</s:v>
      </s:c>
      <s:c r="L742" s="22">
        <s:f>'2'!F743</s:f>
        <s:v>46247.550474537034</s:v>
      </s:c>
      <s:c r="M742" s="22">
        <s:f>'3'!F743</s:f>
        <s:v>46247.53306712963</s:v>
      </s:c>
      <s:c r="N742" s="22">
        <s:f>'4'!F743</s:f>
        <s:v>46247.487175925926</s:v>
      </s:c>
      <s:c r="O742" s="22">
        <s:f>'5'!F743</s:f>
        <s:v>46247.45883101852</s:v>
      </s:c>
      <s:c r="P742" s="22">
        <s:f>'6'!F743</s:f>
        <s:v>46247.439375</s:v>
      </s:c>
      <s:c r="Q742" s="22">
        <s:f>'7'!F743</s:f>
        <s:v>46247.41672453703</s:v>
      </s:c>
      <s:c r="R742" s="22">
        <s:f>'8'!F743</s:f>
        <s:v>46247.392534722225</s:v>
      </s:c>
      <s:c r="S742" s="22">
        <s:f>'9'!F743</s:f>
        <s:v>46247.37472222222</s:v>
      </s:c>
      <s:c r="T742" s="22">
        <s:f>'10'!F743</s:f>
        <s:v>46247.345497685186</s:v>
      </s:c>
      <s:c r="U742" s="23">
        <s:f>'자료구성'!$B$2</s:f>
        <s:v>46247.0</s:v>
      </s:c>
    </s:row>
    <s:row r="743">
      <s:c r="A743" s="0" t="n">
        <s:v>2003</s:v>
      </s:c>
      <s:c r="B743" s="0" t="n">
        <s:v>924</s:v>
      </s:c>
      <s:c r="C743" s="0" t="n">
        <s:v>1780</s:v>
      </s:c>
      <s:c r="D743" s="0" t="n">
        <s:v>605</s:v>
      </s:c>
      <s:c r="E743" s="0" t="n">
        <s:v>1542</s:v>
      </s:c>
      <s:c r="F743" s="0" t="n">
        <s:v>3738</s:v>
      </s:c>
      <s:c r="G743" s="0" t="n">
        <s:v>1780</s:v>
      </s:c>
      <s:c r="H743" s="0" t="n">
        <s:v>4876</s:v>
      </s:c>
      <s:c r="I743" s="0" t="n">
        <s:v>2305</s:v>
      </s:c>
      <s:c r="J743" s="0" t="n">
        <s:v>1591</s:v>
      </s:c>
      <s:c r="K743" s="22">
        <s:f>'1'!F744</s:f>
        <s:v>46247.56875</s:v>
      </s:c>
      <s:c r="L743" s="22">
        <s:f>'2'!F744</s:f>
        <s:v>46247.55048611111</s:v>
      </s:c>
      <s:c r="M743" s="22">
        <s:f>'3'!F744</s:f>
        <s:v>46247.5330787037</s:v>
      </s:c>
      <s:c r="N743" s="22">
        <s:f>'4'!F744</s:f>
        <s:v>46247.4871875</s:v>
      </s:c>
      <s:c r="O743" s="22">
        <s:f>'5'!F744</s:f>
        <s:v>46247.45884259259</s:v>
      </s:c>
      <s:c r="P743" s="22">
        <s:f>'6'!F744</s:f>
        <s:v>46247.43938657407</s:v>
      </s:c>
      <s:c r="Q743" s="22">
        <s:f>'7'!F744</s:f>
        <s:v>46247.41673611111</s:v>
      </s:c>
      <s:c r="R743" s="22">
        <s:f>'8'!F744</s:f>
        <s:v>46247.392546296294</s:v>
      </s:c>
      <s:c r="S743" s="22">
        <s:f>'9'!F744</s:f>
        <s:v>46247.3747337963</s:v>
      </s:c>
      <s:c r="T743" s="22">
        <s:f>'10'!F744</s:f>
        <s:v>46247.345509259256</s:v>
      </s:c>
      <s:c r="U743" s="23">
        <s:f>'자료구성'!$B$2</s:f>
        <s:v>46247.0</s:v>
      </s:c>
    </s:row>
    <s:row r="744">
      <s:c r="A744" s="0" t="n">
        <s:v>2015</s:v>
      </s:c>
      <s:c r="B744" s="0" t="n">
        <s:v>916</s:v>
      </s:c>
      <s:c r="C744" s="0" t="n">
        <s:v>1817</s:v>
      </s:c>
      <s:c r="D744" s="0" t="n">
        <s:v>596</s:v>
      </s:c>
      <s:c r="E744" s="0" t="n">
        <s:v>1547</s:v>
      </s:c>
      <s:c r="F744" s="0" t="n">
        <s:v>3894</s:v>
      </s:c>
      <s:c r="G744" s="0" t="n">
        <s:v>1814</s:v>
      </s:c>
      <s:c r="H744" s="0" t="n">
        <s:v>4950</s:v>
      </s:c>
      <s:c r="I744" s="0" t="n">
        <s:v>2241</s:v>
      </s:c>
      <s:c r="J744" s="0" t="n">
        <s:v>1585</s:v>
      </s:c>
      <s:c r="K744" s="22">
        <s:f>'1'!F745</s:f>
        <s:v>46247.568761574075</s:v>
      </s:c>
      <s:c r="L744" s="22">
        <s:f>'2'!F745</s:f>
        <s:v>46247.55049768519</s:v>
      </s:c>
      <s:c r="M744" s="22">
        <s:f>'3'!F745</s:f>
        <s:v>46247.53309027778</s:v>
      </s:c>
      <s:c r="N744" s="22">
        <s:f>'4'!F745</s:f>
        <s:v>46247.48719907407</s:v>
      </s:c>
      <s:c r="O744" s="22">
        <s:f>'5'!F745</s:f>
        <s:v>46247.45885416667</s:v>
      </s:c>
      <s:c r="P744" s="22">
        <s:f>'6'!F745</s:f>
        <s:v>46247.43939814815</s:v>
      </s:c>
      <s:c r="Q744" s="22">
        <s:f>'7'!F745</s:f>
        <s:v>46247.41674768519</s:v>
      </s:c>
      <s:c r="R744" s="22">
        <s:f>'8'!F745</s:f>
        <s:v>46247.39255787037</s:v>
      </s:c>
      <s:c r="S744" s="22">
        <s:f>'9'!F745</s:f>
        <s:v>46247.37474537037</s:v>
      </s:c>
      <s:c r="T744" s="22">
        <s:f>'10'!F745</s:f>
        <s:v>46247.34552083333</s:v>
      </s:c>
      <s:c r="U744" s="23">
        <s:f>'자료구성'!$B$2</s:f>
        <s:v>46247.0</s:v>
      </s:c>
    </s:row>
    <s:row r="745">
      <s:c r="A745" s="0" t="n">
        <s:v>2056</s:v>
      </s:c>
      <s:c r="B745" s="0" t="n">
        <s:v>903</s:v>
      </s:c>
      <s:c r="C745" s="0" t="n">
        <s:v>1838</s:v>
      </s:c>
      <s:c r="D745" s="0" t="n">
        <s:v>587</s:v>
      </s:c>
      <s:c r="E745" s="0" t="n">
        <s:v>1564</s:v>
      </s:c>
      <s:c r="F745" s="0" t="n">
        <s:v>4016</s:v>
      </s:c>
      <s:c r="G745" s="0" t="n">
        <s:v>1850</s:v>
      </s:c>
      <s:c r="H745" s="0" t="n">
        <s:v>4948</s:v>
      </s:c>
      <s:c r="I745" s="0" t="n">
        <s:v>2210</s:v>
      </s:c>
      <s:c r="J745" s="0" t="n">
        <s:v>1610</s:v>
      </s:c>
      <s:c r="K745" s="22">
        <s:f>'1'!F746</s:f>
        <s:v>46247.568773148145</s:v>
      </s:c>
      <s:c r="L745" s="22">
        <s:f>'2'!F746</s:f>
        <s:v>46247.55050925926</s:v>
      </s:c>
      <s:c r="M745" s="22">
        <s:f>'3'!F746</s:f>
        <s:v>46247.533101851855</s:v>
      </s:c>
      <s:c r="N745" s="22">
        <s:f>'4'!F746</s:f>
        <s:v>46247.48721064815</s:v>
      </s:c>
      <s:c r="O745" s="22">
        <s:f>'5'!F746</s:f>
        <s:v>46247.458865740744</s:v>
      </s:c>
      <s:c r="P745" s="22">
        <s:f>'6'!F746</s:f>
        <s:v>46247.439409722225</s:v>
      </s:c>
      <s:c r="Q745" s="22">
        <s:f>'7'!F746</s:f>
        <s:v>46247.41675925926</s:v>
      </s:c>
      <s:c r="R745" s="22">
        <s:f>'8'!F746</s:f>
        <s:v>46247.39256944445</s:v>
      </s:c>
      <s:c r="S745" s="22">
        <s:f>'9'!F746</s:f>
        <s:v>46247.374756944446</s:v>
      </s:c>
      <s:c r="T745" s="22">
        <s:f>'10'!F746</s:f>
        <s:v>46247.34553240741</s:v>
      </s:c>
      <s:c r="U745" s="23">
        <s:f>'자료구성'!$B$2</s:f>
        <s:v>46247.0</s:v>
      </s:c>
    </s:row>
    <s:row r="746">
      <s:c r="A746" s="0" t="n">
        <s:v>2110</s:v>
      </s:c>
      <s:c r="B746" s="0" t="n">
        <s:v>887</s:v>
      </s:c>
      <s:c r="C746" s="0" t="n">
        <s:v>1883</s:v>
      </s:c>
      <s:c r="D746" s="0" t="n">
        <s:v>620</s:v>
      </s:c>
      <s:c r="E746" s="0" t="n">
        <s:v>1562</s:v>
      </s:c>
      <s:c r="F746" s="0" t="n">
        <s:v>4136</s:v>
      </s:c>
      <s:c r="G746" s="0" t="n">
        <s:v>1875</s:v>
      </s:c>
      <s:c r="H746" s="0" t="n">
        <s:v>4990</s:v>
      </s:c>
      <s:c r="I746" s="0" t="n">
        <s:v>2232</s:v>
      </s:c>
      <s:c r="J746" s="0" t="n">
        <s:v>1635</s:v>
      </s:c>
      <s:c r="K746" s="22">
        <s:f>'1'!F747</s:f>
        <s:v>46247.56878472222</s:v>
      </s:c>
      <s:c r="L746" s="22">
        <s:f>'2'!F747</s:f>
        <s:v>46247.550520833334</s:v>
      </s:c>
      <s:c r="M746" s="22">
        <s:f>'3'!F747</s:f>
        <s:v>46247.533113425925</s:v>
      </s:c>
      <s:c r="N746" s="22">
        <s:f>'4'!F747</s:f>
        <s:v>46247.487222222226</s:v>
      </s:c>
      <s:c r="O746" s="22">
        <s:f>'5'!F747</s:f>
        <s:v>46247.45887731481</s:v>
      </s:c>
      <s:c r="P746" s="22">
        <s:f>'6'!F747</s:f>
        <s:v>46247.439421296294</s:v>
      </s:c>
      <s:c r="Q746" s="22">
        <s:f>'7'!F747</s:f>
        <s:v>46247.41677083333</s:v>
      </s:c>
      <s:c r="R746" s="22">
        <s:f>'8'!F747</s:f>
        <s:v>46247.39258101852</s:v>
      </s:c>
      <s:c r="S746" s="22">
        <s:f>'9'!F747</s:f>
        <s:v>46247.374768518515</s:v>
      </s:c>
      <s:c r="T746" s="22">
        <s:f>'10'!F747</s:f>
        <s:v>46247.34554398148</s:v>
      </s:c>
      <s:c r="U746" s="23">
        <s:f>'자료구성'!$B$2</s:f>
        <s:v>46247.0</s:v>
      </s:c>
    </s:row>
    <s:row r="747">
      <s:c r="A747" s="0" t="n">
        <s:v>2106</s:v>
      </s:c>
      <s:c r="B747" s="0" t="n">
        <s:v>872</s:v>
      </s:c>
      <s:c r="C747" s="0" t="n">
        <s:v>1897</s:v>
      </s:c>
      <s:c r="D747" s="0" t="n">
        <s:v>737</s:v>
      </s:c>
      <s:c r="E747" s="0" t="n">
        <s:v>1561</s:v>
      </s:c>
      <s:c r="F747" s="0" t="n">
        <s:v>4214</s:v>
      </s:c>
      <s:c r="G747" s="0" t="n">
        <s:v>1873</s:v>
      </s:c>
      <s:c r="H747" s="0" t="n">
        <s:v>5132</s:v>
      </s:c>
      <s:c r="I747" s="0" t="n">
        <s:v>2225</s:v>
      </s:c>
      <s:c r="J747" s="0" t="n">
        <s:v>1622</s:v>
      </s:c>
      <s:c r="K747" s="22">
        <s:f>'1'!F748</s:f>
        <s:v>46247.5687962963</s:v>
      </s:c>
      <s:c r="L747" s="22">
        <s:f>'2'!F748</s:f>
        <s:v>46247.550532407404</s:v>
      </s:c>
      <s:c r="M747" s="22">
        <s:f>'3'!F748</s:f>
        <s:v>46247.533125</s:v>
      </s:c>
      <s:c r="N747" s="22">
        <s:f>'4'!F748</s:f>
        <s:v>46247.487233796295</s:v>
      </s:c>
      <s:c r="O747" s="22">
        <s:f>'5'!F748</s:f>
        <s:v>46247.45888888889</s:v>
      </s:c>
      <s:c r="P747" s="22">
        <s:f>'6'!F748</s:f>
        <s:v>46247.43943287037</s:v>
      </s:c>
      <s:c r="Q747" s="22">
        <s:f>'7'!F748</s:f>
        <s:v>46247.41678240741</s:v>
      </s:c>
      <s:c r="R747" s="22">
        <s:f>'8'!F748</s:f>
        <s:v>46247.392592592594</s:v>
      </s:c>
      <s:c r="S747" s="22">
        <s:f>'9'!F748</s:f>
        <s:v>46247.37478009259</s:v>
      </s:c>
      <s:c r="T747" s="22">
        <s:f>'10'!F748</s:f>
        <s:v>46247.345555555556</s:v>
      </s:c>
      <s:c r="U747" s="23">
        <s:f>'자료구성'!$B$2</s:f>
        <s:v>46247.0</s:v>
      </s:c>
    </s:row>
    <s:row r="748">
      <s:c r="A748" s="0" t="n">
        <s:v>2110</s:v>
      </s:c>
      <s:c r="B748" s="0" t="n">
        <s:v>877</s:v>
      </s:c>
      <s:c r="C748" s="0" t="n">
        <s:v>1909</s:v>
      </s:c>
      <s:c r="D748" s="0" t="n">
        <s:v>877</s:v>
      </s:c>
      <s:c r="E748" s="0" t="n">
        <s:v>1569</s:v>
      </s:c>
      <s:c r="F748" s="0" t="n">
        <s:v>4166</s:v>
      </s:c>
      <s:c r="G748" s="0" t="n">
        <s:v>1972</s:v>
      </s:c>
      <s:c r="H748" s="0" t="n">
        <s:v>5389</s:v>
      </s:c>
      <s:c r="I748" s="0" t="n">
        <s:v>2217</s:v>
      </s:c>
      <s:c r="J748" s="0" t="n">
        <s:v>1635</s:v>
      </s:c>
      <s:c r="K748" s="22">
        <s:f>'1'!F749</s:f>
        <s:v>46247.56880787037</s:v>
      </s:c>
      <s:c r="L748" s="22">
        <s:f>'2'!F749</s:f>
        <s:v>46247.55054398148</s:v>
      </s:c>
      <s:c r="M748" s="22">
        <s:f>'3'!F749</s:f>
        <s:v>46247.53313657407</s:v>
      </s:c>
      <s:c r="N748" s="22">
        <s:f>'4'!F749</s:f>
        <s:v>46247.48724537037</s:v>
      </s:c>
      <s:c r="O748" s="22">
        <s:f>'5'!F749</s:f>
        <s:v>46247.45890046296</s:v>
      </s:c>
      <s:c r="P748" s="22">
        <s:f>'6'!F749</s:f>
        <s:v>46247.43944444445</s:v>
      </s:c>
      <s:c r="Q748" s="22">
        <s:f>'7'!F749</s:f>
        <s:v>46247.41679398148</s:v>
      </s:c>
      <s:c r="R748" s="22">
        <s:f>'8'!F749</s:f>
        <s:v>46247.392604166664</s:v>
      </s:c>
      <s:c r="S748" s="22">
        <s:f>'9'!F749</s:f>
        <s:v>46247.37479166667</s:v>
      </s:c>
      <s:c r="T748" s="22">
        <s:f>'10'!F749</s:f>
        <s:v>46247.34556712963</s:v>
      </s:c>
      <s:c r="U748" s="23">
        <s:f>'자료구성'!$B$2</s:f>
        <s:v>46247.0</s:v>
      </s:c>
    </s:row>
    <s:row r="749">
      <s:c r="A749" s="0" t="n">
        <s:v>2126</s:v>
      </s:c>
      <s:c r="B749" s="0" t="n">
        <s:v>886</s:v>
      </s:c>
      <s:c r="C749" s="0" t="n">
        <s:v>1893</s:v>
      </s:c>
      <s:c r="D749" s="0" t="n">
        <s:v>958</s:v>
      </s:c>
      <s:c r="E749" s="0" t="n">
        <s:v>1590</s:v>
      </s:c>
      <s:c r="F749" s="0" t="n">
        <s:v>4096</s:v>
      </s:c>
      <s:c r="G749" s="0" t="n">
        <s:v>2239</s:v>
      </s:c>
      <s:c r="H749" s="0" t="n">
        <s:v>5621</s:v>
      </s:c>
      <s:c r="I749" s="0" t="n">
        <s:v>2184</s:v>
      </s:c>
      <s:c r="J749" s="0" t="n">
        <s:v>1677</s:v>
      </s:c>
      <s:c r="K749" s="22">
        <s:f>'1'!F750</s:f>
        <s:v>46247.568819444445</s:v>
      </s:c>
      <s:c r="L749" s="22">
        <s:f>'2'!F750</s:f>
        <s:v>46247.55055555556</s:v>
      </s:c>
      <s:c r="M749" s="22">
        <s:f>'3'!F750</s:f>
        <s:v>46247.53314814815</s:v>
      </s:c>
      <s:c r="N749" s="22">
        <s:f>'4'!F750</s:f>
        <s:v>46247.48725694444</s:v>
      </s:c>
      <s:c r="O749" s="22">
        <s:f>'5'!F750</s:f>
        <s:v>46247.45891203704</s:v>
      </s:c>
      <s:c r="P749" s="22">
        <s:f>'6'!F750</s:f>
        <s:v>46247.43945601852</s:v>
      </s:c>
      <s:c r="Q749" s="22">
        <s:f>'7'!F750</s:f>
        <s:v>46247.41680555556</s:v>
      </s:c>
      <s:c r="R749" s="22">
        <s:f>'8'!F750</s:f>
        <s:v>46247.39261574074</s:v>
      </s:c>
      <s:c r="S749" s="22">
        <s:f>'9'!F750</s:f>
        <s:v>46247.37480324074</s:v>
      </s:c>
      <s:c r="T749" s="22">
        <s:f>'10'!F750</s:f>
        <s:v>46247.3455787037</s:v>
      </s:c>
      <s:c r="U749" s="23">
        <s:f>'자료구성'!$B$2</s:f>
        <s:v>46247.0</s:v>
      </s:c>
    </s:row>
    <s:row r="750">
      <s:c r="A750" s="0" t="n">
        <s:v>2174</s:v>
      </s:c>
      <s:c r="B750" s="0" t="n">
        <s:v>890</s:v>
      </s:c>
      <s:c r="C750" s="0" t="n">
        <s:v>1871</s:v>
      </s:c>
      <s:c r="D750" s="0" t="n">
        <s:v>970</s:v>
      </s:c>
      <s:c r="E750" s="0" t="n">
        <s:v>1563</s:v>
      </s:c>
      <s:c r="F750" s="0" t="n">
        <s:v>3945</s:v>
      </s:c>
      <s:c r="G750" s="0" t="n">
        <s:v>2471</s:v>
      </s:c>
      <s:c r="H750" s="0" t="n">
        <s:v>5685</s:v>
      </s:c>
      <s:c r="I750" s="0" t="n">
        <s:v>2147</s:v>
      </s:c>
      <s:c r="J750" s="0" t="n">
        <s:v>1682</s:v>
      </s:c>
      <s:c r="K750" s="22">
        <s:f>'1'!F751</s:f>
        <s:v>46247.56883101852</s:v>
      </s:c>
      <s:c r="L750" s="22">
        <s:f>'2'!F751</s:f>
        <s:v>46247.55056712963</s:v>
      </s:c>
      <s:c r="M750" s="22">
        <s:f>'3'!F751</s:f>
        <s:v>46247.533159722225</s:v>
      </s:c>
      <s:c r="N750" s="22">
        <s:f>'4'!F751</s:f>
        <s:v>46247.48726851852</s:v>
      </s:c>
      <s:c r="O750" s="22">
        <s:f>'5'!F751</s:f>
        <s:v>46247.45892361111</s:v>
      </s:c>
      <s:c r="P750" s="22">
        <s:f>'6'!F751</s:f>
        <s:v>46247.439467592594</s:v>
      </s:c>
      <s:c r="Q750" s="22">
        <s:f>'7'!F751</s:f>
        <s:v>46247.416817129626</s:v>
      </s:c>
      <s:c r="R750" s="22">
        <s:f>'8'!F751</s:f>
        <s:v>46247.39262731482</s:v>
      </s:c>
      <s:c r="S750" s="22">
        <s:f>'9'!F751</s:f>
        <s:v>46247.374814814815</s:v>
      </s:c>
      <s:c r="T750" s="22">
        <s:f>'10'!F751</s:f>
        <s:v>46247.34559027778</s:v>
      </s:c>
      <s:c r="U750" s="23">
        <s:f>'자료구성'!$B$2</s:f>
        <s:v>46247.0</s:v>
      </s:c>
    </s:row>
    <s:row r="751">
      <s:c r="A751" s="0" t="n">
        <s:v>2173</s:v>
      </s:c>
      <s:c r="B751" s="0" t="n">
        <s:v>885</s:v>
      </s:c>
      <s:c r="C751" s="0" t="n">
        <s:v>1865</s:v>
      </s:c>
      <s:c r="D751" s="0" t="n">
        <s:v>969</s:v>
      </s:c>
      <s:c r="E751" s="0" t="n">
        <s:v>1530</s:v>
      </s:c>
      <s:c r="F751" s="0" t="n">
        <s:v>3882</s:v>
      </s:c>
      <s:c r="G751" s="0" t="n">
        <s:v>2634</s:v>
      </s:c>
      <s:c r="H751" s="0" t="n">
        <s:v>5803</s:v>
      </s:c>
      <s:c r="I751" s="0" t="n">
        <s:v>2143</s:v>
      </s:c>
      <s:c r="J751" s="0" t="n">
        <s:v>1736</s:v>
      </s:c>
      <s:c r="K751" s="22">
        <s:f>'1'!F752</s:f>
        <s:v>46247.56884259259</s:v>
      </s:c>
      <s:c r="L751" s="22">
        <s:f>'2'!F752</s:f>
        <s:v>46247.550578703704</s:v>
      </s:c>
      <s:c r="M751" s="22">
        <s:f>'3'!F752</s:f>
        <s:v>46247.533171296294</s:v>
      </s:c>
      <s:c r="N751" s="22">
        <s:f>'4'!F752</s:f>
        <s:v>46247.487280092595</s:v>
      </s:c>
      <s:c r="O751" s="22">
        <s:f>'5'!F752</s:f>
        <s:v>46247.45893518518</s:v>
      </s:c>
      <s:c r="P751" s="22">
        <s:f>'6'!F752</s:f>
        <s:v>46247.439479166664</s:v>
      </s:c>
      <s:c r="Q751" s="22">
        <s:f>'7'!F752</s:f>
        <s:v>46247.4168287037</s:v>
      </s:c>
      <s:c r="R751" s="22">
        <s:f>'8'!F752</s:f>
        <s:v>46247.39263888889</s:v>
      </s:c>
      <s:c r="S751" s="22">
        <s:f>'9'!F752</s:f>
        <s:v>46247.37482638889</s:v>
      </s:c>
      <s:c r="T751" s="22">
        <s:f>'10'!F752</s:f>
        <s:v>46247.345601851855</s:v>
      </s:c>
      <s:c r="U751" s="23">
        <s:f>'자료구성'!$B$2</s:f>
        <s:v>46247.0</s:v>
      </s:c>
    </s:row>
    <s:row r="752">
      <s:c r="A752" s="0" t="n">
        <s:v>2175</s:v>
      </s:c>
      <s:c r="B752" s="0" t="n">
        <s:v>904</s:v>
      </s:c>
      <s:c r="C752" s="0" t="n">
        <s:v>1859</s:v>
      </s:c>
      <s:c r="D752" s="0" t="n">
        <s:v>56</s:v>
      </s:c>
      <s:c r="E752" s="0" t="n">
        <s:v>1501</s:v>
      </s:c>
      <s:c r="F752" s="0" t="n">
        <s:v>3883</s:v>
      </s:c>
      <s:c r="G752" s="0" t="n">
        <s:v>2680</s:v>
      </s:c>
      <s:c r="H752" s="0" t="n">
        <s:v>6042</s:v>
      </s:c>
      <s:c r="I752" s="0" t="n">
        <s:v>2208</s:v>
      </s:c>
      <s:c r="J752" s="0" t="n">
        <s:v>1733</s:v>
      </s:c>
      <s:c r="K752" s="22">
        <s:f>'1'!F753</s:f>
        <s:v>46247.56885416667</s:v>
      </s:c>
      <s:c r="L752" s="22">
        <s:f>'2'!F753</s:f>
        <s:v>46247.55059027778</s:v>
      </s:c>
      <s:c r="M752" s="22">
        <s:f>'3'!F753</s:f>
        <s:v>46247.53318287037</s:v>
      </s:c>
      <s:c r="N752" s="22">
        <s:f>'4'!F753</s:f>
        <s:v>46247.487291666665</s:v>
      </s:c>
      <s:c r="O752" s="22">
        <s:f>'5'!F753</s:f>
        <s:v>46247.45894675926</s:v>
      </s:c>
      <s:c r="P752" s="22">
        <s:f>'6'!F753</s:f>
        <s:v>46247.43949074074</s:v>
      </s:c>
      <s:c r="Q752" s="22">
        <s:f>'7'!F753</s:f>
        <s:v>46247.41684027778</s:v>
      </s:c>
      <s:c r="R752" s="22">
        <s:f>'8'!F753</s:f>
        <s:v>46247.39265046296</s:v>
      </s:c>
      <s:c r="S752" s="22">
        <s:f>'9'!F753</s:f>
        <s:v>46247.37483796296</s:v>
      </s:c>
      <s:c r="T752" s="22">
        <s:f>'10'!F753</s:f>
        <s:v>46247.345613425925</s:v>
      </s:c>
      <s:c r="U752" s="23">
        <s:f>'자료구성'!$B$2</s:f>
        <s:v>46247.0</s:v>
      </s:c>
    </s:row>
    <s:row r="753">
      <s:c r="A753" s="0" t="n">
        <s:v>2197</s:v>
      </s:c>
      <s:c r="B753" s="0" t="n">
        <s:v>899</s:v>
      </s:c>
      <s:c r="C753" s="0" t="n">
        <s:v>1851</s:v>
      </s:c>
      <s:c r="D753" s="0" t="n">
        <s:v>132</s:v>
      </s:c>
      <s:c r="E753" s="0" t="n">
        <s:v>1472</s:v>
      </s:c>
      <s:c r="F753" s="0" t="n">
        <s:v>3897</s:v>
      </s:c>
      <s:c r="G753" s="0" t="n">
        <s:v>2619</s:v>
      </s:c>
      <s:c r="H753" s="0" t="n">
        <s:v>6253</s:v>
      </s:c>
      <s:c r="I753" s="0" t="n">
        <s:v>2241</s:v>
      </s:c>
      <s:c r="J753" s="0" t="n">
        <s:v>1734</s:v>
      </s:c>
      <s:c r="K753" s="22">
        <s:f>'1'!F754</s:f>
        <s:v>46247.56886574074</s:v>
      </s:c>
      <s:c r="L753" s="22">
        <s:f>'2'!F754</s:f>
        <s:v>46247.55060185185</s:v>
      </s:c>
      <s:c r="M753" s="22">
        <s:f>'3'!F754</s:f>
        <s:v>46247.53319444445</s:v>
      </s:c>
      <s:c r="N753" s="22">
        <s:f>'4'!F754</s:f>
        <s:v>46247.48730324074</s:v>
      </s:c>
      <s:c r="O753" s="22">
        <s:f>'5'!F754</s:f>
        <s:v>46247.458958333336</s:v>
      </s:c>
      <s:c r="P753" s="22">
        <s:f>'6'!F754</s:f>
        <s:v>46247.43950231482</s:v>
      </s:c>
      <s:c r="Q753" s="22">
        <s:f>'7'!F754</s:f>
        <s:v>46247.41685185185</s:v>
      </s:c>
      <s:c r="R753" s="22">
        <s:f>'8'!F754</s:f>
        <s:v>46247.39266203704</s:v>
      </s:c>
      <s:c r="S753" s="22">
        <s:f>'9'!F754</s:f>
        <s:v>46247.37484953704</s:v>
      </s:c>
      <s:c r="T753" s="22">
        <s:f>'10'!F754</s:f>
        <s:v>46247.345625</s:v>
      </s:c>
      <s:c r="U753" s="23">
        <s:f>'자료구성'!$B$2</s:f>
        <s:v>46247.0</s:v>
      </s:c>
    </s:row>
    <s:row r="754">
      <s:c r="A754" s="0" t="n">
        <s:v>2171</s:v>
      </s:c>
      <s:c r="B754" s="0" t="n">
        <s:v>891</s:v>
      </s:c>
      <s:c r="C754" s="0" t="n">
        <s:v>1834</s:v>
      </s:c>
      <s:c r="D754" s="0" t="n">
        <s:v>184</s:v>
      </s:c>
      <s:c r="E754" s="0" t="n">
        <s:v>1444</s:v>
      </s:c>
      <s:c r="F754" s="0" t="n">
        <s:v>3878</s:v>
      </s:c>
      <s:c r="G754" s="0" t="n">
        <s:v>2583</s:v>
      </s:c>
      <s:c r="H754" s="0" t="n">
        <s:v>6512</s:v>
      </s:c>
      <s:c r="I754" s="0" t="n">
        <s:v>2288</s:v>
      </s:c>
      <s:c r="J754" s="0" t="n">
        <s:v>1731</s:v>
      </s:c>
      <s:c r="K754" s="22">
        <s:f>'1'!F755</s:f>
        <s:v>46247.568877314814</s:v>
      </s:c>
      <s:c r="L754" s="22">
        <s:f>'2'!F755</s:f>
        <s:v>46247.55061342593</s:v>
      </s:c>
      <s:c r="M754" s="22">
        <s:f>'3'!F755</s:f>
        <s:v>46247.53320601852</s:v>
      </s:c>
      <s:c r="N754" s="22">
        <s:f>'4'!F755</s:f>
        <s:v>46247.48731481482</s:v>
      </s:c>
      <s:c r="O754" s="22">
        <s:f>'5'!F755</s:f>
        <s:v>46247.458969907406</s:v>
      </s:c>
      <s:c r="P754" s="22">
        <s:f>'6'!F755</s:f>
        <s:v>46247.43951388889</s:v>
      </s:c>
      <s:c r="Q754" s="22">
        <s:f>'7'!F755</s:f>
        <s:v>46247.416863425926</s:v>
      </s:c>
      <s:c r="R754" s="22">
        <s:f>'8'!F755</s:f>
        <s:v>46247.39267361111</s:v>
      </s:c>
      <s:c r="S754" s="22">
        <s:f>'9'!F755</s:f>
        <s:v>46247.37486111111</s:v>
      </s:c>
      <s:c r="T754" s="22">
        <s:f>'10'!F755</s:f>
        <s:v>46247.34563657407</s:v>
      </s:c>
      <s:c r="U754" s="23">
        <s:f>'자료구성'!$B$2</s:f>
        <s:v>46247.0</s:v>
      </s:c>
    </s:row>
    <s:row r="755">
      <s:c r="A755" s="0" t="n">
        <s:v>2138</s:v>
      </s:c>
      <s:c r="B755" s="0" t="n">
        <s:v>872</s:v>
      </s:c>
      <s:c r="C755" s="0" t="n">
        <s:v>1839</s:v>
      </s:c>
      <s:c r="D755" s="0" t="n">
        <s:v>216</s:v>
      </s:c>
      <s:c r="E755" s="0" t="n">
        <s:v>1441</s:v>
      </s:c>
      <s:c r="F755" s="0" t="n">
        <s:v>3889</s:v>
      </s:c>
      <s:c r="G755" s="0" t="n">
        <s:v>2565</s:v>
      </s:c>
      <s:c r="H755" s="0" t="n">
        <s:v>6880</s:v>
      </s:c>
      <s:c r="I755" s="0" t="n">
        <s:v>2324</s:v>
      </s:c>
      <s:c r="J755" s="0" t="n">
        <s:v>1728</s:v>
      </s:c>
      <s:c r="K755" s="22">
        <s:f>'1'!F756</s:f>
        <s:v>46247.56888888889</s:v>
      </s:c>
      <s:c r="L755" s="22">
        <s:f>'2'!F756</s:f>
        <s:v>46247.550625</s:v>
      </s:c>
      <s:c r="M755" s="22">
        <s:f>'3'!F756</s:f>
        <s:v>46247.533217592594</s:v>
      </s:c>
      <s:c r="N755" s="22">
        <s:f>'4'!F756</s:f>
        <s:v>46247.48732638889</s:v>
      </s:c>
      <s:c r="O755" s="22">
        <s:f>'5'!F756</s:f>
        <s:v>46247.45898148148</s:v>
      </s:c>
      <s:c r="P755" s="22">
        <s:f>'6'!F756</s:f>
        <s:v>46247.43952546296</s:v>
      </s:c>
      <s:c r="Q755" s="22">
        <s:f>'7'!F756</s:f>
        <s:v>46247.416875</s:v>
      </s:c>
      <s:c r="R755" s="22">
        <s:f>'8'!F756</s:f>
        <s:v>46247.39268518519</s:v>
      </s:c>
      <s:c r="S755" s="22">
        <s:f>'9'!F756</s:f>
        <s:v>46247.374872685185</s:v>
      </s:c>
      <s:c r="T755" s="22">
        <s:f>'10'!F756</s:f>
        <s:v>46247.34564814815</s:v>
      </s:c>
      <s:c r="U755" s="23">
        <s:f>'자료구성'!$B$2</s:f>
        <s:v>46247.0</s:v>
      </s:c>
    </s:row>
    <s:row r="756">
      <s:c r="A756" s="0" t="n">
        <s:v>2160</s:v>
      </s:c>
      <s:c r="B756" s="0" t="n">
        <s:v>864</s:v>
      </s:c>
      <s:c r="C756" s="0" t="n">
        <s:v>1856</s:v>
      </s:c>
      <s:c r="D756" s="0" t="n">
        <s:v>280</s:v>
      </s:c>
      <s:c r="E756" s="0" t="n">
        <s:v>1434</s:v>
      </s:c>
      <s:c r="F756" s="0" t="n">
        <s:v>3945</s:v>
      </s:c>
      <s:c r="G756" s="0" t="n">
        <s:v>2542</s:v>
      </s:c>
      <s:c r="H756" s="0" t="n">
        <s:v>7296</s:v>
      </s:c>
      <s:c r="I756" s="0" t="n">
        <s:v>2400</s:v>
      </s:c>
      <s:c r="J756" s="0" t="n">
        <s:v>1733</s:v>
      </s:c>
      <s:c r="K756" s="22">
        <s:f>'1'!F757</s:f>
        <s:v>46247.56890046296</s:v>
      </s:c>
      <s:c r="L756" s="22">
        <s:f>'2'!F757</s:f>
        <s:v>46247.55063657407</s:v>
      </s:c>
      <s:c r="M756" s="22">
        <s:f>'3'!F757</s:f>
        <s:v>46247.533229166664</s:v>
      </s:c>
      <s:c r="N756" s="22">
        <s:f>'4'!F757</s:f>
        <s:v>46247.487337962964</s:v>
      </s:c>
      <s:c r="O756" s="22">
        <s:f>'5'!F757</s:f>
        <s:v>46247.45899305555</s:v>
      </s:c>
      <s:c r="P756" s="22">
        <s:f>'6'!F757</s:f>
        <s:v>46247.43953703704</s:v>
      </s:c>
      <s:c r="Q756" s="22">
        <s:f>'7'!F757</s:f>
        <s:v>46247.41688657407</s:v>
      </s:c>
      <s:c r="R756" s="22">
        <s:f>'8'!F757</s:f>
        <s:v>46247.392696759256</s:v>
      </s:c>
      <s:c r="S756" s="22">
        <s:f>'9'!F757</s:f>
        <s:v>46247.37488425926</s:v>
      </s:c>
      <s:c r="T756" s="22">
        <s:f>'10'!F757</s:f>
        <s:v>46247.345659722225</s:v>
      </s:c>
      <s:c r="U756" s="23">
        <s:f>'자료구성'!$B$2</s:f>
        <s:v>46247.0</s:v>
      </s:c>
    </s:row>
    <s:row r="757">
      <s:c r="A757" s="0" t="n">
        <s:v>2153</s:v>
      </s:c>
      <s:c r="B757" s="0" t="n">
        <s:v>866</s:v>
      </s:c>
      <s:c r="C757" s="0" t="n">
        <s:v>1869</s:v>
      </s:c>
      <s:c r="D757" s="0" t="n">
        <s:v>342</s:v>
      </s:c>
      <s:c r="E757" s="0" t="n">
        <s:v>1424</s:v>
      </s:c>
      <s:c r="F757" s="0" t="n">
        <s:v>3918</s:v>
      </s:c>
      <s:c r="G757" s="0" t="n">
        <s:v>2529</s:v>
      </s:c>
      <s:c r="H757" s="0" t="n">
        <s:v>7838</s:v>
      </s:c>
      <s:c r="I757" s="0" t="n">
        <s:v>2468</s:v>
      </s:c>
      <s:c r="J757" s="0" t="n">
        <s:v>1749</s:v>
      </s:c>
      <s:c r="K757" s="22">
        <s:f>'1'!F758</s:f>
        <s:v>46247.56891203704</s:v>
      </s:c>
      <s:c r="L757" s="22">
        <s:f>'2'!F758</s:f>
        <s:v>46247.55064814815</s:v>
      </s:c>
      <s:c r="M757" s="22">
        <s:f>'3'!F758</s:f>
        <s:v>46247.53324074074</s:v>
      </s:c>
      <s:c r="N757" s="22">
        <s:f>'4'!F758</s:f>
        <s:v>46247.487349537034</s:v>
      </s:c>
      <s:c r="O757" s="22">
        <s:f>'5'!F758</s:f>
        <s:v>46247.45900462963</s:v>
      </s:c>
      <s:c r="P757" s="22">
        <s:f>'6'!F758</s:f>
        <s:v>46247.43954861111</s:v>
      </s:c>
      <s:c r="Q757" s="22">
        <s:f>'7'!F758</s:f>
        <s:v>46247.41689814815</s:v>
      </s:c>
      <s:c r="R757" s="22">
        <s:f>'8'!F758</s:f>
        <s:v>46247.39270833333</s:v>
      </s:c>
      <s:c r="S757" s="22">
        <s:f>'9'!F758</s:f>
        <s:v>46247.37489583333</s:v>
      </s:c>
      <s:c r="T757" s="22">
        <s:f>'10'!F758</s:f>
        <s:v>46247.345671296294</s:v>
      </s:c>
      <s:c r="U757" s="23">
        <s:f>'자료구성'!$B$2</s:f>
        <s:v>46247.0</s:v>
      </s:c>
    </s:row>
    <s:row r="758">
      <s:c r="A758" s="0" t="n">
        <s:v>2117</s:v>
      </s:c>
      <s:c r="B758" s="0" t="n">
        <s:v>869</s:v>
      </s:c>
      <s:c r="C758" s="0" t="n">
        <s:v>1869</s:v>
      </s:c>
      <s:c r="D758" s="0" t="n">
        <s:v>403</s:v>
      </s:c>
      <s:c r="E758" s="0" t="n">
        <s:v>1411</s:v>
      </s:c>
      <s:c r="F758" s="0" t="n">
        <s:v>3884</s:v>
      </s:c>
      <s:c r="G758" s="0" t="n">
        <s:v>2529</s:v>
      </s:c>
      <s:c r="H758" s="0" t="n">
        <s:v>8645</s:v>
      </s:c>
      <s:c r="I758" s="0" t="n">
        <s:v>2481</s:v>
      </s:c>
      <s:c r="J758" s="0" t="n">
        <s:v>1772</s:v>
      </s:c>
      <s:c r="K758" s="22">
        <s:f>'1'!F759</s:f>
        <s:v>46247.568923611114</s:v>
      </s:c>
      <s:c r="L758" s="22">
        <s:f>'2'!F759</s:f>
        <s:v>46247.55065972222</s:v>
      </s:c>
      <s:c r="M758" s="22">
        <s:f>'3'!F759</s:f>
        <s:v>46247.53325231482</s:v>
      </s:c>
      <s:c r="N758" s="22">
        <s:f>'4'!F759</s:f>
        <s:v>46247.48736111111</s:v>
      </s:c>
      <s:c r="O758" s="22">
        <s:f>'5'!F759</s:f>
        <s:v>46247.459016203706</s:v>
      </s:c>
      <s:c r="P758" s="22">
        <s:f>'6'!F759</s:f>
        <s:v>46247.43956018519</s:v>
      </s:c>
      <s:c r="Q758" s="22">
        <s:f>'7'!F759</s:f>
        <s:v>46247.416909722226</s:v>
      </s:c>
      <s:c r="R758" s="22">
        <s:f>'8'!F759</s:f>
        <s:v>46247.39271990741</s:v>
      </s:c>
      <s:c r="S758" s="22">
        <s:f>'9'!F759</s:f>
        <s:v>46247.37490740741</s:v>
      </s:c>
      <s:c r="T758" s="22">
        <s:f>'10'!F759</s:f>
        <s:v>46247.34568287037</s:v>
      </s:c>
      <s:c r="U758" s="23">
        <s:f>'자료구성'!$B$2</s:f>
        <s:v>46247.0</s:v>
      </s:c>
    </s:row>
    <s:row r="759">
      <s:c r="A759" s="0" t="n">
        <s:v>2099</s:v>
      </s:c>
      <s:c r="B759" s="0" t="n">
        <s:v>894</s:v>
      </s:c>
      <s:c r="C759" s="0" t="n">
        <s:v>1938</s:v>
      </s:c>
      <s:c r="D759" s="0" t="n">
        <s:v>439</s:v>
      </s:c>
      <s:c r="E759" s="0" t="n">
        <s:v>1406</s:v>
      </s:c>
      <s:c r="F759" s="0" t="n">
        <s:v>3817</s:v>
      </s:c>
      <s:c r="G759" s="0" t="n">
        <s:v>2578</s:v>
      </s:c>
      <s:c r="H759" s="0" t="n">
        <s:v>8645</s:v>
      </s:c>
      <s:c r="I759" s="0" t="n">
        <s:v>2481</s:v>
      </s:c>
      <s:c r="J759" s="0" t="n">
        <s:v>1855</s:v>
      </s:c>
      <s:c r="K759" s="22">
        <s:f>'1'!F760</s:f>
        <s:v>46247.56893518518</s:v>
      </s:c>
      <s:c r="L759" s="22">
        <s:f>'2'!F760</s:f>
        <s:v>46247.550671296296</s:v>
      </s:c>
      <s:c r="M759" s="22">
        <s:f>'3'!F760</s:f>
        <s:v>46247.53326388889</s:v>
      </s:c>
      <s:c r="N759" s="22">
        <s:f>'4'!F760</s:f>
        <s:v>46247.48737268519</s:v>
      </s:c>
      <s:c r="O759" s="22">
        <s:f>'5'!F760</s:f>
        <s:v>46247.459027777775</s:v>
      </s:c>
      <s:c r="P759" s="22">
        <s:f>'6'!F760</s:f>
        <s:v>46247.439571759256</s:v>
      </s:c>
      <s:c r="Q759" s="22">
        <s:f>'7'!F760</s:f>
        <s:v>46247.416921296295</s:v>
      </s:c>
      <s:c r="R759" s="22">
        <s:f>'8'!F760</s:f>
        <s:v>46247.39273148148</s:v>
      </s:c>
      <s:c r="S759" s="22">
        <s:f>'9'!F760</s:f>
        <s:v>46247.374918981484</s:v>
      </s:c>
      <s:c r="T759" s="22">
        <s:f>'10'!F760</s:f>
        <s:v>46247.34569444445</s:v>
      </s:c>
      <s:c r="U759" s="23">
        <s:f>'자료구성'!$B$2</s:f>
        <s:v>46247.0</s:v>
      </s:c>
    </s:row>
    <s:row r="760">
      <s:c r="A760" s="0" t="n">
        <s:v>2109</s:v>
      </s:c>
      <s:c r="B760" s="0" t="n">
        <s:v>913</s:v>
      </s:c>
      <s:c r="C760" s="0" t="n">
        <s:v>2010</s:v>
      </s:c>
      <s:c r="D760" s="0" t="n">
        <s:v>429</s:v>
      </s:c>
      <s:c r="E760" s="0" t="n">
        <s:v>1420</s:v>
      </s:c>
      <s:c r="F760" s="0" t="n">
        <s:v>3679</s:v>
      </s:c>
      <s:c r="G760" s="0" t="n">
        <s:v>2663</s:v>
      </s:c>
      <s:c r="H760" s="0" t="n">
        <s:v>8348</s:v>
      </s:c>
      <s:c r="I760" s="0" t="n">
        <s:v>2495</s:v>
      </s:c>
      <s:c r="J760" s="0" t="n">
        <s:v>1889</s:v>
      </s:c>
      <s:c r="K760" s="22">
        <s:f>'1'!F761</s:f>
        <s:v>46247.56894675926</s:v>
      </s:c>
      <s:c r="L760" s="22">
        <s:f>'2'!F761</s:f>
        <s:v>46247.55068287037</s:v>
      </s:c>
      <s:c r="M760" s="22">
        <s:f>'3'!F761</s:f>
        <s:v>46247.53327546296</s:v>
      </s:c>
      <s:c r="N760" s="22">
        <s:f>'4'!F761</s:f>
        <s:v>46247.48738425926</s:v>
      </s:c>
      <s:c r="O760" s="22">
        <s:f>'5'!F761</s:f>
        <s:v>46247.45903935185</s:v>
      </s:c>
      <s:c r="P760" s="22">
        <s:f>'6'!F761</s:f>
        <s:v>46247.43958333333</s:v>
      </s:c>
      <s:c r="Q760" s="22">
        <s:f>'7'!F761</s:f>
        <s:v>46247.41693287037</s:v>
      </s:c>
      <s:c r="R760" s="22">
        <s:f>'8'!F761</s:f>
        <s:v>46247.392743055556</s:v>
      </s:c>
      <s:c r="S760" s="22">
        <s:f>'9'!F761</s:f>
        <s:v>46247.374930555554</s:v>
      </s:c>
      <s:c r="T760" s="22">
        <s:f>'10'!F761</s:f>
        <s:v>46247.34570601852</s:v>
      </s:c>
      <s:c r="U760" s="23">
        <s:f>'자료구성'!$B$2</s:f>
        <s:v>46247.0</s:v>
      </s:c>
    </s:row>
    <s:row r="761">
      <s:c r="A761" s="0" t="n">
        <s:v>2114</s:v>
      </s:c>
      <s:c r="B761" s="0" t="n">
        <s:v>929</s:v>
      </s:c>
      <s:c r="C761" s="0" t="n">
        <s:v>2065</s:v>
      </s:c>
      <s:c r="D761" s="0" t="n">
        <s:v>435</s:v>
      </s:c>
      <s:c r="E761" s="0" t="n">
        <s:v>1426</s:v>
      </s:c>
      <s:c r="F761" s="0" t="n">
        <s:v>3574</s:v>
      </s:c>
      <s:c r="G761" s="0" t="n">
        <s:v>2665</s:v>
      </s:c>
      <s:c r="H761" s="0" t="n">
        <s:v>7598</s:v>
      </s:c>
      <s:c r="I761" s="0" t="n">
        <s:v>2526</s:v>
      </s:c>
      <s:c r="J761" s="0" t="n">
        <s:v>1941</s:v>
      </s:c>
      <s:c r="K761" s="22">
        <s:f>'1'!F762</s:f>
        <s:v>46247.56895833334</s:v>
      </s:c>
      <s:c r="L761" s="22">
        <s:f>'2'!F762</s:f>
        <s:v>46247.55069444444</s:v>
      </s:c>
      <s:c r="M761" s="22">
        <s:f>'3'!F762</s:f>
        <s:v>46247.53328703704</s:v>
      </s:c>
      <s:c r="N761" s="22">
        <s:f>'4'!F762</s:f>
        <s:v>46247.487395833334</s:v>
      </s:c>
      <s:c r="O761" s="22">
        <s:f>'5'!F762</s:f>
        <s:v>46247.45905092593</s:v>
      </s:c>
      <s:c r="P761" s="22">
        <s:f>'6'!F762</s:f>
        <s:v>46247.43959490741</s:v>
      </s:c>
      <s:c r="Q761" s="22">
        <s:f>'7'!F762</s:f>
        <s:v>46247.41694444444</s:v>
      </s:c>
      <s:c r="R761" s="22">
        <s:f>'8'!F762</s:f>
        <s:v>46247.39275462963</s:v>
      </s:c>
      <s:c r="S761" s="22">
        <s:f>'9'!F762</s:f>
        <s:v>46247.37494212963</s:v>
      </s:c>
      <s:c r="T761" s="22">
        <s:f>'10'!F762</s:f>
        <s:v>46247.345717592594</s:v>
      </s:c>
      <s:c r="U761" s="23">
        <s:f>'자료구성'!$B$2</s:f>
        <s:v>46247.0</s:v>
      </s:c>
    </s:row>
    <s:row r="762">
      <s:c r="A762" s="0" t="n">
        <s:v>2142</s:v>
      </s:c>
      <s:c r="B762" s="0" t="n">
        <s:v>922</s:v>
      </s:c>
      <s:c r="C762" s="0" t="n">
        <s:v>2146</s:v>
      </s:c>
      <s:c r="D762" s="0" t="n">
        <s:v>405</s:v>
      </s:c>
      <s:c r="E762" s="0" t="n">
        <s:v>1435</s:v>
      </s:c>
      <s:c r="F762" s="0" t="n">
        <s:v>3463</s:v>
      </s:c>
      <s:c r="G762" s="0" t="n">
        <s:v>2707</s:v>
      </s:c>
      <s:c r="H762" s="0" t="n">
        <s:v>7304</s:v>
      </s:c>
      <s:c r="I762" s="0" t="n">
        <s:v>2518</s:v>
      </s:c>
      <s:c r="J762" s="0" t="n">
        <s:v>2011</s:v>
      </s:c>
      <s:c r="K762" s="22">
        <s:f>'1'!F763</s:f>
        <s:v>46247.56896990741</s:v>
      </s:c>
      <s:c r="L762" s="22">
        <s:f>'2'!F763</s:f>
        <s:v>46247.55070601852</s:v>
      </s:c>
      <s:c r="M762" s="22">
        <s:f>'3'!F763</s:f>
        <s:v>46247.53329861111</s:v>
      </s:c>
      <s:c r="N762" s="22">
        <s:f>'4'!F763</s:f>
        <s:v>46247.48740740741</s:v>
      </s:c>
      <s:c r="O762" s="22">
        <s:f>'5'!F763</s:f>
        <s:v>46247.4590625</s:v>
      </s:c>
      <s:c r="P762" s="22">
        <s:f>'6'!F763</s:f>
        <s:v>46247.43960648148</s:v>
      </s:c>
      <s:c r="Q762" s="22">
        <s:f>'7'!F763</s:f>
        <s:v>46247.41695601852</s:v>
      </s:c>
      <s:c r="R762" s="22">
        <s:f>'8'!F763</s:f>
        <s:v>46247.3927662037</s:v>
      </s:c>
      <s:c r="S762" s="22">
        <s:f>'9'!F763</s:f>
        <s:v>46247.3749537037</s:v>
      </s:c>
      <s:c r="T762" s="22">
        <s:f>'10'!F763</s:f>
        <s:v>46247.345729166664</s:v>
      </s:c>
      <s:c r="U762" s="23">
        <s:f>'자료구성'!$B$2</s:f>
        <s:v>46247.0</s:v>
      </s:c>
    </s:row>
    <s:row r="763">
      <s:c r="A763" s="0" t="n">
        <s:v>2165</s:v>
      </s:c>
      <s:c r="B763" s="0" t="n">
        <s:v>947</s:v>
      </s:c>
      <s:c r="C763" s="0" t="n">
        <s:v>2179</s:v>
      </s:c>
      <s:c r="D763" s="0" t="n">
        <s:v>371</s:v>
      </s:c>
      <s:c r="E763" s="0" t="n">
        <s:v>1455</s:v>
      </s:c>
      <s:c r="F763" s="0" t="n">
        <s:v>3336</s:v>
      </s:c>
      <s:c r="G763" s="0" t="n">
        <s:v>2695</s:v>
      </s:c>
      <s:c r="H763" s="0" t="n">
        <s:v>7280</s:v>
      </s:c>
      <s:c r="I763" s="0" t="n">
        <s:v>2526</s:v>
      </s:c>
      <s:c r="J763" s="0" t="n">
        <s:v>2064</s:v>
      </s:c>
      <s:c r="K763" s="22">
        <s:f>'1'!F764</s:f>
        <s:v>46247.56898148148</s:v>
      </s:c>
      <s:c r="L763" s="22">
        <s:f>'2'!F764</s:f>
        <s:v>46247.550717592596</s:v>
      </s:c>
      <s:c r="M763" s="22">
        <s:f>'3'!F764</s:f>
        <s:v>46247.53331018519</s:v>
      </s:c>
      <s:c r="N763" s="22">
        <s:f>'4'!F764</s:f>
        <s:v>46247.48741898148</s:v>
      </s:c>
      <s:c r="O763" s="22">
        <s:f>'5'!F764</s:f>
        <s:v>46247.459074074075</s:v>
      </s:c>
      <s:c r="P763" s="22">
        <s:f>'6'!F764</s:f>
        <s:v>46247.439618055556</s:v>
      </s:c>
      <s:c r="Q763" s="22">
        <s:f>'7'!F764</s:f>
        <s:v>46247.416967592595</s:v>
      </s:c>
      <s:c r="R763" s="22">
        <s:f>'8'!F764</s:f>
        <s:v>46247.39277777778</s:v>
      </s:c>
      <s:c r="S763" s="22">
        <s:f>'9'!F764</s:f>
        <s:v>46247.37496527778</s:v>
      </s:c>
      <s:c r="T763" s="22">
        <s:f>'10'!F764</s:f>
        <s:v>46247.34574074074</s:v>
      </s:c>
      <s:c r="U763" s="23">
        <s:f>'자료구성'!$B$2</s:f>
        <s:v>46247.0</s:v>
      </s:c>
    </s:row>
    <s:row r="764">
      <s:c r="A764" s="0" t="n">
        <s:v>2186</s:v>
      </s:c>
      <s:c r="B764" s="0" t="n">
        <s:v>943</s:v>
      </s:c>
      <s:c r="C764" s="0" t="n">
        <s:v>2214</s:v>
      </s:c>
      <s:c r="D764" s="0" t="n">
        <s:v>338</s:v>
      </s:c>
      <s:c r="E764" s="0" t="n">
        <s:v>1477</s:v>
      </s:c>
      <s:c r="F764" s="0" t="n">
        <s:v>3244</s:v>
      </s:c>
      <s:c r="G764" s="0" t="n">
        <s:v>2738</s:v>
      </s:c>
      <s:c r="H764" s="0" t="n">
        <s:v>7458</s:v>
      </s:c>
      <s:c r="I764" s="0" t="n">
        <s:v>2525</s:v>
      </s:c>
      <s:c r="J764" s="0" t="n">
        <s:v>2142</s:v>
      </s:c>
      <s:c r="K764" s="22">
        <s:f>'1'!F765</s:f>
        <s:v>46247.56899305555</s:v>
      </s:c>
      <s:c r="L764" s="22">
        <s:f>'2'!F765</s:f>
        <s:v>46247.550729166665</s:v>
      </s:c>
      <s:c r="M764" s="22">
        <s:f>'3'!F765</s:f>
        <s:v>46247.533321759256</s:v>
      </s:c>
      <s:c r="N764" s="22">
        <s:f>'4'!F765</s:f>
        <s:v>46247.48743055556</s:v>
      </s:c>
      <s:c r="O764" s="22">
        <s:f>'5'!F765</s:f>
        <s:v>46247.459085648145</s:v>
      </s:c>
      <s:c r="P764" s="22">
        <s:f>'6'!F765</s:f>
        <s:v>46247.43962962963</s:v>
      </s:c>
      <s:c r="Q764" s="22">
        <s:f>'7'!F765</s:f>
        <s:v>46247.416979166665</s:v>
      </s:c>
      <s:c r="R764" s="22">
        <s:f>'8'!F765</s:f>
        <s:v>46247.39278935185</s:v>
      </s:c>
      <s:c r="S764" s="22">
        <s:f>'9'!F765</s:f>
        <s:v>46247.374976851854</s:v>
      </s:c>
      <s:c r="T764" s="22">
        <s:f>'10'!F765</s:f>
        <s:v>46247.34575231482</s:v>
      </s:c>
      <s:c r="U764" s="23">
        <s:f>'자료구성'!$B$2</s:f>
        <s:v>46247.0</s:v>
      </s:c>
    </s:row>
    <s:row r="765">
      <s:c r="A765" s="0" t="n">
        <s:v>2205</s:v>
      </s:c>
      <s:c r="B765" s="0" t="n">
        <s:v>986</s:v>
      </s:c>
      <s:c r="C765" s="0" t="n">
        <s:v>2282</s:v>
      </s:c>
      <s:c r="D765" s="0" t="n">
        <s:v>316</s:v>
      </s:c>
      <s:c r="E765" s="0" t="n">
        <s:v>1463</s:v>
      </s:c>
      <s:c r="F765" s="0" t="n">
        <s:v>3178</s:v>
      </s:c>
      <s:c r="G765" s="0" t="n">
        <s:v>2785</s:v>
      </s:c>
      <s:c r="H765" s="0" t="n">
        <s:v>7468</s:v>
      </s:c>
      <s:c r="I765" s="0" t="n">
        <s:v>2541</s:v>
      </s:c>
      <s:c r="J765" s="0" t="n">
        <s:v>2211</s:v>
      </s:c>
      <s:c r="K765" s="22">
        <s:f>'1'!F766</s:f>
        <s:v>46247.56900462963</s:v>
      </s:c>
      <s:c r="L765" s="22">
        <s:f>'2'!F766</s:f>
        <s:v>46247.55074074074</s:v>
      </s:c>
      <s:c r="M765" s="22">
        <s:f>'3'!F766</s:f>
        <s:v>46247.53333333333</s:v>
      </s:c>
      <s:c r="N765" s="22">
        <s:f>'4'!F766</s:f>
        <s:v>46247.487442129626</s:v>
      </s:c>
      <s:c r="O765" s="22">
        <s:f>'5'!F766</s:f>
        <s:v>46247.45909722222</s:v>
      </s:c>
      <s:c r="P765" s="22">
        <s:f>'6'!F766</s:f>
        <s:v>46247.4396412037</s:v>
      </s:c>
      <s:c r="Q765" s="22">
        <s:f>'7'!F766</s:f>
        <s:v>46247.41699074074</s:v>
      </s:c>
      <s:c r="R765" s="22">
        <s:f>'8'!F766</s:f>
        <s:v>46247.392800925925</s:v>
      </s:c>
      <s:c r="S765" s="22">
        <s:f>'9'!F766</s:f>
        <s:v>46247.37498842592</s:v>
      </s:c>
      <s:c r="T765" s="22">
        <s:f>'10'!F766</s:f>
        <s:v>46247.34576388889</s:v>
      </s:c>
      <s:c r="U765" s="23">
        <s:f>'자료구성'!$B$2</s:f>
        <s:v>46247.0</s:v>
      </s:c>
    </s:row>
    <s:row r="766">
      <s:c r="A766" s="0" t="n">
        <s:v>2197</s:v>
      </s:c>
      <s:c r="B766" s="0" t="n">
        <s:v>962</s:v>
      </s:c>
      <s:c r="C766" s="0" t="n">
        <s:v>2295</s:v>
      </s:c>
      <s:c r="D766" s="0" t="n">
        <s:v>314</s:v>
      </s:c>
      <s:c r="E766" s="0" t="n">
        <s:v>1450</s:v>
      </s:c>
      <s:c r="F766" s="0" t="n">
        <s:v>3057</s:v>
      </s:c>
      <s:c r="G766" s="0" t="n">
        <s:v>2875</s:v>
      </s:c>
      <s:c r="H766" s="0" t="n">
        <s:v>7432</s:v>
      </s:c>
      <s:c r="I766" s="0" t="n">
        <s:v>2605</s:v>
      </s:c>
      <s:c r="J766" s="0" t="n">
        <s:v>2272</s:v>
      </s:c>
      <s:c r="K766" s="22">
        <s:f>'1'!F767</s:f>
        <s:v>46247.569016203706</s:v>
      </s:c>
      <s:c r="L766" s="22">
        <s:f>'2'!F767</s:f>
        <s:v>46247.55075231481</s:v>
      </s:c>
      <s:c r="M766" s="22">
        <s:f>'3'!F767</s:f>
        <s:v>46247.53334490741</s:v>
      </s:c>
      <s:c r="N766" s="22">
        <s:f>'4'!F767</s:f>
        <s:v>46247.4874537037</s:v>
      </s:c>
      <s:c r="O766" s="22">
        <s:f>'5'!F767</s:f>
        <s:v>46247.4591087963</s:v>
      </s:c>
      <s:c r="P766" s="22">
        <s:f>'6'!F767</s:f>
        <s:v>46247.43965277778</s:v>
      </s:c>
      <s:c r="Q766" s="22">
        <s:f>'7'!F767</s:f>
        <s:v>46247.41700231482</s:v>
      </s:c>
      <s:c r="R766" s="22">
        <s:f>'8'!F767</s:f>
        <s:v>46247.3928125</s:v>
      </s:c>
      <s:c r="S766" s="22">
        <s:f>'9'!F767</s:f>
        <s:v>46247.375</s:v>
      </s:c>
      <s:c r="T766" s="22">
        <s:f>'10'!F767</s:f>
        <s:v>46247.34577546296</s:v>
      </s:c>
      <s:c r="U766" s="23">
        <s:f>'자료구성'!$B$2</s:f>
        <s:v>46247.0</s:v>
      </s:c>
    </s:row>
    <s:row r="767">
      <s:c r="A767" s="0" t="n">
        <s:v>2217</s:v>
      </s:c>
      <s:c r="B767" s="0" t="n">
        <s:v>996</s:v>
      </s:c>
      <s:c r="C767" s="0" t="n">
        <s:v>2344</s:v>
      </s:c>
      <s:c r="D767" s="0" t="n">
        <s:v>307</s:v>
      </s:c>
      <s:c r="E767" s="0" t="n">
        <s:v>1443</s:v>
      </s:c>
      <s:c r="F767" s="0" t="n">
        <s:v>2918</s:v>
      </s:c>
      <s:c r="G767" s="0" t="n">
        <s:v>3011</s:v>
      </s:c>
      <s:c r="H767" s="0" t="n">
        <s:v>7411</s:v>
      </s:c>
      <s:c r="I767" s="0" t="n">
        <s:v>2605</s:v>
      </s:c>
      <s:c r="J767" s="0" t="n">
        <s:v>2318</s:v>
      </s:c>
      <s:c r="K767" s="22">
        <s:f>'1'!F768</s:f>
        <s:v>46247.569027777776</s:v>
      </s:c>
      <s:c r="L767" s="22">
        <s:f>'2'!F768</s:f>
        <s:v>46247.55076388889</s:v>
      </s:c>
      <s:c r="M767" s="22">
        <s:f>'3'!F768</s:f>
        <s:v>46247.53335648148</s:v>
      </s:c>
      <s:c r="N767" s="22">
        <s:f>'4'!F768</s:f>
        <s:v>46247.48746527778</s:v>
      </s:c>
      <s:c r="O767" s="22">
        <s:f>'5'!F768</s:f>
        <s:v>46247.45912037037</s:v>
      </s:c>
      <s:c r="P767" s="22">
        <s:f>'6'!F768</s:f>
        <s:v>46247.43966435185</s:v>
      </s:c>
      <s:c r="Q767" s="22">
        <s:f>'7'!F768</s:f>
        <s:v>46247.41701388889</s:v>
      </s:c>
      <s:c r="R767" s="22">
        <s:f>'8'!F768</s:f>
        <s:v>46247.39282407407</s:v>
      </s:c>
      <s:c r="S767" s="22">
        <s:f>'9'!F768</s:f>
        <s:v>46247.37501157408</s:v>
      </s:c>
      <s:c r="T767" s="22">
        <s:f>'10'!F768</s:f>
        <s:v>46247.34578703704</s:v>
      </s:c>
      <s:c r="U767" s="23">
        <s:f>'자료구성'!$B$2</s:f>
        <s:v>46247.0</s:v>
      </s:c>
    </s:row>
    <s:row r="768">
      <s:c r="A768" s="0" t="n">
        <s:v>2184</s:v>
      </s:c>
      <s:c r="B768" s="0" t="n">
        <s:v>1052</s:v>
      </s:c>
      <s:c r="C768" s="0" t="n">
        <s:v>2377</s:v>
      </s:c>
      <s:c r="D768" s="0" t="n">
        <s:v>317</s:v>
      </s:c>
      <s:c r="E768" s="0" t="n">
        <s:v>1439</s:v>
      </s:c>
      <s:c r="F768" s="0" t="n">
        <s:v>2802</s:v>
      </s:c>
      <s:c r="G768" s="0" t="n">
        <s:v>3122</s:v>
      </s:c>
      <s:c r="H768" s="0" t="n">
        <s:v>7426</s:v>
      </s:c>
      <s:c r="I768" s="0" t="n">
        <s:v>2649</s:v>
      </s:c>
      <s:c r="J768" s="0" t="n">
        <s:v>2374</s:v>
      </s:c>
      <s:c r="K768" s="22">
        <s:f>'1'!F769</s:f>
        <s:v>46247.56903935185</s:v>
      </s:c>
      <s:c r="L768" s="22">
        <s:f>'2'!F769</s:f>
        <s:v>46247.550775462965</s:v>
      </s:c>
      <s:c r="M768" s="22">
        <s:f>'3'!F769</s:f>
        <s:v>46247.533368055556</s:v>
      </s:c>
      <s:c r="N768" s="22">
        <s:f>'4'!F769</s:f>
        <s:v>46247.48747685185</s:v>
      </s:c>
      <s:c r="O768" s="22">
        <s:f>'5'!F769</s:f>
        <s:v>46247.459131944444</s:v>
      </s:c>
      <s:c r="P768" s="22">
        <s:f>'6'!F769</s:f>
        <s:v>46247.439675925925</s:v>
      </s:c>
      <s:c r="Q768" s="22">
        <s:f>'7'!F769</s:f>
        <s:v>46247.417025462964</s:v>
      </s:c>
      <s:c r="R768" s="22">
        <s:f>'8'!F769</s:f>
        <s:v>46247.39283564815</s:v>
      </s:c>
      <s:c r="S768" s="22">
        <s:f>'9'!F769</s:f>
        <s:v>46247.375023148146</s:v>
      </s:c>
      <s:c r="T768" s="22">
        <s:f>'10'!F769</s:f>
        <s:v>46247.34579861111</s:v>
      </s:c>
      <s:c r="U768" s="23">
        <s:f>'자료구성'!$B$2</s:f>
        <s:v>46247.0</s:v>
      </s:c>
    </s:row>
    <s:row r="769">
      <s:c r="A769" s="0" t="n">
        <s:v>2178</s:v>
      </s:c>
      <s:c r="B769" s="0" t="n">
        <s:v>1067</s:v>
      </s:c>
      <s:c r="C769" s="0" t="n">
        <s:v>2355</s:v>
      </s:c>
      <s:c r="D769" s="0" t="n">
        <s:v>328</s:v>
      </s:c>
      <s:c r="E769" s="0" t="n">
        <s:v>1441</s:v>
      </s:c>
      <s:c r="F769" s="0" t="n">
        <s:v>2739</s:v>
      </s:c>
      <s:c r="G769" s="0" t="n">
        <s:v>3128</s:v>
      </s:c>
      <s:c r="H769" s="0" t="n">
        <s:v>7322</s:v>
      </s:c>
      <s:c r="I769" s="0" t="n">
        <s:v>2617</s:v>
      </s:c>
      <s:c r="J769" s="0" t="n">
        <s:v>2405</s:v>
      </s:c>
      <s:c r="K769" s="22">
        <s:f>'1'!F770</s:f>
        <s:v>46247.56905092593</s:v>
      </s:c>
      <s:c r="L769" s="22">
        <s:f>'2'!F770</s:f>
        <s:v>46247.550787037035</s:v>
      </s:c>
      <s:c r="M769" s="22">
        <s:f>'3'!F770</s:f>
        <s:v>46247.53337962963</s:v>
      </s:c>
      <s:c r="N769" s="22">
        <s:f>'4'!F770</s:f>
        <s:v>46247.487488425926</s:v>
      </s:c>
      <s:c r="O769" s="22">
        <s:f>'5'!F770</s:f>
        <s:v>46247.45914351852</s:v>
      </s:c>
      <s:c r="P769" s="22">
        <s:f>'6'!F770</s:f>
        <s:v>46247.4396875</s:v>
      </s:c>
      <s:c r="Q769" s="22">
        <s:f>'7'!F770</s:f>
        <s:v>46247.417037037034</s:v>
      </s:c>
      <s:c r="R769" s="22">
        <s:f>'8'!F770</s:f>
        <s:v>46247.392847222225</s:v>
      </s:c>
      <s:c r="S769" s="22">
        <s:f>'9'!F770</s:f>
        <s:v>46247.37503472222</s:v>
      </s:c>
      <s:c r="T769" s="22">
        <s:f>'10'!F770</s:f>
        <s:v>46247.34581018519</s:v>
      </s:c>
      <s:c r="U769" s="23">
        <s:f>'자료구성'!$B$2</s:f>
        <s:v>46247.0</s:v>
      </s:c>
    </s:row>
    <s:row r="770">
      <s:c r="A770" s="0" t="n">
        <s:v>2207</s:v>
      </s:c>
      <s:c r="B770" s="0" t="n">
        <s:v>1105</s:v>
      </s:c>
      <s:c r="C770" s="0" t="n">
        <s:v>2319</s:v>
      </s:c>
      <s:c r="D770" s="0" t="n">
        <s:v>352</s:v>
      </s:c>
      <s:c r="E770" s="0" t="n">
        <s:v>1447</s:v>
      </s:c>
      <s:c r="F770" s="0" t="n">
        <s:v>2650</s:v>
      </s:c>
      <s:c r="G770" s="0" t="n">
        <s:v>3102</s:v>
      </s:c>
      <s:c r="H770" s="0" t="n">
        <s:v>7261</s:v>
      </s:c>
      <s:c r="I770" s="0" t="n">
        <s:v>2593</s:v>
      </s:c>
      <s:c r="J770" s="0" t="n">
        <s:v>2484</s:v>
      </s:c>
      <s:c r="K770" s="22">
        <s:f>'1'!F771</s:f>
        <s:v>46247.5690625</s:v>
      </s:c>
      <s:c r="L770" s="22">
        <s:f>'2'!F771</s:f>
        <s:v>46247.55079861111</s:v>
      </s:c>
      <s:c r="M770" s="22">
        <s:f>'3'!F771</s:f>
        <s:v>46247.5333912037</s:v>
      </s:c>
      <s:c r="N770" s="22">
        <s:f>'4'!F771</s:f>
        <s:v>46247.4875</s:v>
      </s:c>
      <s:c r="O770" s="22">
        <s:f>'5'!F771</s:f>
        <s:v>46247.45915509259</s:v>
      </s:c>
      <s:c r="P770" s="22">
        <s:f>'6'!F771</s:f>
        <s:v>46247.43969907407</s:v>
      </s:c>
      <s:c r="Q770" s="22">
        <s:f>'7'!F771</s:f>
        <s:v>46247.41704861111</s:v>
      </s:c>
      <s:c r="R770" s="22">
        <s:f>'8'!F771</s:f>
        <s:v>46247.392858796295</s:v>
      </s:c>
      <s:c r="S770" s="22">
        <s:f>'9'!F771</s:f>
        <s:v>46247.3750462963</s:v>
      </s:c>
      <s:c r="T770" s="22">
        <s:f>'10'!F771</s:f>
        <s:v>46247.345821759256</s:v>
      </s:c>
      <s:c r="U770" s="23">
        <s:f>'자료구성'!$B$2</s:f>
        <s:v>46247.0</s:v>
      </s:c>
    </s:row>
    <s:row r="771">
      <s:c r="A771" s="0" t="n">
        <s:v>2198</s:v>
      </s:c>
      <s:c r="B771" s="0" t="n">
        <s:v>1142</s:v>
      </s:c>
      <s:c r="C771" s="0" t="n">
        <s:v>2245</s:v>
      </s:c>
      <s:c r="D771" s="0" t="n">
        <s:v>388</s:v>
      </s:c>
      <s:c r="E771" s="0" t="n">
        <s:v>1413</s:v>
      </s:c>
      <s:c r="F771" s="0" t="n">
        <s:v>2557</s:v>
      </s:c>
      <s:c r="G771" s="0" t="n">
        <s:v>3013</s:v>
      </s:c>
      <s:c r="H771" s="0" t="n">
        <s:v>7200</s:v>
      </s:c>
      <s:c r="I771" s="0" t="n">
        <s:v>2608</s:v>
      </s:c>
      <s:c r="J771" s="0" t="n">
        <s:v>2513</s:v>
      </s:c>
      <s:c r="K771" s="22">
        <s:f>'1'!F772</s:f>
        <s:v>46247.569074074076</s:v>
      </s:c>
      <s:c r="L771" s="22">
        <s:f>'2'!F772</s:f>
        <s:v>46247.55081018519</s:v>
      </s:c>
      <s:c r="M771" s="22">
        <s:f>'3'!F772</s:f>
        <s:v>46247.53340277778</s:v>
      </s:c>
      <s:c r="N771" s="22">
        <s:f>'4'!F772</s:f>
        <s:v>46247.48751157407</s:v>
      </s:c>
      <s:c r="O771" s="22">
        <s:f>'5'!F772</s:f>
        <s:v>46247.45916666667</s:v>
      </s:c>
      <s:c r="P771" s="22">
        <s:f>'6'!F772</s:f>
        <s:v>46247.43971064815</s:v>
      </s:c>
      <s:c r="Q771" s="22">
        <s:f>'7'!F772</s:f>
        <s:v>46247.41706018519</s:v>
      </s:c>
      <s:c r="R771" s="22">
        <s:f>'8'!F772</s:f>
        <s:v>46247.39287037037</s:v>
      </s:c>
      <s:c r="S771" s="22">
        <s:f>'9'!F772</s:f>
        <s:v>46247.37505787037</s:v>
      </s:c>
      <s:c r="T771" s="22">
        <s:f>'10'!F772</s:f>
        <s:v>46247.34583333333</s:v>
      </s:c>
      <s:c r="U771" s="23">
        <s:f>'자료구성'!$B$2</s:f>
        <s:v>46247.0</s:v>
      </s:c>
    </s:row>
    <s:row r="772">
      <s:c r="A772" s="0" t="n">
        <s:v>2198</s:v>
      </s:c>
      <s:c r="B772" s="0" t="n">
        <s:v>1178</s:v>
      </s:c>
      <s:c r="C772" s="0" t="n">
        <s:v>2177</s:v>
      </s:c>
      <s:c r="D772" s="0" t="n">
        <s:v>380</s:v>
      </s:c>
      <s:c r="E772" s="0" t="n">
        <s:v>1391</s:v>
      </s:c>
      <s:c r="F772" s="0" t="n">
        <s:v>2438</s:v>
      </s:c>
      <s:c r="G772" s="0" t="n">
        <s:v>2908</s:v>
      </s:c>
      <s:c r="H772" s="0" t="n">
        <s:v>7058</s:v>
      </s:c>
      <s:c r="I772" s="0" t="n">
        <s:v>2644</s:v>
      </s:c>
      <s:c r="J772" s="0" t="n">
        <s:v>2524</s:v>
      </s:c>
      <s:c r="K772" s="22">
        <s:f>'1'!F773</s:f>
        <s:v>46247.569085648145</s:v>
      </s:c>
      <s:c r="L772" s="22">
        <s:f>'2'!F773</s:f>
        <s:v>46247.55082175926</s:v>
      </s:c>
      <s:c r="M772" s="22">
        <s:f>'3'!F773</s:f>
        <s:v>46247.53341435185</s:v>
      </s:c>
      <s:c r="N772" s="22">
        <s:f>'4'!F773</s:f>
        <s:v>46247.48752314815</s:v>
      </s:c>
      <s:c r="O772" s="22">
        <s:f>'5'!F773</s:f>
        <s:v>46247.459178240744</s:v>
      </s:c>
      <s:c r="P772" s="22">
        <s:f>'6'!F773</s:f>
        <s:v>46247.439722222225</s:v>
      </s:c>
      <s:c r="Q772" s="22">
        <s:f>'7'!F773</s:f>
        <s:v>46247.41707175926</s:v>
      </s:c>
      <s:c r="R772" s="22">
        <s:f>'8'!F773</s:f>
        <s:v>46247.39288194444</s:v>
      </s:c>
      <s:c r="S772" s="22">
        <s:f>'9'!F773</s:f>
        <s:v>46247.375069444446</s:v>
      </s:c>
      <s:c r="T772" s="22">
        <s:f>'10'!F773</s:f>
        <s:v>46247.34584490741</s:v>
      </s:c>
      <s:c r="U772" s="23">
        <s:f>'자료구성'!$B$2</s:f>
        <s:v>46247.0</s:v>
      </s:c>
    </s:row>
    <s:row r="773">
      <s:c r="A773" s="0" t="n">
        <s:v>2152</s:v>
      </s:c>
      <s:c r="B773" s="0" t="n">
        <s:v>1181</s:v>
      </s:c>
      <s:c r="C773" s="0" t="n">
        <s:v>2139</s:v>
      </s:c>
      <s:c r="D773" s="0" t="n">
        <s:v>378</s:v>
      </s:c>
      <s:c r="E773" s="0" t="n">
        <s:v>1367</s:v>
      </s:c>
      <s:c r="F773" s="0" t="n">
        <s:v>2452</s:v>
      </s:c>
      <s:c r="G773" s="0" t="n">
        <s:v>2784</s:v>
      </s:c>
      <s:c r="H773" s="0" t="n">
        <s:v>6977</s:v>
      </s:c>
      <s:c r="I773" s="0" t="n">
        <s:v>2707</s:v>
      </s:c>
      <s:c r="J773" s="0" t="n">
        <s:v>2562</s:v>
      </s:c>
      <s:c r="K773" s="22">
        <s:f>'1'!F774</s:f>
        <s:v>46247.56909722222</s:v>
      </s:c>
      <s:c r="L773" s="22">
        <s:f>'2'!F774</s:f>
        <s:v>46247.550833333335</s:v>
      </s:c>
      <s:c r="M773" s="22">
        <s:f>'3'!F774</s:f>
        <s:v>46247.533425925925</s:v>
      </s:c>
      <s:c r="N773" s="22">
        <s:f>'4'!F774</s:f>
        <s:v>46247.48753472222</s:v>
      </s:c>
      <s:c r="O773" s="22">
        <s:f>'5'!F774</s:f>
        <s:v>46247.459189814814</s:v>
      </s:c>
      <s:c r="P773" s="22">
        <s:f>'6'!F774</s:f>
        <s:v>46247.439733796295</s:v>
      </s:c>
      <s:c r="Q773" s="22">
        <s:f>'7'!F774</s:f>
        <s:v>46247.417083333334</s:v>
      </s:c>
      <s:c r="R773" s="22">
        <s:f>'8'!F774</s:f>
        <s:v>46247.39289351852</s:v>
      </s:c>
      <s:c r="S773" s="22">
        <s:f>'9'!F774</s:f>
        <s:v>46247.375081018516</s:v>
      </s:c>
      <s:c r="T773" s="22">
        <s:f>'10'!F774</s:f>
        <s:v>46247.34585648148</s:v>
      </s:c>
      <s:c r="U773" s="23">
        <s:f>'자료구성'!$B$2</s:f>
        <s:v>46247.0</s:v>
      </s:c>
    </s:row>
    <s:row r="774">
      <s:c r="A774" s="0" t="n">
        <s:v>2105</s:v>
      </s:c>
      <s:c r="B774" s="0" t="n">
        <s:v>1185</s:v>
      </s:c>
      <s:c r="C774" s="0" t="n">
        <s:v>2090</s:v>
      </s:c>
      <s:c r="D774" s="0" t="n">
        <s:v>359</s:v>
      </s:c>
      <s:c r="E774" s="0" t="n">
        <s:v>1366</s:v>
      </s:c>
      <s:c r="F774" s="0" t="n">
        <s:v>2418</s:v>
      </s:c>
      <s:c r="G774" s="0" t="n">
        <s:v>2677</s:v>
      </s:c>
      <s:c r="H774" s="0" t="n">
        <s:v>6935</s:v>
      </s:c>
      <s:c r="I774" s="0" t="n">
        <s:v>2731</s:v>
      </s:c>
      <s:c r="J774" s="0" t="n">
        <s:v>2562</s:v>
      </s:c>
      <s:c r="K774" s="22">
        <s:f>'1'!F775</s:f>
        <s:v>46247.5691087963</s:v>
      </s:c>
      <s:c r="L774" s="22">
        <s:f>'2'!F775</s:f>
        <s:v>46247.550844907404</s:v>
      </s:c>
      <s:c r="M774" s="22">
        <s:f>'3'!F775</s:f>
        <s:v>46247.5334375</s:v>
      </s:c>
      <s:c r="N774" s="22">
        <s:f>'4'!F775</s:f>
        <s:v>46247.487546296295</s:v>
      </s:c>
      <s:c r="O774" s="22">
        <s:f>'5'!F775</s:f>
        <s:v>46247.45920138889</s:v>
      </s:c>
      <s:c r="P774" s="22">
        <s:f>'6'!F775</s:f>
        <s:v>46247.43974537037</s:v>
      </s:c>
      <s:c r="Q774" s="22">
        <s:f>'7'!F775</s:f>
        <s:v>46247.41709490741</s:v>
      </s:c>
      <s:c r="R774" s="22">
        <s:f>'8'!F775</s:f>
        <s:v>46247.392905092594</s:v>
      </s:c>
      <s:c r="S774" s="22">
        <s:f>'9'!F775</s:f>
        <s:v>46247.37509259259</s:v>
      </s:c>
      <s:c r="T774" s="22">
        <s:f>'10'!F775</s:f>
        <s:v>46247.345868055556</s:v>
      </s:c>
      <s:c r="U774" s="23">
        <s:f>'자료구성'!$B$2</s:f>
        <s:v>46247.0</s:v>
      </s:c>
    </s:row>
    <s:row r="775">
      <s:c r="A775" s="0" t="n">
        <s:v>2055</s:v>
      </s:c>
      <s:c r="B775" s="0" t="n">
        <s:v>1174</s:v>
      </s:c>
      <s:c r="C775" s="0" t="n">
        <s:v>2054</s:v>
      </s:c>
      <s:c r="D775" s="0" t="n">
        <s:v>359</s:v>
      </s:c>
      <s:c r="E775" s="0" t="n">
        <s:v>1411</s:v>
      </s:c>
      <s:c r="F775" s="0" t="n">
        <s:v>2374</s:v>
      </s:c>
      <s:c r="G775" s="0" t="n">
        <s:v>2589</s:v>
      </s:c>
      <s:c r="H775" s="0" t="n">
        <s:v>6773</s:v>
      </s:c>
      <s:c r="I775" s="0" t="n">
        <s:v>2734</s:v>
      </s:c>
      <s:c r="J775" s="0" t="n">
        <s:v>2531</s:v>
      </s:c>
      <s:c r="K775" s="22">
        <s:f>'1'!F776</s:f>
        <s:v>46247.56912037037</s:v>
      </s:c>
      <s:c r="L775" s="22">
        <s:f>'2'!F776</s:f>
        <s:v>46247.55085648148</s:v>
      </s:c>
      <s:c r="M775" s="22">
        <s:f>'3'!F776</s:f>
        <s:v>46247.53344907407</s:v>
      </s:c>
      <s:c r="N775" s="22">
        <s:f>'4'!F776</s:f>
        <s:v>46247.48755787037</s:v>
      </s:c>
      <s:c r="O775" s="22">
        <s:f>'5'!F776</s:f>
        <s:v>46247.45921296296</s:v>
      </s:c>
      <s:c r="P775" s="22">
        <s:f>'6'!F776</s:f>
        <s:v>46247.43975694444</s:v>
      </s:c>
      <s:c r="Q775" s="22">
        <s:f>'7'!F776</s:f>
        <s:v>46247.41710648148</s:v>
      </s:c>
      <s:c r="R775" s="22">
        <s:f>'8'!F776</s:f>
        <s:v>46247.392916666664</s:v>
      </s:c>
      <s:c r="S775" s="22">
        <s:f>'9'!F776</s:f>
        <s:v>46247.37510416667</s:v>
      </s:c>
      <s:c r="T775" s="22">
        <s:f>'10'!F776</s:f>
        <s:v>46247.34587962963</s:v>
      </s:c>
      <s:c r="U775" s="23">
        <s:f>'자료구성'!$B$2</s:f>
        <s:v>46247.0</s:v>
      </s:c>
    </s:row>
    <s:row r="776">
      <s:c r="A776" s="0" t="n">
        <s:v>2055</s:v>
      </s:c>
      <s:c r="B776" s="0" t="n">
        <s:v>1169</s:v>
      </s:c>
      <s:c r="C776" s="0" t="n">
        <s:v>2028</s:v>
      </s:c>
      <s:c r="D776" s="0" t="n">
        <s:v>373</s:v>
      </s:c>
      <s:c r="E776" s="0" t="n">
        <s:v>1411</s:v>
      </s:c>
      <s:c r="F776" s="0" t="n">
        <s:v>2362</s:v>
      </s:c>
      <s:c r="G776" s="0" t="n">
        <s:v>2552</s:v>
      </s:c>
      <s:c r="H776" s="0" t="n">
        <s:v>6773</s:v>
      </s:c>
      <s:c r="I776" s="0" t="n">
        <s:v>2748</s:v>
      </s:c>
      <s:c r="J776" s="0" t="n">
        <s:v>2571</s:v>
      </s:c>
      <s:c r="K776" s="22">
        <s:f>'1'!F777</s:f>
        <s:v>46247.569131944445</s:v>
      </s:c>
      <s:c r="L776" s="22">
        <s:f>'2'!F777</s:f>
        <s:v>46247.55086805556</s:v>
      </s:c>
      <s:c r="M776" s="22">
        <s:f>'3'!F777</s:f>
        <s:v>46247.53346064815</s:v>
      </s:c>
      <s:c r="N776" s="22">
        <s:f>'4'!F777</s:f>
        <s:v>46247.48756944444</s:v>
      </s:c>
      <s:c r="O776" s="22">
        <s:f>'5'!F777</s:f>
        <s:v>46247.45922453704</s:v>
      </s:c>
      <s:c r="P776" s="22">
        <s:f>'6'!F777</s:f>
        <s:v>46247.43976851852</s:v>
      </s:c>
      <s:c r="Q776" s="22">
        <s:f>'7'!F777</s:f>
        <s:v>46247.41711805556</s:v>
      </s:c>
      <s:c r="R776" s="22">
        <s:f>'8'!F777</s:f>
        <s:v>46247.39292824074</s:v>
      </s:c>
      <s:c r="S776" s="22">
        <s:f>'9'!F777</s:f>
        <s:v>46247.37511574074</s:v>
      </s:c>
      <s:c r="T776" s="22">
        <s:f>'10'!F777</s:f>
        <s:v>46247.3458912037</s:v>
      </s:c>
      <s:c r="U776" s="23">
        <s:f>'자료구성'!$B$2</s:f>
        <s:v>46247.0</s:v>
      </s:c>
    </s:row>
    <s:row r="777">
      <s:c r="A777" s="0" t="n">
        <s:v>2052</s:v>
      </s:c>
      <s:c r="B777" s="0" t="n">
        <s:v>1183</s:v>
      </s:c>
      <s:c r="C777" s="0" t="n">
        <s:v>1999</s:v>
      </s:c>
      <s:c r="D777" s="0" t="n">
        <s:v>397</s:v>
      </s:c>
      <s:c r="E777" s="0" t="n">
        <s:v>1429</s:v>
      </s:c>
      <s:c r="F777" s="0" t="n">
        <s:v>2379</s:v>
      </s:c>
      <s:c r="G777" s="0" t="n">
        <s:v>2529</s:v>
      </s:c>
      <s:c r="H777" s="0" t="n">
        <s:v>6614</s:v>
      </s:c>
      <s:c r="I777" s="0" t="n">
        <s:v>2738</s:v>
      </s:c>
      <s:c r="J777" s="0" t="n">
        <s:v>2590</s:v>
      </s:c>
      <s:c r="K777" s="22">
        <s:f>'1'!F778</s:f>
        <s:v>46247.56914351852</s:v>
      </s:c>
      <s:c r="L777" s="22">
        <s:f>'2'!F778</s:f>
        <s:v>46247.55087962963</s:v>
      </s:c>
      <s:c r="M777" s="22">
        <s:f>'3'!F778</s:f>
        <s:v>46247.533472222225</s:v>
      </s:c>
      <s:c r="N777" s="22">
        <s:f>'4'!F778</s:f>
        <s:v>46247.48758101852</s:v>
      </s:c>
      <s:c r="O777" s="22">
        <s:f>'5'!F778</s:f>
        <s:v>46247.45923611111</s:v>
      </s:c>
      <s:c r="P777" s="22">
        <s:f>'6'!F778</s:f>
        <s:v>46247.439780092594</s:v>
      </s:c>
      <s:c r="Q777" s="22">
        <s:f>'7'!F778</s:f>
        <s:v>46247.417129629626</s:v>
      </s:c>
      <s:c r="R777" s="22">
        <s:f>'8'!F778</s:f>
        <s:v>46247.39293981482</s:v>
      </s:c>
      <s:c r="S777" s="22">
        <s:f>'9'!F778</s:f>
        <s:v>46247.375127314815</s:v>
      </s:c>
      <s:c r="T777" s="22">
        <s:f>'10'!F778</s:f>
        <s:v>46247.34590277778</s:v>
      </s:c>
      <s:c r="U777" s="23">
        <s:f>'자료구성'!$B$2</s:f>
        <s:v>46247.0</s:v>
      </s:c>
    </s:row>
    <s:row r="778">
      <s:c r="A778" s="0" t="n">
        <s:v>2010</s:v>
      </s:c>
      <s:c r="B778" s="0" t="n">
        <s:v>1173</s:v>
      </s:c>
      <s:c r="C778" s="0" t="n">
        <s:v>1959</s:v>
      </s:c>
      <s:c r="D778" s="0" t="n">
        <s:v>409</s:v>
      </s:c>
      <s:c r="E778" s="0" t="n">
        <s:v>1421</s:v>
      </s:c>
      <s:c r="F778" s="0" t="n">
        <s:v>2397</s:v>
      </s:c>
      <s:c r="G778" s="0" t="n">
        <s:v>2495</s:v>
      </s:c>
      <s:c r="H778" s="0" t="n">
        <s:v>6488</s:v>
      </s:c>
      <s:c r="I778" s="0" t="n">
        <s:v>2742</s:v>
      </s:c>
      <s:c r="J778" s="0" t="n">
        <s:v>2612</s:v>
      </s:c>
      <s:c r="K778" s="22">
        <s:f>'1'!F779</s:f>
        <s:v>46247.56915509259</s:v>
      </s:c>
      <s:c r="L778" s="22">
        <s:f>'2'!F779</s:f>
        <s:v>46247.550891203704</s:v>
      </s:c>
      <s:c r="M778" s="22">
        <s:f>'3'!F779</s:f>
        <s:v>46247.533483796295</s:v>
      </s:c>
      <s:c r="N778" s="22">
        <s:f>'4'!F779</s:f>
        <s:v>46247.487592592595</s:v>
      </s:c>
      <s:c r="O778" s="22">
        <s:f>'5'!F779</s:f>
        <s:v>46247.45924768518</s:v>
      </s:c>
      <s:c r="P778" s="22">
        <s:f>'6'!F779</s:f>
        <s:v>46247.439791666664</s:v>
      </s:c>
      <s:c r="Q778" s="22">
        <s:f>'7'!F779</s:f>
        <s:v>46247.4171412037</s:v>
      </s:c>
      <s:c r="R778" s="22">
        <s:f>'8'!F779</s:f>
        <s:v>46247.39295138889</s:v>
      </s:c>
      <s:c r="S778" s="22">
        <s:f>'9'!F779</s:f>
        <s:v>46247.37513888889</s:v>
      </s:c>
      <s:c r="T778" s="22">
        <s:f>'10'!F779</s:f>
        <s:v>46247.34591435185</s:v>
      </s:c>
      <s:c r="U778" s="23">
        <s:f>'자료구성'!$B$2</s:f>
        <s:v>46247.0</s:v>
      </s:c>
    </s:row>
    <s:row r="779">
      <s:c r="A779" s="0" t="n">
        <s:v>1973</s:v>
      </s:c>
      <s:c r="B779" s="0" t="n">
        <s:v>1161</s:v>
      </s:c>
      <s:c r="C779" s="0" t="n">
        <s:v>1970</s:v>
      </s:c>
      <s:c r="D779" s="0" t="n">
        <s:v>370</s:v>
      </s:c>
      <s:c r="E779" s="0" t="n">
        <s:v>1415</s:v>
      </s:c>
      <s:c r="F779" s="0" t="n">
        <s:v>2407</s:v>
      </s:c>
      <s:c r="G779" s="0" t="n">
        <s:v>2459</s:v>
      </s:c>
      <s:c r="H779" s="0" t="n">
        <s:v>6390</s:v>
      </s:c>
      <s:c r="I779" s="0" t="n">
        <s:v>2744</s:v>
      </s:c>
      <s:c r="J779" s="0" t="n">
        <s:v>2609</s:v>
      </s:c>
      <s:c r="K779" s="22">
        <s:f>'1'!F780</s:f>
        <s:v>46247.56916666667</s:v>
      </s:c>
      <s:c r="L779" s="22">
        <s:f>'2'!F780</s:f>
        <s:v>46247.55090277778</s:v>
      </s:c>
      <s:c r="M779" s="22">
        <s:f>'3'!F780</s:f>
        <s:v>46247.53349537037</s:v>
      </s:c>
      <s:c r="N779" s="22">
        <s:f>'4'!F780</s:f>
        <s:v>46247.487604166665</s:v>
      </s:c>
      <s:c r="O779" s="22">
        <s:f>'5'!F780</s:f>
        <s:v>46247.45925925926</s:v>
      </s:c>
      <s:c r="P779" s="22">
        <s:f>'6'!F780</s:f>
        <s:v>46247.43980324074</s:v>
      </s:c>
      <s:c r="Q779" s="22">
        <s:f>'7'!F780</s:f>
        <s:v>46247.41715277778</s:v>
      </s:c>
      <s:c r="R779" s="22">
        <s:f>'8'!F780</s:f>
        <s:v>46247.392962962964</s:v>
      </s:c>
      <s:c r="S779" s="22">
        <s:f>'9'!F780</s:f>
        <s:v>46247.37515046296</s:v>
      </s:c>
      <s:c r="T779" s="22">
        <s:f>'10'!F780</s:f>
        <s:v>46247.345925925925</s:v>
      </s:c>
      <s:c r="U779" s="23">
        <s:f>'자료구성'!$B$2</s:f>
        <s:v>46247.0</s:v>
      </s:c>
    </s:row>
    <s:row r="780">
      <s:c r="A780" s="0" t="n">
        <s:v>1919</s:v>
      </s:c>
      <s:c r="B780" s="0" t="n">
        <s:v>1131</s:v>
      </s:c>
      <s:c r="C780" s="0" t="n">
        <s:v>1959</s:v>
      </s:c>
      <s:c r="D780" s="0" t="n">
        <s:v>357</s:v>
      </s:c>
      <s:c r="E780" s="0" t="n">
        <s:v>1437</s:v>
      </s:c>
      <s:c r="F780" s="0" t="n">
        <s:v>2417</s:v>
      </s:c>
      <s:c r="G780" s="0" t="n">
        <s:v>2441</s:v>
      </s:c>
      <s:c r="H780" s="0" t="n">
        <s:v>6343</s:v>
      </s:c>
      <s:c r="I780" s="0" t="n">
        <s:v>2750</s:v>
      </s:c>
      <s:c r="J780" s="0" t="n">
        <s:v>2584</s:v>
      </s:c>
      <s:c r="K780" s="22">
        <s:f>'1'!F781</s:f>
        <s:v>46247.56917824074</s:v>
      </s:c>
      <s:c r="L780" s="22">
        <s:f>'2'!F781</s:f>
        <s:v>46247.55091435185</s:v>
      </s:c>
      <s:c r="M780" s="22">
        <s:f>'3'!F781</s:f>
        <s:v>46247.53350694444</s:v>
      </s:c>
      <s:c r="N780" s="22">
        <s:f>'4'!F781</s:f>
        <s:v>46247.48761574074</s:v>
      </s:c>
      <s:c r="O780" s="22">
        <s:f>'5'!F781</s:f>
        <s:v>46247.45927083334</s:v>
      </s:c>
      <s:c r="P780" s="22">
        <s:f>'6'!F781</s:f>
        <s:v>46247.43981481482</s:v>
      </s:c>
      <s:c r="Q780" s="22">
        <s:f>'7'!F781</s:f>
        <s:v>46247.41716435185</s:v>
      </s:c>
      <s:c r="R780" s="22">
        <s:f>'8'!F781</s:f>
        <s:v>46247.39297453704</s:v>
      </s:c>
      <s:c r="S780" s="22">
        <s:f>'9'!F781</s:f>
        <s:v>46247.37516203704</s:v>
      </s:c>
      <s:c r="T780" s="22">
        <s:f>'10'!F781</s:f>
        <s:v>46247.3459375</s:v>
      </s:c>
      <s:c r="U780" s="23">
        <s:f>'자료구성'!$B$2</s:f>
        <s:v>46247.0</s:v>
      </s:c>
    </s:row>
    <s:row r="781">
      <s:c r="A781" s="0" t="n">
        <s:v>1876</s:v>
      </s:c>
      <s:c r="B781" s="0" t="n">
        <s:v>1125</s:v>
      </s:c>
      <s:c r="C781" s="0" t="n">
        <s:v>1942</s:v>
      </s:c>
      <s:c r="D781" s="0" t="n">
        <s:v>334</s:v>
      </s:c>
      <s:c r="E781" s="0" t="n">
        <s:v>1453</s:v>
      </s:c>
      <s:c r="F781" s="0" t="n">
        <s:v>2513</s:v>
      </s:c>
      <s:c r="G781" s="0" t="n">
        <s:v>2444</s:v>
      </s:c>
      <s:c r="H781" s="0" t="n">
        <s:v>6244</s:v>
      </s:c>
      <s:c r="I781" s="0" t="n">
        <s:v>2703</s:v>
      </s:c>
      <s:c r="J781" s="0" t="n">
        <s:v>2569</s:v>
      </s:c>
      <s:c r="K781" s="22">
        <s:f>'1'!F782</s:f>
        <s:v>46247.569189814814</s:v>
      </s:c>
      <s:c r="L781" s="22">
        <s:f>'2'!F782</s:f>
        <s:v>46247.55092592593</s:v>
      </s:c>
      <s:c r="M781" s="22">
        <s:f>'3'!F782</s:f>
        <s:v>46247.53351851852</s:v>
      </s:c>
      <s:c r="N781" s="22">
        <s:f>'4'!F782</s:f>
        <s:v>46247.48762731482</s:v>
      </s:c>
      <s:c r="O781" s="22">
        <s:f>'5'!F782</s:f>
        <s:v>46247.459282407406</s:v>
      </s:c>
      <s:c r="P781" s="22">
        <s:f>'6'!F782</s:f>
        <s:v>46247.43982638889</s:v>
      </s:c>
      <s:c r="Q781" s="22">
        <s:f>'7'!F782</s:f>
        <s:v>46247.417175925926</s:v>
      </s:c>
      <s:c r="R781" s="22">
        <s:f>'8'!F782</s:f>
        <s:v>46247.39298611111</s:v>
      </s:c>
      <s:c r="S781" s="22">
        <s:f>'9'!F782</s:f>
        <s:v>46247.37517361111</s:v>
      </s:c>
      <s:c r="T781" s="22">
        <s:f>'10'!F782</s:f>
        <s:v>46247.34594907407</s:v>
      </s:c>
      <s:c r="U781" s="23">
        <s:f>'자료구성'!$B$2</s:f>
        <s:v>46247.0</s:v>
      </s:c>
    </s:row>
    <s:row r="782">
      <s:c r="A782" s="0" t="n">
        <s:v>1854</s:v>
      </s:c>
      <s:c r="B782" s="0" t="n">
        <s:v>1130</s:v>
      </s:c>
      <s:c r="C782" s="0" t="n">
        <s:v>1949</s:v>
      </s:c>
      <s:c r="D782" s="0" t="n">
        <s:v>307</s:v>
      </s:c>
      <s:c r="E782" s="0" t="n">
        <s:v>1450</s:v>
      </s:c>
      <s:c r="F782" s="0" t="n">
        <s:v>2586</s:v>
      </s:c>
      <s:c r="G782" s="0" t="n">
        <s:v>2423</s:v>
      </s:c>
      <s:c r="H782" s="0" t="n">
        <s:v>6241</s:v>
      </s:c>
      <s:c r="I782" s="0" t="n">
        <s:v>2647</s:v>
      </s:c>
      <s:c r="J782" s="0" t="n">
        <s:v>2583</s:v>
      </s:c>
      <s:c r="K782" s="22">
        <s:f>'1'!F783</s:f>
        <s:v>46247.56920138889</s:v>
      </s:c>
      <s:c r="L782" s="22">
        <s:f>'2'!F783</s:f>
        <s:v>46247.5509375</s:v>
      </s:c>
      <s:c r="M782" s="22">
        <s:f>'3'!F783</s:f>
        <s:v>46247.533530092594</s:v>
      </s:c>
      <s:c r="N782" s="22">
        <s:f>'4'!F783</s:f>
        <s:v>46247.48763888889</s:v>
      </s:c>
      <s:c r="O782" s="22">
        <s:f>'5'!F783</s:f>
        <s:v>46247.45929398148</s:v>
      </s:c>
      <s:c r="P782" s="22">
        <s:f>'6'!F783</s:f>
        <s:v>46247.439837962964</s:v>
      </s:c>
      <s:c r="Q782" s="22">
        <s:f>'7'!F783</s:f>
        <s:v>46247.4171875</s:v>
      </s:c>
      <s:c r="R782" s="22">
        <s:f>'8'!F783</s:f>
        <s:v>46247.39299768519</s:v>
      </s:c>
      <s:c r="S782" s="22">
        <s:f>'9'!F783</s:f>
        <s:v>46247.375185185185</s:v>
      </s:c>
      <s:c r="T782" s="22">
        <s:f>'10'!F783</s:f>
        <s:v>46247.34596064815</s:v>
      </s:c>
      <s:c r="U782" s="23">
        <s:f>'자료구성'!$B$2</s:f>
        <s:v>46247.0</s:v>
      </s:c>
    </s:row>
    <s:row r="783">
      <s:c r="A783" s="0" t="n">
        <s:v>1849</s:v>
      </s:c>
      <s:c r="B783" s="0" t="n">
        <s:v>1113</s:v>
      </s:c>
      <s:c r="C783" s="0" t="n">
        <s:v>1927</s:v>
      </s:c>
      <s:c r="D783" s="0" t="n">
        <s:v>303</s:v>
      </s:c>
      <s:c r="E783" s="0" t="n">
        <s:v>1464</s:v>
      </s:c>
      <s:c r="F783" s="0" t="n">
        <s:v>2653</s:v>
      </s:c>
      <s:c r="G783" s="0" t="n">
        <s:v>2378</s:v>
      </s:c>
      <s:c r="H783" s="0" t="n">
        <s:v>6253</s:v>
      </s:c>
      <s:c r="I783" s="0" t="n">
        <s:v>2658</s:v>
      </s:c>
      <s:c r="J783" s="0" t="n">
        <s:v>2645</s:v>
      </s:c>
      <s:c r="K783" s="22">
        <s:f>'1'!F784</s:f>
        <s:v>46247.56921296296</s:v>
      </s:c>
      <s:c r="L783" s="22">
        <s:f>'2'!F784</s:f>
        <s:v>46247.55094907407</s:v>
      </s:c>
      <s:c r="M783" s="22">
        <s:f>'3'!F784</s:f>
        <s:v>46247.533541666664</s:v>
      </s:c>
      <s:c r="N783" s="22">
        <s:f>'4'!F784</s:f>
        <s:v>46247.487650462965</s:v>
      </s:c>
      <s:c r="O783" s="22">
        <s:f>'5'!F784</s:f>
        <s:v>46247.45930555555</s:v>
      </s:c>
      <s:c r="P783" s="22">
        <s:f>'6'!F784</s:f>
        <s:v>46247.43984953704</s:v>
      </s:c>
      <s:c r="Q783" s="22">
        <s:f>'7'!F784</s:f>
        <s:v>46247.41719907407</s:v>
      </s:c>
      <s:c r="R783" s="22">
        <s:f>'8'!F784</s:f>
        <s:v>46247.393009259256</s:v>
      </s:c>
      <s:c r="S783" s="22">
        <s:f>'9'!F784</s:f>
        <s:v>46247.37519675926</s:v>
      </s:c>
      <s:c r="T783" s="22">
        <s:f>'10'!F784</s:f>
        <s:v>46247.345972222225</s:v>
      </s:c>
      <s:c r="U783" s="23">
        <s:f>'자료구성'!$B$2</s:f>
        <s:v>46247.0</s:v>
      </s:c>
    </s:row>
    <s:row r="784">
      <s:c r="A784" s="0" t="n">
        <s:v>1840</s:v>
      </s:c>
      <s:c r="B784" s="0" t="n">
        <s:v>1117</s:v>
      </s:c>
      <s:c r="C784" s="0" t="n">
        <s:v>1911</s:v>
      </s:c>
      <s:c r="D784" s="0" t="n">
        <s:v>301</s:v>
      </s:c>
      <s:c r="E784" s="0" t="n">
        <s:v>1489</s:v>
      </s:c>
      <s:c r="F784" s="0" t="n">
        <s:v>2731</s:v>
      </s:c>
      <s:c r="G784" s="0" t="inlineStr">
        <s:is>
          <s:t>****</s:t>
        </s:is>
      </s:c>
      <s:c r="H784" s="0" t="n">
        <s:v>6070</s:v>
      </s:c>
      <s:c r="I784" s="0" t="n">
        <s:v>2682</s:v>
      </s:c>
      <s:c r="J784" s="0" t="n">
        <s:v>2726</s:v>
      </s:c>
      <s:c r="K784" s="22">
        <s:f>'1'!F785</s:f>
        <s:v>46247.56922453704</s:v>
      </s:c>
      <s:c r="L784" s="22">
        <s:f>'2'!F785</s:f>
        <s:v>46247.55096064815</s:v>
      </s:c>
      <s:c r="M784" s="22">
        <s:f>'3'!F785</s:f>
        <s:v>46247.53355324074</s:v>
      </s:c>
      <s:c r="N784" s="22">
        <s:f>'4'!F785</s:f>
        <s:v>46247.487662037034</s:v>
      </s:c>
      <s:c r="O784" s="22">
        <s:f>'5'!F785</s:f>
        <s:v>46247.45931712963</s:v>
      </s:c>
      <s:c r="P784" s="22">
        <s:f>'6'!F785</s:f>
        <s:v>46247.43986111111</s:v>
      </s:c>
      <s:c r="Q784" s="22">
        <s:f>'7'!F785</s:f>
        <s:v>46247.41721064815</s:v>
      </s:c>
      <s:c r="R784" s="22">
        <s:f>'8'!F785</s:f>
        <s:v>46247.39302083333</s:v>
      </s:c>
      <s:c r="S784" s="22">
        <s:f>'9'!F785</s:f>
        <s:v>46247.37520833333</s:v>
      </s:c>
      <s:c r="T784" s="22">
        <s:f>'10'!F785</s:f>
        <s:v>46247.345983796295</s:v>
      </s:c>
      <s:c r="U784" s="23">
        <s:f>'자료구성'!$B$2</s:f>
        <s:v>46247.0</s:v>
      </s:c>
    </s:row>
    <s:row r="785">
      <s:c r="A785" s="0" t="n">
        <s:v>1821</s:v>
      </s:c>
      <s:c r="B785" s="0" t="n">
        <s:v>1097</s:v>
      </s:c>
      <s:c r="C785" s="0" t="n">
        <s:v>1895</s:v>
      </s:c>
      <s:c r="D785" s="0" t="n">
        <s:v>315</s:v>
      </s:c>
      <s:c r="E785" s="0" t="n">
        <s:v>1504</s:v>
      </s:c>
      <s:c r="F785" s="0" t="n">
        <s:v>2856</s:v>
      </s:c>
      <s:c r="G785" s="0" t="n">
        <s:v>2310</s:v>
      </s:c>
      <s:c r="H785" s="0" t="n">
        <s:v>5856</s:v>
      </s:c>
      <s:c r="I785" s="0" t="n">
        <s:v>2770</s:v>
      </s:c>
      <s:c r="J785" s="0" t="n">
        <s:v>2726</s:v>
      </s:c>
      <s:c r="K785" s="22">
        <s:f>'1'!F786</s:f>
        <s:v>46247.569236111114</s:v>
      </s:c>
      <s:c r="L785" s="22">
        <s:f>'2'!F786</s:f>
        <s:v>46247.55097222222</s:v>
      </s:c>
      <s:c r="M785" s="22">
        <s:f>'3'!F786</s:f>
        <s:v>46247.53356481482</s:v>
      </s:c>
      <s:c r="N785" s="22">
        <s:f>'4'!F786</s:f>
        <s:v>46247.48767361111</s:v>
      </s:c>
      <s:c r="O785" s="22">
        <s:f>'5'!F786</s:f>
        <s:v>46247.459328703706</s:v>
      </s:c>
      <s:c r="P785" s="22">
        <s:f>'6'!F786</s:f>
        <s:v>46247.43987268519</s:v>
      </s:c>
      <s:c r="Q785" s="22">
        <s:f>'7'!F786</s:f>
        <s:v>46247.41722222222</s:v>
      </s:c>
      <s:c r="R785" s="22">
        <s:f>'8'!F786</s:f>
        <s:v>46247.39303240741</s:v>
      </s:c>
      <s:c r="S785" s="22">
        <s:f>'9'!F786</s:f>
        <s:v>46247.37521990741</s:v>
      </s:c>
      <s:c r="T785" s="22">
        <s:f>'10'!F786</s:f>
        <s:v>46247.34599537037</s:v>
      </s:c>
      <s:c r="U785" s="23">
        <s:f>'자료구성'!$B$2</s:f>
        <s:v>46247.0</s:v>
      </s:c>
    </s:row>
    <s:row r="786">
      <s:c r="A786" s="0" t="n">
        <s:v>1805</s:v>
      </s:c>
      <s:c r="B786" s="0" t="n">
        <s:v>1097</s:v>
      </s:c>
      <s:c r="C786" s="0" t="n">
        <s:v>1883</s:v>
      </s:c>
      <s:c r="D786" s="0" t="n">
        <s:v>309</s:v>
      </s:c>
      <s:c r="E786" s="0" t="n">
        <s:v>1513</s:v>
      </s:c>
      <s:c r="F786" s="0" t="n">
        <s:v>2933</s:v>
      </s:c>
      <s:c r="G786" s="0" t="n">
        <s:v>2280</s:v>
      </s:c>
      <s:c r="H786" s="0" t="n">
        <s:v>5639</s:v>
      </s:c>
      <s:c r="I786" s="0" t="n">
        <s:v>2711</s:v>
      </s:c>
      <s:c r="J786" s="0" t="n">
        <s:v>2730</s:v>
      </s:c>
      <s:c r="K786" s="22">
        <s:f>'1'!F787</s:f>
        <s:v>46247.569247685184</s:v>
      </s:c>
      <s:c r="L786" s="22">
        <s:f>'2'!F787</s:f>
        <s:v>46247.550983796296</s:v>
      </s:c>
      <s:c r="M786" s="22">
        <s:f>'3'!F787</s:f>
        <s:v>46247.53357638889</s:v>
      </s:c>
      <s:c r="N786" s="22">
        <s:f>'4'!F787</s:f>
        <s:v>46247.48768518519</s:v>
      </s:c>
      <s:c r="O786" s="22">
        <s:f>'5'!F787</s:f>
        <s:v>46247.459340277775</s:v>
      </s:c>
      <s:c r="P786" s="22">
        <s:f>'6'!F787</s:f>
        <s:v>46247.439884259256</s:v>
      </s:c>
      <s:c r="Q786" s="22">
        <s:f>'7'!F787</s:f>
        <s:v>46247.417233796295</s:v>
      </s:c>
      <s:c r="R786" s="22">
        <s:f>'8'!F787</s:f>
        <s:v>46247.39304398148</s:v>
      </s:c>
      <s:c r="S786" s="22">
        <s:f>'9'!F787</s:f>
        <s:v>46247.375231481485</s:v>
      </s:c>
      <s:c r="T786" s="22">
        <s:f>'10'!F787</s:f>
        <s:v>46247.34600694444</s:v>
      </s:c>
      <s:c r="U786" s="23">
        <s:f>'자료구성'!$B$2</s:f>
        <s:v>46247.0</s:v>
      </s:c>
    </s:row>
    <s:row r="787">
      <s:c r="A787" s="0" t="n">
        <s:v>1796</s:v>
      </s:c>
      <s:c r="B787" s="0" t="n">
        <s:v>1087</s:v>
      </s:c>
      <s:c r="C787" s="0" t="n">
        <s:v>1875</s:v>
      </s:c>
      <s:c r="D787" s="0" t="n">
        <s:v>282</s:v>
      </s:c>
      <s:c r="E787" s="0" t="n">
        <s:v>1511</s:v>
      </s:c>
      <s:c r="F787" s="0" t="n">
        <s:v>3057</s:v>
      </s:c>
      <s:c r="G787" s="0" t="n">
        <s:v>2266</s:v>
      </s:c>
      <s:c r="H787" s="0" t="n">
        <s:v>5421</s:v>
      </s:c>
      <s:c r="I787" s="0" t="n">
        <s:v>2619</s:v>
      </s:c>
      <s:c r="J787" s="0" t="n">
        <s:v>2737</s:v>
      </s:c>
      <s:c r="K787" s="22">
        <s:f>'1'!F788</s:f>
        <s:v>46247.56925925926</s:v>
      </s:c>
      <s:c r="L787" s="22">
        <s:f>'2'!F788</s:f>
        <s:v>46247.55099537037</s:v>
      </s:c>
      <s:c r="M787" s="22">
        <s:f>'3'!F788</s:f>
        <s:v>46247.533587962964</s:v>
      </s:c>
      <s:c r="N787" s="22">
        <s:f>'4'!F788</s:f>
        <s:v>46247.48769675926</s:v>
      </s:c>
      <s:c r="O787" s="22">
        <s:f>'5'!F788</s:f>
        <s:v>46247.45935185185</s:v>
      </s:c>
      <s:c r="P787" s="22">
        <s:f>'6'!F788</s:f>
        <s:v>46247.43989583333</s:v>
      </s:c>
      <s:c r="Q787" s="22">
        <s:f>'7'!F788</s:f>
        <s:v>46247.41724537037</s:v>
      </s:c>
      <s:c r="R787" s="22">
        <s:f>'8'!F788</s:f>
        <s:v>46247.393055555556</s:v>
      </s:c>
      <s:c r="S787" s="22">
        <s:f>'9'!F788</s:f>
        <s:v>46247.375243055554</s:v>
      </s:c>
      <s:c r="T787" s="22">
        <s:f>'10'!F788</s:f>
        <s:v>46247.34601851852</s:v>
      </s:c>
      <s:c r="U787" s="23">
        <s:f>'자료구성'!$B$2</s:f>
        <s:v>46247.0</s:v>
      </s:c>
    </s:row>
    <s:row r="788">
      <s:c r="A788" s="0" t="n">
        <s:v>1797</s:v>
      </s:c>
      <s:c r="B788" s="0" t="n">
        <s:v>1068</s:v>
      </s:c>
      <s:c r="C788" s="0" t="n">
        <s:v>1884</s:v>
      </s:c>
      <s:c r="D788" s="0" t="n">
        <s:v>265</s:v>
      </s:c>
      <s:c r="E788" s="0" t="n">
        <s:v>1500</s:v>
      </s:c>
      <s:c r="F788" s="0" t="n">
        <s:v>3160</s:v>
      </s:c>
      <s:c r="G788" s="0" t="n">
        <s:v>2207</s:v>
      </s:c>
      <s:c r="H788" s="0" t="n">
        <s:v>5270</s:v>
      </s:c>
      <s:c r="I788" s="0" t="n">
        <s:v>2551</s:v>
      </s:c>
      <s:c r="J788" s="0" t="n">
        <s:v>2649</s:v>
      </s:c>
      <s:c r="K788" s="22">
        <s:f>'1'!F789</s:f>
        <s:v>46247.56927083333</s:v>
      </s:c>
      <s:c r="L788" s="22">
        <s:f>'2'!F789</s:f>
        <s:v>46247.55100694444</s:v>
      </s:c>
      <s:c r="M788" s="22">
        <s:f>'3'!F789</s:f>
        <s:v>46247.53359953704</s:v>
      </s:c>
      <s:c r="N788" s="22">
        <s:f>'4'!F789</s:f>
        <s:v>46247.487708333334</s:v>
      </s:c>
      <s:c r="O788" s="22">
        <s:f>'5'!F789</s:f>
        <s:v>46247.45936342593</s:v>
      </s:c>
      <s:c r="P788" s="22">
        <s:f>'6'!F789</s:f>
        <s:v>46247.43990740741</s:v>
      </s:c>
      <s:c r="Q788" s="22">
        <s:f>'7'!F789</s:f>
        <s:v>46247.41725694444</s:v>
      </s:c>
      <s:c r="R788" s="22">
        <s:f>'8'!F789</s:f>
        <s:v>46247.39306712963</s:v>
      </s:c>
      <s:c r="S788" s="22">
        <s:f>'9'!F789</s:f>
        <s:v>46247.37525462963</s:v>
      </s:c>
      <s:c r="T788" s="22">
        <s:f>'10'!F789</s:f>
        <s:v>46247.346030092594</s:v>
      </s:c>
      <s:c r="U788" s="23">
        <s:f>'자료구성'!$B$2</s:f>
        <s:v>46247.0</s:v>
      </s:c>
    </s:row>
    <s:row r="789">
      <s:c r="A789" s="0" t="n">
        <s:v>1793</s:v>
      </s:c>
      <s:c r="B789" s="0" t="n">
        <s:v>1064</s:v>
      </s:c>
      <s:c r="C789" s="0" t="n">
        <s:v>1863</s:v>
      </s:c>
      <s:c r="D789" s="0" t="n">
        <s:v>245</s:v>
      </s:c>
      <s:c r="E789" s="0" t="n">
        <s:v>1479</s:v>
      </s:c>
      <s:c r="F789" s="0" t="n">
        <s:v>3192</s:v>
      </s:c>
      <s:c r="G789" s="0" t="n">
        <s:v>2173</s:v>
      </s:c>
      <s:c r="H789" s="0" t="n">
        <s:v>5209</s:v>
      </s:c>
      <s:c r="I789" s="0" t="n">
        <s:v>2441</s:v>
      </s:c>
      <s:c r="J789" s="0" t="n">
        <s:v>2522</s:v>
      </s:c>
      <s:c r="K789" s="22">
        <s:f>'1'!F790</s:f>
        <s:v>46247.56928240741</s:v>
      </s:c>
      <s:c r="L789" s="22">
        <s:f>'2'!F790</s:f>
        <s:v>46247.55101851852</s:v>
      </s:c>
      <s:c r="M789" s="22">
        <s:f>'3'!F790</s:f>
        <s:v>46247.53361111111</s:v>
      </s:c>
      <s:c r="N789" s="22">
        <s:f>'4'!F790</s:f>
        <s:v>46247.48771990741</s:v>
      </s:c>
      <s:c r="O789" s="22">
        <s:f>'5'!F790</s:f>
        <s:v>46247.459375</s:v>
      </s:c>
      <s:c r="P789" s="22">
        <s:f>'6'!F790</s:f>
        <s:v>46247.43991898148</s:v>
      </s:c>
      <s:c r="Q789" s="22">
        <s:f>'7'!F790</s:f>
        <s:v>46247.41726851852</s:v>
      </s:c>
      <s:c r="R789" s="22">
        <s:f>'8'!F790</s:f>
        <s:v>46247.3930787037</s:v>
      </s:c>
      <s:c r="S789" s="22">
        <s:f>'9'!F790</s:f>
        <s:v>46247.3752662037</s:v>
      </s:c>
      <s:c r="T789" s="22">
        <s:f>'10'!F790</s:f>
        <s:v>46247.346041666664</s:v>
      </s:c>
      <s:c r="U789" s="23">
        <s:f>'자료구성'!$B$2</s:f>
        <s:v>46247.0</s:v>
      </s:c>
    </s:row>
    <s:row r="790">
      <s:c r="A790" s="0" t="n">
        <s:v>1808</s:v>
      </s:c>
      <s:c r="B790" s="0" t="n">
        <s:v>1072</s:v>
      </s:c>
      <s:c r="C790" s="0" t="n">
        <s:v>1835</s:v>
      </s:c>
      <s:c r="D790" s="0" t="n">
        <s:v>231</s:v>
      </s:c>
      <s:c r="E790" s="0" t="n">
        <s:v>1490</s:v>
      </s:c>
      <s:c r="F790" s="0" t="n">
        <s:v>3181</s:v>
      </s:c>
      <s:c r="G790" s="0" t="n">
        <s:v>2102</s:v>
      </s:c>
      <s:c r="H790" s="0" t="n">
        <s:v>5139</s:v>
      </s:c>
      <s:c r="I790" s="0" t="n">
        <s:v>2341</s:v>
      </s:c>
      <s:c r="J790" s="0" t="n">
        <s:v>2498</s:v>
      </s:c>
      <s:c r="K790" s="22">
        <s:f>'1'!F791</s:f>
        <s:v>46247.56929398148</s:v>
      </s:c>
      <s:c r="L790" s="22">
        <s:f>'2'!F791</s:f>
        <s:v>46247.551030092596</s:v>
      </s:c>
      <s:c r="M790" s="22">
        <s:f>'3'!F791</s:f>
        <s:v>46247.53362268519</s:v>
      </s:c>
      <s:c r="N790" s="22">
        <s:f>'4'!F791</s:f>
        <s:v>46247.48773148148</s:v>
      </s:c>
      <s:c r="O790" s="22">
        <s:f>'5'!F791</s:f>
        <s:v>46247.459386574075</s:v>
      </s:c>
      <s:c r="P790" s="22">
        <s:f>'6'!F791</s:f>
        <s:v>46247.439930555556</s:v>
      </s:c>
      <s:c r="Q790" s="22">
        <s:f>'7'!F791</s:f>
        <s:v>46247.417280092595</s:v>
      </s:c>
      <s:c r="R790" s="22">
        <s:f>'8'!F791</s:f>
        <s:v>46247.39309027778</s:v>
      </s:c>
      <s:c r="S790" s="22">
        <s:f>'9'!F791</s:f>
        <s:v>46247.37527777778</s:v>
      </s:c>
      <s:c r="T790" s="22">
        <s:f>'10'!F791</s:f>
        <s:v>46247.34605324074</s:v>
      </s:c>
      <s:c r="U790" s="23">
        <s:f>'자료구성'!$B$2</s:f>
        <s:v>46247.0</s:v>
      </s:c>
    </s:row>
    <s:row r="791">
      <s:c r="A791" s="0" t="n">
        <s:v>1815</s:v>
      </s:c>
      <s:c r="B791" s="0" t="n">
        <s:v>1130</s:v>
      </s:c>
      <s:c r="C791" s="0" t="n">
        <s:v>1797</s:v>
      </s:c>
      <s:c r="D791" s="0" t="n">
        <s:v>214</s:v>
      </s:c>
      <s:c r="E791" s="0" t="n">
        <s:v>1463</s:v>
      </s:c>
      <s:c r="F791" s="0" t="n">
        <s:v>3161</s:v>
      </s:c>
      <s:c r="G791" s="0" t="n">
        <s:v>2034</s:v>
      </s:c>
      <s:c r="H791" s="0" t="n">
        <s:v>5047</s:v>
      </s:c>
      <s:c r="I791" s="0" t="n">
        <s:v>2214</s:v>
      </s:c>
      <s:c r="J791" s="0" t="n">
        <s:v>2423</s:v>
      </s:c>
      <s:c r="K791" s="22">
        <s:f>'1'!F792</s:f>
        <s:v>46247.56930555555</s:v>
      </s:c>
      <s:c r="L791" s="22">
        <s:f>'2'!F792</s:f>
        <s:v>46247.551041666666</s:v>
      </s:c>
      <s:c r="M791" s="22">
        <s:f>'3'!F792</s:f>
        <s:v>46247.533634259256</s:v>
      </s:c>
      <s:c r="N791" s="22">
        <s:f>'4'!F792</s:f>
        <s:v>46247.48774305556</s:v>
      </s:c>
      <s:c r="O791" s="22">
        <s:f>'5'!F792</s:f>
        <s:v>46247.459398148145</s:v>
      </s:c>
      <s:c r="P791" s="22">
        <s:f>'6'!F792</s:f>
        <s:v>46247.43994212963</s:v>
      </s:c>
      <s:c r="Q791" s="22">
        <s:f>'7'!F792</s:f>
        <s:v>46247.417291666665</s:v>
      </s:c>
      <s:c r="R791" s="22">
        <s:f>'8'!F792</s:f>
        <s:v>46247.39310185185</s:v>
      </s:c>
      <s:c r="S791" s="22">
        <s:f>'9'!F792</s:f>
        <s:v>46247.375289351854</s:v>
      </s:c>
      <s:c r="T791" s="22">
        <s:f>'10'!F792</s:f>
        <s:v>46247.34606481482</s:v>
      </s:c>
      <s:c r="U791" s="23">
        <s:f>'자료구성'!$B$2</s:f>
        <s:v>46247.0</s:v>
      </s:c>
    </s:row>
    <s:row r="792">
      <s:c r="A792" s="0" t="n">
        <s:v>1815</s:v>
      </s:c>
      <s:c r="B792" s="0" t="n">
        <s:v>1204</s:v>
      </s:c>
      <s:c r="C792" s="0" t="n">
        <s:v>1799</s:v>
      </s:c>
      <s:c r="D792" s="0" t="n">
        <s:v>194</s:v>
      </s:c>
      <s:c r="E792" s="0" t="n">
        <s:v>1471</s:v>
      </s:c>
      <s:c r="F792" s="0" t="n">
        <s:v>3104</s:v>
      </s:c>
      <s:c r="G792" s="0" t="n">
        <s:v>1985</s:v>
      </s:c>
      <s:c r="H792" s="0" t="n">
        <s:v>4911</s:v>
      </s:c>
      <s:c r="I792" s="0" t="n">
        <s:v>2090</s:v>
      </s:c>
      <s:c r="J792" s="0" t="n">
        <s:v>2332</s:v>
      </s:c>
      <s:c r="K792" s="22">
        <s:f>'1'!F793</s:f>
        <s:v>46247.56931712963</s:v>
      </s:c>
      <s:c r="L792" s="22">
        <s:f>'2'!F793</s:f>
        <s:v>46247.55105324074</s:v>
      </s:c>
      <s:c r="M792" s="22">
        <s:f>'3'!F793</s:f>
        <s:v>46247.53364583333</s:v>
      </s:c>
      <s:c r="N792" s="22">
        <s:f>'4'!F793</s:f>
        <s:v>46247.48775462963</s:v>
      </s:c>
      <s:c r="O792" s="22">
        <s:f>'5'!F793</s:f>
        <s:v>46247.45940972222</s:v>
      </s:c>
      <s:c r="P792" s="22">
        <s:f>'6'!F793</s:f>
        <s:v>46247.4399537037</s:v>
      </s:c>
      <s:c r="Q792" s="22">
        <s:f>'7'!F793</s:f>
        <s:v>46247.41730324074</s:v>
      </s:c>
      <s:c r="R792" s="22">
        <s:f>'8'!F793</s:f>
        <s:v>46247.393113425926</s:v>
      </s:c>
      <s:c r="S792" s="22">
        <s:f>'9'!F793</s:f>
        <s:v>46247.37530092592</s:v>
      </s:c>
      <s:c r="T792" s="22">
        <s:f>'10'!F793</s:f>
        <s:v>46247.34607638889</s:v>
      </s:c>
      <s:c r="U792" s="23">
        <s:f>'자료구성'!$B$2</s:f>
        <s:v>46247.0</s:v>
      </s:c>
    </s:row>
    <s:row r="793">
      <s:c r="A793" s="0" t="n">
        <s:v>1822</s:v>
      </s:c>
      <s:c r="B793" s="0" t="n">
        <s:v>1241</s:v>
      </s:c>
      <s:c r="C793" s="0" t="n">
        <s:v>1811</s:v>
      </s:c>
      <s:c r="D793" s="0" t="n">
        <s:v>181</s:v>
      </s:c>
      <s:c r="E793" s="0" t="n">
        <s:v>1476</s:v>
      </s:c>
      <s:c r="F793" s="0" t="n">
        <s:v>3044</s:v>
      </s:c>
      <s:c r="G793" s="0" t="n">
        <s:v>1941</s:v>
      </s:c>
      <s:c r="H793" s="0" t="n">
        <s:v>4791</s:v>
      </s:c>
      <s:c r="I793" s="0" t="n">
        <s:v>2014</s:v>
      </s:c>
      <s:c r="J793" s="0" t="n">
        <s:v>2267</s:v>
      </s:c>
      <s:c r="K793" s="22">
        <s:f>'1'!F794</s:f>
        <s:v>46247.56932870371</s:v>
      </s:c>
      <s:c r="L793" s="22">
        <s:f>'2'!F794</s:f>
        <s:v>46247.55106481481</s:v>
      </s:c>
      <s:c r="M793" s="22">
        <s:f>'3'!F794</s:f>
        <s:v>46247.53365740741</s:v>
      </s:c>
      <s:c r="N793" s="22">
        <s:f>'4'!F794</s:f>
        <s:v>46247.4877662037</s:v>
      </s:c>
      <s:c r="O793" s="22">
        <s:f>'5'!F794</s:f>
        <s:v>46247.4594212963</s:v>
      </s:c>
      <s:c r="P793" s="22">
        <s:f>'6'!F794</s:f>
        <s:v>46247.43996527778</s:v>
      </s:c>
      <s:c r="Q793" s="22">
        <s:f>'7'!F794</s:f>
        <s:v>46247.41731481482</s:v>
      </s:c>
      <s:c r="R793" s="22">
        <s:f>'8'!F794</s:f>
        <s:v>46247.393125</s:v>
      </s:c>
      <s:c r="S793" s="22">
        <s:f>'9'!F794</s:f>
        <s:v>46247.3753125</s:v>
      </s:c>
      <s:c r="T793" s="22">
        <s:f>'10'!F794</s:f>
        <s:v>46247.346087962964</s:v>
      </s:c>
      <s:c r="U793" s="23">
        <s:f>'자료구성'!$B$2</s:f>
        <s:v>46247.0</s:v>
      </s:c>
    </s:row>
    <s:row r="794">
      <s:c r="A794" s="0" t="n">
        <s:v>1826</s:v>
      </s:c>
      <s:c r="B794" s="0" t="n">
        <s:v>1219</s:v>
      </s:c>
      <s:c r="C794" s="0" t="n">
        <s:v>1804</s:v>
      </s:c>
      <s:c r="D794" s="0" t="n">
        <s:v>158</s:v>
      </s:c>
      <s:c r="E794" s="0" t="n">
        <s:v>1455</s:v>
      </s:c>
      <s:c r="F794" s="0" t="n">
        <s:v>2962</s:v>
      </s:c>
      <s:c r="G794" s="0" t="n">
        <s:v>1920</s:v>
      </s:c>
      <s:c r="H794" s="0" t="n">
        <s:v>4664</s:v>
      </s:c>
      <s:c r="I794" s="0" t="n">
        <s:v>1929</s:v>
      </s:c>
      <s:c r="J794" s="0" t="n">
        <s:v>2248</s:v>
      </s:c>
      <s:c r="K794" s="22">
        <s:f>'1'!F795</s:f>
        <s:v>46247.569340277776</s:v>
      </s:c>
      <s:c r="L794" s="22">
        <s:f>'2'!F795</s:f>
        <s:v>46247.55107638889</s:v>
      </s:c>
      <s:c r="M794" s="22">
        <s:f>'3'!F795</s:f>
        <s:v>46247.53366898148</s:v>
      </s:c>
      <s:c r="N794" s="22">
        <s:f>'4'!F795</s:f>
        <s:v>46247.48777777778</s:v>
      </s:c>
      <s:c r="O794" s="22">
        <s:f>'5'!F795</s:f>
        <s:v>46247.45943287037</s:v>
      </s:c>
      <s:c r="P794" s="22">
        <s:f>'6'!F795</s:f>
        <s:v>46247.43997685185</s:v>
      </s:c>
      <s:c r="Q794" s="22">
        <s:f>'7'!F795</s:f>
        <s:v>46247.41732638889</s:v>
      </s:c>
      <s:c r="R794" s="22">
        <s:f>'8'!F795</s:f>
        <s:v>46247.39313657407</s:v>
      </s:c>
      <s:c r="S794" s="22">
        <s:f>'9'!F795</s:f>
        <s:v>46247.37532407408</s:v>
      </s:c>
      <s:c r="T794" s="22">
        <s:f>'10'!F795</s:f>
        <s:v>46247.34609953704</s:v>
      </s:c>
      <s:c r="U794" s="23">
        <s:f>'자료구성'!$B$2</s:f>
        <s:v>46247.0</s:v>
      </s:c>
    </s:row>
    <s:row r="795">
      <s:c r="A795" s="0" t="n">
        <s:v>1820</s:v>
      </s:c>
      <s:c r="B795" s="0" t="n">
        <s:v>1216</s:v>
      </s:c>
      <s:c r="C795" s="0" t="n">
        <s:v>1769</s:v>
      </s:c>
      <s:c r="D795" s="0" t="n">
        <s:v>157</s:v>
      </s:c>
      <s:c r="E795" s="0" t="n">
        <s:v>1464</s:v>
      </s:c>
      <s:c r="F795" s="0" t="n">
        <s:v>2929</s:v>
      </s:c>
      <s:c r="G795" s="0" t="n">
        <s:v>1905</s:v>
      </s:c>
      <s:c r="H795" s="0" t="n">
        <s:v>4607</s:v>
      </s:c>
      <s:c r="I795" s="0" t="n">
        <s:v>1862</s:v>
      </s:c>
      <s:c r="J795" s="0" t="n">
        <s:v>2214</s:v>
      </s:c>
      <s:c r="K795" s="22">
        <s:f>'1'!F796</s:f>
        <s:v>46247.56935185185</s:v>
      </s:c>
      <s:c r="L795" s="22">
        <s:f>'2'!F796</s:f>
        <s:v>46247.551087962966</s:v>
      </s:c>
      <s:c r="M795" s="22">
        <s:f>'3'!F796</s:f>
        <s:v>46247.533680555556</s:v>
      </s:c>
      <s:c r="N795" s="22">
        <s:f>'4'!F796</s:f>
        <s:v>46247.48778935185</s:v>
      </s:c>
      <s:c r="O795" s="22">
        <s:f>'5'!F796</s:f>
        <s:v>46247.459444444445</s:v>
      </s:c>
      <s:c r="P795" s="22">
        <s:f>'6'!F796</s:f>
        <s:v>46247.439988425926</s:v>
      </s:c>
      <s:c r="Q795" s="22">
        <s:f>'7'!F796</s:f>
        <s:v>46247.417337962965</s:v>
      </s:c>
      <s:c r="R795" s="22">
        <s:f>'8'!F796</s:f>
        <s:v>46247.39314814815</s:v>
      </s:c>
      <s:c r="S795" s="22">
        <s:f>'9'!F796</s:f>
        <s:v>46247.37533564815</s:v>
      </s:c>
      <s:c r="T795" s="22">
        <s:f>'10'!F796</s:f>
        <s:v>46247.34611111111</s:v>
      </s:c>
      <s:c r="U795" s="23">
        <s:f>'자료구성'!$B$2</s:f>
        <s:v>46247.0</s:v>
      </s:c>
    </s:row>
    <s:row r="796">
      <s:c r="A796" s="0" t="n">
        <s:v>1829</s:v>
      </s:c>
      <s:c r="B796" s="0" t="n">
        <s:v>1251</s:v>
      </s:c>
      <s:c r="C796" s="0" t="n">
        <s:v>1732</s:v>
      </s:c>
      <s:c r="D796" s="0" t="n">
        <s:v>169</s:v>
      </s:c>
      <s:c r="E796" s="0" t="n">
        <s:v>1465</s:v>
      </s:c>
      <s:c r="F796" s="0" t="n">
        <s:v>2932</s:v>
      </s:c>
      <s:c r="G796" s="0" t="n">
        <s:v>1862</s:v>
      </s:c>
      <s:c r="H796" s="0" t="n">
        <s:v>4539</s:v>
      </s:c>
      <s:c r="I796" s="0" t="n">
        <s:v>1804</s:v>
      </s:c>
      <s:c r="J796" s="0" t="n">
        <s:v>2168</s:v>
      </s:c>
      <s:c r="K796" s="22">
        <s:f>'1'!F797</s:f>
        <s:v>46247.56936342592</s:v>
      </s:c>
      <s:c r="L796" s="22">
        <s:f>'2'!F797</s:f>
        <s:v>46247.551099537035</s:v>
      </s:c>
      <s:c r="M796" s="22">
        <s:f>'3'!F797</s:f>
        <s:v>46247.53369212963</s:v>
      </s:c>
      <s:c r="N796" s="22">
        <s:f>'4'!F797</s:f>
        <s:v>46247.48780092593</s:v>
      </s:c>
      <s:c r="O796" s="22">
        <s:f>'5'!F797</s:f>
        <s:v>46247.45945601852</s:v>
      </s:c>
      <s:c r="P796" s="22">
        <s:f>'6'!F797</s:f>
        <s:v>46247.44</s:v>
      </s:c>
      <s:c r="Q796" s="22">
        <s:f>'7'!F797</s:f>
        <s:v>46247.417349537034</s:v>
      </s:c>
      <s:c r="R796" s="22">
        <s:f>'8'!F797</s:f>
        <s:v>46247.393159722225</s:v>
      </s:c>
      <s:c r="S796" s="22">
        <s:f>'9'!F797</s:f>
        <s:v>46247.37534722222</s:v>
      </s:c>
      <s:c r="T796" s="22">
        <s:f>'10'!F797</s:f>
        <s:v>46247.34612268519</s:v>
      </s:c>
      <s:c r="U796" s="23">
        <s:f>'자료구성'!$B$2</s:f>
        <s:v>46247.0</s:v>
      </s:c>
    </s:row>
    <s:row r="797">
      <s:c r="A797" s="0" t="n">
        <s:v>1818</s:v>
      </s:c>
      <s:c r="B797" s="0" t="n">
        <s:v>1276</s:v>
      </s:c>
      <s:c r="C797" s="0" t="n">
        <s:v>1698</s:v>
      </s:c>
      <s:c r="D797" s="0" t="n">
        <s:v>180</s:v>
      </s:c>
      <s:c r="E797" s="0" t="n">
        <s:v>1459</s:v>
      </s:c>
      <s:c r="F797" s="0" t="n">
        <s:v>2909</s:v>
      </s:c>
      <s:c r="G797" s="0" t="n">
        <s:v>1834</s:v>
      </s:c>
      <s:c r="H797" s="0" t="n">
        <s:v>4422</s:v>
      </s:c>
      <s:c r="I797" s="0" t="n">
        <s:v>1741</s:v>
      </s:c>
      <s:c r="J797" s="0" t="n">
        <s:v>2161</s:v>
      </s:c>
      <s:c r="K797" s="22">
        <s:f>'1'!F798</s:f>
        <s:v>46247.569375</s:v>
      </s:c>
      <s:c r="L797" s="22">
        <s:f>'2'!F798</s:f>
        <s:v>46247.55111111111</s:v>
      </s:c>
      <s:c r="M797" s="22">
        <s:f>'3'!F798</s:f>
        <s:v>46247.5337037037</s:v>
      </s:c>
      <s:c r="N797" s="22">
        <s:f>'4'!F798</s:f>
        <s:v>46247.4878125</s:v>
      </s:c>
      <s:c r="O797" s="22">
        <s:f>'5'!F798</s:f>
        <s:v>46247.45946759259</s:v>
      </s:c>
      <s:c r="P797" s="22">
        <s:f>'6'!F798</s:f>
        <s:v>46247.44001157407</s:v>
      </s:c>
      <s:c r="Q797" s="22">
        <s:f>'7'!F798</s:f>
        <s:v>46247.41736111111</s:v>
      </s:c>
      <s:c r="R797" s="22">
        <s:f>'8'!F798</s:f>
        <s:v>46247.393171296295</s:v>
      </s:c>
      <s:c r="S797" s="22">
        <s:f>'9'!F798</s:f>
        <s:v>46247.37535879629</s:v>
      </s:c>
      <s:c r="T797" s="22">
        <s:f>'10'!F798</s:f>
        <s:v>46247.346134259256</s:v>
      </s:c>
      <s:c r="U797" s="23">
        <s:f>'자료구성'!$B$2</s:f>
        <s:v>46247.0</s:v>
      </s:c>
    </s:row>
    <s:row r="798">
      <s:c r="A798" s="0" t="n">
        <s:v>1824</s:v>
      </s:c>
      <s:c r="B798" s="0" t="n">
        <s:v>1286</s:v>
      </s:c>
      <s:c r="C798" s="0" t="n">
        <s:v>1667</s:v>
      </s:c>
      <s:c r="D798" s="0" t="n">
        <s:v>188</s:v>
      </s:c>
      <s:c r="E798" s="0" t="n">
        <s:v>1448</s:v>
      </s:c>
      <s:c r="F798" s="0" t="n">
        <s:v>2905</s:v>
      </s:c>
      <s:c r="G798" s="0" t="n">
        <s:v>1824</s:v>
      </s:c>
      <s:c r="H798" s="0" t="n">
        <s:v>4321</s:v>
      </s:c>
      <s:c r="I798" s="0" t="n">
        <s:v>1692</s:v>
      </s:c>
      <s:c r="J798" s="0" t="n">
        <s:v>2112</s:v>
      </s:c>
      <s:c r="K798" s="22">
        <s:f>'1'!F799</s:f>
        <s:v>46247.569386574076</s:v>
      </s:c>
      <s:c r="L798" s="22">
        <s:f>'2'!F799</s:f>
        <s:v>46247.55112268519</s:v>
      </s:c>
      <s:c r="M798" s="22">
        <s:f>'3'!F799</s:f>
        <s:v>46247.53371527778</s:v>
      </s:c>
      <s:c r="N798" s="22">
        <s:f>'4'!F799</s:f>
        <s:v>46247.48782407407</s:v>
      </s:c>
      <s:c r="O798" s="22">
        <s:f>'5'!F799</s:f>
        <s:v>46247.45947916667</s:v>
      </s:c>
      <s:c r="P798" s="22">
        <s:f>'6'!F799</s:f>
        <s:v>46247.44002314815</s:v>
      </s:c>
      <s:c r="Q798" s="22">
        <s:f>'7'!F799</s:f>
        <s:v>46247.41737268519</s:v>
      </s:c>
      <s:c r="R798" s="22">
        <s:f>'8'!F799</s:f>
        <s:v>46247.39318287037</s:v>
      </s:c>
      <s:c r="S798" s="22">
        <s:f>'9'!F799</s:f>
        <s:v>46247.37537037037</s:v>
      </s:c>
      <s:c r="T798" s="22">
        <s:f>'10'!F799</s:f>
        <s:v>46247.34614583333</s:v>
      </s:c>
      <s:c r="U798" s="23">
        <s:f>'자료구성'!$B$2</s:f>
        <s:v>46247.0</s:v>
      </s:c>
    </s:row>
    <s:row r="799">
      <s:c r="A799" s="0" t="n">
        <s:v>1780</s:v>
      </s:c>
      <s:c r="B799" s="0" t="n">
        <s:v>1332</s:v>
      </s:c>
      <s:c r="C799" s="0" t="n">
        <s:v>1662</s:v>
      </s:c>
      <s:c r="D799" s="0" t="n">
        <s:v>182</s:v>
      </s:c>
      <s:c r="E799" s="0" t="n">
        <s:v>1447</s:v>
      </s:c>
      <s:c r="F799" s="0" t="n">
        <s:v>2977</s:v>
      </s:c>
      <s:c r="G799" s="0" t="n">
        <s:v>1819</s:v>
      </s:c>
      <s:c r="H799" s="0" t="n">
        <s:v>4183</s:v>
      </s:c>
      <s:c r="I799" s="0" t="n">
        <s:v>1647</s:v>
      </s:c>
      <s:c r="J799" s="0" t="n">
        <s:v>2096</s:v>
      </s:c>
      <s:c r="K799" s="22">
        <s:f>'1'!F800</s:f>
        <s:v>46247.569398148145</s:v>
      </s:c>
      <s:c r="L799" s="22">
        <s:f>'2'!F800</s:f>
        <s:v>46247.55113425926</s:v>
      </s:c>
      <s:c r="M799" s="22">
        <s:f>'3'!F800</s:f>
        <s:v>46247.53372685185</s:v>
      </s:c>
      <s:c r="N799" s="22">
        <s:f>'4'!F800</s:f>
        <s:v>46247.48783564815</s:v>
      </s:c>
      <s:c r="O799" s="22">
        <s:f>'5'!F800</s:f>
        <s:v>46247.45949074074</s:v>
      </s:c>
      <s:c r="P799" s="22">
        <s:f>'6'!F800</s:f>
        <s:v>46247.440034722225</s:v>
      </s:c>
      <s:c r="Q799" s="22">
        <s:f>'7'!F800</s:f>
        <s:v>46247.41738425926</s:v>
      </s:c>
      <s:c r="R799" s="22">
        <s:f>'8'!F800</s:f>
        <s:v>46247.39319444444</s:v>
      </s:c>
      <s:c r="S799" s="22">
        <s:f>'9'!F800</s:f>
        <s:v>46247.37538194445</s:v>
      </s:c>
      <s:c r="T799" s="22">
        <s:f>'10'!F800</s:f>
        <s:v>46247.34615740741</s:v>
      </s:c>
      <s:c r="U799" s="23">
        <s:f>'자료구성'!$B$2</s:f>
        <s:v>46247.0</s:v>
      </s:c>
    </s:row>
    <s:row r="800">
      <s:c r="A800" s="0" t="n">
        <s:v>1724</s:v>
      </s:c>
      <s:c r="B800" s="0" t="n">
        <s:v>1346</s:v>
      </s:c>
      <s:c r="C800" s="0" t="n">
        <s:v>1655</s:v>
      </s:c>
      <s:c r="D800" s="0" t="n">
        <s:v>190</s:v>
      </s:c>
      <s:c r="E800" s="0" t="n">
        <s:v>1465</s:v>
      </s:c>
      <s:c r="F800" s="0" t="n">
        <s:v>2991</s:v>
      </s:c>
      <s:c r="G800" s="0" t="n">
        <s:v>1852</s:v>
      </s:c>
      <s:c r="H800" s="0" t="n">
        <s:v>4000</s:v>
      </s:c>
      <s:c r="I800" s="0" t="n">
        <s:v>1587</s:v>
      </s:c>
      <s:c r="J800" s="0" t="n">
        <s:v>2095</s:v>
      </s:c>
      <s:c r="K800" s="22">
        <s:f>'1'!F801</s:f>
        <s:v>46247.56940972222</s:v>
      </s:c>
      <s:c r="L800" s="22">
        <s:f>'2'!F801</s:f>
        <s:v>46247.551145833335</s:v>
      </s:c>
      <s:c r="M800" s="22">
        <s:f>'3'!F801</s:f>
        <s:v>46247.533738425926</s:v>
      </s:c>
      <s:c r="N800" s="22">
        <s:f>'4'!F801</s:f>
        <s:v>46247.48784722222</s:v>
      </s:c>
      <s:c r="O800" s="22">
        <s:f>'5'!F801</s:f>
        <s:v>46247.459502314814</s:v>
      </s:c>
      <s:c r="P800" s="22">
        <s:f>'6'!F801</s:f>
        <s:v>46247.440046296295</s:v>
      </s:c>
      <s:c r="Q800" s="22">
        <s:f>'7'!F801</s:f>
        <s:v>46247.417395833334</s:v>
      </s:c>
      <s:c r="R800" s="22">
        <s:f>'8'!F801</s:f>
        <s:v>46247.39320601852</s:v>
      </s:c>
      <s:c r="S800" s="22">
        <s:f>'9'!F801</s:f>
        <s:v>46247.375393518516</s:v>
      </s:c>
      <s:c r="T800" s="22">
        <s:f>'10'!F801</s:f>
        <s:v>46247.34616898148</s:v>
      </s:c>
      <s:c r="U800" s="23">
        <s:f>'자료구성'!$B$2</s:f>
        <s:v>46247.0</s:v>
      </s:c>
    </s:row>
    <s:row r="801">
      <s:c r="A801" s="0" t="n">
        <s:v>1691</s:v>
      </s:c>
      <s:c r="B801" s="0" t="n">
        <s:v>1362</s:v>
      </s:c>
      <s:c r="C801" s="0" t="n">
        <s:v>1651</s:v>
      </s:c>
      <s:c r="D801" s="0" t="n">
        <s:v>192</s:v>
      </s:c>
      <s:c r="E801" s="0" t="n">
        <s:v>1477</s:v>
      </s:c>
      <s:c r="F801" s="0" t="n">
        <s:v>3054</s:v>
      </s:c>
      <s:c r="G801" s="0" t="n">
        <s:v>1897</s:v>
      </s:c>
      <s:c r="H801" s="0" t="n">
        <s:v>3828</s:v>
      </s:c>
      <s:c r="I801" s="0" t="n">
        <s:v>1570</s:v>
      </s:c>
      <s:c r="J801" s="0" t="n">
        <s:v>2075</s:v>
      </s:c>
      <s:c r="K801" s="22">
        <s:f>'1'!F802</s:f>
        <s:v>46247.5694212963</s:v>
      </s:c>
      <s:c r="L801" s="22">
        <s:f>'2'!F802</s:f>
        <s:v>46247.551157407404</s:v>
      </s:c>
      <s:c r="M801" s="22">
        <s:f>'3'!F802</s:f>
        <s:v>46247.53375</s:v>
      </s:c>
      <s:c r="N801" s="22">
        <s:f>'4'!F802</s:f>
        <s:v>46247.487858796296</s:v>
      </s:c>
      <s:c r="O801" s="22">
        <s:f>'5'!F802</s:f>
        <s:v>46247.45951388889</s:v>
      </s:c>
      <s:c r="P801" s="22">
        <s:f>'6'!F802</s:f>
        <s:v>46247.44005787037</s:v>
      </s:c>
      <s:c r="Q801" s="22">
        <s:f>'7'!F802</s:f>
        <s:v>46247.41740740741</s:v>
      </s:c>
      <s:c r="R801" s="22">
        <s:f>'8'!F802</s:f>
        <s:v>46247.393217592595</s:v>
      </s:c>
      <s:c r="S801" s="22">
        <s:f>'9'!F802</s:f>
        <s:v>46247.37540509259</s:v>
      </s:c>
      <s:c r="T801" s="22">
        <s:f>'10'!F802</s:f>
        <s:v>46247.346180555556</s:v>
      </s:c>
      <s:c r="U801" s="23">
        <s:f>'자료구성'!$B$2</s:f>
        <s:v>46247.0</s:v>
      </s:c>
    </s:row>
    <s:row r="802">
      <s:c r="A802" s="0" t="n">
        <s:v>1673</s:v>
      </s:c>
      <s:c r="B802" s="0" t="n">
        <s:v>1367</s:v>
      </s:c>
      <s:c r="C802" s="0" t="n">
        <s:v>1708</s:v>
      </s:c>
      <s:c r="D802" s="0" t="n">
        <s:v>182</s:v>
      </s:c>
      <s:c r="E802" s="0" t="n">
        <s:v>1477</s:v>
      </s:c>
      <s:c r="F802" s="0" t="n">
        <s:v>3072</s:v>
      </s:c>
      <s:c r="G802" s="0" t="n">
        <s:v>1966</s:v>
      </s:c>
      <s:c r="H802" s="0" t="n">
        <s:v>3690</s:v>
      </s:c>
      <s:c r="I802" s="0" t="n">
        <s:v>1531</s:v>
      </s:c>
      <s:c r="J802" s="0" t="n">
        <s:v>2035</s:v>
      </s:c>
      <s:c r="K802" s="22">
        <s:f>'1'!F803</s:f>
        <s:v>46247.56943287037</s:v>
      </s:c>
      <s:c r="L802" s="22">
        <s:f>'2'!F803</s:f>
        <s:v>46247.55116898148</s:v>
      </s:c>
      <s:c r="M802" s="22">
        <s:f>'3'!F803</s:f>
        <s:v>46247.53376157407</s:v>
      </s:c>
      <s:c r="N802" s="22">
        <s:f>'4'!F803</s:f>
        <s:v>46247.48787037037</s:v>
      </s:c>
      <s:c r="O802" s="22">
        <s:f>'5'!F803</s:f>
        <s:v>46247.45952546296</s:v>
      </s:c>
      <s:c r="P802" s="22">
        <s:f>'6'!F803</s:f>
        <s:v>46247.44006944444</s:v>
      </s:c>
      <s:c r="Q802" s="22">
        <s:f>'7'!F803</s:f>
        <s:v>46247.41741898148</s:v>
      </s:c>
      <s:c r="R802" s="22">
        <s:f>'8'!F803</s:f>
        <s:v>46247.393229166664</s:v>
      </s:c>
      <s:c r="S802" s="22">
        <s:f>'9'!F803</s:f>
        <s:v>46247.37541666667</s:v>
      </s:c>
      <s:c r="T802" s="22">
        <s:f>'10'!F803</s:f>
        <s:v>46247.34619212963</s:v>
      </s:c>
      <s:c r="U802" s="23">
        <s:f>'자료구성'!$B$2</s:f>
        <s:v>46247.0</s:v>
      </s:c>
    </s:row>
    <s:row r="803">
      <s:c r="A803" s="0" t="n">
        <s:v>1608</s:v>
      </s:c>
      <s:c r="B803" s="0" t="n">
        <s:v>1381</s:v>
      </s:c>
      <s:c r="C803" s="0" t="n">
        <s:v>1839</s:v>
      </s:c>
      <s:c r="D803" s="0" t="n">
        <s:v>183</s:v>
      </s:c>
      <s:c r="E803" s="0" t="n">
        <s:v>1470</s:v>
      </s:c>
      <s:c r="F803" s="0" t="n">
        <s:v>3073</s:v>
      </s:c>
      <s:c r="G803" s="0" t="n">
        <s:v>2006</s:v>
      </s:c>
      <s:c r="H803" s="0" t="n">
        <s:v>3564</s:v>
      </s:c>
      <s:c r="I803" s="0" t="n">
        <s:v>1496</s:v>
      </s:c>
      <s:c r="J803" s="0" t="n">
        <s:v>2027</s:v>
      </s:c>
      <s:c r="K803" s="22">
        <s:f>'1'!F804</s:f>
        <s:v>46247.569444444445</s:v>
      </s:c>
      <s:c r="L803" s="22">
        <s:f>'2'!F804</s:f>
        <s:v>46247.55118055556</s:v>
      </s:c>
      <s:c r="M803" s="22">
        <s:f>'3'!F804</s:f>
        <s:v>46247.53377314815</s:v>
      </s:c>
      <s:c r="N803" s="22">
        <s:f>'4'!F804</s:f>
        <s:v>46247.48788194444</s:v>
      </s:c>
      <s:c r="O803" s="22">
        <s:f>'5'!F804</s:f>
        <s:v>46247.45953703704</s:v>
      </s:c>
      <s:c r="P803" s="22">
        <s:f>'6'!F804</s:f>
        <s:v>46247.44008101852</s:v>
      </s:c>
      <s:c r="Q803" s="22">
        <s:f>'7'!F804</s:f>
        <s:v>46247.41743055556</s:v>
      </s:c>
      <s:c r="R803" s="22">
        <s:f>'8'!F804</s:f>
        <s:v>46247.39324074074</s:v>
      </s:c>
      <s:c r="S803" s="22">
        <s:f>'9'!F804</s:f>
        <s:v>46247.37542824074</s:v>
      </s:c>
      <s:c r="T803" s="22">
        <s:f>'10'!F804</s:f>
        <s:v>46247.3462037037</s:v>
      </s:c>
      <s:c r="U803" s="23">
        <s:f>'자료구성'!$B$2</s:f>
        <s:v>46247.0</s:v>
      </s:c>
    </s:row>
    <s:row r="804">
      <s:c r="A804" s="0" t="n">
        <s:v>1564</s:v>
      </s:c>
      <s:c r="B804" s="0" t="n">
        <s:v>1385</s:v>
      </s:c>
      <s:c r="C804" s="0" t="n">
        <s:v>1895</s:v>
      </s:c>
      <s:c r="D804" s="0" t="n">
        <s:v>180</s:v>
      </s:c>
      <s:c r="E804" s="0" t="n">
        <s:v>1478</s:v>
      </s:c>
      <s:c r="F804" s="0" t="n">
        <s:v>3100</s:v>
      </s:c>
      <s:c r="G804" s="0" t="n">
        <s:v>2045</s:v>
      </s:c>
      <s:c r="H804" s="0" t="n">
        <s:v>3453</s:v>
      </s:c>
      <s:c r="I804" s="0" t="n">
        <s:v>1469</s:v>
      </s:c>
      <s:c r="J804" s="0" t="n">
        <s:v>1982</s:v>
      </s:c>
      <s:c r="K804" s="22">
        <s:f>'1'!F805</s:f>
        <s:v>46247.56945601852</s:v>
      </s:c>
      <s:c r="L804" s="22">
        <s:f>'2'!F805</s:f>
        <s:v>46247.55119212963</s:v>
      </s:c>
      <s:c r="M804" s="22">
        <s:f>'3'!F805</s:f>
        <s:v>46247.533784722225</s:v>
      </s:c>
      <s:c r="N804" s="22">
        <s:f>'4'!F805</s:f>
        <s:v>46247.48789351852</s:v>
      </s:c>
      <s:c r="O804" s="22">
        <s:f>'5'!F805</s:f>
        <s:v>46247.459548611114</s:v>
      </s:c>
      <s:c r="P804" s="22">
        <s:f>'6'!F805</s:f>
        <s:v>46247.440092592595</s:v>
      </s:c>
      <s:c r="Q804" s="22">
        <s:f>'7'!F805</s:f>
        <s:v>46247.41744212963</s:v>
      </s:c>
      <s:c r="R804" s="22">
        <s:f>'8'!F805</s:f>
        <s:v>46247.39325231482</s:v>
      </s:c>
      <s:c r="S804" s="22">
        <s:f>'9'!F805</s:f>
        <s:v>46247.375439814816</s:v>
      </s:c>
      <s:c r="T804" s="22">
        <s:f>'10'!F805</s:f>
        <s:v>46247.34621527778</s:v>
      </s:c>
      <s:c r="U804" s="23">
        <s:f>'자료구성'!$B$2</s:f>
        <s:v>46247.0</s:v>
      </s:c>
    </s:row>
    <s:row r="805">
      <s:c r="A805" s="0" t="n">
        <s:v>1555</s:v>
      </s:c>
      <s:c r="B805" s="0" t="n">
        <s:v>1390</s:v>
      </s:c>
      <s:c r="C805" s="0" t="n">
        <s:v>1978</s:v>
      </s:c>
      <s:c r="D805" s="0" t="n">
        <s:v>182</s:v>
      </s:c>
      <s:c r="E805" s="0" t="n">
        <s:v>1495</s:v>
      </s:c>
      <s:c r="F805" s="0" t="n">
        <s:v>3163</s:v>
      </s:c>
      <s:c r="G805" s="0" t="n">
        <s:v>2067</s:v>
      </s:c>
      <s:c r="H805" s="0" t="n">
        <s:v>3379</s:v>
      </s:c>
      <s:c r="I805" s="0" t="n">
        <s:v>1460</s:v>
      </s:c>
      <s:c r="J805" s="0" t="n">
        <s:v>1954</s:v>
      </s:c>
      <s:c r="K805" s="22">
        <s:f>'1'!F806</s:f>
        <s:v>46247.56946759259</s:v>
      </s:c>
      <s:c r="L805" s="22">
        <s:f>'2'!F806</s:f>
        <s:v>46247.551203703704</s:v>
      </s:c>
      <s:c r="M805" s="22">
        <s:f>'3'!F806</s:f>
        <s:v>46247.533796296295</s:v>
      </s:c>
      <s:c r="N805" s="22">
        <s:f>'4'!F806</s:f>
        <s:v>46247.487905092596</s:v>
      </s:c>
      <s:c r="O805" s="22">
        <s:f>'5'!F806</s:f>
        <s:v>46247.45956018518</s:v>
      </s:c>
      <s:c r="P805" s="22">
        <s:f>'6'!F806</s:f>
        <s:v>46247.440104166664</s:v>
      </s:c>
      <s:c r="Q805" s="22">
        <s:f>'7'!F806</s:f>
        <s:v>46247.4174537037</s:v>
      </s:c>
      <s:c r="R805" s="22">
        <s:f>'8'!F806</s:f>
        <s:v>46247.39326388889</s:v>
      </s:c>
      <s:c r="S805" s="22">
        <s:f>'9'!F806</s:f>
        <s:v>46247.375451388885</s:v>
      </s:c>
      <s:c r="T805" s="22">
        <s:f>'10'!F806</s:f>
        <s:v>46247.34622685185</s:v>
      </s:c>
      <s:c r="U805" s="23">
        <s:f>'자료구성'!$B$2</s:f>
        <s:v>46247.0</s:v>
      </s:c>
    </s:row>
    <s:row r="806">
      <s:c r="A806" s="0" t="n">
        <s:v>1520</s:v>
      </s:c>
      <s:c r="B806" s="0" t="n">
        <s:v>1393</s:v>
      </s:c>
      <s:c r="C806" s="0" t="n">
        <s:v>1969</s:v>
      </s:c>
      <s:c r="D806" s="0" t="n">
        <s:v>187</s:v>
      </s:c>
      <s:c r="E806" s="0" t="n">
        <s:v>1479</s:v>
      </s:c>
      <s:c r="F806" s="0" t="n">
        <s:v>3241</s:v>
      </s:c>
      <s:c r="G806" s="0" t="n">
        <s:v>2092</s:v>
      </s:c>
      <s:c r="H806" s="0" t="n">
        <s:v>3327</s:v>
      </s:c>
      <s:c r="I806" s="0" t="n">
        <s:v>1444</s:v>
      </s:c>
      <s:c r="J806" s="0" t="n">
        <s:v>1931</s:v>
      </s:c>
      <s:c r="K806" s="22">
        <s:f>'1'!F807</s:f>
        <s:v>46247.56947916667</s:v>
      </s:c>
      <s:c r="L806" s="22">
        <s:f>'2'!F807</s:f>
        <s:v>46247.55121527778</s:v>
      </s:c>
      <s:c r="M806" s="22">
        <s:f>'3'!F807</s:f>
        <s:v>46247.53380787037</s:v>
      </s:c>
      <s:c r="N806" s="22">
        <s:f>'4'!F807</s:f>
        <s:v>46247.487916666665</s:v>
      </s:c>
      <s:c r="O806" s="22">
        <s:f>'5'!F807</s:f>
        <s:v>46247.45957175926</s:v>
      </s:c>
      <s:c r="P806" s="22">
        <s:f>'6'!F807</s:f>
        <s:v>46247.44011574074</s:v>
      </s:c>
      <s:c r="Q806" s="22">
        <s:f>'7'!F807</s:f>
        <s:v>46247.41746527778</s:v>
      </s:c>
      <s:c r="R806" s="22">
        <s:f>'8'!F807</s:f>
        <s:v>46247.393275462964</s:v>
      </s:c>
      <s:c r="S806" s="22">
        <s:f>'9'!F807</s:f>
        <s:v>46247.37546296296</s:v>
      </s:c>
      <s:c r="T806" s="22">
        <s:f>'10'!F807</s:f>
        <s:v>46247.346238425926</s:v>
      </s:c>
      <s:c r="U806" s="23">
        <s:f>'자료구성'!$B$2</s:f>
        <s:v>46247.0</s:v>
      </s:c>
    </s:row>
    <s:row r="807">
      <s:c r="A807" s="0" t="n">
        <s:v>1484</s:v>
      </s:c>
      <s:c r="B807" s="0" t="n">
        <s:v>1390</s:v>
      </s:c>
      <s:c r="C807" s="0" t="n">
        <s:v>1926</s:v>
      </s:c>
      <s:c r="D807" s="0" t="n">
        <s:v>186</s:v>
      </s:c>
      <s:c r="E807" s="0" t="n">
        <s:v>1451</s:v>
      </s:c>
      <s:c r="F807" s="0" t="n">
        <s:v>3295</s:v>
      </s:c>
      <s:c r="G807" s="0" t="n">
        <s:v>2074</s:v>
      </s:c>
      <s:c r="H807" s="0" t="n">
        <s:v>3316</s:v>
      </s:c>
      <s:c r="I807" s="0" t="n">
        <s:v>1438</s:v>
      </s:c>
      <s:c r="J807" s="0" t="n">
        <s:v>1929</s:v>
      </s:c>
      <s:c r="K807" s="22">
        <s:f>'1'!F808</s:f>
        <s:v>46247.56949074074</s:v>
      </s:c>
      <s:c r="L807" s="22">
        <s:f>'2'!F808</s:f>
        <s:v>46247.55122685185</s:v>
      </s:c>
      <s:c r="M807" s="22">
        <s:f>'3'!F808</s:f>
        <s:v>46247.53381944444</s:v>
      </s:c>
      <s:c r="N807" s="22">
        <s:f>'4'!F808</s:f>
        <s:v>46247.48792824074</s:v>
      </s:c>
      <s:c r="O807" s="22">
        <s:f>'5'!F808</s:f>
        <s:v>46247.45958333334</s:v>
      </s:c>
      <s:c r="P807" s="22">
        <s:f>'6'!F808</s:f>
        <s:v>46247.44012731482</s:v>
      </s:c>
      <s:c r="Q807" s="22">
        <s:f>'7'!F808</s:f>
        <s:v>46247.41747685185</s:v>
      </s:c>
      <s:c r="R807" s="22">
        <s:f>'8'!F808</s:f>
        <s:v>46247.39328703703</s:v>
      </s:c>
      <s:c r="S807" s="22">
        <s:f>'9'!F808</s:f>
        <s:v>46247.37547453704</s:v>
      </s:c>
      <s:c r="T807" s="22">
        <s:f>'10'!F808</s:f>
        <s:v>46247.34625</s:v>
      </s:c>
      <s:c r="U807" s="23">
        <s:f>'자료구성'!$B$2</s:f>
        <s:v>46247.0</s:v>
      </s:c>
    </s:row>
    <s:row r="808">
      <s:c r="A808" s="0" t="n">
        <s:v>1433</s:v>
      </s:c>
      <s:c r="B808" s="0" t="n">
        <s:v>1401</s:v>
      </s:c>
      <s:c r="C808" s="0" t="n">
        <s:v>1907</s:v>
      </s:c>
      <s:c r="D808" s="0" t="n">
        <s:v>176</s:v>
      </s:c>
      <s:c r="E808" s="0" t="n">
        <s:v>1479</s:v>
      </s:c>
      <s:c r="F808" s="0" t="n">
        <s:v>3368</s:v>
      </s:c>
      <s:c r="G808" s="0" t="n">
        <s:v>2069</s:v>
      </s:c>
      <s:c r="H808" s="0" t="n">
        <s:v>3263</s:v>
      </s:c>
      <s:c r="I808" s="0" t="n">
        <s:v>1418</s:v>
      </s:c>
      <s:c r="J808" s="0" t="n">
        <s:v>1932</s:v>
      </s:c>
      <s:c r="K808" s="22">
        <s:f>'1'!F809</s:f>
        <s:v>46247.569502314815</s:v>
      </s:c>
      <s:c r="L808" s="22">
        <s:f>'2'!F809</s:f>
        <s:v>46247.55123842593</s:v>
      </s:c>
      <s:c r="M808" s="22">
        <s:f>'3'!F809</s:f>
        <s:v>46247.53383101852</s:v>
      </s:c>
      <s:c r="N808" s="22">
        <s:f>'4'!F809</s:f>
        <s:v>46247.48793981481</s:v>
      </s:c>
      <s:c r="O808" s="22">
        <s:f>'5'!F809</s:f>
        <s:v>46247.45959490741</s:v>
      </s:c>
      <s:c r="P808" s="22">
        <s:f>'6'!F809</s:f>
        <s:v>46247.44013888889</s:v>
      </s:c>
      <s:c r="Q808" s="22">
        <s:f>'7'!F809</s:f>
        <s:v>46247.41748842593</s:v>
      </s:c>
      <s:c r="R808" s="22">
        <s:f>'8'!F809</s:f>
        <s:v>46247.39329861111</s:v>
      </s:c>
      <s:c r="S808" s="22">
        <s:f>'9'!F809</s:f>
        <s:v>46247.37548611111</s:v>
      </s:c>
      <s:c r="T808" s="22">
        <s:f>'10'!F809</s:f>
        <s:v>46247.34626157407</s:v>
      </s:c>
      <s:c r="U808" s="23">
        <s:f>'자료구성'!$B$2</s:f>
        <s:v>46247.0</s:v>
      </s:c>
    </s:row>
    <s:row r="809">
      <s:c r="A809" s="0" t="n">
        <s:v>1408</s:v>
      </s:c>
      <s:c r="B809" s="0" t="n">
        <s:v>1413</s:v>
      </s:c>
      <s:c r="C809" s="0" t="n">
        <s:v>1888</s:v>
      </s:c>
      <s:c r="D809" s="0" t="n">
        <s:v>159</s:v>
      </s:c>
      <s:c r="E809" s="0" t="n">
        <s:v>1491</s:v>
      </s:c>
      <s:c r="F809" s="0" t="n">
        <s:v>3419</s:v>
      </s:c>
      <s:c r="G809" s="0" t="n">
        <s:v>2097</s:v>
      </s:c>
      <s:c r="H809" s="0" t="n">
        <s:v>3222</s:v>
      </s:c>
      <s:c r="I809" s="0" t="n">
        <s:v>1434</s:v>
      </s:c>
      <s:c r="J809" s="0" t="n">
        <s:v>1943</s:v>
      </s:c>
      <s:c r="K809" s="22">
        <s:f>'1'!F810</s:f>
        <s:v>46247.56951388889</s:v>
      </s:c>
      <s:c r="L809" s="22">
        <s:f>'2'!F810</s:f>
        <s:v>46247.55125</s:v>
      </s:c>
      <s:c r="M809" s="22">
        <s:f>'3'!F810</s:f>
        <s:v>46247.533842592595</s:v>
      </s:c>
      <s:c r="N809" s="22">
        <s:f>'4'!F810</s:f>
        <s:v>46247.48795138889</s:v>
      </s:c>
      <s:c r="O809" s="22">
        <s:f>'5'!F810</s:f>
        <s:v>46247.45960648148</s:v>
      </s:c>
      <s:c r="P809" s="22">
        <s:f>'6'!F810</s:f>
        <s:v>46247.440150462964</s:v>
      </s:c>
      <s:c r="Q809" s="22">
        <s:f>'7'!F810</s:f>
        <s:v>46247.4175</s:v>
      </s:c>
      <s:c r="R809" s="22">
        <s:f>'8'!F810</s:f>
        <s:v>46247.39331018519</s:v>
      </s:c>
      <s:c r="S809" s="22">
        <s:f>'9'!F810</s:f>
        <s:v>46247.375497685185</s:v>
      </s:c>
      <s:c r="T809" s="22">
        <s:f>'10'!F810</s:f>
        <s:v>46247.34627314815</s:v>
      </s:c>
      <s:c r="U809" s="23">
        <s:f>'자료구성'!$B$2</s:f>
        <s:v>46247.0</s:v>
      </s:c>
    </s:row>
    <s:row r="810">
      <s:c r="A810" s="0" t="n">
        <s:v>1398</s:v>
      </s:c>
      <s:c r="B810" s="0" t="n">
        <s:v>1420</s:v>
      </s:c>
      <s:c r="C810" s="0" t="n">
        <s:v>1928</s:v>
      </s:c>
      <s:c r="D810" s="0" t="n">
        <s:v>135</s:v>
      </s:c>
      <s:c r="E810" s="0" t="n">
        <s:v>1492</s:v>
      </s:c>
      <s:c r="F810" s="0" t="n">
        <s:v>3389</s:v>
      </s:c>
      <s:c r="G810" s="0" t="n">
        <s:v>2074</s:v>
      </s:c>
      <s:c r="H810" s="0" t="n">
        <s:v>3162</s:v>
      </s:c>
      <s:c r="I810" s="0" t="n">
        <s:v>1415</s:v>
      </s:c>
      <s:c r="J810" s="0" t="n">
        <s:v>1932</s:v>
      </s:c>
      <s:c r="K810" s="22">
        <s:f>'1'!F811</s:f>
        <s:v>46247.56952546296</s:v>
      </s:c>
      <s:c r="L810" s="22">
        <s:f>'2'!F811</s:f>
        <s:v>46247.55126157407</s:v>
      </s:c>
      <s:c r="M810" s="22">
        <s:f>'3'!F811</s:f>
        <s:v>46247.533854166664</s:v>
      </s:c>
      <s:c r="N810" s="22">
        <s:f>'4'!F811</s:f>
        <s:v>46247.487962962965</s:v>
      </s:c>
      <s:c r="O810" s="22">
        <s:f>'5'!F811</s:f>
        <s:v>46247.45961805555</s:v>
      </s:c>
      <s:c r="P810" s="22">
        <s:f>'6'!F811</s:f>
        <s:v>46247.44016203703</s:v>
      </s:c>
      <s:c r="Q810" s="22">
        <s:f>'7'!F811</s:f>
        <s:v>46247.41751157407</s:v>
      </s:c>
      <s:c r="R810" s="22">
        <s:f>'8'!F811</s:f>
        <s:v>46247.39332175926</s:v>
      </s:c>
      <s:c r="S810" s="22">
        <s:f>'9'!F811</s:f>
        <s:v>46247.37550925926</s:v>
      </s:c>
      <s:c r="T810" s="22">
        <s:f>'10'!F811</s:f>
        <s:v>46247.346284722225</s:v>
      </s:c>
      <s:c r="U810" s="23">
        <s:f>'자료구성'!$B$2</s:f>
        <s:v>46247.0</s:v>
      </s:c>
    </s:row>
    <s:row r="811">
      <s:c r="A811" s="0" t="n">
        <s:v>1400</s:v>
      </s:c>
      <s:c r="B811" s="0" t="n">
        <s:v>1421</s:v>
      </s:c>
      <s:c r="C811" s="0" t="n">
        <s:v>1942</s:v>
      </s:c>
      <s:c r="D811" s="0" t="n">
        <s:v>133</s:v>
      </s:c>
      <s:c r="E811" s="0" t="n">
        <s:v>1501</s:v>
      </s:c>
      <s:c r="F811" s="0" t="n">
        <s:v>3304</s:v>
      </s:c>
      <s:c r="G811" s="0" t="n">
        <s:v>2085</s:v>
      </s:c>
      <s:c r="H811" s="0" t="n">
        <s:v>3128</s:v>
      </s:c>
      <s:c r="I811" s="0" t="n">
        <s:v>1409</s:v>
      </s:c>
      <s:c r="J811" s="0" t="n">
        <s:v>1951</s:v>
      </s:c>
      <s:c r="K811" s="22">
        <s:f>'1'!F812</s:f>
        <s:v>46247.56953703704</s:v>
      </s:c>
      <s:c r="L811" s="22">
        <s:f>'2'!F812</s:f>
        <s:v>46247.55127314815</s:v>
      </s:c>
      <s:c r="M811" s="22">
        <s:f>'3'!F812</s:f>
        <s:v>46247.53386574074</s:v>
      </s:c>
      <s:c r="N811" s="22">
        <s:f>'4'!F812</s:f>
        <s:v>46247.487974537034</s:v>
      </s:c>
      <s:c r="O811" s="22">
        <s:f>'5'!F812</s:f>
        <s:v>46247.45962962963</s:v>
      </s:c>
      <s:c r="P811" s="22">
        <s:f>'6'!F812</s:f>
        <s:v>46247.44017361111</s:v>
      </s:c>
      <s:c r="Q811" s="22">
        <s:f>'7'!F812</s:f>
        <s:v>46247.41752314815</s:v>
      </s:c>
      <s:c r="R811" s="22">
        <s:f>'8'!F812</s:f>
        <s:v>46247.39333333333</s:v>
      </s:c>
      <s:c r="S811" s="22">
        <s:f>'9'!F812</s:f>
        <s:v>46247.37552083333</s:v>
      </s:c>
      <s:c r="T811" s="22">
        <s:f>'10'!F812</s:f>
        <s:v>46247.346296296295</s:v>
      </s:c>
      <s:c r="U811" s="23">
        <s:f>'자료구성'!$B$2</s:f>
        <s:v>46247.0</s:v>
      </s:c>
    </s:row>
    <s:row r="812">
      <s:c r="A812" s="0" t="n">
        <s:v>1379</s:v>
      </s:c>
      <s:c r="B812" s="0" t="n">
        <s:v>1421</s:v>
      </s:c>
      <s:c r="C812" s="0" t="n">
        <s:v>1957</s:v>
      </s:c>
      <s:c r="D812" s="0" t="n">
        <s:v>133</s:v>
      </s:c>
      <s:c r="E812" s="0" t="n">
        <s:v>1501</s:v>
      </s:c>
      <s:c r="F812" s="0" t="n">
        <s:v>3240</s:v>
      </s:c>
      <s:c r="G812" s="0" t="n">
        <s:v>2104</s:v>
      </s:c>
      <s:c r="H812" s="0" t="n">
        <s:v>3088</s:v>
      </s:c>
      <s:c r="I812" s="0" t="n">
        <s:v>1390</s:v>
      </s:c>
      <s:c r="J812" s="0" t="n">
        <s:v>1940</s:v>
      </s:c>
      <s:c r="K812" s="22">
        <s:f>'1'!F813</s:f>
        <s:v>46247.569548611114</s:v>
      </s:c>
      <s:c r="L812" s="22">
        <s:f>'2'!F813</s:f>
        <s:v>46247.55128472222</s:v>
      </s:c>
      <s:c r="M812" s="22">
        <s:f>'3'!F813</s:f>
        <s:v>46247.53387731482</s:v>
      </s:c>
      <s:c r="N812" s="22">
        <s:f>'4'!F813</s:f>
        <s:v>46247.48798611111</s:v>
      </s:c>
      <s:c r="O812" s="22">
        <s:f>'5'!F813</s:f>
        <s:v>46247.459641203706</s:v>
      </s:c>
      <s:c r="P812" s="22">
        <s:f>'6'!F813</s:f>
        <s:v>46247.44018518519</s:v>
      </s:c>
      <s:c r="Q812" s="22">
        <s:f>'7'!F813</s:f>
        <s:v>46247.41753472222</s:v>
      </s:c>
      <s:c r="R812" s="22">
        <s:f>'8'!F813</s:f>
        <s:v>46247.39334490741</s:v>
      </s:c>
      <s:c r="S812" s="22">
        <s:f>'9'!F813</s:f>
        <s:v>46247.37553240741</s:v>
      </s:c>
      <s:c r="T812" s="22">
        <s:f>'10'!F813</s:f>
        <s:v>46247.34630787037</s:v>
      </s:c>
      <s:c r="U812" s="23">
        <s:f>'자료구성'!$B$2</s:f>
        <s:v>46247.0</s:v>
      </s:c>
    </s:row>
    <s:row r="813">
      <s:c r="A813" s="0" t="n">
        <s:v>1380</s:v>
      </s:c>
      <s:c r="B813" s="0" t="n">
        <s:v>1398</s:v>
      </s:c>
      <s:c r="C813" s="0" t="n">
        <s:v>1987</s:v>
      </s:c>
      <s:c r="D813" s="0" t="n">
        <s:v>140</s:v>
      </s:c>
      <s:c r="E813" s="0" t="n">
        <s:v>1483</s:v>
      </s:c>
      <s:c r="F813" s="0" t="n">
        <s:v>3136</s:v>
      </s:c>
      <s:c r="G813" s="0" t="n">
        <s:v>2138</s:v>
      </s:c>
      <s:c r="H813" s="0" t="n">
        <s:v>3012</s:v>
      </s:c>
      <s:c r="I813" s="0" t="n">
        <s:v>1389</s:v>
      </s:c>
      <s:c r="J813" s="0" t="n">
        <s:v>1919</s:v>
      </s:c>
      <s:c r="K813" s="22">
        <s:f>'1'!F814</s:f>
        <s:v>46247.569560185184</s:v>
      </s:c>
      <s:c r="L813" s="22">
        <s:f>'2'!F814</s:f>
        <s:v>46247.5512962963</s:v>
      </s:c>
      <s:c r="M813" s="22">
        <s:f>'3'!F814</s:f>
        <s:v>46247.53388888889</s:v>
      </s:c>
      <s:c r="N813" s="22">
        <s:f>'4'!F814</s:f>
        <s:v>46247.48799768519</s:v>
      </s:c>
      <s:c r="O813" s="22">
        <s:f>'5'!F814</s:f>
        <s:v>46247.459652777776</s:v>
      </s:c>
      <s:c r="P813" s="22">
        <s:f>'6'!F814</s:f>
        <s:v>46247.44019675926</s:v>
      </s:c>
      <s:c r="Q813" s="22">
        <s:f>'7'!F814</s:f>
        <s:v>46247.417546296296</s:v>
      </s:c>
      <s:c r="R813" s="22">
        <s:f>'8'!F814</s:f>
        <s:v>46247.39335648148</s:v>
      </s:c>
      <s:c r="S813" s="22">
        <s:f>'9'!F814</s:f>
        <s:v>46247.375543981485</s:v>
      </s:c>
      <s:c r="T813" s="22">
        <s:f>'10'!F814</s:f>
        <s:v>46247.34631944444</s:v>
      </s:c>
      <s:c r="U813" s="23">
        <s:f>'자료구성'!$B$2</s:f>
        <s:v>46247.0</s:v>
      </s:c>
    </s:row>
    <s:row r="814">
      <s:c r="A814" s="0" t="n">
        <s:v>1374</s:v>
      </s:c>
      <s:c r="B814" s="0" t="n">
        <s:v>1371</s:v>
      </s:c>
      <s:c r="C814" s="0" t="n">
        <s:v>1986</s:v>
      </s:c>
      <s:c r="D814" s="0" t="n">
        <s:v>146</s:v>
      </s:c>
      <s:c r="E814" s="0" t="n">
        <s:v>1470</s:v>
      </s:c>
      <s:c r="F814" s="0" t="n">
        <s:v>3050</s:v>
      </s:c>
      <s:c r="G814" s="0" t="n">
        <s:v>2168</s:v>
      </s:c>
      <s:c r="H814" s="0" t="n">
        <s:v>2951</s:v>
      </s:c>
      <s:c r="I814" s="0" t="n">
        <s:v>1394</s:v>
      </s:c>
      <s:c r="J814" s="0" t="n">
        <s:v>1893</s:v>
      </s:c>
      <s:c r="K814" s="22">
        <s:f>'1'!F815</s:f>
        <s:v>46247.56957175926</s:v>
      </s:c>
      <s:c r="L814" s="22">
        <s:f>'2'!F815</s:f>
        <s:v>46247.55130787037</s:v>
      </s:c>
      <s:c r="M814" s="22">
        <s:f>'3'!F815</s:f>
        <s:v>46247.533900462964</s:v>
      </s:c>
      <s:c r="N814" s="22">
        <s:f>'4'!F815</s:f>
        <s:v>46247.48800925926</s:v>
      </s:c>
      <s:c r="O814" s="22">
        <s:f>'5'!F815</s:f>
        <s:v>46247.45966435185</s:v>
      </s:c>
      <s:c r="P814" s="22">
        <s:f>'6'!F815</s:f>
        <s:v>46247.44020833333</s:v>
      </s:c>
      <s:c r="Q814" s="22">
        <s:f>'7'!F815</s:f>
        <s:v>46247.41755787037</s:v>
      </s:c>
      <s:c r="R814" s="22">
        <s:f>'8'!F815</s:f>
        <s:v>46247.39336805556</s:v>
      </s:c>
      <s:c r="S814" s="22">
        <s:f>'9'!F815</s:f>
        <s:v>46247.375555555554</s:v>
      </s:c>
      <s:c r="T814" s="22">
        <s:f>'10'!F815</s:f>
        <s:v>46247.34633101852</s:v>
      </s:c>
      <s:c r="U814" s="23">
        <s:f>'자료구성'!$B$2</s:f>
        <s:v>46247.0</s:v>
      </s:c>
    </s:row>
    <s:row r="815">
      <s:c r="A815" s="0" t="n">
        <s:v>1371</s:v>
      </s:c>
      <s:c r="B815" s="0" t="n">
        <s:v>1350</s:v>
      </s:c>
      <s:c r="C815" s="0" t="n">
        <s:v>2016</s:v>
      </s:c>
      <s:c r="D815" s="0" t="n">
        <s:v>149</s:v>
      </s:c>
      <s:c r="E815" s="0" t="n">
        <s:v>1462</s:v>
      </s:c>
      <s:c r="F815" s="0" t="n">
        <s:v>2989</s:v>
      </s:c>
      <s:c r="G815" s="0" t="n">
        <s:v>2153</s:v>
      </s:c>
      <s:c r="H815" s="0" t="n">
        <s:v>2904</s:v>
      </s:c>
      <s:c r="I815" s="0" t="n">
        <s:v>1391</s:v>
      </s:c>
      <s:c r="J815" s="0" t="n">
        <s:v>1878</s:v>
      </s:c>
      <s:c r="K815" s="22">
        <s:f>'1'!F816</s:f>
        <s:v>46247.56958333333</s:v>
      </s:c>
      <s:c r="L815" s="22">
        <s:f>'2'!F816</s:f>
        <s:v>46247.55131944444</s:v>
      </s:c>
      <s:c r="M815" s="22">
        <s:f>'3'!F816</s:f>
        <s:v>46247.53391203703</s:v>
      </s:c>
      <s:c r="N815" s="22">
        <s:f>'4'!F816</s:f>
        <s:v>46247.488020833334</s:v>
      </s:c>
      <s:c r="O815" s="22">
        <s:f>'5'!F816</s:f>
        <s:v>46247.45967592593</s:v>
      </s:c>
      <s:c r="P815" s="22">
        <s:f>'6'!F816</s:f>
        <s:v>46247.44021990741</s:v>
      </s:c>
      <s:c r="Q815" s="22">
        <s:f>'7'!F816</s:f>
        <s:v>46247.41756944444</s:v>
      </s:c>
      <s:c r="R815" s="22">
        <s:f>'8'!F816</s:f>
        <s:v>46247.393379629626</s:v>
      </s:c>
      <s:c r="S815" s="22">
        <s:f>'9'!F816</s:f>
        <s:v>46247.37556712963</s:v>
      </s:c>
      <s:c r="T815" s="22">
        <s:f>'10'!F816</s:f>
        <s:v>46247.346342592595</s:v>
      </s:c>
      <s:c r="U815" s="23">
        <s:f>'자료구성'!$B$2</s:f>
        <s:v>46247.0</s:v>
      </s:c>
    </s:row>
    <s:row r="816">
      <s:c r="A816" s="0" t="n">
        <s:v>1381</s:v>
      </s:c>
      <s:c r="B816" s="0" t="n">
        <s:v>1303</s:v>
      </s:c>
      <s:c r="C816" s="0" t="n">
        <s:v>2034</s:v>
      </s:c>
      <s:c r="D816" s="0" t="n">
        <s:v>157</s:v>
      </s:c>
      <s:c r="E816" s="0" t="n">
        <s:v>1454</s:v>
      </s:c>
      <s:c r="F816" s="0" t="n">
        <s:v>2849</s:v>
      </s:c>
      <s:c r="G816" s="0" t="n">
        <s:v>2139</s:v>
      </s:c>
      <s:c r="H816" s="0" t="n">
        <s:v>2844</s:v>
      </s:c>
      <s:c r="I816" s="0" t="n">
        <s:v>1394</s:v>
      </s:c>
      <s:c r="J816" s="0" t="n">
        <s:v>1864</s:v>
      </s:c>
      <s:c r="K816" s="22">
        <s:f>'1'!F817</s:f>
        <s:v>46247.56959490741</s:v>
      </s:c>
      <s:c r="L816" s="22">
        <s:f>'2'!F817</s:f>
        <s:v>46247.55133101852</s:v>
      </s:c>
      <s:c r="M816" s="22">
        <s:f>'3'!F817</s:f>
        <s:v>46247.53392361111</s:v>
      </s:c>
      <s:c r="N816" s="22">
        <s:f>'4'!F817</s:f>
        <s:v>46247.488032407404</s:v>
      </s:c>
      <s:c r="O816" s="22">
        <s:f>'5'!F817</s:f>
        <s:v>46247.4596875</s:v>
      </s:c>
      <s:c r="P816" s="22">
        <s:f>'6'!F817</s:f>
        <s:v>46247.44023148148</s:v>
      </s:c>
      <s:c r="Q816" s="22">
        <s:f>'7'!F817</s:f>
        <s:v>46247.41758101852</s:v>
      </s:c>
      <s:c r="R816" s="22">
        <s:f>'8'!F817</s:f>
        <s:v>46247.3933912037</s:v>
      </s:c>
      <s:c r="S816" s="22">
        <s:f>'9'!F817</s:f>
        <s:v>46247.3755787037</s:v>
      </s:c>
      <s:c r="T816" s="22">
        <s:f>'10'!F817</s:f>
        <s:v>46247.346354166664</s:v>
      </s:c>
      <s:c r="U816" s="23">
        <s:f>'자료구성'!$B$2</s:f>
        <s:v>46247.0</s:v>
      </s:c>
    </s:row>
    <s:row r="817">
      <s:c r="A817" s="0" t="n">
        <s:v>1416</s:v>
      </s:c>
      <s:c r="B817" s="0" t="n">
        <s:v>1268</s:v>
      </s:c>
      <s:c r="C817" s="0" t="n">
        <s:v>2055</s:v>
      </s:c>
      <s:c r="D817" s="0" t="n">
        <s:v>156</s:v>
      </s:c>
      <s:c r="E817" s="0" t="n">
        <s:v>1448</s:v>
      </s:c>
      <s:c r="F817" s="0" t="n">
        <s:v>2762</s:v>
      </s:c>
      <s:c r="G817" s="0" t="n">
        <s:v>2110</s:v>
      </s:c>
      <s:c r="H817" s="0" t="n">
        <s:v>2805</s:v>
      </s:c>
      <s:c r="I817" s="0" t="n">
        <s:v>1377</s:v>
      </s:c>
      <s:c r="J817" s="0" t="n">
        <s:v>1827</s:v>
      </s:c>
      <s:c r="K817" s="22">
        <s:f>'1'!F818</s:f>
        <s:v>46247.569606481484</s:v>
      </s:c>
      <s:c r="L817" s="22">
        <s:f>'2'!F818</s:f>
        <s:v>46247.55134259259</s:v>
      </s:c>
      <s:c r="M817" s="22">
        <s:f>'3'!F818</s:f>
        <s:v>46247.53393518519</s:v>
      </s:c>
      <s:c r="N817" s="22">
        <s:f>'4'!F818</s:f>
        <s:v>46247.48804398148</s:v>
      </s:c>
      <s:c r="O817" s="22">
        <s:f>'5'!F818</s:f>
        <s:v>46247.459699074076</s:v>
      </s:c>
      <s:c r="P817" s="22">
        <s:f>'6'!F818</s:f>
        <s:v>46247.44024305556</s:v>
      </s:c>
      <s:c r="Q817" s="22">
        <s:f>'7'!F818</s:f>
        <s:v>46247.417592592596</s:v>
      </s:c>
      <s:c r="R817" s="22">
        <s:f>'8'!F818</s:f>
        <s:v>46247.39340277778</s:v>
      </s:c>
      <s:c r="S817" s="22">
        <s:f>'9'!F818</s:f>
        <s:v>46247.37559027778</s:v>
      </s:c>
      <s:c r="T817" s="22">
        <s:f>'10'!F818</s:f>
        <s:v>46247.34636574074</s:v>
      </s:c>
      <s:c r="U817" s="23">
        <s:f>'자료구성'!$B$2</s:f>
        <s:v>46247.0</s:v>
      </s:c>
    </s:row>
    <s:row r="818">
      <s:c r="A818" s="0" t="n">
        <s:v>1448</s:v>
      </s:c>
      <s:c r="B818" s="0" t="n">
        <s:v>1242</s:v>
      </s:c>
      <s:c r="C818" s="0" t="n">
        <s:v>2117</s:v>
      </s:c>
      <s:c r="D818" s="0" t="n">
        <s:v>154</s:v>
      </s:c>
      <s:c r="E818" s="0" t="n">
        <s:v>1426</s:v>
      </s:c>
      <s:c r="F818" s="0" t="n">
        <s:v>2641</s:v>
      </s:c>
      <s:c r="G818" s="0" t="n">
        <s:v>2088</s:v>
      </s:c>
      <s:c r="H818" s="0" t="n">
        <s:v>2799</s:v>
      </s:c>
      <s:c r="I818" s="0" t="n">
        <s:v>1379</s:v>
      </s:c>
      <s:c r="J818" s="0" t="n">
        <s:v>1807</s:v>
      </s:c>
      <s:c r="K818" s="22">
        <s:f>'1'!F819</s:f>
        <s:v>46247.56961805555</s:v>
      </s:c>
      <s:c r="L818" s="22">
        <s:f>'2'!F819</s:f>
        <s:v>46247.551354166666</s:v>
      </s:c>
      <s:c r="M818" s="22">
        <s:f>'3'!F819</s:f>
        <s:v>46247.53394675926</s:v>
      </s:c>
      <s:c r="N818" s="22">
        <s:f>'4'!F819</s:f>
        <s:v>46247.48805555556</s:v>
      </s:c>
      <s:c r="O818" s="22">
        <s:f>'5'!F819</s:f>
        <s:v>46247.459710648145</s:v>
      </s:c>
      <s:c r="P818" s="22">
        <s:f>'6'!F819</s:f>
        <s:v>46247.440254629626</s:v>
      </s:c>
      <s:c r="Q818" s="22">
        <s:f>'7'!F819</s:f>
        <s:v>46247.417604166665</s:v>
      </s:c>
      <s:c r="R818" s="22">
        <s:f>'8'!F819</s:f>
        <s:v>46247.39341435185</s:v>
      </s:c>
      <s:c r="S818" s="22">
        <s:f>'9'!F819</s:f>
        <s:v>46247.375601851854</s:v>
      </s:c>
      <s:c r="T818" s="22">
        <s:f>'10'!F819</s:f>
        <s:v>46247.34637731482</s:v>
      </s:c>
      <s:c r="U818" s="23">
        <s:f>'자료구성'!$B$2</s:f>
        <s:v>46247.0</s:v>
      </s:c>
    </s:row>
    <s:row r="819">
      <s:c r="A819" s="0" t="n">
        <s:v>1505</s:v>
      </s:c>
      <s:c r="B819" s="0" t="n">
        <s:v>1214</s:v>
      </s:c>
      <s:c r="C819" s="0" t="n">
        <s:v>2067</s:v>
      </s:c>
      <s:c r="D819" s="0" t="n">
        <s:v>159</s:v>
      </s:c>
      <s:c r="E819" s="0" t="n">
        <s:v>1439</s:v>
      </s:c>
      <s:c r="F819" s="0" t="n">
        <s:v>2544</s:v>
      </s:c>
      <s:c r="G819" s="0" t="n">
        <s:v>2086</s:v>
      </s:c>
      <s:c r="H819" s="0" t="n">
        <s:v>2790</s:v>
      </s:c>
      <s:c r="I819" s="0" t="n">
        <s:v>1380</s:v>
      </s:c>
      <s:c r="J819" s="0" t="n">
        <s:v>1768</s:v>
      </s:c>
      <s:c r="K819" s="22">
        <s:f>'1'!F820</s:f>
        <s:v>46247.56962962963</s:v>
      </s:c>
      <s:c r="L819" s="22">
        <s:f>'2'!F820</s:f>
        <s:v>46247.55136574074</s:v>
      </s:c>
      <s:c r="M819" s="22">
        <s:f>'3'!F820</s:f>
        <s:v>46247.53395833333</s:v>
      </s:c>
      <s:c r="N819" s="22">
        <s:f>'4'!F820</s:f>
        <s:v>46247.48806712963</s:v>
      </s:c>
      <s:c r="O819" s="22">
        <s:f>'5'!F820</s:f>
        <s:v>46247.45972222222</s:v>
      </s:c>
      <s:c r="P819" s="22">
        <s:f>'6'!F820</s:f>
        <s:v>46247.4402662037</s:v>
      </s:c>
      <s:c r="Q819" s="22">
        <s:f>'7'!F820</s:f>
        <s:v>46247.41761574074</s:v>
      </s:c>
      <s:c r="R819" s="22">
        <s:f>'8'!F820</s:f>
        <s:v>46247.393425925926</s:v>
      </s:c>
      <s:c r="S819" s="22">
        <s:f>'9'!F820</s:f>
        <s:v>46247.375613425924</s:v>
      </s:c>
      <s:c r="T819" s="22">
        <s:f>'10'!F820</s:f>
        <s:v>46247.34638888889</s:v>
      </s:c>
      <s:c r="U819" s="23">
        <s:f>'자료구성'!$B$2</s:f>
        <s:v>46247.0</s:v>
      </s:c>
    </s:row>
    <s:row r="820">
      <s:c r="A820" s="0" t="n">
        <s:v>1526</s:v>
      </s:c>
      <s:c r="B820" s="0" t="n">
        <s:v>1196</s:v>
      </s:c>
      <s:c r="C820" s="0" t="n">
        <s:v>2044</s:v>
      </s:c>
      <s:c r="D820" s="0" t="n">
        <s:v>157</s:v>
      </s:c>
      <s:c r="E820" s="0" t="n">
        <s:v>1465</s:v>
      </s:c>
      <s:c r="F820" s="0" t="n">
        <s:v>2472</s:v>
      </s:c>
      <s:c r="G820" s="0" t="n">
        <s:v>2088</s:v>
      </s:c>
      <s:c r="H820" s="0" t="n">
        <s:v>2782</s:v>
      </s:c>
      <s:c r="I820" s="0" t="n">
        <s:v>1357</s:v>
      </s:c>
      <s:c r="J820" s="0" t="n">
        <s:v>1737</s:v>
      </s:c>
      <s:c r="K820" s="22">
        <s:f>'1'!F821</s:f>
        <s:v>46247.56964120371</s:v>
      </s:c>
      <s:c r="L820" s="22">
        <s:f>'2'!F821</s:f>
        <s:v>46247.55137731481</s:v>
      </s:c>
      <s:c r="M820" s="22">
        <s:f>'3'!F821</s:f>
        <s:v>46247.53396990741</s:v>
      </s:c>
      <s:c r="N820" s="22">
        <s:f>'4'!F821</s:f>
        <s:v>46247.488078703704</s:v>
      </s:c>
      <s:c r="O820" s="22">
        <s:f>'5'!F821</s:f>
        <s:v>46247.4597337963</s:v>
      </s:c>
      <s:c r="P820" s="22">
        <s:f>'6'!F821</s:f>
        <s:v>46247.44027777778</s:v>
      </s:c>
      <s:c r="Q820" s="22">
        <s:f>'7'!F821</s:f>
        <s:v>46247.41762731481</s:v>
      </s:c>
      <s:c r="R820" s="22">
        <s:f>'8'!F821</s:f>
        <s:v>46247.3934375</s:v>
      </s:c>
      <s:c r="S820" s="22">
        <s:f>'9'!F821</s:f>
        <s:v>46247.375625</s:v>
      </s:c>
      <s:c r="T820" s="22">
        <s:f>'10'!F821</s:f>
        <s:v>46247.346400462964</s:v>
      </s:c>
      <s:c r="U820" s="23">
        <s:f>'자료구성'!$B$2</s:f>
        <s:v>46247.0</s:v>
      </s:c>
    </s:row>
    <s:row r="821">
      <s:c r="A821" s="0" t="n">
        <s:v>1564</s:v>
      </s:c>
      <s:c r="B821" s="0" t="n">
        <s:v>1159</s:v>
      </s:c>
      <s:c r="C821" s="0" t="n">
        <s:v>2089</s:v>
      </s:c>
      <s:c r="D821" s="0" t="n">
        <s:v>167</s:v>
      </s:c>
      <s:c r="E821" s="0" t="n">
        <s:v>1455</s:v>
      </s:c>
      <s:c r="F821" s="0" t="n">
        <s:v>2472</s:v>
      </s:c>
      <s:c r="G821" s="0" t="n">
        <s:v>2194</s:v>
      </s:c>
      <s:c r="H821" s="0" t="n">
        <s:v>2782</s:v>
      </s:c>
      <s:c r="I821" s="0" t="n">
        <s:v>1322</s:v>
      </s:c>
      <s:c r="J821" s="0" t="n">
        <s:v>1706</s:v>
      </s:c>
      <s:c r="K821" s="22">
        <s:f>'1'!F822</s:f>
        <s:v>46247.569652777776</s:v>
      </s:c>
      <s:c r="L821" s="22">
        <s:f>'2'!F822</s:f>
        <s:v>46247.55138888889</s:v>
      </s:c>
      <s:c r="M821" s="22">
        <s:f>'3'!F822</s:f>
        <s:v>46247.53398148148</s:v>
      </s:c>
      <s:c r="N821" s="22">
        <s:f>'4'!F822</s:f>
        <s:v>46247.48809027778</s:v>
      </s:c>
      <s:c r="O821" s="22">
        <s:f>'5'!F822</s:f>
        <s:v>46247.45974537037</s:v>
      </s:c>
      <s:c r="P821" s="22">
        <s:f>'6'!F822</s:f>
        <s:v>46247.44028935185</s:v>
      </s:c>
      <s:c r="Q821" s="22">
        <s:f>'7'!F822</s:f>
        <s:v>46247.41763888889</s:v>
      </s:c>
      <s:c r="R821" s="22">
        <s:f>'8'!F822</s:f>
        <s:v>46247.39344907407</s:v>
      </s:c>
      <s:c r="S821" s="22">
        <s:f>'9'!F822</s:f>
        <s:v>46247.37563657408</s:v>
      </s:c>
      <s:c r="T821" s="22">
        <s:f>'10'!F822</s:f>
        <s:v>46247.34641203703</s:v>
      </s:c>
      <s:c r="U821" s="23">
        <s:f>'자료구성'!$B$2</s:f>
        <s:v>46247.0</s:v>
      </s:c>
    </s:row>
    <s:row r="822">
      <s:c r="A822" s="0" t="n">
        <s:v>1563</s:v>
      </s:c>
      <s:c r="B822" s="0" t="n">
        <s:v>1144</s:v>
      </s:c>
      <s:c r="C822" s="0" t="n">
        <s:v>2178</s:v>
      </s:c>
      <s:c r="D822" s="0" t="n">
        <s:v>173</s:v>
      </s:c>
      <s:c r="E822" s="0" t="n">
        <s:v>1450</s:v>
      </s:c>
      <s:c r="F822" s="0" t="n">
        <s:v>2448</s:v>
      </s:c>
      <s:c r="G822" s="0" t="n">
        <s:v>2401</s:v>
      </s:c>
      <s:c r="H822" s="0" t="n">
        <s:v>2768</s:v>
      </s:c>
      <s:c r="I822" s="0" t="n">
        <s:v>1318</s:v>
      </s:c>
      <s:c r="J822" s="0" t="n">
        <s:v>1699</s:v>
      </s:c>
      <s:c r="K822" s="22">
        <s:f>'1'!F823</s:f>
        <s:v>46247.56966435185</s:v>
      </s:c>
      <s:c r="L822" s="22">
        <s:f>'2'!F823</s:f>
        <s:v>46247.551400462966</s:v>
      </s:c>
      <s:c r="M822" s="22">
        <s:f>'3'!F823</s:f>
        <s:v>46247.53399305556</s:v>
      </s:c>
      <s:c r="N822" s="22">
        <s:f>'4'!F823</s:f>
        <s:v>46247.48810185185</s:v>
      </s:c>
      <s:c r="O822" s="22">
        <s:f>'5'!F823</s:f>
        <s:v>46247.459756944445</s:v>
      </s:c>
      <s:c r="P822" s="22">
        <s:f>'6'!F823</s:f>
        <s:v>46247.440300925926</s:v>
      </s:c>
      <s:c r="Q822" s="22">
        <s:f>'7'!F823</s:f>
        <s:v>46247.417650462965</s:v>
      </s:c>
      <s:c r="R822" s="22">
        <s:f>'8'!F823</s:f>
        <s:v>46247.39346064815</s:v>
      </s:c>
      <s:c r="S822" s="22">
        <s:f>'9'!F823</s:f>
        <s:v>46247.37564814815</s:v>
      </s:c>
      <s:c r="T822" s="22">
        <s:f>'10'!F823</s:f>
        <s:v>46247.34642361111</s:v>
      </s:c>
      <s:c r="U822" s="23">
        <s:f>'자료구성'!$B$2</s:f>
        <s:v>46247.0</s:v>
      </s:c>
    </s:row>
    <s:row r="823">
      <s:c r="A823" s="0" t="n">
        <s:v>1600</s:v>
      </s:c>
      <s:c r="B823" s="0" t="n">
        <s:v>1141</s:v>
      </s:c>
      <s:c r="C823" s="0" t="n">
        <s:v>2215</s:v>
      </s:c>
      <s:c r="D823" s="0" t="n">
        <s:v>162</s:v>
      </s:c>
      <s:c r="E823" s="0" t="n">
        <s:v>1436</s:v>
      </s:c>
      <s:c r="F823" s="0" t="n">
        <s:v>2444</s:v>
      </s:c>
      <s:c r="G823" s="0" t="n">
        <s:v>2655</s:v>
      </s:c>
      <s:c r="H823" s="0" t="n">
        <s:v>2745</s:v>
      </s:c>
      <s:c r="I823" s="0" t="n">
        <s:v>1306</s:v>
      </s:c>
      <s:c r="J823" s="0" t="n">
        <s:v>1671</s:v>
      </s:c>
      <s:c r="K823" s="22">
        <s:f>'1'!F824</s:f>
        <s:v>46247.56967592592</s:v>
      </s:c>
      <s:c r="L823" s="22">
        <s:f>'2'!F824</s:f>
        <s:v>46247.551412037035</s:v>
      </s:c>
      <s:c r="M823" s="22">
        <s:f>'3'!F824</s:f>
        <s:v>46247.534004629626</s:v>
      </s:c>
      <s:c r="N823" s="22">
        <s:f>'4'!F824</s:f>
        <s:v>46247.48811342593</s:v>
      </s:c>
      <s:c r="O823" s="22">
        <s:f>'5'!F824</s:f>
        <s:v>46247.45976851852</s:v>
      </s:c>
      <s:c r="P823" s="22">
        <s:f>'6'!F824</s:f>
        <s:v>46247.4403125</s:v>
      </s:c>
      <s:c r="Q823" s="22">
        <s:f>'7'!F824</s:f>
        <s:v>46247.417662037034</s:v>
      </s:c>
      <s:c r="R823" s="22">
        <s:f>'8'!F824</s:f>
        <s:v>46247.393472222226</s:v>
      </s:c>
      <s:c r="S823" s="22">
        <s:f>'9'!F824</s:f>
        <s:v>46247.375659722224</s:v>
      </s:c>
      <s:c r="T823" s="22">
        <s:f>'10'!F824</s:f>
        <s:v>46247.34643518519</s:v>
      </s:c>
      <s:c r="U823" s="23">
        <s:f>'자료구성'!$B$2</s:f>
        <s:v>46247.0</s:v>
      </s:c>
    </s:row>
    <s:row r="824">
      <s:c r="A824" s="0" t="n">
        <s:v>1687</s:v>
      </s:c>
      <s:c r="B824" s="0" t="n">
        <s:v>1125</s:v>
      </s:c>
      <s:c r="C824" s="0" t="n">
        <s:v>2228</s:v>
      </s:c>
      <s:c r="D824" s="0" t="n">
        <s:v>149</s:v>
      </s:c>
      <s:c r="E824" s="0" t="n">
        <s:v>1431</s:v>
      </s:c>
      <s:c r="F824" s="0" t="n">
        <s:v>2417</s:v>
      </s:c>
      <s:c r="G824" s="0" t="n">
        <s:v>3026</s:v>
      </s:c>
      <s:c r="H824" s="0" t="n">
        <s:v>2776</s:v>
      </s:c>
      <s:c r="I824" s="0" t="n">
        <s:v>1308</s:v>
      </s:c>
      <s:c r="J824" s="0" t="n">
        <s:v>1740</s:v>
      </s:c>
      <s:c r="K824" s="22">
        <s:f>'1'!F825</s:f>
        <s:v>46247.5696875</s:v>
      </s:c>
      <s:c r="L824" s="22">
        <s:f>'2'!F825</s:f>
        <s:v>46247.55142361111</s:v>
      </s:c>
      <s:c r="M824" s="22">
        <s:f>'3'!F825</s:f>
        <s:v>46247.5340162037</s:v>
      </s:c>
      <s:c r="N824" s="22">
        <s:f>'4'!F825</s:f>
        <s:v>46247.488125</s:v>
      </s:c>
      <s:c r="O824" s="22">
        <s:f>'5'!F825</s:f>
        <s:v>46247.45978009259</s:v>
      </s:c>
      <s:c r="P824" s="22">
        <s:f>'6'!F825</s:f>
        <s:v>46247.44032407407</s:v>
      </s:c>
      <s:c r="Q824" s="22">
        <s:f>'7'!F825</s:f>
        <s:v>46247.41767361111</s:v>
      </s:c>
      <s:c r="R824" s="22">
        <s:f>'8'!F825</s:f>
        <s:v>46247.393483796295</s:v>
      </s:c>
      <s:c r="S824" s="22">
        <s:f>'9'!F825</s:f>
        <s:v>46247.37567129629</s:v>
      </s:c>
      <s:c r="T824" s="22">
        <s:f>'10'!F825</s:f>
        <s:v>46247.34644675926</s:v>
      </s:c>
      <s:c r="U824" s="23">
        <s:f>'자료구성'!$B$2</s:f>
        <s:v>46247.0</s:v>
      </s:c>
    </s:row>
    <s:row r="825">
      <s:c r="A825" s="0" t="n">
        <s:v>1777</s:v>
      </s:c>
      <s:c r="B825" s="0" t="n">
        <s:v>1117</s:v>
      </s:c>
      <s:c r="C825" s="0" t="n">
        <s:v>2247</s:v>
      </s:c>
      <s:c r="D825" s="0" t="n">
        <s:v>141</s:v>
      </s:c>
      <s:c r="E825" s="0" t="n">
        <s:v>1441</s:v>
      </s:c>
      <s:c r="F825" s="0" t="n">
        <s:v>2420</s:v>
      </s:c>
      <s:c r="G825" s="0" t="n">
        <s:v>3395</s:v>
      </s:c>
      <s:c r="H825" s="0" t="n">
        <s:v>2774</s:v>
      </s:c>
      <s:c r="I825" s="0" t="n">
        <s:v>1307</s:v>
      </s:c>
      <s:c r="J825" s="0" t="n">
        <s:v>1783</s:v>
      </s:c>
      <s:c r="K825" s="22">
        <s:f>'1'!F826</s:f>
        <s:v>46247.569699074076</s:v>
      </s:c>
      <s:c r="L825" s="22">
        <s:f>'2'!F826</s:f>
        <s:v>46247.55143518518</s:v>
      </s:c>
      <s:c r="M825" s="22">
        <s:f>'3'!F826</s:f>
        <s:v>46247.53402777778</s:v>
      </s:c>
      <s:c r="N825" s="22">
        <s:f>'4'!F826</s:f>
        <s:v>46247.48813657407</s:v>
      </s:c>
      <s:c r="O825" s="22">
        <s:f>'5'!F826</s:f>
        <s:v>46247.45979166667</s:v>
      </s:c>
      <s:c r="P825" s="22">
        <s:f>'6'!F826</s:f>
        <s:v>46247.44033564815</s:v>
      </s:c>
      <s:c r="Q825" s="22">
        <s:f>'7'!F826</s:f>
        <s:v>46247.41768518519</s:v>
      </s:c>
      <s:c r="R825" s="22">
        <s:f>'8'!F826</s:f>
        <s:v>46247.39349537037</s:v>
      </s:c>
      <s:c r="S825" s="22">
        <s:f>'9'!F826</s:f>
        <s:v>46247.37568287037</s:v>
      </s:c>
      <s:c r="T825" s="22">
        <s:f>'10'!F826</s:f>
        <s:v>46247.34645833333</s:v>
      </s:c>
      <s:c r="U825" s="23">
        <s:f>'자료구성'!$B$2</s:f>
        <s:v>46247.0</s:v>
      </s:c>
    </s:row>
    <s:row r="826">
      <s:c r="A826" s="0" t="n">
        <s:v>1830</s:v>
      </s:c>
      <s:c r="B826" s="0" t="n">
        <s:v>1207</s:v>
      </s:c>
      <s:c r="C826" s="0" t="n">
        <s:v>2225</s:v>
      </s:c>
      <s:c r="D826" s="0" t="n">
        <s:v>136</s:v>
      </s:c>
      <s:c r="E826" s="0" t="n">
        <s:v>1452</s:v>
      </s:c>
      <s:c r="F826" s="0" t="n">
        <s:v>2450</s:v>
      </s:c>
      <s:c r="G826" s="0" t="n">
        <s:v>3677</s:v>
      </s:c>
      <s:c r="H826" s="0" t="n">
        <s:v>2789</s:v>
      </s:c>
      <s:c r="I826" s="0" t="n">
        <s:v>1320</s:v>
      </s:c>
      <s:c r="J826" s="0" t="n">
        <s:v>1831</s:v>
      </s:c>
      <s:c r="K826" s="22">
        <s:f>'1'!F827</s:f>
        <s:v>46247.569710648146</s:v>
      </s:c>
      <s:c r="L826" s="22">
        <s:f>'2'!F827</s:f>
        <s:v>46247.55144675926</s:v>
      </s:c>
      <s:c r="M826" s="22">
        <s:f>'3'!F827</s:f>
        <s:v>46247.53403935185</s:v>
      </s:c>
      <s:c r="N826" s="22">
        <s:f>'4'!F827</s:f>
        <s:v>46247.48814814815</s:v>
      </s:c>
      <s:c r="O826" s="22">
        <s:f>'5'!F827</s:f>
        <s:v>46247.45980324074</s:v>
      </s:c>
      <s:c r="P826" s="22">
        <s:f>'6'!F827</s:f>
        <s:v>46247.440347222226</s:v>
      </s:c>
      <s:c r="Q826" s="22">
        <s:f>'7'!F827</s:f>
        <s:v>46247.41769675926</s:v>
      </s:c>
      <s:c r="R826" s="22">
        <s:f>'8'!F827</s:f>
        <s:v>46247.39350694444</s:v>
      </s:c>
      <s:c r="S826" s="22">
        <s:f>'9'!F827</s:f>
        <s:v>46247.37569444445</s:v>
      </s:c>
      <s:c r="T826" s="22">
        <s:f>'10'!F827</s:f>
        <s:v>46247.34646990741</s:v>
      </s:c>
      <s:c r="U826" s="23">
        <s:f>'자료구성'!$B$2</s:f>
        <s:v>46247.0</s:v>
      </s:c>
    </s:row>
    <s:row r="827">
      <s:c r="A827" s="0" t="n">
        <s:v>1872</s:v>
      </s:c>
      <s:c r="B827" s="0" t="n">
        <s:v>1258</s:v>
      </s:c>
      <s:c r="C827" s="0" t="n">
        <s:v>2128</s:v>
      </s:c>
      <s:c r="D827" s="0" t="n">
        <s:v>117</s:v>
      </s:c>
      <s:c r="E827" s="0" t="n">
        <s:v>1466</s:v>
      </s:c>
      <s:c r="F827" s="0" t="n">
        <s:v>2469</s:v>
      </s:c>
      <s:c r="G827" s="0" t="n">
        <s:v>3920</s:v>
      </s:c>
      <s:c r="H827" s="0" t="n">
        <s:v>2839</s:v>
      </s:c>
      <s:c r="I827" s="0" t="n">
        <s:v>1344</s:v>
      </s:c>
      <s:c r="J827" s="0" t="n">
        <s:v>1904</s:v>
      </s:c>
      <s:c r="K827" s="22">
        <s:f>'1'!F828</s:f>
        <s:v>46247.56972222222</s:v>
      </s:c>
      <s:c r="L827" s="22">
        <s:f>'2'!F828</s:f>
        <s:v>46247.551458333335</s:v>
      </s:c>
      <s:c r="M827" s="22">
        <s:f>'3'!F828</s:f>
        <s:v>46247.534050925926</s:v>
      </s:c>
      <s:c r="N827" s="22">
        <s:f>'4'!F828</s:f>
        <s:v>46247.48815972222</s:v>
      </s:c>
      <s:c r="O827" s="22">
        <s:f>'5'!F828</s:f>
        <s:v>46247.459814814814</s:v>
      </s:c>
      <s:c r="P827" s="22">
        <s:f>'6'!F828</s:f>
        <s:v>46247.440358796295</s:v>
      </s:c>
      <s:c r="Q827" s="22">
        <s:f>'7'!F828</s:f>
        <s:v>46247.417708333334</s:v>
      </s:c>
      <s:c r="R827" s="22">
        <s:f>'8'!F828</s:f>
        <s:v>46247.39351851852</s:v>
      </s:c>
      <s:c r="S827" s="22">
        <s:f>'9'!F828</s:f>
        <s:v>46247.375706018516</s:v>
      </s:c>
      <s:c r="T827" s="22">
        <s:f>'10'!F828</s:f>
        <s:v>46247.34648148148</s:v>
      </s:c>
      <s:c r="U827" s="23">
        <s:f>'자료구성'!$B$2</s:f>
        <s:v>46247.0</s:v>
      </s:c>
    </s:row>
    <s:row r="828">
      <s:c r="A828" s="0" t="n">
        <s:v>1894</s:v>
      </s:c>
      <s:c r="B828" s="0" t="n">
        <s:v>1307</s:v>
      </s:c>
      <s:c r="C828" s="0" t="n">
        <s:v>2064</s:v>
      </s:c>
      <s:c r="D828" s="0" t="n">
        <s:v>106</s:v>
      </s:c>
      <s:c r="E828" s="0" t="n">
        <s:v>1473</s:v>
      </s:c>
      <s:c r="F828" s="0" t="n">
        <s:v>2480</s:v>
      </s:c>
      <s:c r="G828" s="0" t="n">
        <s:v>4070</s:v>
      </s:c>
      <s:c r="H828" s="0" t="n">
        <s:v>2863</s:v>
      </s:c>
      <s:c r="I828" s="0" t="n">
        <s:v>1355</s:v>
      </s:c>
      <s:c r="J828" s="0" t="n">
        <s:v>1926</s:v>
      </s:c>
      <s:c r="K828" s="22">
        <s:f>'1'!F829</s:f>
        <s:v>46247.5697337963</s:v>
      </s:c>
      <s:c r="L828" s="22">
        <s:f>'2'!F829</s:f>
        <s:v>46247.551469907405</s:v>
      </s:c>
      <s:c r="M828" s="22">
        <s:f>'3'!F829</s:f>
        <s:v>46247.5340625</s:v>
      </s:c>
      <s:c r="N828" s="22">
        <s:f>'4'!F829</s:f>
        <s:v>46247.488171296296</s:v>
      </s:c>
      <s:c r="O828" s="22">
        <s:f>'5'!F829</s:f>
        <s:v>46247.45982638889</s:v>
      </s:c>
      <s:c r="P828" s="22">
        <s:f>'6'!F829</s:f>
        <s:v>46247.44037037037</s:v>
      </s:c>
      <s:c r="Q828" s="22">
        <s:f>'7'!F829</s:f>
        <s:v>46247.417719907404</s:v>
      </s:c>
      <s:c r="R828" s="22">
        <s:f>'8'!F829</s:f>
        <s:v>46247.393530092595</s:v>
      </s:c>
      <s:c r="S828" s="22">
        <s:f>'9'!F829</s:f>
        <s:v>46247.37571759259</s:v>
      </s:c>
      <s:c r="T828" s="22">
        <s:f>'10'!F829</s:f>
        <s:v>46247.34649305556</s:v>
      </s:c>
      <s:c r="U828" s="23">
        <s:f>'자료구성'!$B$2</s:f>
        <s:v>46247.0</s:v>
      </s:c>
    </s:row>
    <s:row r="829">
      <s:c r="A829" s="0" t="n">
        <s:v>1935</s:v>
      </s:c>
      <s:c r="B829" s="0" t="n">
        <s:v>1391</s:v>
      </s:c>
      <s:c r="C829" s="0" t="n">
        <s:v>1967</s:v>
      </s:c>
      <s:c r="D829" s="0" t="n">
        <s:v>100</s:v>
      </s:c>
      <s:c r="E829" s="0" t="n">
        <s:v>1476</s:v>
      </s:c>
      <s:c r="F829" s="0" t="n">
        <s:v>2532</s:v>
      </s:c>
      <s:c r="G829" s="0" t="n">
        <s:v>4169</s:v>
      </s:c>
      <s:c r="H829" s="0" t="n">
        <s:v>2851</s:v>
      </s:c>
      <s:c r="I829" s="0" t="n">
        <s:v>1372</s:v>
      </s:c>
      <s:c r="J829" s="0" t="n">
        <s:v>1927</s:v>
      </s:c>
      <s:c r="K829" s="22">
        <s:f>'1'!F830</s:f>
        <s:v>46247.56974537037</s:v>
      </s:c>
      <s:c r="L829" s="22">
        <s:f>'2'!F830</s:f>
        <s:v>46247.55148148148</s:v>
      </s:c>
      <s:c r="M829" s="22">
        <s:f>'3'!F830</s:f>
        <s:v>46247.53407407407</s:v>
      </s:c>
      <s:c r="N829" s="22">
        <s:f>'4'!F830</s:f>
        <s:v>46247.48818287037</s:v>
      </s:c>
      <s:c r="O829" s="22">
        <s:f>'5'!F830</s:f>
        <s:v>46247.45983796296</s:v>
      </s:c>
      <s:c r="P829" s="22">
        <s:f>'6'!F830</s:f>
        <s:v>46247.44038194444</s:v>
      </s:c>
      <s:c r="Q829" s="22">
        <s:f>'7'!F830</s:f>
        <s:v>46247.41773148148</s:v>
      </s:c>
      <s:c r="R829" s="22">
        <s:f>'8'!F830</s:f>
        <s:v>46247.393541666665</s:v>
      </s:c>
      <s:c r="S829" s="22">
        <s:f>'9'!F830</s:f>
        <s:v>46247.37572916667</s:v>
      </s:c>
      <s:c r="T829" s="22">
        <s:f>'10'!F830</s:f>
        <s:v>46247.346504629626</s:v>
      </s:c>
      <s:c r="U829" s="23">
        <s:f>'자료구성'!$B$2</s:f>
        <s:v>46247.0</s:v>
      </s:c>
    </s:row>
    <s:row r="830">
      <s:c r="A830" s="0" t="n">
        <s:v>1934</s:v>
      </s:c>
      <s:c r="B830" s="0" t="n">
        <s:v>1408</s:v>
      </s:c>
      <s:c r="C830" s="0" t="n">
        <s:v>1907</s:v>
      </s:c>
      <s:c r="D830" s="0" t="n">
        <s:v>95</s:v>
      </s:c>
      <s:c r="E830" s="0" t="n">
        <s:v>1485</s:v>
      </s:c>
      <s:c r="F830" s="0" t="n">
        <s:v>2561</s:v>
      </s:c>
      <s:c r="G830" s="0" t="n">
        <s:v>4284</s:v>
      </s:c>
      <s:c r="H830" s="0" t="n">
        <s:v>2841</s:v>
      </s:c>
      <s:c r="I830" s="0" t="n">
        <s:v>1364</s:v>
      </s:c>
      <s:c r="J830" s="0" t="n">
        <s:v>1888</s:v>
      </s:c>
      <s:c r="K830" s="22">
        <s:f>'1'!F831</s:f>
        <s:v>46247.569756944446</s:v>
      </s:c>
      <s:c r="L830" s="22">
        <s:f>'2'!F831</s:f>
        <s:v>46247.55149305556</s:v>
      </s:c>
      <s:c r="M830" s="22">
        <s:f>'3'!F831</s:f>
        <s:v>46247.53408564815</s:v>
      </s:c>
      <s:c r="N830" s="22">
        <s:f>'4'!F831</s:f>
        <s:v>46247.48819444444</s:v>
      </s:c>
      <s:c r="O830" s="22">
        <s:f>'5'!F831</s:f>
        <s:v>46247.45984953704</s:v>
      </s:c>
      <s:c r="P830" s="22">
        <s:f>'6'!F831</s:f>
        <s:v>46247.44039351852</s:v>
      </s:c>
      <s:c r="Q830" s="22">
        <s:f>'7'!F831</s:f>
        <s:v>46247.41774305556</s:v>
      </s:c>
      <s:c r="R830" s="22">
        <s:f>'8'!F831</s:f>
        <s:v>46247.39355324074</s:v>
      </s:c>
      <s:c r="S830" s="22">
        <s:f>'9'!F831</s:f>
        <s:v>46247.37574074074</s:v>
      </s:c>
      <s:c r="T830" s="22">
        <s:f>'10'!F831</s:f>
        <s:v>46247.3465162037</s:v>
      </s:c>
      <s:c r="U830" s="23">
        <s:f>'자료구성'!$B$2</s:f>
        <s:v>46247.0</s:v>
      </s:c>
    </s:row>
    <s:row r="831">
      <s:c r="A831" s="0" t="n">
        <s:v>1966</s:v>
      </s:c>
      <s:c r="B831" s="0" t="n">
        <s:v>1428</s:v>
      </s:c>
      <s:c r="C831" s="0" t="n">
        <s:v>1841</s:v>
      </s:c>
      <s:c r="D831" s="0" t="n">
        <s:v>98</s:v>
      </s:c>
      <s:c r="E831" s="0" t="n">
        <s:v>1496</s:v>
      </s:c>
      <s:c r="F831" s="0" t="n">
        <s:v>2582</s:v>
      </s:c>
      <s:c r="G831" s="0" t="n">
        <s:v>4351</s:v>
      </s:c>
      <s:c r="H831" s="0" t="n">
        <s:v>2862</s:v>
      </s:c>
      <s:c r="I831" s="0" t="n">
        <s:v>1366</s:v>
      </s:c>
      <s:c r="J831" s="0" t="n">
        <s:v>1841</s:v>
      </s:c>
      <s:c r="K831" s="22">
        <s:f>'1'!F832</s:f>
        <s:v>46247.569768518515</s:v>
      </s:c>
      <s:c r="L831" s="22">
        <s:f>'2'!F832</s:f>
        <s:v>46247.55150462963</s:v>
      </s:c>
      <s:c r="M831" s="22">
        <s:f>'3'!F832</s:f>
        <s:v>46247.534097222226</s:v>
      </s:c>
      <s:c r="N831" s="22">
        <s:f>'4'!F832</s:f>
        <s:v>46247.48820601852</s:v>
      </s:c>
      <s:c r="O831" s="22">
        <s:f>'5'!F832</s:f>
        <s:v>46247.459861111114</s:v>
      </s:c>
      <s:c r="P831" s="22">
        <s:f>'6'!F832</s:f>
        <s:v>46247.440405092595</s:v>
      </s:c>
      <s:c r="Q831" s="22">
        <s:f>'7'!F832</s:f>
        <s:v>46247.41775462963</s:v>
      </s:c>
      <s:c r="R831" s="22">
        <s:f>'8'!F832</s:f>
        <s:v>46247.39356481482</s:v>
      </s:c>
      <s:c r="S831" s="22">
        <s:f>'9'!F832</s:f>
        <s:v>46247.375752314816</s:v>
      </s:c>
      <s:c r="T831" s="22">
        <s:f>'10'!F832</s:f>
        <s:v>46247.34652777778</s:v>
      </s:c>
      <s:c r="U831" s="23">
        <s:f>'자료구성'!$B$2</s:f>
        <s:v>46247.0</s:v>
      </s:c>
    </s:row>
    <s:row r="832">
      <s:c r="A832" s="0" t="n">
        <s:v>1998</s:v>
      </s:c>
      <s:c r="B832" s="0" t="n">
        <s:v>1476</s:v>
      </s:c>
      <s:c r="C832" s="0" t="n">
        <s:v>1776</s:v>
      </s:c>
      <s:c r="D832" s="0" t="n">
        <s:v>88</s:v>
      </s:c>
      <s:c r="E832" s="0" t="n">
        <s:v>1491</s:v>
      </s:c>
      <s:c r="F832" s="0" t="n">
        <s:v>2636</s:v>
      </s:c>
      <s:c r="G832" s="0" t="n">
        <s:v>4393</s:v>
      </s:c>
      <s:c r="H832" s="0" t="n">
        <s:v>2875</s:v>
      </s:c>
      <s:c r="I832" s="0" t="n">
        <s:v>1358</s:v>
      </s:c>
      <s:c r="J832" s="0" t="n">
        <s:v>1812</s:v>
      </s:c>
      <s:c r="K832" s="22">
        <s:f>'1'!F833</s:f>
        <s:v>46247.56978009259</s:v>
      </s:c>
      <s:c r="L832" s="22">
        <s:f>'2'!F833</s:f>
        <s:v>46247.551516203705</s:v>
      </s:c>
      <s:c r="M832" s="22">
        <s:f>'3'!F833</s:f>
        <s:v>46247.534108796295</s:v>
      </s:c>
      <s:c r="N832" s="22">
        <s:f>'4'!F833</s:f>
        <s:v>46247.488217592596</s:v>
      </s:c>
      <s:c r="O832" s="22">
        <s:f>'5'!F833</s:f>
        <s:v>46247.459872685184</s:v>
      </s:c>
      <s:c r="P832" s="22">
        <s:f>'6'!F833</s:f>
        <s:v>46247.440416666665</s:v>
      </s:c>
      <s:c r="Q832" s="22">
        <s:f>'7'!F833</s:f>
        <s:v>46247.417766203704</s:v>
      </s:c>
      <s:c r="R832" s="22">
        <s:f>'8'!F833</s:f>
        <s:v>46247.39357638889</s:v>
      </s:c>
      <s:c r="S832" s="22">
        <s:f>'9'!F833</s:f>
        <s:v>46247.375763888886</s:v>
      </s:c>
      <s:c r="T832" s="22">
        <s:f>'10'!F833</s:f>
        <s:v>46247.34653935185</s:v>
      </s:c>
      <s:c r="U832" s="23">
        <s:f>'자료구성'!$B$2</s:f>
        <s:v>46247.0</s:v>
      </s:c>
    </s:row>
    <s:row r="833">
      <s:c r="A833" s="0" t="n">
        <s:v>2040</s:v>
      </s:c>
      <s:c r="B833" s="0" t="n">
        <s:v>1538</s:v>
      </s:c>
      <s:c r="C833" s="0" t="n">
        <s:v>1782</s:v>
      </s:c>
      <s:c r="D833" s="0" t="n">
        <s:v>84</s:v>
      </s:c>
      <s:c r="E833" s="0" t="n">
        <s:v>1489</s:v>
      </s:c>
      <s:c r="F833" s="0" t="n">
        <s:v>2648</s:v>
      </s:c>
      <s:c r="G833" s="0" t="n">
        <s:v>4375</s:v>
      </s:c>
      <s:c r="H833" s="0" t="n">
        <s:v>2919</s:v>
      </s:c>
      <s:c r="I833" s="0" t="n">
        <s:v>1353</s:v>
      </s:c>
      <s:c r="J833" s="0" t="n">
        <s:v>1766</s:v>
      </s:c>
      <s:c r="K833" s="22">
        <s:f>'1'!F834</s:f>
        <s:v>46247.56979166667</s:v>
      </s:c>
      <s:c r="L833" s="22">
        <s:f>'2'!F834</s:f>
        <s:v>46247.55152777778</s:v>
      </s:c>
      <s:c r="M833" s="22">
        <s:f>'3'!F834</s:f>
        <s:v>46247.53412037037</s:v>
      </s:c>
      <s:c r="N833" s="22">
        <s:f>'4'!F834</s:f>
        <s:v>46247.488229166665</s:v>
      </s:c>
      <s:c r="O833" s="22">
        <s:f>'5'!F834</s:f>
        <s:v>46247.45988425926</s:v>
      </s:c>
      <s:c r="P833" s="22">
        <s:f>'6'!F834</s:f>
        <s:v>46247.44042824074</s:v>
      </s:c>
      <s:c r="Q833" s="22">
        <s:f>'7'!F834</s:f>
        <s:v>46247.41777777778</s:v>
      </s:c>
      <s:c r="R833" s="22">
        <s:f>'8'!F834</s:f>
        <s:v>46247.393587962964</s:v>
      </s:c>
      <s:c r="S833" s="22">
        <s:f>'9'!F834</s:f>
        <s:v>46247.37577546296</s:v>
      </s:c>
      <s:c r="T833" s="22">
        <s:f>'10'!F834</s:f>
        <s:v>46247.346550925926</s:v>
      </s:c>
      <s:c r="U833" s="23">
        <s:f>'자료구성'!$B$2</s:f>
        <s:v>46247.0</s:v>
      </s:c>
    </s:row>
    <s:row r="834">
      <s:c r="A834" s="0" t="n">
        <s:v>2058</s:v>
      </s:c>
      <s:c r="B834" s="0" t="n">
        <s:v>1593</s:v>
      </s:c>
      <s:c r="C834" s="0" t="n">
        <s:v>1871</s:v>
      </s:c>
      <s:c r="D834" s="0" t="n">
        <s:v>81</s:v>
      </s:c>
      <s:c r="E834" s="0" t="n">
        <s:v>1488</s:v>
      </s:c>
      <s:c r="F834" s="0" t="n">
        <s:v>2708</s:v>
      </s:c>
      <s:c r="G834" s="0" t="n">
        <s:v>4333</s:v>
      </s:c>
      <s:c r="H834" s="0" t="n">
        <s:v>2963</s:v>
      </s:c>
      <s:c r="I834" s="0" t="n">
        <s:v>1341</s:v>
      </s:c>
      <s:c r="J834" s="0" t="n">
        <s:v>1695</s:v>
      </s:c>
      <s:c r="K834" s="22">
        <s:f>'1'!F835</s:f>
        <s:v>46247.56980324074</s:v>
      </s:c>
      <s:c r="L834" s="22">
        <s:f>'2'!F835</s:f>
        <s:v>46247.55153935185</s:v>
      </s:c>
      <s:c r="M834" s="22">
        <s:f>'3'!F835</s:f>
        <s:v>46247.53413194444</s:v>
      </s:c>
      <s:c r="N834" s="22">
        <s:f>'4'!F835</s:f>
        <s:v>46247.48824074074</s:v>
      </s:c>
      <s:c r="O834" s="22">
        <s:f>'5'!F835</s:f>
        <s:v>46247.45989583333</s:v>
      </s:c>
      <s:c r="P834" s="22">
        <s:f>'6'!F835</s:f>
        <s:v>46247.44043981482</s:v>
      </s:c>
      <s:c r="Q834" s="22">
        <s:f>'7'!F835</s:f>
        <s:v>46247.41778935185</s:v>
      </s:c>
      <s:c r="R834" s="22">
        <s:f>'8'!F835</s:f>
        <s:v>46247.393599537034</s:v>
      </s:c>
      <s:c r="S834" s="22">
        <s:f>'9'!F835</s:f>
        <s:v>46247.37578703704</s:v>
      </s:c>
      <s:c r="T834" s="22">
        <s:f>'10'!F835</s:f>
        <s:v>46247.3465625</s:v>
      </s:c>
      <s:c r="U834" s="23">
        <s:f>'자료구성'!$B$2</s:f>
        <s:v>46247.0</s:v>
      </s:c>
    </s:row>
    <s:row r="835">
      <s:c r="A835" s="0" t="n">
        <s:v>2036</s:v>
      </s:c>
      <s:c r="B835" s="0" t="n">
        <s:v>1646</s:v>
      </s:c>
      <s:c r="C835" s="0" t="n">
        <s:v>1876</s:v>
      </s:c>
      <s:c r="D835" s="0" t="n">
        <s:v>78</s:v>
      </s:c>
      <s:c r="E835" s="0" t="n">
        <s:v>1480</s:v>
      </s:c>
      <s:c r="F835" s="0" t="n">
        <s:v>2759</s:v>
      </s:c>
      <s:c r="G835" s="0" t="n">
        <s:v>4365</s:v>
      </s:c>
      <s:c r="H835" s="0" t="n">
        <s:v>2978</s:v>
      </s:c>
      <s:c r="I835" s="0" t="n">
        <s:v>1359</s:v>
      </s:c>
      <s:c r="J835" s="0" t="n">
        <s:v>1605</s:v>
      </s:c>
      <s:c r="K835" s="22">
        <s:f>'1'!F836</s:f>
        <s:v>46247.569814814815</s:v>
      </s:c>
      <s:c r="L835" s="22">
        <s:f>'2'!F836</s:f>
        <s:v>46247.55155092593</s:v>
      </s:c>
      <s:c r="M835" s="22">
        <s:f>'3'!F836</s:f>
        <s:v>46247.53414351852</s:v>
      </s:c>
      <s:c r="N835" s="22">
        <s:f>'4'!F836</s:f>
        <s:v>46247.48825231481</s:v>
      </s:c>
      <s:c r="O835" s="22">
        <s:f>'5'!F836</s:f>
        <s:v>46247.45990740741</s:v>
      </s:c>
      <s:c r="P835" s="22">
        <s:f>'6'!F836</s:f>
        <s:v>46247.44045138889</s:v>
      </s:c>
      <s:c r="Q835" s="22">
        <s:f>'7'!F836</s:f>
        <s:v>46247.41780092593</s:v>
      </s:c>
      <s:c r="R835" s="22">
        <s:f>'8'!F836</s:f>
        <s:v>46247.39361111111</s:v>
      </s:c>
      <s:c r="S835" s="22">
        <s:f>'9'!F836</s:f>
        <s:v>46247.37579861111</s:v>
      </s:c>
      <s:c r="T835" s="22">
        <s:f>'10'!F836</s:f>
        <s:v>46247.34657407407</s:v>
      </s:c>
      <s:c r="U835" s="23">
        <s:f>'자료구성'!$B$2</s:f>
        <s:v>46247.0</s:v>
      </s:c>
    </s:row>
    <s:row r="836">
      <s:c r="A836" s="0" t="n">
        <s:v>2019</s:v>
      </s:c>
      <s:c r="B836" s="0" t="n">
        <s:v>1685</s:v>
      </s:c>
      <s:c r="C836" s="0" t="n">
        <s:v>1834</s:v>
      </s:c>
      <s:c r="D836" s="0" t="n">
        <s:v>78</s:v>
      </s:c>
      <s:c r="E836" s="0" t="n">
        <s:v>1477</s:v>
      </s:c>
      <s:c r="F836" s="0" t="n">
        <s:v>2753</s:v>
      </s:c>
      <s:c r="G836" s="0" t="n">
        <s:v>4527</s:v>
      </s:c>
      <s:c r="H836" s="0" t="n">
        <s:v>2961</s:v>
      </s:c>
      <s:c r="I836" s="0" t="n">
        <s:v>1430</s:v>
      </s:c>
      <s:c r="J836" s="0" t="n">
        <s:v>1530</s:v>
      </s:c>
      <s:c r="K836" s="22">
        <s:f>'1'!F837</s:f>
        <s:v>46247.56982638889</s:v>
      </s:c>
      <s:c r="L836" s="22">
        <s:f>'2'!F837</s:f>
        <s:v>46247.5515625</s:v>
      </s:c>
      <s:c r="M836" s="22">
        <s:f>'3'!F837</s:f>
        <s:v>46247.534155092595</s:v>
      </s:c>
      <s:c r="N836" s="22">
        <s:f>'4'!F837</s:f>
        <s:v>46247.48826388889</s:v>
      </s:c>
      <s:c r="O836" s="22">
        <s:f>'5'!F837</s:f>
        <s:v>46247.45991898148</s:v>
      </s:c>
      <s:c r="P836" s="22">
        <s:f>'6'!F837</s:f>
        <s:v>46247.440462962964</s:v>
      </s:c>
      <s:c r="Q836" s="22">
        <s:f>'7'!F837</s:f>
        <s:v>46247.4178125</s:v>
      </s:c>
      <s:c r="R836" s="22">
        <s:f>'8'!F837</s:f>
        <s:v>46247.39362268519</s:v>
      </s:c>
      <s:c r="S836" s="22">
        <s:f>'9'!F837</s:f>
        <s:v>46247.375810185185</s:v>
      </s:c>
      <s:c r="T836" s="22">
        <s:f>'10'!F837</s:f>
        <s:v>46247.34658564815</s:v>
      </s:c>
      <s:c r="U836" s="23">
        <s:f>'자료구성'!$B$2</s:f>
        <s:v>46247.0</s:v>
      </s:c>
    </s:row>
    <s:row r="837">
      <s:c r="A837" s="0" t="n">
        <s:v>2023</s:v>
      </s:c>
      <s:c r="B837" s="0" t="n">
        <s:v>1674</s:v>
      </s:c>
      <s:c r="C837" s="0" t="n">
        <s:v>1797</s:v>
      </s:c>
      <s:c r="D837" s="0" t="n">
        <s:v>74</s:v>
      </s:c>
      <s:c r="E837" s="0" t="n">
        <s:v>1467</s:v>
      </s:c>
      <s:c r="F837" s="0" t="n">
        <s:v>2728</s:v>
      </s:c>
      <s:c r="G837" s="0" t="n">
        <s:v>4703</s:v>
      </s:c>
      <s:c r="H837" s="0" t="n">
        <s:v>2948</s:v>
      </s:c>
      <s:c r="I837" s="0" t="n">
        <s:v>1455</s:v>
      </s:c>
      <s:c r="J837" s="0" t="n">
        <s:v>1475</s:v>
      </s:c>
      <s:c r="K837" s="22">
        <s:f>'1'!F838</s:f>
        <s:v>46247.56983796296</s:v>
      </s:c>
      <s:c r="L837" s="22">
        <s:f>'2'!F838</s:f>
        <s:v>46247.551574074074</s:v>
      </s:c>
      <s:c r="M837" s="22">
        <s:f>'3'!F838</s:f>
        <s:v>46247.534166666665</s:v>
      </s:c>
      <s:c r="N837" s="22">
        <s:f>'4'!F838</s:f>
        <s:v>46247.488275462965</s:v>
      </s:c>
      <s:c r="O837" s="22">
        <s:f>'5'!F838</s:f>
        <s:v>46247.45993055555</s:v>
      </s:c>
      <s:c r="P837" s="22">
        <s:f>'6'!F838</s:f>
        <s:v>46247.440474537034</s:v>
      </s:c>
      <s:c r="Q837" s="22">
        <s:f>'7'!F838</s:f>
        <s:v>46247.41782407407</s:v>
      </s:c>
      <s:c r="R837" s="22">
        <s:f>'8'!F838</s:f>
        <s:v>46247.39363425926</s:v>
      </s:c>
      <s:c r="S837" s="22">
        <s:f>'9'!F838</s:f>
        <s:v>46247.37582175926</s:v>
      </s:c>
      <s:c r="T837" s="22">
        <s:f>'10'!F838</s:f>
        <s:v>46247.346597222226</s:v>
      </s:c>
      <s:c r="U837" s="23">
        <s:f>'자료구성'!$B$2</s:f>
        <s:v>46247.0</s:v>
      </s:c>
    </s:row>
    <s:row r="838">
      <s:c r="A838" s="0" t="n">
        <s:v>2017</s:v>
      </s:c>
      <s:c r="B838" s="0" t="n">
        <s:v>1660</s:v>
      </s:c>
      <s:c r="C838" s="0" t="n">
        <s:v>1720</s:v>
      </s:c>
      <s:c r="D838" s="0" t="n">
        <s:v>76</s:v>
      </s:c>
      <s:c r="E838" s="0" t="n">
        <s:v>1487</s:v>
      </s:c>
      <s:c r="F838" s="0" t="n">
        <s:v>2708</s:v>
      </s:c>
      <s:c r="G838" s="0" t="n">
        <s:v>4792</s:v>
      </s:c>
      <s:c r="H838" s="0" t="n">
        <s:v>2930</s:v>
      </s:c>
      <s:c r="I838" s="0" t="n">
        <s:v>1439</s:v>
      </s:c>
      <s:c r="J838" s="0" t="n">
        <s:v>1454</s:v>
      </s:c>
      <s:c r="K838" s="22">
        <s:f>'1'!F839</s:f>
        <s:v>46247.56984953704</s:v>
      </s:c>
      <s:c r="L838" s="22">
        <s:f>'2'!F839</s:f>
        <s:v>46247.55158564815</s:v>
      </s:c>
      <s:c r="M838" s="22">
        <s:f>'3'!F839</s:f>
        <s:v>46247.53417824074</s:v>
      </s:c>
      <s:c r="N838" s="22">
        <s:f>'4'!F839</s:f>
        <s:v>46247.488287037035</s:v>
      </s:c>
      <s:c r="O838" s="22">
        <s:f>'5'!F839</s:f>
        <s:v>46247.45994212963</s:v>
      </s:c>
      <s:c r="P838" s="22">
        <s:f>'6'!F839</s:f>
        <s:v>46247.44048611111</s:v>
      </s:c>
      <s:c r="Q838" s="22">
        <s:f>'7'!F839</s:f>
        <s:v>46247.41783564815</s:v>
      </s:c>
      <s:c r="R838" s="22">
        <s:f>'8'!F839</s:f>
        <s:v>46247.393645833334</s:v>
      </s:c>
      <s:c r="S838" s="22">
        <s:f>'9'!F839</s:f>
        <s:v>46247.37583333333</s:v>
      </s:c>
      <s:c r="T838" s="22">
        <s:f>'10'!F839</s:f>
        <s:v>46247.346608796295</s:v>
      </s:c>
      <s:c r="U838" s="23">
        <s:f>'자료구성'!$B$2</s:f>
        <s:v>46247.0</s:v>
      </s:c>
    </s:row>
    <s:row r="839">
      <s:c r="A839" s="0" t="n">
        <s:v>2071</s:v>
      </s:c>
      <s:c r="B839" s="0" t="n">
        <s:v>1636</s:v>
      </s:c>
      <s:c r="C839" s="0" t="n">
        <s:v>1642</s:v>
      </s:c>
      <s:c r="D839" s="0" t="n">
        <s:v>72</s:v>
      </s:c>
      <s:c r="E839" s="0" t="n">
        <s:v>1495</s:v>
      </s:c>
      <s:c r="F839" s="0" t="n">
        <s:v>2686</s:v>
      </s:c>
      <s:c r="G839" s="0" t="n">
        <s:v>5032</s:v>
      </s:c>
      <s:c r="H839" s="0" t="n">
        <s:v>2910</s:v>
      </s:c>
      <s:c r="I839" s="0" t="n">
        <s:v>1440</s:v>
      </s:c>
      <s:c r="J839" s="0" t="n">
        <s:v>1454</s:v>
      </s:c>
      <s:c r="K839" s="22">
        <s:f>'1'!F840</s:f>
        <s:v>46247.569861111115</s:v>
      </s:c>
      <s:c r="L839" s="22">
        <s:f>'2'!F840</s:f>
        <s:v>46247.55159722222</s:v>
      </s:c>
      <s:c r="M839" s="22">
        <s:f>'3'!F840</s:f>
        <s:v>46247.53418981482</s:v>
      </s:c>
      <s:c r="N839" s="22">
        <s:f>'4'!F840</s:f>
        <s:v>46247.48829861111</s:v>
      </s:c>
      <s:c r="O839" s="22">
        <s:f>'5'!F840</s:f>
        <s:v>46247.45995370371</s:v>
      </s:c>
      <s:c r="P839" s="22">
        <s:f>'6'!F840</s:f>
        <s:v>46247.44049768519</s:v>
      </s:c>
      <s:c r="Q839" s="22">
        <s:f>'7'!F840</s:f>
        <s:v>46247.41784722222</s:v>
      </s:c>
      <s:c r="R839" s="22">
        <s:f>'8'!F840</s:f>
        <s:v>46247.39365740741</s:v>
      </s:c>
      <s:c r="S839" s="22">
        <s:f>'9'!F840</s:f>
        <s:v>46247.37584490741</s:v>
      </s:c>
      <s:c r="T839" s="22">
        <s:f>'10'!F840</s:f>
        <s:v>46247.34662037037</s:v>
      </s:c>
      <s:c r="U839" s="23">
        <s:f>'자료구성'!$B$2</s:f>
        <s:v>46247.0</s:v>
      </s:c>
    </s:row>
    <s:row r="840">
      <s:c r="A840" s="0" t="n">
        <s:v>2108</s:v>
      </s:c>
      <s:c r="B840" s="0" t="n">
        <s:v>1630</s:v>
      </s:c>
      <s:c r="C840" s="0" t="n">
        <s:v>1573</s:v>
      </s:c>
      <s:c r="D840" s="0" t="n">
        <s:v>69</s:v>
      </s:c>
      <s:c r="E840" s="0" t="n">
        <s:v>1513</s:v>
      </s:c>
      <s:c r="F840" s="0" t="n">
        <s:v>2645</s:v>
      </s:c>
      <s:c r="G840" s="0" t="n">
        <s:v>5273</s:v>
      </s:c>
      <s:c r="H840" s="0" t="n">
        <s:v>2894</s:v>
      </s:c>
      <s:c r="I840" s="0" t="n">
        <s:v>1448</s:v>
      </s:c>
      <s:c r="J840" s="0" t="n">
        <s:v>1401</s:v>
      </s:c>
      <s:c r="K840" s="22">
        <s:f>'1'!F841</s:f>
        <s:v>46247.569872685184</s:v>
      </s:c>
      <s:c r="L840" s="22">
        <s:f>'2'!F841</s:f>
        <s:v>46247.5516087963</s:v>
      </s:c>
      <s:c r="M840" s="22">
        <s:f>'3'!F841</s:f>
        <s:v>46247.53420138889</s:v>
      </s:c>
      <s:c r="N840" s="22">
        <s:f>'4'!F841</s:f>
        <s:v>46247.48831018519</s:v>
      </s:c>
      <s:c r="O840" s="22">
        <s:f>'5'!F841</s:f>
        <s:v>46247.459965277776</s:v>
      </s:c>
      <s:c r="P840" s="22">
        <s:f>'6'!F841</s:f>
        <s:v>46247.44050925926</s:v>
      </s:c>
      <s:c r="Q840" s="22">
        <s:f>'7'!F841</s:f>
        <s:v>46247.417858796296</s:v>
      </s:c>
      <s:c r="R840" s="22">
        <s:f>'8'!F841</s:f>
        <s:v>46247.39366898148</s:v>
      </s:c>
      <s:c r="S840" s="22">
        <s:f>'9'!F841</s:f>
        <s:v>46247.37585648148</s:v>
      </s:c>
      <s:c r="T840" s="22">
        <s:f>'10'!F841</s:f>
        <s:v>46247.34663194444</s:v>
      </s:c>
      <s:c r="U840" s="23">
        <s:f>'자료구성'!$B$2</s:f>
        <s:v>46247.0</s:v>
      </s:c>
    </s:row>
    <s:row r="841">
      <s:c r="A841" s="0" t="n">
        <s:v>2156</s:v>
      </s:c>
      <s:c r="B841" s="0" t="n">
        <s:v>1593</s:v>
      </s:c>
      <s:c r="C841" s="0" t="n">
        <s:v>1528</s:v>
      </s:c>
      <s:c r="D841" s="0" t="n">
        <s:v>84</s:v>
      </s:c>
      <s:c r="E841" s="0" t="n">
        <s:v>1530</s:v>
      </s:c>
      <s:c r="F841" s="0" t="n">
        <s:v>2614</s:v>
      </s:c>
      <s:c r="G841" s="0" t="n">
        <s:v>5378</s:v>
      </s:c>
      <s:c r="H841" s="0" t="n">
        <s:v>2899</s:v>
      </s:c>
      <s:c r="I841" s="0" t="n">
        <s:v>1460</s:v>
      </s:c>
      <s:c r="J841" s="0" t="n">
        <s:v>1350</s:v>
      </s:c>
      <s:c r="K841" s="22">
        <s:f>'1'!F842</s:f>
        <s:v>46247.56988425926</s:v>
      </s:c>
      <s:c r="L841" s="22">
        <s:f>'2'!F842</s:f>
        <s:v>46247.551620370374</s:v>
      </s:c>
      <s:c r="M841" s="22">
        <s:f>'3'!F842</s:f>
        <s:v>46247.534212962964</s:v>
      </s:c>
      <s:c r="N841" s="22">
        <s:f>'4'!F842</s:f>
        <s:v>46247.48832175926</s:v>
      </s:c>
      <s:c r="O841" s="22">
        <s:f>'5'!F842</s:f>
        <s:v>46247.45997685185</s:v>
      </s:c>
      <s:c r="P841" s="22">
        <s:f>'6'!F842</s:f>
        <s:v>46247.440520833334</s:v>
      </s:c>
      <s:c r="Q841" s="22">
        <s:f>'7'!F842</s:f>
        <s:v>46247.41787037037</s:v>
      </s:c>
      <s:c r="R841" s="22">
        <s:f>'8'!F842</s:f>
        <s:v>46247.39368055556</s:v>
      </s:c>
      <s:c r="S841" s="22">
        <s:f>'9'!F842</s:f>
        <s:v>46247.375868055555</s:v>
      </s:c>
      <s:c r="T841" s="22">
        <s:f>'10'!F842</s:f>
        <s:v>46247.34664351852</s:v>
      </s:c>
      <s:c r="U841" s="23">
        <s:f>'자료구성'!$B$2</s:f>
        <s:v>46247.0</s:v>
      </s:c>
    </s:row>
    <s:row r="842">
      <s:c r="A842" s="0" t="n">
        <s:v>2160</s:v>
      </s:c>
      <s:c r="B842" s="0" t="n">
        <s:v>1560</s:v>
      </s:c>
      <s:c r="C842" s="0" t="n">
        <s:v>1479</s:v>
      </s:c>
      <s:c r="D842" s="0" t="n">
        <s:v>71</s:v>
      </s:c>
      <s:c r="E842" s="0" t="n">
        <s:v>1546</s:v>
      </s:c>
      <s:c r="F842" s="0" t="n">
        <s:v>2625</s:v>
      </s:c>
      <s:c r="G842" s="0" t="n">
        <s:v>5458</s:v>
      </s:c>
      <s:c r="H842" s="0" t="n">
        <s:v>2910</s:v>
      </s:c>
      <s:c r="I842" s="0" t="n">
        <s:v>1469</s:v>
      </s:c>
      <s:c r="J842" s="0" t="n">
        <s:v>1314</s:v>
      </s:c>
      <s:c r="K842" s="22">
        <s:f>'1'!F843</s:f>
        <s:v>46247.56989583333</s:v>
      </s:c>
      <s:c r="L842" s="22">
        <s:f>'2'!F843</s:f>
        <s:v>46247.55163194444</s:v>
      </s:c>
      <s:c r="M842" s="22">
        <s:f>'3'!F843</s:f>
        <s:v>46247.534224537034</s:v>
      </s:c>
      <s:c r="N842" s="22">
        <s:f>'4'!F843</s:f>
        <s:v>46247.488333333335</s:v>
      </s:c>
      <s:c r="O842" s="22">
        <s:f>'5'!F843</s:f>
        <s:v>46247.45998842592</s:v>
      </s:c>
      <s:c r="P842" s="22">
        <s:f>'6'!F843</s:f>
        <s:v>46247.44053240741</s:v>
      </s:c>
      <s:c r="Q842" s="22">
        <s:f>'7'!F843</s:f>
        <s:v>46247.41788194444</s:v>
      </s:c>
      <s:c r="R842" s="22">
        <s:f>'8'!F843</s:f>
        <s:v>46247.393692129626</s:v>
      </s:c>
      <s:c r="S842" s="22">
        <s:f>'9'!F843</s:f>
        <s:v>46247.37587962963</s:v>
      </s:c>
      <s:c r="T842" s="22">
        <s:f>'10'!F843</s:f>
        <s:v>46247.346655092595</s:v>
      </s:c>
      <s:c r="U842" s="23">
        <s:f>'자료구성'!$B$2</s:f>
        <s:v>46247.0</s:v>
      </s:c>
    </s:row>
    <s:row r="843">
      <s:c r="A843" s="0" t="n">
        <s:v>2162</s:v>
      </s:c>
      <s:c r="B843" s="0" t="n">
        <s:v>1559</s:v>
      </s:c>
      <s:c r="C843" s="0" t="n">
        <s:v>1425</s:v>
      </s:c>
      <s:c r="D843" s="0" t="n">
        <s:v>77</s:v>
      </s:c>
      <s:c r="E843" s="0" t="n">
        <s:v>1568</s:v>
      </s:c>
      <s:c r="F843" s="0" t="n">
        <s:v>2718</s:v>
      </s:c>
      <s:c r="G843" s="0" t="n">
        <s:v>5476</s:v>
      </s:c>
      <s:c r="H843" s="0" t="n">
        <s:v>2907</s:v>
      </s:c>
      <s:c r="I843" s="0" t="n">
        <s:v>1457</s:v>
      </s:c>
      <s:c r="J843" s="0" t="n">
        <s:v>1301</s:v>
      </s:c>
      <s:c r="K843" s="22">
        <s:f>'1'!F844</s:f>
        <s:v>46247.56990740741</s:v>
      </s:c>
      <s:c r="L843" s="22">
        <s:f>'2'!F844</s:f>
        <s:v>46247.55164351852</s:v>
      </s:c>
      <s:c r="M843" s="22">
        <s:f>'3'!F844</s:f>
        <s:v>46247.53423611111</s:v>
      </s:c>
      <s:c r="N843" s="22">
        <s:f>'4'!F844</s:f>
        <s:v>46247.488344907404</s:v>
      </s:c>
      <s:c r="O843" s="22">
        <s:f>'5'!F844</s:f>
        <s:v>46247.46</s:v>
      </s:c>
      <s:c r="P843" s="22">
        <s:f>'6'!F844</s:f>
        <s:v>46247.44054398148</s:v>
      </s:c>
      <s:c r="Q843" s="22">
        <s:f>'7'!F844</s:f>
        <s:v>46247.41789351852</s:v>
      </s:c>
      <s:c r="R843" s="22">
        <s:f>'8'!F844</s:f>
        <s:v>46247.3937037037</s:v>
      </s:c>
      <s:c r="S843" s="22">
        <s:f>'9'!F844</s:f>
        <s:v>46247.3758912037</s:v>
      </s:c>
      <s:c r="T843" s="22">
        <s:f>'10'!F844</s:f>
        <s:v>46247.346666666665</s:v>
      </s:c>
      <s:c r="U843" s="23">
        <s:f>'자료구성'!$B$2</s:f>
        <s:v>46247.0</s:v>
      </s:c>
    </s:row>
    <s:row r="844">
      <s:c r="A844" s="0" t="n">
        <s:v>2143</s:v>
      </s:c>
      <s:c r="B844" s="0" t="n">
        <s:v>1554</s:v>
      </s:c>
      <s:c r="C844" s="0" t="n">
        <s:v>1362</s:v>
      </s:c>
      <s:c r="D844" s="0" t="n">
        <s:v>74</s:v>
      </s:c>
      <s:c r="E844" s="0" t="n">
        <s:v>1576</s:v>
      </s:c>
      <s:c r="F844" s="0" t="n">
        <s:v>2755</s:v>
      </s:c>
      <s:c r="G844" s="0" t="n">
        <s:v>5340</s:v>
      </s:c>
      <s:c r="H844" s="0" t="n">
        <s:v>2922</s:v>
      </s:c>
      <s:c r="I844" s="0" t="n">
        <s:v>1502</s:v>
      </s:c>
      <s:c r="J844" s="0" t="n">
        <s:v>1269</s:v>
      </s:c>
      <s:c r="K844" s="22">
        <s:f>'1'!F845</s:f>
        <s:v>46247.569918981484</s:v>
      </s:c>
      <s:c r="L844" s="22">
        <s:f>'2'!F845</s:f>
        <s:v>46247.55165509259</s:v>
      </s:c>
      <s:c r="M844" s="22">
        <s:f>'3'!F845</s:f>
        <s:v>46247.53424768519</s:v>
      </s:c>
      <s:c r="N844" s="22">
        <s:f>'4'!F845</s:f>
        <s:v>46247.48835648148</s:v>
      </s:c>
      <s:c r="O844" s="22">
        <s:f>'5'!F845</s:f>
        <s:v>46247.460011574076</s:v>
      </s:c>
      <s:c r="P844" s="22">
        <s:f>'6'!F845</s:f>
        <s:v>46247.44055555556</s:v>
      </s:c>
      <s:c r="Q844" s="22">
        <s:f>'7'!F845</s:f>
        <s:v>46247.417905092596</s:v>
      </s:c>
      <s:c r="R844" s="22">
        <s:f>'8'!F845</s:f>
        <s:v>46247.39371527778</s:v>
      </s:c>
      <s:c r="S844" s="22">
        <s:f>'9'!F845</s:f>
        <s:v>46247.37590277778</s:v>
      </s:c>
      <s:c r="T844" s="22">
        <s:f>'10'!F845</s:f>
        <s:v>46247.34667824074</s:v>
      </s:c>
      <s:c r="U844" s="23">
        <s:f>'자료구성'!$B$2</s:f>
        <s:v>46247.0</s:v>
      </s:c>
    </s:row>
    <s:row r="845">
      <s:c r="A845" s="0" t="n">
        <s:v>2125</s:v>
      </s:c>
      <s:c r="B845" s="0" t="n">
        <s:v>1563</s:v>
      </s:c>
      <s:c r="C845" s="0" t="n">
        <s:v>1322</s:v>
      </s:c>
      <s:c r="D845" s="0" t="n">
        <s:v>82</s:v>
      </s:c>
      <s:c r="E845" s="0" t="n">
        <s:v>1594</s:v>
      </s:c>
      <s:c r="F845" s="0" t="n">
        <s:v>2789</s:v>
      </s:c>
      <s:c r="G845" s="0" t="n">
        <s:v>5207</s:v>
      </s:c>
      <s:c r="H845" s="0" t="n">
        <s:v>2929</s:v>
      </s:c>
      <s:c r="I845" s="0" t="n">
        <s:v>1509</s:v>
      </s:c>
      <s:c r="J845" s="0" t="n">
        <s:v>1241</s:v>
      </s:c>
      <s:c r="K845" s="22">
        <s:f>'1'!F846</s:f>
        <s:v>46247.56993055555</s:v>
      </s:c>
      <s:c r="L845" s="22">
        <s:f>'2'!F846</s:f>
        <s:v>46247.551666666666</s:v>
      </s:c>
      <s:c r="M845" s="22">
        <s:f>'3'!F846</s:f>
        <s:v>46247.53425925926</s:v>
      </s:c>
      <s:c r="N845" s="22">
        <s:f>'4'!F846</s:f>
        <s:v>46247.48836805556</s:v>
      </s:c>
      <s:c r="O845" s="22">
        <s:f>'5'!F846</s:f>
        <s:v>46247.460023148145</s:v>
      </s:c>
      <s:c r="P845" s="22">
        <s:f>'6'!F846</s:f>
        <s:v>46247.440567129626</s:v>
      </s:c>
      <s:c r="Q845" s="22">
        <s:f>'7'!F846</s:f>
        <s:v>46247.417916666665</s:v>
      </s:c>
      <s:c r="R845" s="22">
        <s:f>'8'!F846</s:f>
        <s:v>46247.39372685185</s:v>
      </s:c>
      <s:c r="S845" s="22">
        <s:f>'9'!F846</s:f>
        <s:v>46247.375914351855</s:v>
      </s:c>
      <s:c r="T845" s="22">
        <s:f>'10'!F846</s:f>
        <s:v>46247.34668981482</s:v>
      </s:c>
      <s:c r="U845" s="23">
        <s:f>'자료구성'!$B$2</s:f>
        <s:v>46247.0</s:v>
      </s:c>
    </s:row>
    <s:row r="846">
      <s:c r="A846" s="0" t="n">
        <s:v>2121</s:v>
      </s:c>
      <s:c r="B846" s="0" t="n">
        <s:v>1610</s:v>
      </s:c>
      <s:c r="C846" s="0" t="n">
        <s:v>1294</s:v>
      </s:c>
      <s:c r="D846" s="0" t="n">
        <s:v>83</s:v>
      </s:c>
      <s:c r="E846" s="0" t="n">
        <s:v>1605</s:v>
      </s:c>
      <s:c r="F846" s="0" t="n">
        <s:v>2760</s:v>
      </s:c>
      <s:c r="G846" s="0" t="n">
        <s:v>5268</s:v>
      </s:c>
      <s:c r="H846" s="0" t="n">
        <s:v>2926</s:v>
      </s:c>
      <s:c r="I846" s="0" t="n">
        <s:v>1504</s:v>
      </s:c>
      <s:c r="J846" s="0" t="n">
        <s:v>1241</s:v>
      </s:c>
      <s:c r="K846" s="22">
        <s:f>'1'!F847</s:f>
        <s:v>46247.56994212963</s:v>
      </s:c>
      <s:c r="L846" s="22">
        <s:f>'2'!F847</s:f>
        <s:v>46247.55167824074</s:v>
      </s:c>
      <s:c r="M846" s="22">
        <s:f>'3'!F847</s:f>
        <s:v>46247.534270833334</s:v>
      </s:c>
      <s:c r="N846" s="22">
        <s:f>'4'!F847</s:f>
        <s:v>46247.48837962963</s:v>
      </s:c>
      <s:c r="O846" s="22">
        <s:f>'5'!F847</s:f>
        <s:v>46247.46003472222</s:v>
      </s:c>
      <s:c r="P846" s="22">
        <s:f>'6'!F847</s:f>
        <s:v>46247.4405787037</s:v>
      </s:c>
      <s:c r="Q846" s="22">
        <s:f>'7'!F847</s:f>
        <s:v>46247.41792824074</s:v>
      </s:c>
      <s:c r="R846" s="22">
        <s:f>'8'!F847</s:f>
        <s:v>46247.393738425926</s:v>
      </s:c>
      <s:c r="S846" s="22">
        <s:f>'9'!F847</s:f>
        <s:v>46247.375925925924</s:v>
      </s:c>
      <s:c r="T846" s="22">
        <s:f>'10'!F847</s:f>
        <s:v>46247.34670138889</s:v>
      </s:c>
      <s:c r="U846" s="23">
        <s:f>'자료구성'!$B$2</s:f>
        <s:v>46247.0</s:v>
      </s:c>
    </s:row>
    <s:row r="847">
      <s:c r="A847" s="0" t="n">
        <s:v>2101</s:v>
      </s:c>
      <s:c r="B847" s="0" t="n">
        <s:v>1656</s:v>
      </s:c>
      <s:c r="C847" s="0" t="n">
        <s:v>1264</s:v>
      </s:c>
      <s:c r="D847" s="0" t="n">
        <s:v>85</s:v>
      </s:c>
      <s:c r="E847" s="0" t="n">
        <s:v>1608</s:v>
      </s:c>
      <s:c r="F847" s="0" t="n">
        <s:v>2819</s:v>
      </s:c>
      <s:c r="G847" s="0" t="n">
        <s:v>5192</s:v>
      </s:c>
      <s:c r="H847" s="0" t="n">
        <s:v>2912</s:v>
      </s:c>
      <s:c r="I847" s="0" t="n">
        <s:v>1505</s:v>
      </s:c>
      <s:c r="J847" s="0" t="n">
        <s:v>1262</s:v>
      </s:c>
      <s:c r="K847" s="22">
        <s:f>'1'!F848</s:f>
        <s:v>46247.56995370371</s:v>
      </s:c>
      <s:c r="L847" s="22">
        <s:f>'2'!F848</s:f>
        <s:v>46247.55168981481</s:v>
      </s:c>
      <s:c r="M847" s="22">
        <s:f>'3'!F848</s:f>
        <s:v>46247.53428240741</s:v>
      </s:c>
      <s:c r="N847" s="22">
        <s:f>'4'!F848</s:f>
        <s:v>46247.488391203704</s:v>
      </s:c>
      <s:c r="O847" s="22">
        <s:f>'5'!F848</s:f>
        <s:v>46247.4600462963</s:v>
      </s:c>
      <s:c r="P847" s="22">
        <s:f>'6'!F848</s:f>
        <s:v>46247.44059027778</s:v>
      </s:c>
      <s:c r="Q847" s="22">
        <s:f>'7'!F848</s:f>
        <s:v>46247.41793981481</s:v>
      </s:c>
      <s:c r="R847" s="22">
        <s:f>'8'!F848</s:f>
        <s:v>46247.39375</s:v>
      </s:c>
      <s:c r="S847" s="22">
        <s:f>'9'!F848</s:f>
        <s:v>46247.3759375</s:v>
      </s:c>
      <s:c r="T847" s="22">
        <s:f>'10'!F848</s:f>
        <s:v>46247.346712962964</s:v>
      </s:c>
      <s:c r="U847" s="23">
        <s:f>'자료구성'!$B$2</s:f>
        <s:v>46247.0</s:v>
      </s:c>
    </s:row>
    <s:row r="848">
      <s:c r="A848" s="0" t="n">
        <s:v>2090</s:v>
      </s:c>
      <s:c r="B848" s="0" t="n">
        <s:v>1686</s:v>
      </s:c>
      <s:c r="C848" s="0" t="n">
        <s:v>1237</s:v>
      </s:c>
      <s:c r="D848" s="0" t="n">
        <s:v>92</s:v>
      </s:c>
      <s:c r="E848" s="0" t="n">
        <s:v>1604</s:v>
      </s:c>
      <s:c r="F848" s="0" t="n">
        <s:v>2897</s:v>
      </s:c>
      <s:c r="G848" s="0" t="n">
        <s:v>5010</s:v>
      </s:c>
      <s:c r="H848" s="0" t="n">
        <s:v>2931</s:v>
      </s:c>
      <s:c r="I848" s="0" t="n">
        <s:v>1499</s:v>
      </s:c>
      <s:c r="J848" s="0" t="n">
        <s:v>1296</s:v>
      </s:c>
      <s:c r="K848" s="22">
        <s:f>'1'!F849</s:f>
        <s:v>46247.56996527778</s:v>
      </s:c>
      <s:c r="L848" s="22">
        <s:f>'2'!F849</s:f>
        <s:v>46247.55170138889</s:v>
      </s:c>
      <s:c r="M848" s="22">
        <s:f>'3'!F849</s:f>
        <s:v>46247.53429398148</s:v>
      </s:c>
      <s:c r="N848" s="22">
        <s:f>'4'!F849</s:f>
        <s:v>46247.48840277778</s:v>
      </s:c>
      <s:c r="O848" s="22">
        <s:f>'5'!F849</s:f>
        <s:v>46247.46005787037</s:v>
      </s:c>
      <s:c r="P848" s="22">
        <s:f>'6'!F849</s:f>
        <s:v>46247.44060185185</s:v>
      </s:c>
      <s:c r="Q848" s="22">
        <s:f>'7'!F849</s:f>
        <s:v>46247.41795138889</s:v>
      </s:c>
      <s:c r="R848" s="22">
        <s:f>'8'!F849</s:f>
        <s:v>46247.39376157407</s:v>
      </s:c>
      <s:c r="S848" s="22">
        <s:f>'9'!F849</s:f>
        <s:v>46247.37594907408</s:v>
      </s:c>
      <s:c r="T848" s="22">
        <s:f>'10'!F849</s:f>
        <s:v>46247.346724537034</s:v>
      </s:c>
      <s:c r="U848" s="23">
        <s:f>'자료구성'!$B$2</s:f>
        <s:v>46247.0</s:v>
      </s:c>
    </s:row>
    <s:row r="849">
      <s:c r="A849" s="0" t="n">
        <s:v>2098</s:v>
      </s:c>
      <s:c r="B849" s="0" t="n">
        <s:v>1686</s:v>
      </s:c>
      <s:c r="C849" s="0" t="n">
        <s:v>1195</s:v>
      </s:c>
      <s:c r="D849" s="0" t="n">
        <s:v>112</s:v>
      </s:c>
      <s:c r="E849" s="0" t="n">
        <s:v>1589</s:v>
      </s:c>
      <s:c r="F849" s="0" t="n">
        <s:v>2950</s:v>
      </s:c>
      <s:c r="G849" s="0" t="n">
        <s:v>4761</s:v>
      </s:c>
      <s:c r="H849" s="0" t="n">
        <s:v>2945</s:v>
      </s:c>
      <s:c r="I849" s="0" t="n">
        <s:v>1503</s:v>
      </s:c>
      <s:c r="J849" s="0" t="n">
        <s:v>1347</s:v>
      </s:c>
      <s:c r="K849" s="22">
        <s:f>'1'!F850</s:f>
        <s:v>46247.56997685185</s:v>
      </s:c>
      <s:c r="L849" s="22">
        <s:f>'2'!F850</s:f>
        <s:v>46247.551712962966</s:v>
      </s:c>
      <s:c r="M849" s="22">
        <s:f>'3'!F850</s:f>
        <s:v>46247.53430555556</s:v>
      </s:c>
      <s:c r="N849" s="22">
        <s:f>'4'!F850</s:f>
        <s:v>46247.48841435185</s:v>
      </s:c>
      <s:c r="O849" s="22">
        <s:f>'5'!F850</s:f>
        <s:v>46247.460069444445</s:v>
      </s:c>
      <s:c r="P849" s="22">
        <s:f>'6'!F850</s:f>
        <s:v>46247.440613425926</s:v>
      </s:c>
      <s:c r="Q849" s="22">
        <s:f>'7'!F850</s:f>
        <s:v>46247.417962962965</s:v>
      </s:c>
      <s:c r="R849" s="22">
        <s:f>'8'!F850</s:f>
        <s:v>46247.39377314815</s:v>
      </s:c>
      <s:c r="S849" s="22">
        <s:f>'9'!F850</s:f>
        <s:v>46247.37596064815</s:v>
      </s:c>
      <s:c r="T849" s="22">
        <s:f>'10'!F850</s:f>
        <s:v>46247.34673611111</s:v>
      </s:c>
      <s:c r="U849" s="23">
        <s:f>'자료구성'!$B$2</s:f>
        <s:v>46247.0</s:v>
      </s:c>
    </s:row>
    <s:row r="850">
      <s:c r="A850" s="0" t="n">
        <s:v>2092</s:v>
      </s:c>
      <s:c r="B850" s="0" t="n">
        <s:v>1682</s:v>
      </s:c>
      <s:c r="C850" s="0" t="n">
        <s:v>1147</s:v>
      </s:c>
      <s:c r="D850" s="0" t="n">
        <s:v>124</s:v>
      </s:c>
      <s:c r="E850" s="0" t="n">
        <s:v>1555</s:v>
      </s:c>
      <s:c r="F850" s="0" t="n">
        <s:v>3016</s:v>
      </s:c>
      <s:c r="G850" s="0" t="n">
        <s:v>4560</s:v>
      </s:c>
      <s:c r="H850" s="0" t="n">
        <s:v>2967</s:v>
      </s:c>
      <s:c r="I850" s="0" t="n">
        <s:v>1539</s:v>
      </s:c>
      <s:c r="J850" s="0" t="n">
        <s:v>1363</s:v>
      </s:c>
      <s:c r="K850" s="22">
        <s:f>'1'!F851</s:f>
        <s:v>46247.56998842592</s:v>
      </s:c>
      <s:c r="L850" s="22">
        <s:f>'2'!F851</s:f>
        <s:v>46247.551724537036</s:v>
      </s:c>
      <s:c r="M850" s="22">
        <s:f>'3'!F851</s:f>
        <s:v>46247.534317129626</s:v>
      </s:c>
      <s:c r="N850" s="22">
        <s:f>'4'!F851</s:f>
        <s:v>46247.48842592593</s:v>
      </s:c>
      <s:c r="O850" s="22">
        <s:f>'5'!F851</s:f>
        <s:v>46247.46008101852</s:v>
      </s:c>
      <s:c r="P850" s="22">
        <s:f>'6'!F851</s:f>
        <s:v>46247.440625</s:v>
      </s:c>
      <s:c r="Q850" s="22">
        <s:f>'7'!F851</s:f>
        <s:v>46247.417974537035</s:v>
      </s:c>
      <s:c r="R850" s="22">
        <s:f>'8'!F851</s:f>
        <s:v>46247.39378472222</s:v>
      </s:c>
      <s:c r="S850" s="22">
        <s:f>'9'!F851</s:f>
        <s:v>46247.375972222224</s:v>
      </s:c>
      <s:c r="T850" s="22">
        <s:f>'10'!F851</s:f>
        <s:v>46247.34674768519</s:v>
      </s:c>
      <s:c r="U850" s="23">
        <s:f>'자료구성'!$B$2</s:f>
        <s:v>46247.0</s:v>
      </s:c>
    </s:row>
    <s:row r="851">
      <s:c r="A851" s="0" t="n">
        <s:v>2086</s:v>
      </s:c>
      <s:c r="B851" s="0" t="n">
        <s:v>1684</s:v>
      </s:c>
      <s:c r="C851" s="0" t="n">
        <s:v>1114</s:v>
      </s:c>
      <s:c r="D851" s="0" t="n">
        <s:v>138</s:v>
      </s:c>
      <s:c r="E851" s="0" t="n">
        <s:v>1536</s:v>
      </s:c>
      <s:c r="F851" s="0" t="n">
        <s:v>3098</s:v>
      </s:c>
      <s:c r="G851" s="0" t="n">
        <s:v>4536</s:v>
      </s:c>
      <s:c r="H851" s="0" t="n">
        <s:v>3014</s:v>
      </s:c>
      <s:c r="I851" s="0" t="n">
        <s:v>1533</s:v>
      </s:c>
      <s:c r="J851" s="0" t="n">
        <s:v>1373</s:v>
      </s:c>
      <s:c r="K851" s="22">
        <s:f>'1'!F852</s:f>
        <s:v>46247.57</s:v>
      </s:c>
      <s:c r="L851" s="22">
        <s:f>'2'!F852</s:f>
        <s:v>46247.55173611111</s:v>
      </s:c>
      <s:c r="M851" s="22">
        <s:f>'3'!F852</s:f>
        <s:v>46247.5343287037</s:v>
      </s:c>
      <s:c r="N851" s="22">
        <s:f>'4'!F852</s:f>
        <s:v>46247.4884375</s:v>
      </s:c>
      <s:c r="O851" s="22">
        <s:f>'5'!F852</s:f>
        <s:v>46247.46009259259</s:v>
      </s:c>
      <s:c r="P851" s="22">
        <s:f>'6'!F852</s:f>
        <s:v>46247.44063657407</s:v>
      </s:c>
      <s:c r="Q851" s="22">
        <s:f>'7'!F852</s:f>
        <s:v>46247.41798611111</s:v>
      </s:c>
      <s:c r="R851" s="22">
        <s:f>'8'!F852</s:f>
        <s:v>46247.393796296295</s:v>
      </s:c>
      <s:c r="S851" s="22">
        <s:f>'9'!F852</s:f>
        <s:v>46247.37598379629</s:v>
      </s:c>
      <s:c r="T851" s="22">
        <s:f>'10'!F852</s:f>
        <s:v>46247.34675925926</s:v>
      </s:c>
      <s:c r="U851" s="23">
        <s:f>'자료구성'!$B$2</s:f>
        <s:v>46247.0</s:v>
      </s:c>
    </s:row>
    <s:row r="852">
      <s:c r="A852" s="0" t="n">
        <s:v>2079</s:v>
      </s:c>
      <s:c r="B852" s="0" t="n">
        <s:v>1670</s:v>
      </s:c>
      <s:c r="C852" s="0" t="n">
        <s:v>1099</s:v>
      </s:c>
      <s:c r="D852" s="0" t="n">
        <s:v>145</s:v>
      </s:c>
      <s:c r="E852" s="0" t="n">
        <s:v>1551</s:v>
      </s:c>
      <s:c r="F852" s="0" t="n">
        <s:v>3150</s:v>
      </s:c>
      <s:c r="G852" s="0" t="n">
        <s:v>4774</s:v>
      </s:c>
      <s:c r="H852" s="0" t="n">
        <s:v>3078</s:v>
      </s:c>
      <s:c r="I852" s="0" t="n">
        <s:v>1525</s:v>
      </s:c>
      <s:c r="J852" s="0" t="n">
        <s:v>1390</s:v>
      </s:c>
      <s:c r="K852" s="22">
        <s:f>'1'!F853</s:f>
        <s:v>46247.57001157408</s:v>
      </s:c>
      <s:c r="L852" s="22">
        <s:f>'2'!F853</s:f>
        <s:v>46247.55174768518</s:v>
      </s:c>
      <s:c r="M852" s="22">
        <s:f>'3'!F853</s:f>
        <s:v>46247.53434027778</s:v>
      </s:c>
      <s:c r="N852" s="22">
        <s:f>'4'!F853</s:f>
        <s:v>46247.48844907407</s:v>
      </s:c>
      <s:c r="O852" s="22">
        <s:f>'5'!F853</s:f>
        <s:v>46247.46010416667</s:v>
      </s:c>
      <s:c r="P852" s="22">
        <s:f>'6'!F853</s:f>
        <s:v>46247.44064814815</s:v>
      </s:c>
      <s:c r="Q852" s="22">
        <s:f>'7'!F853</s:f>
        <s:v>46247.41799768519</s:v>
      </s:c>
      <s:c r="R852" s="22">
        <s:f>'8'!F853</s:f>
        <s:v>46247.39380787037</s:v>
      </s:c>
      <s:c r="S852" s="22">
        <s:f>'9'!F853</s:f>
        <s:v>46247.37599537037</s:v>
      </s:c>
      <s:c r="T852" s="22">
        <s:f>'10'!F853</s:f>
        <s:v>46247.346770833334</s:v>
      </s:c>
      <s:c r="U852" s="23">
        <s:f>'자료구성'!$B$2</s:f>
        <s:v>46247.0</s:v>
      </s:c>
    </s:row>
    <s:row r="853">
      <s:c r="A853" s="0" t="n">
        <s:v>2100</s:v>
      </s:c>
      <s:c r="B853" s="0" t="n">
        <s:v>1640</s:v>
      </s:c>
      <s:c r="C853" s="0" t="n">
        <s:v>1092</s:v>
      </s:c>
      <s:c r="D853" s="0" t="n">
        <s:v>144</s:v>
      </s:c>
      <s:c r="E853" s="0" t="n">
        <s:v>1562</s:v>
      </s:c>
      <s:c r="F853" s="0" t="n">
        <s:v>3240</s:v>
      </s:c>
      <s:c r="G853" s="0" t="n">
        <s:v>4681</s:v>
      </s:c>
      <s:c r="H853" s="0" t="n">
        <s:v>3123</s:v>
      </s:c>
      <s:c r="I853" s="0" t="n">
        <s:v>1525</s:v>
      </s:c>
      <s:c r="J853" s="0" t="n">
        <s:v>1394</s:v>
      </s:c>
      <s:c r="K853" s="22">
        <s:f>'1'!F854</s:f>
        <s:v>46247.570023148146</s:v>
      </s:c>
      <s:c r="L853" s="22">
        <s:f>'2'!F854</s:f>
        <s:v>46247.55175925926</s:v>
      </s:c>
      <s:c r="M853" s="22">
        <s:f>'3'!F854</s:f>
        <s:v>46247.53435185185</s:v>
      </s:c>
      <s:c r="N853" s="22">
        <s:f>'4'!F854</s:f>
        <s:v>46247.48846064815</s:v>
      </s:c>
      <s:c r="O853" s="22">
        <s:f>'5'!F854</s:f>
        <s:v>46247.46011574074</s:v>
      </s:c>
      <s:c r="P853" s="22">
        <s:f>'6'!F854</s:f>
        <s:v>46247.44065972222</s:v>
      </s:c>
      <s:c r="Q853" s="22">
        <s:f>'7'!F854</s:f>
        <s:v>46247.41800925926</s:v>
      </s:c>
      <s:c r="R853" s="22">
        <s:f>'8'!F854</s:f>
        <s:v>46247.39381944444</s:v>
      </s:c>
      <s:c r="S853" s="22">
        <s:f>'9'!F854</s:f>
        <s:v>46247.37600694445</s:v>
      </s:c>
      <s:c r="T853" s="22">
        <s:f>'10'!F854</s:f>
        <s:v>46247.34678240741</s:v>
      </s:c>
      <s:c r="U853" s="23">
        <s:f>'자료구성'!$B$2</s:f>
        <s:v>46247.0</s:v>
      </s:c>
    </s:row>
    <s:row r="854">
      <s:c r="A854" s="0" t="n">
        <s:v>2109</s:v>
      </s:c>
      <s:c r="B854" s="0" t="n">
        <s:v>1601</s:v>
      </s:c>
      <s:c r="C854" s="0" t="n">
        <s:v>1116</s:v>
      </s:c>
      <s:c r="D854" s="0" t="n">
        <s:v>151</s:v>
      </s:c>
      <s:c r="E854" s="0" t="n">
        <s:v>1570</s:v>
      </s:c>
      <s:c r="F854" s="0" t="n">
        <s:v>3310</s:v>
      </s:c>
      <s:c r="G854" s="0" t="n">
        <s:v>4387</s:v>
      </s:c>
      <s:c r="H854" s="0" t="n">
        <s:v>3159</s:v>
      </s:c>
      <s:c r="I854" s="0" t="n">
        <s:v>1552</s:v>
      </s:c>
      <s:c r="J854" s="0" t="n">
        <s:v>1390</s:v>
      </s:c>
      <s:c r="K854" s="22">
        <s:f>'1'!F855</s:f>
        <s:v>46247.57003472222</s:v>
      </s:c>
      <s:c r="L854" s="22">
        <s:f>'2'!F855</s:f>
        <s:v>46247.551770833335</s:v>
      </s:c>
      <s:c r="M854" s="22">
        <s:f>'3'!F855</s:f>
        <s:v>46247.534363425926</s:v>
      </s:c>
      <s:c r="N854" s="22">
        <s:f>'4'!F855</s:f>
        <s:v>46247.48847222222</s:v>
      </s:c>
      <s:c r="O854" s="22">
        <s:f>'5'!F855</s:f>
        <s:v>46247.460127314815</s:v>
      </s:c>
      <s:c r="P854" s="22">
        <s:f>'6'!F855</s:f>
        <s:v>46247.440671296295</s:v>
      </s:c>
      <s:c r="Q854" s="22">
        <s:f>'7'!F855</s:f>
        <s:v>46247.418020833335</s:v>
      </s:c>
      <s:c r="R854" s="22">
        <s:f>'8'!F855</s:f>
        <s:v>46247.39383101852</s:v>
      </s:c>
      <s:c r="S854" s="22">
        <s:f>'9'!F855</s:f>
        <s:v>46247.37601851852</s:v>
      </s:c>
      <s:c r="T854" s="22">
        <s:f>'10'!F855</s:f>
        <s:v>46247.34679398148</s:v>
      </s:c>
      <s:c r="U854" s="23">
        <s:f>'자료구성'!$B$2</s:f>
        <s:v>46247.0</s:v>
      </s:c>
    </s:row>
    <s:row r="855">
      <s:c r="A855" s="0" t="n">
        <s:v>2124</s:v>
      </s:c>
      <s:c r="B855" s="0" t="n">
        <s:v>1565</s:v>
      </s:c>
      <s:c r="C855" s="0" t="n">
        <s:v>1126</s:v>
      </s:c>
      <s:c r="D855" s="0" t="n">
        <s:v>146</s:v>
      </s:c>
      <s:c r="E855" s="0" t="n">
        <s:v>1593</s:v>
      </s:c>
      <s:c r="F855" s="0" t="n">
        <s:v>3373</s:v>
      </s:c>
      <s:c r="G855" s="0" t="n">
        <s:v>4200</s:v>
      </s:c>
      <s:c r="H855" s="0" t="n">
        <s:v>3178</s:v>
      </s:c>
      <s:c r="I855" s="0" t="n">
        <s:v>1551</s:v>
      </s:c>
      <s:c r="J855" s="0" t="n">
        <s:v>1388</s:v>
      </s:c>
      <s:c r="K855" s="22">
        <s:f>'1'!F856</s:f>
        <s:v>46247.5700462963</s:v>
      </s:c>
      <s:c r="L855" s="22">
        <s:f>'2'!F856</s:f>
        <s:v>46247.551782407405</s:v>
      </s:c>
      <s:c r="M855" s="22">
        <s:f>'3'!F856</s:f>
        <s:v>46247.534375</s:v>
      </s:c>
      <s:c r="N855" s="22">
        <s:f>'4'!F856</s:f>
        <s:v>46247.488483796296</s:v>
      </s:c>
      <s:c r="O855" s="22">
        <s:f>'5'!F856</s:f>
        <s:v>46247.46013888889</s:v>
      </s:c>
      <s:c r="P855" s="22">
        <s:f>'6'!F856</s:f>
        <s:v>46247.44068287037</s:v>
      </s:c>
      <s:c r="Q855" s="22">
        <s:f>'7'!F856</s:f>
        <s:v>46247.418032407404</s:v>
      </s:c>
      <s:c r="R855" s="22">
        <s:f>'8'!F856</s:f>
        <s:v>46247.393842592595</s:v>
      </s:c>
      <s:c r="S855" s="22">
        <s:f>'9'!F856</s:f>
        <s:v>46247.37603009259</s:v>
      </s:c>
      <s:c r="T855" s="22">
        <s:f>'10'!F856</s:f>
        <s:v>46247.34680555556</s:v>
      </s:c>
      <s:c r="U855" s="23">
        <s:f>'자료구성'!$B$2</s:f>
        <s:v>46247.0</s:v>
      </s:c>
    </s:row>
    <s:row r="856">
      <s:c r="A856" s="0" t="n">
        <s:v>2138</s:v>
      </s:c>
      <s:c r="B856" s="0" t="n">
        <s:v>1533</s:v>
      </s:c>
      <s:c r="C856" s="0" t="n">
        <s:v>1123</s:v>
      </s:c>
      <s:c r="D856" s="0" t="n">
        <s:v>152</s:v>
      </s:c>
      <s:c r="E856" s="0" t="n">
        <s:v>1572</s:v>
      </s:c>
      <s:c r="F856" s="0" t="n">
        <s:v>3344</s:v>
      </s:c>
      <s:c r="G856" s="0" t="n">
        <s:v>4165</s:v>
      </s:c>
      <s:c r="H856" s="0" t="n">
        <s:v>3175</s:v>
      </s:c>
      <s:c r="I856" s="0" t="n">
        <s:v>1535</s:v>
      </s:c>
      <s:c r="J856" s="0" t="n">
        <s:v>1377</s:v>
      </s:c>
      <s:c r="K856" s="22">
        <s:f>'1'!F857</s:f>
        <s:v>46247.57005787037</s:v>
      </s:c>
      <s:c r="L856" s="22">
        <s:f>'2'!F857</s:f>
        <s:v>46247.55179398148</s:v>
      </s:c>
      <s:c r="M856" s="22">
        <s:f>'3'!F857</s:f>
        <s:v>46247.53438657407</s:v>
      </s:c>
      <s:c r="N856" s="22">
        <s:f>'4'!F857</s:f>
        <s:v>46247.48849537037</s:v>
      </s:c>
      <s:c r="O856" s="22">
        <s:f>'5'!F857</s:f>
        <s:v>46247.46015046296</s:v>
      </s:c>
      <s:c r="P856" s="22">
        <s:f>'6'!F857</s:f>
        <s:v>46247.44069444444</s:v>
      </s:c>
      <s:c r="Q856" s="22">
        <s:f>'7'!F857</s:f>
        <s:v>46247.41804398148</s:v>
      </s:c>
      <s:c r="R856" s="22">
        <s:f>'8'!F857</s:f>
        <s:v>46247.393854166665</s:v>
      </s:c>
      <s:c r="S856" s="22">
        <s:f>'9'!F857</s:f>
        <s:v>46247.37604166667</s:v>
      </s:c>
      <s:c r="T856" s="22">
        <s:f>'10'!F857</s:f>
        <s:v>46247.346817129626</s:v>
      </s:c>
      <s:c r="U856" s="23">
        <s:f>'자료구성'!$B$2</s:f>
        <s:v>46247.0</s:v>
      </s:c>
    </s:row>
    <s:row r="857">
      <s:c r="A857" s="0" t="n">
        <s:v>2151</s:v>
      </s:c>
      <s:c r="B857" s="0" t="n">
        <s:v>1515</s:v>
      </s:c>
      <s:c r="C857" s="0" t="n">
        <s:v>1134</s:v>
      </s:c>
      <s:c r="D857" s="0" t="n">
        <s:v>153</s:v>
      </s:c>
      <s:c r="E857" s="0" t="n">
        <s:v>1559</s:v>
      </s:c>
      <s:c r="F857" s="0" t="n">
        <s:v>3336</s:v>
      </s:c>
      <s:c r="G857" s="0" t="n">
        <s:v>4139</s:v>
      </s:c>
      <s:c r="H857" s="0" t="n">
        <s:v>3177</s:v>
      </s:c>
      <s:c r="I857" s="0" t="n">
        <s:v>1532</s:v>
      </s:c>
      <s:c r="J857" s="0" t="n">
        <s:v>1368</s:v>
      </s:c>
      <s:c r="K857" s="22">
        <s:f>'1'!F858</s:f>
        <s:v>46247.570069444446</s:v>
      </s:c>
      <s:c r="L857" s="22">
        <s:f>'2'!F858</s:f>
        <s:v>46247.55180555556</s:v>
      </s:c>
      <s:c r="M857" s="22">
        <s:f>'3'!F858</s:f>
        <s:v>46247.53439814815</s:v>
      </s:c>
      <s:c r="N857" s="22">
        <s:f>'4'!F858</s:f>
        <s:v>46247.48850694444</s:v>
      </s:c>
      <s:c r="O857" s="22">
        <s:f>'5'!F858</s:f>
        <s:v>46247.46016203704</s:v>
      </s:c>
      <s:c r="P857" s="22">
        <s:f>'6'!F858</s:f>
        <s:v>46247.44070601852</s:v>
      </s:c>
      <s:c r="Q857" s="22">
        <s:f>'7'!F858</s:f>
        <s:v>46247.41805555556</s:v>
      </s:c>
      <s:c r="R857" s="22">
        <s:f>'8'!F858</s:f>
        <s:v>46247.39386574074</s:v>
      </s:c>
      <s:c r="S857" s="22">
        <s:f>'9'!F858</s:f>
        <s:v>46247.37605324074</s:v>
      </s:c>
      <s:c r="T857" s="22">
        <s:f>'10'!F858</s:f>
        <s:v>46247.3468287037</s:v>
      </s:c>
      <s:c r="U857" s="23">
        <s:f>'자료구성'!$B$2</s:f>
        <s:v>46247.0</s:v>
      </s:c>
    </s:row>
    <s:row r="858">
      <s:c r="A858" s="0" t="n">
        <s:v>2164</s:v>
      </s:c>
      <s:c r="B858" s="0" t="n">
        <s:v>1511</s:v>
      </s:c>
      <s:c r="C858" s="0" t="n">
        <s:v>1154</s:v>
      </s:c>
      <s:c r="D858" s="0" t="n">
        <s:v>155</s:v>
      </s:c>
      <s:c r="E858" s="0" t="n">
        <s:v>1528</s:v>
      </s:c>
      <s:c r="F858" s="0" t="n">
        <s:v>3248</s:v>
      </s:c>
      <s:c r="G858" s="0" t="n">
        <s:v>4056</s:v>
      </s:c>
      <s:c r="H858" s="0" t="n">
        <s:v>3190</s:v>
      </s:c>
      <s:c r="I858" s="0" t="n">
        <s:v>1531</s:v>
      </s:c>
      <s:c r="J858" s="0" t="n">
        <s:v>1394</s:v>
      </s:c>
      <s:c r="K858" s="22">
        <s:f>'1'!F859</s:f>
        <s:v>46247.570081018515</s:v>
      </s:c>
      <s:c r="L858" s="22">
        <s:f>'2'!F859</s:f>
        <s:v>46247.55181712963</s:v>
      </s:c>
      <s:c r="M858" s="22">
        <s:f>'3'!F859</s:f>
        <s:v>46247.53440972222</s:v>
      </s:c>
      <s:c r="N858" s="22">
        <s:f>'4'!F859</s:f>
        <s:v>46247.48851851852</s:v>
      </s:c>
      <s:c r="O858" s="22">
        <s:f>'5'!F859</s:f>
        <s:v>46247.460173611114</s:v>
      </s:c>
      <s:c r="P858" s="22">
        <s:f>'6'!F859</s:f>
        <s:v>46247.440717592595</s:v>
      </s:c>
      <s:c r="Q858" s="22">
        <s:f>'7'!F859</s:f>
        <s:v>46247.41806712963</s:v>
      </s:c>
      <s:c r="R858" s="22">
        <s:f>'8'!F859</s:f>
        <s:v>46247.39387731482</s:v>
      </s:c>
      <s:c r="S858" s="22">
        <s:f>'9'!F859</s:f>
        <s:v>46247.376064814816</s:v>
      </s:c>
      <s:c r="T858" s="22">
        <s:f>'10'!F859</s:f>
        <s:v>46247.34684027778</s:v>
      </s:c>
      <s:c r="U858" s="23">
        <s:f>'자료구성'!$B$2</s:f>
        <s:v>46247.0</s:v>
      </s:c>
    </s:row>
    <s:row r="859">
      <s:c r="A859" s="0" t="n">
        <s:v>2182</s:v>
      </s:c>
      <s:c r="B859" s="0" t="n">
        <s:v>1516</s:v>
      </s:c>
      <s:c r="C859" s="0" t="n">
        <s:v>1160</s:v>
      </s:c>
      <s:c r="D859" s="0" t="n">
        <s:v>152</s:v>
      </s:c>
      <s:c r="E859" s="0" t="n">
        <s:v>1508</s:v>
      </s:c>
      <s:c r="F859" s="0" t="n">
        <s:v>3182</s:v>
      </s:c>
      <s:c r="G859" s="0" t="n">
        <s:v>3936</s:v>
      </s:c>
      <s:c r="H859" s="0" t="n">
        <s:v>3179</s:v>
      </s:c>
      <s:c r="I859" s="0" t="n">
        <s:v>1530</s:v>
      </s:c>
      <s:c r="J859" s="0" t="n">
        <s:v>1374</s:v>
      </s:c>
      <s:c r="K859" s="22">
        <s:f>'1'!F860</s:f>
        <s:v>46247.57009259259</s:v>
      </s:c>
      <s:c r="L859" s="22">
        <s:f>'2'!F860</s:f>
        <s:v>46247.551828703705</s:v>
      </s:c>
      <s:c r="M859" s="22">
        <s:f>'3'!F860</s:f>
        <s:v>46247.534421296295</s:v>
      </s:c>
      <s:c r="N859" s="22">
        <s:f>'4'!F860</s:f>
        <s:v>46247.488530092596</s:v>
      </s:c>
      <s:c r="O859" s="22">
        <s:f>'5'!F860</s:f>
        <s:v>46247.460185185184</s:v>
      </s:c>
      <s:c r="P859" s="22">
        <s:f>'6'!F860</s:f>
        <s:v>46247.440729166665</s:v>
      </s:c>
      <s:c r="Q859" s="22">
        <s:f>'7'!F860</s:f>
        <s:v>46247.418078703704</s:v>
      </s:c>
      <s:c r="R859" s="22">
        <s:f>'8'!F860</s:f>
        <s:v>46247.39388888889</s:v>
      </s:c>
      <s:c r="S859" s="22">
        <s:f>'9'!F860</s:f>
        <s:v>46247.376076388886</s:v>
      </s:c>
      <s:c r="T859" s="22">
        <s:f>'10'!F860</s:f>
        <s:v>46247.34685185185</s:v>
      </s:c>
      <s:c r="U859" s="23">
        <s:f>'자료구성'!$B$2</s:f>
        <s:v>46247.0</s:v>
      </s:c>
    </s:row>
    <s:row r="860">
      <s:c r="A860" s="0" t="n">
        <s:v>2158</s:v>
      </s:c>
      <s:c r="B860" s="0" t="n">
        <s:v>1500</s:v>
      </s:c>
      <s:c r="C860" s="0" t="n">
        <s:v>1190</s:v>
      </s:c>
      <s:c r="D860" s="0" t="n">
        <s:v>163</s:v>
      </s:c>
      <s:c r="E860" s="0" t="n">
        <s:v>1475</s:v>
      </s:c>
      <s:c r="F860" s="0" t="n">
        <s:v>3142</s:v>
      </s:c>
      <s:c r="G860" s="0" t="n">
        <s:v>3831</s:v>
      </s:c>
      <s:c r="H860" s="0" t="n">
        <s:v>3271</s:v>
      </s:c>
      <s:c r="I860" s="0" t="n">
        <s:v>1545</s:v>
      </s:c>
      <s:c r="J860" s="0" t="n">
        <s:v>1361</s:v>
      </s:c>
      <s:c r="K860" s="22">
        <s:f>'1'!F861</s:f>
        <s:v>46247.57010416667</s:v>
      </s:c>
      <s:c r="L860" s="22">
        <s:f>'2'!F861</s:f>
        <s:v>46247.551840277774</s:v>
      </s:c>
      <s:c r="M860" s="22">
        <s:f>'3'!F861</s:f>
        <s:v>46247.53443287037</s:v>
      </s:c>
      <s:c r="N860" s="22">
        <s:f>'4'!F861</s:f>
        <s:v>46247.488541666666</s:v>
      </s:c>
      <s:c r="O860" s="22">
        <s:f>'5'!F861</s:f>
        <s:v>46247.46019675926</s:v>
      </s:c>
      <s:c r="P860" s="22">
        <s:f>'6'!F861</s:f>
        <s:v>46247.44074074074</s:v>
      </s:c>
      <s:c r="Q860" s="22">
        <s:f>'7'!F861</s:f>
        <s:v>46247.41809027778</s:v>
      </s:c>
      <s:c r="R860" s="22">
        <s:f>'8'!F861</s:f>
        <s:v>46247.393900462965</s:v>
      </s:c>
      <s:c r="S860" s="22">
        <s:f>'9'!F861</s:f>
        <s:v>46247.37608796296</s:v>
      </s:c>
      <s:c r="T860" s="22">
        <s:f>'10'!F861</s:f>
        <s:v>46247.346863425926</s:v>
      </s:c>
      <s:c r="U860" s="23">
        <s:f>'자료구성'!$B$2</s:f>
        <s:v>46247.0</s:v>
      </s:c>
    </s:row>
    <s:row r="861">
      <s:c r="A861" s="0" t="n">
        <s:v>2095</s:v>
      </s:c>
      <s:c r="B861" s="0" t="n">
        <s:v>1507</s:v>
      </s:c>
      <s:c r="C861" s="0" t="n">
        <s:v>1236</s:v>
      </s:c>
      <s:c r="D861" s="0" t="n">
        <s:v>199</s:v>
      </s:c>
      <s:c r="E861" s="0" t="n">
        <s:v>1460</s:v>
      </s:c>
      <s:c r="F861" s="0" t="n">
        <s:v>3153</s:v>
      </s:c>
      <s:c r="G861" s="0" t="n">
        <s:v>3989</s:v>
      </s:c>
      <s:c r="H861" s="0" t="n">
        <s:v>3357</s:v>
      </s:c>
      <s:c r="I861" s="0" t="n">
        <s:v>1585</s:v>
      </s:c>
      <s:c r="J861" s="0" t="n">
        <s:v>1343</s:v>
      </s:c>
      <s:c r="K861" s="22">
        <s:f>'1'!F862</s:f>
        <s:v>46247.57011574074</s:v>
      </s:c>
      <s:c r="L861" s="22">
        <s:f>'2'!F862</s:f>
        <s:v>46247.55185185185</s:v>
      </s:c>
      <s:c r="M861" s="22">
        <s:f>'3'!F862</s:f>
        <s:v>46247.53444444444</s:v>
      </s:c>
      <s:c r="N861" s="22">
        <s:f>'4'!F862</s:f>
        <s:v>46247.48855324074</s:v>
      </s:c>
      <s:c r="O861" s="22">
        <s:f>'5'!F862</s:f>
        <s:v>46247.46020833333</s:v>
      </s:c>
      <s:c r="P861" s="22">
        <s:f>'6'!F862</s:f>
        <s:v>46247.44075231482</s:v>
      </s:c>
      <s:c r="Q861" s="22">
        <s:f>'7'!F862</s:f>
        <s:v>46247.41810185185</s:v>
      </s:c>
      <s:c r="R861" s="22">
        <s:f>'8'!F862</s:f>
        <s:v>46247.393912037034</s:v>
      </s:c>
      <s:c r="S861" s="22">
        <s:f>'9'!F862</s:f>
        <s:v>46247.37609953704</s:v>
      </s:c>
      <s:c r="T861" s="22">
        <s:f>'10'!F862</s:f>
        <s:v>46247.346875</s:v>
      </s:c>
      <s:c r="U861" s="23">
        <s:f>'자료구성'!$B$2</s:f>
        <s:v>46247.0</s:v>
      </s:c>
    </s:row>
    <s:row r="862">
      <s:c r="A862" s="0" t="n">
        <s:v>2021</s:v>
      </s:c>
      <s:c r="B862" s="0" t="n">
        <s:v>1512</s:v>
      </s:c>
      <s:c r="C862" s="0" t="n">
        <s:v>1300</s:v>
      </s:c>
      <s:c r="D862" s="0" t="n">
        <s:v>208</s:v>
      </s:c>
      <s:c r="E862" s="0" t="n">
        <s:v>1459</s:v>
      </s:c>
      <s:c r="F862" s="0" t="n">
        <s:v>3082</s:v>
      </s:c>
      <s:c r="G862" s="0" t="n">
        <s:v>4298</s:v>
      </s:c>
      <s:c r="H862" s="0" t="n">
        <s:v>3407</s:v>
      </s:c>
      <s:c r="I862" s="0" t="n">
        <s:v>1592</s:v>
      </s:c>
      <s:c r="J862" s="0" t="n">
        <s:v>1334</s:v>
      </s:c>
      <s:c r="K862" s="22">
        <s:f>'1'!F863</s:f>
        <s:v>46247.570127314815</s:v>
      </s:c>
      <s:c r="L862" s="22">
        <s:f>'2'!F863</s:f>
        <s:v>46247.55186342593</s:v>
      </s:c>
      <s:c r="M862" s="22">
        <s:f>'3'!F863</s:f>
        <s:v>46247.53445601852</s:v>
      </s:c>
      <s:c r="N862" s="22">
        <s:f>'4'!F863</s:f>
        <s:v>46247.48856481481</s:v>
      </s:c>
      <s:c r="O862" s="22">
        <s:f>'5'!F863</s:f>
        <s:v>46247.46021990741</s:v>
      </s:c>
      <s:c r="P862" s="22">
        <s:f>'6'!F863</s:f>
        <s:v>46247.44076388889</s:v>
      </s:c>
      <s:c r="Q862" s="22">
        <s:f>'7'!F863</s:f>
        <s:v>46247.41811342593</s:v>
      </s:c>
      <s:c r="R862" s="22">
        <s:f>'8'!F863</s:f>
        <s:v>46247.39392361111</s:v>
      </s:c>
      <s:c r="S862" s="22">
        <s:f>'9'!F863</s:f>
        <s:v>46247.37611111111</s:v>
      </s:c>
      <s:c r="T862" s="22">
        <s:f>'10'!F863</s:f>
        <s:v>46247.34688657407</s:v>
      </s:c>
      <s:c r="U862" s="23">
        <s:f>'자료구성'!$B$2</s:f>
        <s:v>46247.0</s:v>
      </s:c>
    </s:row>
    <s:row r="863">
      <s:c r="A863" s="0" t="n">
        <s:v>1963</s:v>
      </s:c>
      <s:c r="B863" s="0" t="n">
        <s:v>1505</s:v>
      </s:c>
      <s:c r="C863" s="0" t="n">
        <s:v>1384</s:v>
      </s:c>
      <s:c r="D863" s="0" t="n">
        <s:v>208</s:v>
      </s:c>
      <s:c r="E863" s="0" t="n">
        <s:v>1449</s:v>
      </s:c>
      <s:c r="F863" s="0" t="n">
        <s:v>2990</s:v>
      </s:c>
      <s:c r="G863" s="0" t="n">
        <s:v>4270</s:v>
      </s:c>
      <s:c r="H863" s="0" t="n">
        <s:v>3443</s:v>
      </s:c>
      <s:c r="I863" s="0" t="n">
        <s:v>1608</s:v>
      </s:c>
      <s:c r="J863" s="0" t="n">
        <s:v>1337</s:v>
      </s:c>
      <s:c r="K863" s="22">
        <s:f>'1'!F864</s:f>
        <s:v>46247.57013888889</s:v>
      </s:c>
      <s:c r="L863" s="22">
        <s:f>'2'!F864</s:f>
        <s:v>46247.551875</s:v>
      </s:c>
      <s:c r="M863" s="22">
        <s:f>'3'!F864</s:f>
        <s:v>46247.534467592595</s:v>
      </s:c>
      <s:c r="N863" s="22">
        <s:f>'4'!F864</s:f>
        <s:v>46247.48857638889</s:v>
      </s:c>
      <s:c r="O863" s="22">
        <s:f>'5'!F864</s:f>
        <s:v>46247.460231481484</s:v>
      </s:c>
      <s:c r="P863" s="22">
        <s:f>'6'!F864</s:f>
        <s:v>46247.440775462965</s:v>
      </s:c>
      <s:c r="Q863" s="22">
        <s:f>'7'!F864</s:f>
        <s:v>46247.418125</s:v>
      </s:c>
      <s:c r="R863" s="22">
        <s:f>'8'!F864</s:f>
        <s:v>46247.39393518519</s:v>
      </s:c>
      <s:c r="S863" s="22">
        <s:f>'9'!F864</s:f>
        <s:v>46247.376122685186</s:v>
      </s:c>
      <s:c r="T863" s="22">
        <s:f>'10'!F864</s:f>
        <s:v>46247.34689814815</s:v>
      </s:c>
      <s:c r="U863" s="23">
        <s:f>'자료구성'!$B$2</s:f>
        <s:v>46247.0</s:v>
      </s:c>
    </s:row>
    <s:row r="864">
      <s:c r="A864" s="0" t="n">
        <s:v>1917</s:v>
      </s:c>
      <s:c r="B864" s="0" t="n">
        <s:v>1472</s:v>
      </s:c>
      <s:c r="C864" s="0" t="n">
        <s:v>1451</s:v>
      </s:c>
      <s:c r="D864" s="0" t="n">
        <s:v>227</s:v>
      </s:c>
      <s:c r="E864" s="0" t="n">
        <s:v>1445</s:v>
      </s:c>
      <s:c r="F864" s="0" t="n">
        <s:v>2968</s:v>
      </s:c>
      <s:c r="G864" s="0" t="n">
        <s:v>4114</s:v>
      </s:c>
      <s:c r="H864" s="0" t="n">
        <s:v>3480</s:v>
      </s:c>
      <s:c r="I864" s="0" t="n">
        <s:v>1613</s:v>
      </s:c>
      <s:c r="J864" s="0" t="n">
        <s:v>1341</s:v>
      </s:c>
      <s:c r="K864" s="22">
        <s:f>'1'!F865</s:f>
        <s:v>46247.57015046296</s:v>
      </s:c>
      <s:c r="L864" s="22">
        <s:f>'2'!F865</s:f>
        <s:v>46247.551886574074</s:v>
      </s:c>
      <s:c r="M864" s="22">
        <s:f>'3'!F865</s:f>
        <s:v>46247.534479166665</s:v>
      </s:c>
      <s:c r="N864" s="22">
        <s:f>'4'!F865</s:f>
        <s:v>46247.488587962966</s:v>
      </s:c>
      <s:c r="O864" s="22">
        <s:f>'5'!F865</s:f>
        <s:v>46247.46024305555</s:v>
      </s:c>
      <s:c r="P864" s="22">
        <s:f>'6'!F865</s:f>
        <s:v>46247.440787037034</s:v>
      </s:c>
      <s:c r="Q864" s="22">
        <s:f>'7'!F865</s:f>
        <s:v>46247.41813657407</s:v>
      </s:c>
      <s:c r="R864" s="22">
        <s:f>'8'!F865</s:f>
        <s:v>46247.39394675926</s:v>
      </s:c>
      <s:c r="S864" s="22">
        <s:f>'9'!F865</s:f>
        <s:v>46247.37613425926</s:v>
      </s:c>
      <s:c r="T864" s="22">
        <s:f>'10'!F865</s:f>
        <s:v>46247.34690972222</s:v>
      </s:c>
      <s:c r="U864" s="23">
        <s:f>'자료구성'!$B$2</s:f>
        <s:v>46247.0</s:v>
      </s:c>
    </s:row>
    <s:row r="865">
      <s:c r="A865" s="0" t="n">
        <s:v>1900</s:v>
      </s:c>
      <s:c r="B865" s="0" t="n">
        <s:v>1448</s:v>
      </s:c>
      <s:c r="C865" s="0" t="n">
        <s:v>1516</s:v>
      </s:c>
      <s:c r="D865" s="0" t="n">
        <s:v>210</s:v>
      </s:c>
      <s:c r="E865" s="0" t="n">
        <s:v>1443</s:v>
      </s:c>
      <s:c r="F865" s="0" t="n">
        <s:v>3012</s:v>
      </s:c>
      <s:c r="G865" s="0" t="n">
        <s:v>3999</s:v>
      </s:c>
      <s:c r="H865" s="0" t="n">
        <s:v>3521</s:v>
      </s:c>
      <s:c r="I865" s="0" t="n">
        <s:v>1597</s:v>
      </s:c>
      <s:c r="J865" s="0" t="n">
        <s:v>1337</s:v>
      </s:c>
      <s:c r="K865" s="22">
        <s:f>'1'!F866</s:f>
        <s:v>46247.57016203704</s:v>
      </s:c>
      <s:c r="L865" s="22">
        <s:f>'2'!F866</s:f>
        <s:v>46247.55189814815</s:v>
      </s:c>
      <s:c r="M865" s="22">
        <s:f>'3'!F866</s:f>
        <s:v>46247.53449074074</s:v>
      </s:c>
      <s:c r="N865" s="22">
        <s:f>'4'!F866</s:f>
        <s:v>46247.488599537035</s:v>
      </s:c>
      <s:c r="O865" s="22">
        <s:f>'5'!F866</s:f>
        <s:v>46247.46025462963</s:v>
      </s:c>
      <s:c r="P865" s="22">
        <s:f>'6'!F866</s:f>
        <s:v>46247.44079861111</s:v>
      </s:c>
      <s:c r="Q865" s="22">
        <s:f>'7'!F866</s:f>
        <s:v>46247.41814814815</s:v>
      </s:c>
      <s:c r="R865" s="22">
        <s:f>'8'!F866</s:f>
        <s:v>46247.393958333334</s:v>
      </s:c>
      <s:c r="S865" s="22">
        <s:f>'9'!F866</s:f>
        <s:v>46247.37614583333</s:v>
      </s:c>
      <s:c r="T865" s="22">
        <s:f>'10'!F866</s:f>
        <s:v>46247.346921296295</s:v>
      </s:c>
      <s:c r="U865" s="23">
        <s:f>'자료구성'!$B$2</s:f>
        <s:v>46247.0</s:v>
      </s:c>
    </s:row>
    <s:row r="866">
      <s:c r="A866" s="0" t="n">
        <s:v>1886</s:v>
      </s:c>
      <s:c r="B866" s="0" t="n">
        <s:v>1433</s:v>
      </s:c>
      <s:c r="C866" s="0" t="n">
        <s:v>1578</s:v>
      </s:c>
      <s:c r="D866" s="0" t="n">
        <s:v>206</s:v>
      </s:c>
      <s:c r="E866" s="0" t="n">
        <s:v>1437</s:v>
      </s:c>
      <s:c r="F866" s="0" t="n">
        <s:v>2984</s:v>
      </s:c>
      <s:c r="G866" s="0" t="n">
        <s:v>3847</s:v>
      </s:c>
      <s:c r="H866" s="0" t="n">
        <s:v>3517</s:v>
      </s:c>
      <s:c r="I866" s="0" t="n">
        <s:v>1586</s:v>
      </s:c>
      <s:c r="J866" s="0" t="n">
        <s:v>1332</s:v>
      </s:c>
      <s:c r="K866" s="22">
        <s:f>'1'!F867</s:f>
        <s:v>46247.57017361111</s:v>
      </s:c>
      <s:c r="L866" s="22">
        <s:f>'2'!F867</s:f>
        <s:v>46247.55190972222</s:v>
      </s:c>
      <s:c r="M866" s="22">
        <s:f>'3'!F867</s:f>
        <s:v>46247.53450231482</s:v>
      </s:c>
      <s:c r="N866" s="22">
        <s:f>'4'!F867</s:f>
        <s:v>46247.48861111111</s:v>
      </s:c>
      <s:c r="O866" s="22">
        <s:f>'5'!F867</s:f>
        <s:v>46247.46026620371</s:v>
      </s:c>
      <s:c r="P866" s="22">
        <s:f>'6'!F867</s:f>
        <s:v>46247.44081018519</s:v>
      </s:c>
      <s:c r="Q866" s="22">
        <s:f>'7'!F867</s:f>
        <s:v>46247.41815972222</s:v>
      </s:c>
      <s:c r="R866" s="22">
        <s:f>'8'!F867</s:f>
        <s:v>46247.39396990741</s:v>
      </s:c>
      <s:c r="S866" s="22">
        <s:f>'9'!F867</s:f>
        <s:v>46247.37615740741</s:v>
      </s:c>
      <s:c r="T866" s="22">
        <s:f>'10'!F867</s:f>
        <s:v>46247.34693287037</s:v>
      </s:c>
      <s:c r="U866" s="23">
        <s:f>'자료구성'!$B$2</s:f>
        <s:v>46247.0</s:v>
      </s:c>
    </s:row>
    <s:row r="867">
      <s:c r="A867" s="0" t="n">
        <s:v>1869</s:v>
      </s:c>
      <s:c r="B867" s="0" t="n">
        <s:v>1448</s:v>
      </s:c>
      <s:c r="C867" s="0" t="n">
        <s:v>1597</s:v>
      </s:c>
      <s:c r="D867" s="0" t="n">
        <s:v>197</s:v>
      </s:c>
      <s:c r="E867" s="0" t="n">
        <s:v>1428</s:v>
      </s:c>
      <s:c r="F867" s="0" t="n">
        <s:v>2934</s:v>
      </s:c>
      <s:c r="G867" s="0" t="n">
        <s:v>3686</s:v>
      </s:c>
      <s:c r="H867" s="0" t="n">
        <s:v>3568</s:v>
      </s:c>
      <s:c r="I867" s="0" t="n">
        <s:v>1589</s:v>
      </s:c>
      <s:c r="J867" s="0" t="n">
        <s:v>1330</s:v>
      </s:c>
      <s:c r="K867" s="22">
        <s:f>'1'!F868</s:f>
        <s:v>46247.570185185185</s:v>
      </s:c>
      <s:c r="L867" s="22">
        <s:f>'2'!F868</s:f>
        <s:v>46247.5519212963</s:v>
      </s:c>
      <s:c r="M867" s="22">
        <s:f>'3'!F868</s:f>
        <s:v>46247.53451388889</s:v>
      </s:c>
      <s:c r="N867" s="22">
        <s:f>'4'!F868</s:f>
        <s:v>46247.48862268519</s:v>
      </s:c>
      <s:c r="O867" s="22">
        <s:f>'5'!F868</s:f>
        <s:v>46247.460277777776</s:v>
      </s:c>
      <s:c r="P867" s="22">
        <s:f>'6'!F868</s:f>
        <s:v>46247.44082175926</s:v>
      </s:c>
      <s:c r="Q867" s="22">
        <s:f>'7'!F868</s:f>
        <s:v>46247.418171296296</s:v>
      </s:c>
      <s:c r="R867" s="22">
        <s:f>'8'!F868</s:f>
        <s:v>46247.39398148148</s:v>
      </s:c>
      <s:c r="S867" s="22">
        <s:f>'9'!F868</s:f>
        <s:v>46247.37616898148</s:v>
      </s:c>
      <s:c r="T867" s="22">
        <s:f>'10'!F868</s:f>
        <s:v>46247.34694444444</s:v>
      </s:c>
      <s:c r="U867" s="23">
        <s:f>'자료구성'!$B$2</s:f>
        <s:v>46247.0</s:v>
      </s:c>
    </s:row>
    <s:row r="868">
      <s:c r="A868" s="0" t="n">
        <s:v>1851</s:v>
      </s:c>
      <s:c r="B868" s="0" t="n">
        <s:v>1426</s:v>
      </s:c>
      <s:c r="C868" s="0" t="n">
        <s:v>1577</s:v>
      </s:c>
      <s:c r="D868" s="0" t="n">
        <s:v>191</s:v>
      </s:c>
      <s:c r="E868" s="0" t="n">
        <s:v>1442</s:v>
      </s:c>
      <s:c r="F868" s="0" t="n">
        <s:v>2874</s:v>
      </s:c>
      <s:c r="G868" s="0" t="n">
        <s:v>3535</s:v>
      </s:c>
      <s:c r="H868" s="0" t="n">
        <s:v>3622</s:v>
      </s:c>
      <s:c r="I868" s="0" t="n">
        <s:v>1618</s:v>
      </s:c>
      <s:c r="J868" s="0" t="n">
        <s:v>1336</s:v>
      </s:c>
      <s:c r="K868" s="22">
        <s:f>'1'!F869</s:f>
        <s:v>46247.57019675926</s:v>
      </s:c>
      <s:c r="L868" s="22">
        <s:f>'2'!F869</s:f>
        <s:v>46247.551932870374</s:v>
      </s:c>
      <s:c r="M868" s="22">
        <s:f>'3'!F869</s:f>
        <s:v>46247.534525462965</s:v>
      </s:c>
      <s:c r="N868" s="22">
        <s:f>'4'!F869</s:f>
        <s:v>46247.48863425926</s:v>
      </s:c>
      <s:c r="O868" s="22">
        <s:f>'5'!F869</s:f>
        <s:v>46247.46028935185</s:v>
      </s:c>
      <s:c r="P868" s="22">
        <s:f>'6'!F869</s:f>
        <s:v>46247.440833333334</s:v>
      </s:c>
      <s:c r="Q868" s="22">
        <s:f>'7'!F869</s:f>
        <s:v>46247.41818287037</s:v>
      </s:c>
      <s:c r="R868" s="22">
        <s:f>'8'!F869</s:f>
        <s:v>46247.39399305556</s:v>
      </s:c>
      <s:c r="S868" s="22">
        <s:f>'9'!F869</s:f>
        <s:v>46247.376180555555</s:v>
      </s:c>
      <s:c r="T868" s="22">
        <s:f>'10'!F869</s:f>
        <s:v>46247.34695601852</s:v>
      </s:c>
      <s:c r="U868" s="23">
        <s:f>'자료구성'!$B$2</s:f>
        <s:v>46247.0</s:v>
      </s:c>
    </s:row>
    <s:row r="869">
      <s:c r="A869" s="0" t="n">
        <s:v>1850</s:v>
      </s:c>
      <s:c r="B869" s="0" t="n">
        <s:v>1409</s:v>
      </s:c>
      <s:c r="C869" s="0" t="n">
        <s:v>1546</s:v>
      </s:c>
      <s:c r="D869" s="0" t="n">
        <s:v>193</s:v>
      </s:c>
      <s:c r="E869" s="0" t="n">
        <s:v>1437</s:v>
      </s:c>
      <s:c r="F869" s="0" t="n">
        <s:v>2798</s:v>
      </s:c>
      <s:c r="G869" s="0" t="n">
        <s:v>3388</s:v>
      </s:c>
      <s:c r="H869" s="0" t="n">
        <s:v>3677</s:v>
      </s:c>
      <s:c r="I869" s="0" t="n">
        <s:v>1650</s:v>
      </s:c>
      <s:c r="J869" s="0" t="n">
        <s:v>1332</s:v>
      </s:c>
      <s:c r="K869" s="22">
        <s:f>'1'!F870</s:f>
        <s:v>46247.57020833333</s:v>
      </s:c>
      <s:c r="L869" s="22">
        <s:f>'2'!F870</s:f>
        <s:v>46247.55194444444</s:v>
      </s:c>
      <s:c r="M869" s="22">
        <s:f>'3'!F870</s:f>
        <s:v>46247.534537037034</s:v>
      </s:c>
      <s:c r="N869" s="22">
        <s:f>'4'!F870</s:f>
        <s:v>46247.488645833335</s:v>
      </s:c>
      <s:c r="O869" s="22">
        <s:f>'5'!F870</s:f>
        <s:v>46247.46030092592</s:v>
      </s:c>
      <s:c r="P869" s="22">
        <s:f>'6'!F870</s:f>
        <s:v>46247.44084490741</s:v>
      </s:c>
      <s:c r="Q869" s="22">
        <s:f>'7'!F870</s:f>
        <s:v>46247.41819444444</s:v>
      </s:c>
      <s:c r="R869" s="22">
        <s:f>'8'!F870</s:f>
        <s:v>46247.39400462963</s:v>
      </s:c>
      <s:c r="S869" s="22">
        <s:f>'9'!F870</s:f>
        <s:v>46247.37619212963</s:v>
      </s:c>
      <s:c r="T869" s="22">
        <s:f>'10'!F870</s:f>
        <s:v>46247.346967592595</s:v>
      </s:c>
      <s:c r="U869" s="23">
        <s:f>'자료구성'!$B$2</s:f>
        <s:v>46247.0</s:v>
      </s:c>
    </s:row>
    <s:row r="870">
      <s:c r="A870" s="0" t="n">
        <s:v>1874</s:v>
      </s:c>
      <s:c r="B870" s="0" t="n">
        <s:v>1399</s:v>
      </s:c>
      <s:c r="C870" s="0" t="n">
        <s:v>1568</s:v>
      </s:c>
      <s:c r="D870" s="0" t="n">
        <s:v>190</s:v>
      </s:c>
      <s:c r="E870" s="0" t="n">
        <s:v>1432</s:v>
      </s:c>
      <s:c r="F870" s="0" t="n">
        <s:v>2745</s:v>
      </s:c>
      <s:c r="G870" s="0" t="n">
        <s:v>3258</s:v>
      </s:c>
      <s:c r="H870" s="0" t="n">
        <s:v>3746</s:v>
      </s:c>
      <s:c r="I870" s="0" t="n">
        <s:v>1658</s:v>
      </s:c>
      <s:c r="J870" s="0" t="n">
        <s:v>1319</s:v>
      </s:c>
      <s:c r="K870" s="22">
        <s:f>'1'!F871</s:f>
        <s:v>46247.57021990741</s:v>
      </s:c>
      <s:c r="L870" s="22">
        <s:f>'2'!F871</s:f>
        <s:v>46247.55195601852</s:v>
      </s:c>
      <s:c r="M870" s="22">
        <s:f>'3'!F871</s:f>
        <s:v>46247.53454861111</s:v>
      </s:c>
      <s:c r="N870" s="22">
        <s:f>'4'!F871</s:f>
        <s:v>46247.488657407404</s:v>
      </s:c>
      <s:c r="O870" s="22">
        <s:f>'5'!F871</s:f>
        <s:v>46247.4603125</s:v>
      </s:c>
      <s:c r="P870" s="22">
        <s:f>'6'!F871</s:f>
        <s:v>46247.44085648148</s:v>
      </s:c>
      <s:c r="Q870" s="22">
        <s:f>'7'!F871</s:f>
        <s:v>46247.41820601852</s:v>
      </s:c>
      <s:c r="R870" s="22">
        <s:f>'8'!F871</s:f>
        <s:v>46247.3940162037</s:v>
      </s:c>
      <s:c r="S870" s="22">
        <s:f>'9'!F871</s:f>
        <s:v>46247.3762037037</s:v>
      </s:c>
      <s:c r="T870" s="22">
        <s:f>'10'!F871</s:f>
        <s:v>46247.346979166665</s:v>
      </s:c>
      <s:c r="U870" s="23">
        <s:f>'자료구성'!$B$2</s:f>
        <s:v>46247.0</s:v>
      </s:c>
    </s:row>
    <s:row r="871">
      <s:c r="A871" s="0" t="n">
        <s:v>1927</s:v>
      </s:c>
      <s:c r="B871" s="0" t="n">
        <s:v>1396</s:v>
      </s:c>
      <s:c r="C871" s="0" t="n">
        <s:v>1617</s:v>
      </s:c>
      <s:c r="D871" s="0" t="n">
        <s:v>172</s:v>
      </s:c>
      <s:c r="E871" s="0" t="n">
        <s:v>1425</s:v>
      </s:c>
      <s:c r="F871" s="0" t="n">
        <s:v>2704</s:v>
      </s:c>
      <s:c r="G871" s="0" t="n">
        <s:v>3166</s:v>
      </s:c>
      <s:c r="H871" s="0" t="n">
        <s:v>3790</s:v>
      </s:c>
      <s:c r="I871" s="0" t="n">
        <s:v>1665</s:v>
      </s:c>
      <s:c r="J871" s="0" t="n">
        <s:v>1305</s:v>
      </s:c>
      <s:c r="K871" s="22">
        <s:f>'1'!F872</s:f>
        <s:v>46247.570231481484</s:v>
      </s:c>
      <s:c r="L871" s="22">
        <s:f>'2'!F872</s:f>
        <s:v>46247.55196759259</s:v>
      </s:c>
      <s:c r="M871" s="22">
        <s:f>'3'!F872</s:f>
        <s:v>46247.53456018519</s:v>
      </s:c>
      <s:c r="N871" s="22">
        <s:f>'4'!F872</s:f>
        <s:v>46247.48866898148</s:v>
      </s:c>
      <s:c r="O871" s="22">
        <s:f>'5'!F872</s:f>
        <s:v>46247.460324074076</s:v>
      </s:c>
      <s:c r="P871" s="22">
        <s:f>'6'!F872</s:f>
        <s:v>46247.44086805556</s:v>
      </s:c>
      <s:c r="Q871" s="22">
        <s:f>'7'!F872</s:f>
        <s:v>46247.418217592596</s:v>
      </s:c>
      <s:c r="R871" s="22">
        <s:f>'8'!F872</s:f>
        <s:v>46247.39402777778</s:v>
      </s:c>
      <s:c r="S871" s="22">
        <s:f>'9'!F872</s:f>
        <s:v>46247.37621527778</s:v>
      </s:c>
      <s:c r="T871" s="22">
        <s:f>'10'!F872</s:f>
        <s:v>46247.34699074074</s:v>
      </s:c>
      <s:c r="U871" s="23">
        <s:f>'자료구성'!$B$2</s:f>
        <s:v>46247.0</s:v>
      </s:c>
    </s:row>
    <s:row r="872">
      <s:c r="A872" s="0" t="n">
        <s:v>2014</s:v>
      </s:c>
      <s:c r="B872" s="0" t="n">
        <s:v>1404</s:v>
      </s:c>
      <s:c r="C872" s="0" t="n">
        <s:v>1654</s:v>
      </s:c>
      <s:c r="D872" s="0" t="n">
        <s:v>162</s:v>
      </s:c>
      <s:c r="E872" s="0" t="n">
        <s:v>1437</s:v>
      </s:c>
      <s:c r="F872" s="0" t="n">
        <s:v>2640</s:v>
      </s:c>
      <s:c r="G872" s="0" t="n">
        <s:v>3082</s:v>
      </s:c>
      <s:c r="H872" s="0" t="n">
        <s:v>3842</s:v>
      </s:c>
      <s:c r="I872" s="0" t="n">
        <s:v>1663</s:v>
      </s:c>
      <s:c r="J872" s="0" t="n">
        <s:v>1303</s:v>
      </s:c>
      <s:c r="K872" s="22">
        <s:f>'1'!F873</s:f>
        <s:v>46247.570243055554</s:v>
      </s:c>
      <s:c r="L872" s="22">
        <s:f>'2'!F873</s:f>
        <s:v>46247.55197916667</s:v>
      </s:c>
      <s:c r="M872" s="22">
        <s:f>'3'!F873</s:f>
        <s:v>46247.53457175926</s:v>
      </s:c>
      <s:c r="N872" s="22">
        <s:f>'4'!F873</s:f>
        <s:v>46247.48868055556</s:v>
      </s:c>
      <s:c r="O872" s="22">
        <s:f>'5'!F873</s:f>
        <s:v>46247.460335648146</s:v>
      </s:c>
      <s:c r="P872" s="22">
        <s:f>'6'!F873</s:f>
        <s:v>46247.44087962963</s:v>
      </s:c>
      <s:c r="Q872" s="22">
        <s:f>'7'!F873</s:f>
        <s:v>46247.418229166666</s:v>
      </s:c>
      <s:c r="R872" s="22">
        <s:f>'8'!F873</s:f>
        <s:v>46247.39403935185</s:v>
      </s:c>
      <s:c r="S872" s="22">
        <s:f>'9'!F873</s:f>
        <s:v>46247.376226851855</s:v>
      </s:c>
      <s:c r="T872" s="22">
        <s:f>'10'!F873</s:f>
        <s:v>46247.34700231482</s:v>
      </s:c>
      <s:c r="U872" s="23">
        <s:f>'자료구성'!$B$2</s:f>
        <s:v>46247.0</s:v>
      </s:c>
    </s:row>
    <s:row r="873">
      <s:c r="A873" s="0" t="n">
        <s:v>2102</s:v>
      </s:c>
      <s:c r="B873" s="0" t="n">
        <s:v>1400</s:v>
      </s:c>
      <s:c r="C873" s="0" t="n">
        <s:v>1687</s:v>
      </s:c>
      <s:c r="D873" s="0" t="n">
        <s:v>165</s:v>
      </s:c>
      <s:c r="E873" s="0" t="n">
        <s:v>1429</s:v>
      </s:c>
      <s:c r="F873" s="0" t="n">
        <s:v>2646</s:v>
      </s:c>
      <s:c r="G873" s="0" t="n">
        <s:v>3049</s:v>
      </s:c>
      <s:c r="H873" s="0" t="n">
        <s:v>3885</s:v>
      </s:c>
      <s:c r="I873" s="0" t="n">
        <s:v>1658</s:v>
      </s:c>
      <s:c r="J873" s="0" t="n">
        <s:v>1285</s:v>
      </s:c>
      <s:c r="K873" s="22">
        <s:f>'1'!F874</s:f>
        <s:v>46247.57025462963</s:v>
      </s:c>
      <s:c r="L873" s="22">
        <s:f>'2'!F874</s:f>
        <s:v>46247.55199074074</s:v>
      </s:c>
      <s:c r="M873" s="22">
        <s:f>'3'!F874</s:f>
        <s:v>46247.534583333334</s:v>
      </s:c>
      <s:c r="N873" s="22">
        <s:f>'4'!F874</s:f>
        <s:v>46247.48869212963</s:v>
      </s:c>
      <s:c r="O873" s="22">
        <s:f>'5'!F874</s:f>
        <s:v>46247.46034722222</s:v>
      </s:c>
      <s:c r="P873" s="22">
        <s:f>'6'!F874</s:f>
        <s:v>46247.4408912037</s:v>
      </s:c>
      <s:c r="Q873" s="22">
        <s:f>'7'!F874</s:f>
        <s:v>46247.41824074074</s:v>
      </s:c>
      <s:c r="R873" s="22">
        <s:f>'8'!F874</s:f>
        <s:v>46247.39405092593</s:v>
      </s:c>
      <s:c r="S873" s="22">
        <s:f>'9'!F874</s:f>
        <s:v>46247.376238425924</s:v>
      </s:c>
      <s:c r="T873" s="22">
        <s:f>'10'!F874</s:f>
        <s:v>46247.34701388889</s:v>
      </s:c>
      <s:c r="U873" s="23">
        <s:f>'자료구성'!$B$2</s:f>
        <s:v>46247.0</s:v>
      </s:c>
    </s:row>
    <s:row r="874">
      <s:c r="A874" s="0" t="n">
        <s:v>2150</s:v>
      </s:c>
      <s:c r="B874" s="0" t="n">
        <s:v>1396</s:v>
      </s:c>
      <s:c r="C874" s="0" t="n">
        <s:v>1694</s:v>
      </s:c>
      <s:c r="D874" s="0" t="n">
        <s:v>157</s:v>
      </s:c>
      <s:c r="E874" s="0" t="n">
        <s:v>1427</s:v>
      </s:c>
      <s:c r="F874" s="0" t="n">
        <s:v>2613</s:v>
      </s:c>
      <s:c r="G874" s="0" t="n">
        <s:v>3044</s:v>
      </s:c>
      <s:c r="H874" s="0" t="n">
        <s:v>3957</s:v>
      </s:c>
      <s:c r="I874" s="0" t="n">
        <s:v>1641</s:v>
      </s:c>
      <s:c r="J874" s="0" t="n">
        <s:v>1275</s:v>
      </s:c>
      <s:c r="K874" s="22">
        <s:f>'1'!F875</s:f>
        <s:v>46247.5702662037</s:v>
      </s:c>
      <s:c r="L874" s="22">
        <s:f>'2'!F875</s:f>
        <s:v>46247.55200231481</s:v>
      </s:c>
      <s:c r="M874" s="22">
        <s:f>'3'!F875</s:f>
        <s:v>46247.53459490741</s:v>
      </s:c>
      <s:c r="N874" s="22">
        <s:f>'4'!F875</s:f>
        <s:v>46247.488703703704</s:v>
      </s:c>
      <s:c r="O874" s="22">
        <s:f>'5'!F875</s:f>
        <s:v>46247.4603587963</s:v>
      </s:c>
      <s:c r="P874" s="22">
        <s:f>'6'!F875</s:f>
        <s:v>46247.44090277778</s:v>
      </s:c>
      <s:c r="Q874" s="22">
        <s:f>'7'!F875</s:f>
        <s:v>46247.41825231481</s:v>
      </s:c>
      <s:c r="R874" s="22">
        <s:f>'8'!F875</s:f>
        <s:v>46247.3940625</s:v>
      </s:c>
      <s:c r="S874" s="22">
        <s:f>'9'!F875</s:f>
        <s:v>46247.37625</s:v>
      </s:c>
      <s:c r="T874" s="22">
        <s:f>'10'!F875</s:f>
        <s:v>46247.347025462965</s:v>
      </s:c>
      <s:c r="U874" s="23">
        <s:f>'자료구성'!$B$2</s:f>
        <s:v>46247.0</s:v>
      </s:c>
    </s:row>
    <s:row r="875">
      <s:c r="A875" s="0" t="n">
        <s:v>2115</s:v>
      </s:c>
      <s:c r="B875" s="0" t="n">
        <s:v>1410</s:v>
      </s:c>
      <s:c r="C875" s="0" t="n">
        <s:v>1738</s:v>
      </s:c>
      <s:c r="D875" s="0" t="n">
        <s:v>147</s:v>
      </s:c>
      <s:c r="E875" s="0" t="n">
        <s:v>1457</s:v>
      </s:c>
      <s:c r="F875" s="0" t="n">
        <s:v>2537</s:v>
      </s:c>
      <s:c r="G875" s="0" t="n">
        <s:v>3028</s:v>
      </s:c>
      <s:c r="H875" s="0" t="n">
        <s:v>4008</s:v>
      </s:c>
      <s:c r="I875" s="0" t="n">
        <s:v>1621</s:v>
      </s:c>
      <s:c r="J875" s="0" t="n">
        <s:v>1266</s:v>
      </s:c>
      <s:c r="K875" s="22">
        <s:f>'1'!F876</s:f>
        <s:v>46247.57027777778</s:v>
      </s:c>
      <s:c r="L875" s="22">
        <s:f>'2'!F876</s:f>
        <s:v>46247.55201388889</s:v>
      </s:c>
      <s:c r="M875" s="22">
        <s:f>'3'!F876</s:f>
        <s:v>46247.53460648148</s:v>
      </s:c>
      <s:c r="N875" s="22">
        <s:f>'4'!F876</s:f>
        <s:v>46247.48871527778</s:v>
      </s:c>
      <s:c r="O875" s="22">
        <s:f>'5'!F876</s:f>
        <s:v>46247.46037037037</s:v>
      </s:c>
      <s:c r="P875" s="22">
        <s:f>'6'!F876</s:f>
        <s:v>46247.44091435185</s:v>
      </s:c>
      <s:c r="Q875" s="22">
        <s:f>'7'!F876</s:f>
        <s:v>46247.41826388889</s:v>
      </s:c>
      <s:c r="R875" s="22">
        <s:f>'8'!F876</s:f>
        <s:v>46247.39407407407</s:v>
      </s:c>
      <s:c r="S875" s="22">
        <s:f>'9'!F876</s:f>
        <s:v>46247.37626157407</s:v>
      </s:c>
      <s:c r="T875" s="22">
        <s:f>'10'!F876</s:f>
        <s:v>46247.347037037034</s:v>
      </s:c>
      <s:c r="U875" s="23">
        <s:f>'자료구성'!$B$2</s:f>
        <s:v>46247.0</s:v>
      </s:c>
    </s:row>
    <s:row r="876">
      <s:c r="A876" s="0" t="n">
        <s:v>2090</s:v>
      </s:c>
      <s:c r="B876" s="0" t="n">
        <s:v>1441</s:v>
      </s:c>
      <s:c r="C876" s="0" t="n">
        <s:v>1825</s:v>
      </s:c>
      <s:c r="D876" s="0" t="n">
        <s:v>130</s:v>
      </s:c>
      <s:c r="E876" s="0" t="n">
        <s:v>1489</s:v>
      </s:c>
      <s:c r="F876" s="0" t="n">
        <s:v>2474</s:v>
      </s:c>
      <s:c r="G876" s="0" t="n">
        <s:v>3096</s:v>
      </s:c>
      <s:c r="H876" s="0" t="n">
        <s:v>4039</s:v>
      </s:c>
      <s:c r="I876" s="0" t="n">
        <s:v>1604</s:v>
      </s:c>
      <s:c r="J876" s="0" t="n">
        <s:v>1294</s:v>
      </s:c>
      <s:c r="K876" s="22">
        <s:f>'1'!F877</s:f>
        <s:v>46247.570289351854</s:v>
      </s:c>
      <s:c r="L876" s="22">
        <s:f>'2'!F877</s:f>
        <s:v>46247.55202546297</s:v>
      </s:c>
      <s:c r="M876" s="22">
        <s:f>'3'!F877</s:f>
        <s:v>46247.53461805556</s:v>
      </s:c>
      <s:c r="N876" s="22">
        <s:f>'4'!F877</s:f>
        <s:v>46247.48872685185</s:v>
      </s:c>
      <s:c r="O876" s="22">
        <s:f>'5'!F877</s:f>
        <s:v>46247.460381944446</s:v>
      </s:c>
      <s:c r="P876" s="22">
        <s:f>'6'!F877</s:f>
        <s:v>46247.44092592593</s:v>
      </s:c>
      <s:c r="Q876" s="22">
        <s:f>'7'!F877</s:f>
        <s:v>46247.418275462966</s:v>
      </s:c>
      <s:c r="R876" s="22">
        <s:f>'8'!F877</s:f>
        <s:v>46247.39408564815</s:v>
      </s:c>
      <s:c r="S876" s="22">
        <s:f>'9'!F877</s:f>
        <s:v>46247.37627314815</s:v>
      </s:c>
      <s:c r="T876" s="22">
        <s:f>'10'!F877</s:f>
        <s:v>46247.34704861111</s:v>
      </s:c>
      <s:c r="U876" s="23">
        <s:f>'자료구성'!$B$2</s:f>
        <s:v>46247.0</s:v>
      </s:c>
    </s:row>
    <s:row r="877">
      <s:c r="A877" s="0" t="n">
        <s:v>2041</s:v>
      </s:c>
      <s:c r="B877" s="0" t="n">
        <s:v>1448</s:v>
      </s:c>
      <s:c r="C877" s="0" t="n">
        <s:v>1891</s:v>
      </s:c>
      <s:c r="D877" s="0" t="n">
        <s:v>128</s:v>
      </s:c>
      <s:c r="E877" s="0" t="n">
        <s:v>1515</s:v>
      </s:c>
      <s:c r="F877" s="0" t="n">
        <s:v>2441</s:v>
      </s:c>
      <s:c r="G877" s="0" t="n">
        <s:v>3086</s:v>
      </s:c>
      <s:c r="H877" s="0" t="n">
        <s:v>4001</s:v>
      </s:c>
      <s:c r="I877" s="0" t="n">
        <s:v>1586</s:v>
      </s:c>
      <s:c r="J877" s="0" t="n">
        <s:v>1277</s:v>
      </s:c>
      <s:c r="K877" s="22">
        <s:f>'1'!F878</s:f>
        <s:v>46247.57030092592</s:v>
      </s:c>
      <s:c r="L877" s="22">
        <s:f>'2'!F878</s:f>
        <s:v>46247.552037037036</s:v>
      </s:c>
      <s:c r="M877" s="22">
        <s:f>'3'!F878</s:f>
        <s:v>46247.53462962963</s:v>
      </s:c>
      <s:c r="N877" s="22">
        <s:f>'4'!F878</s:f>
        <s:v>46247.48873842593</s:v>
      </s:c>
      <s:c r="O877" s="22">
        <s:f>'5'!F878</s:f>
        <s:v>46247.460393518515</s:v>
      </s:c>
      <s:c r="P877" s="22">
        <s:f>'6'!F878</s:f>
        <s:v>46247.4409375</s:v>
      </s:c>
      <s:c r="Q877" s="22">
        <s:f>'7'!F878</s:f>
        <s:v>46247.418287037035</s:v>
      </s:c>
      <s:c r="R877" s="22">
        <s:f>'8'!F878</s:f>
        <s:v>46247.39409722222</s:v>
      </s:c>
      <s:c r="S877" s="22">
        <s:f>'9'!F878</s:f>
        <s:v>46247.376284722224</s:v>
      </s:c>
      <s:c r="T877" s="22">
        <s:f>'10'!F878</s:f>
        <s:v>46247.34706018519</s:v>
      </s:c>
      <s:c r="U877" s="23">
        <s:f>'자료구성'!$B$2</s:f>
        <s:v>46247.0</s:v>
      </s:c>
    </s:row>
    <s:row r="878">
      <s:c r="A878" s="0" t="n">
        <s:v>2018</s:v>
      </s:c>
      <s:c r="B878" s="0" t="n">
        <s:v>1445</s:v>
      </s:c>
      <s:c r="C878" s="0" t="n">
        <s:v>1940</s:v>
      </s:c>
      <s:c r="D878" s="0" t="n">
        <s:v>139</s:v>
      </s:c>
      <s:c r="E878" s="0" t="n">
        <s:v>1538</s:v>
      </s:c>
      <s:c r="F878" s="0" t="n">
        <s:v>2407</s:v>
      </s:c>
      <s:c r="G878" s="0" t="n">
        <s:v>3053</s:v>
      </s:c>
      <s:c r="H878" s="0" t="n">
        <s:v>3979</s:v>
      </s:c>
      <s:c r="I878" s="0" t="n">
        <s:v>1578</s:v>
      </s:c>
      <s:c r="J878" s="0" t="n">
        <s:v>1267</s:v>
      </s:c>
      <s:c r="K878" s="22">
        <s:f>'1'!F879</s:f>
        <s:v>46247.5703125</s:v>
      </s:c>
      <s:c r="L878" s="22">
        <s:f>'2'!F879</s:f>
        <s:v>46247.55204861111</s:v>
      </s:c>
      <s:c r="M878" s="22">
        <s:f>'3'!F879</s:f>
        <s:v>46247.5346412037</s:v>
      </s:c>
      <s:c r="N878" s="22">
        <s:f>'4'!F879</s:f>
        <s:v>46247.48875</s:v>
      </s:c>
      <s:c r="O878" s="22">
        <s:f>'5'!F879</s:f>
        <s:v>46247.46040509259</s:v>
      </s:c>
      <s:c r="P878" s="22">
        <s:f>'6'!F879</s:f>
        <s:v>46247.44094907407</s:v>
      </s:c>
      <s:c r="Q878" s="22">
        <s:f>'7'!F879</s:f>
        <s:v>46247.41829861111</s:v>
      </s:c>
      <s:c r="R878" s="22">
        <s:f>'8'!F879</s:f>
        <s:v>46247.394108796296</s:v>
      </s:c>
      <s:c r="S878" s="22">
        <s:f>'9'!F879</s:f>
        <s:v>46247.376296296294</s:v>
      </s:c>
      <s:c r="T878" s="22">
        <s:f>'10'!F879</s:f>
        <s:v>46247.34707175926</s:v>
      </s:c>
      <s:c r="U878" s="23">
        <s:f>'자료구성'!$B$2</s:f>
        <s:v>46247.0</s:v>
      </s:c>
    </s:row>
    <s:row r="879">
      <s:c r="A879" s="0" t="n">
        <s:v>1937</s:v>
      </s:c>
      <s:c r="B879" s="0" t="n">
        <s:v>1432</s:v>
      </s:c>
      <s:c r="C879" s="0" t="n">
        <s:v>1899</s:v>
      </s:c>
      <s:c r="D879" s="0" t="n">
        <s:v>129</s:v>
      </s:c>
      <s:c r="E879" s="0" t="n">
        <s:v>1561</s:v>
      </s:c>
      <s:c r="F879" s="0" t="n">
        <s:v>2413</s:v>
      </s:c>
      <s:c r="G879" s="0" t="n">
        <s:v>3071</s:v>
      </s:c>
      <s:c r="H879" s="0" t="n">
        <s:v>3956</s:v>
      </s:c>
      <s:c r="I879" s="0" t="n">
        <s:v>1577</s:v>
      </s:c>
      <s:c r="J879" s="0" t="n">
        <s:v>1266</s:v>
      </s:c>
      <s:c r="K879" s="22">
        <s:f>'1'!F880</s:f>
        <s:v>46247.57032407408</s:v>
      </s:c>
      <s:c r="L879" s="22">
        <s:f>'2'!F880</s:f>
        <s:v>46247.55206018518</s:v>
      </s:c>
      <s:c r="M879" s="22">
        <s:f>'3'!F880</s:f>
        <s:v>46247.53465277778</s:v>
      </s:c>
      <s:c r="N879" s="22">
        <s:f>'4'!F880</s:f>
        <s:v>46247.48876157407</s:v>
      </s:c>
      <s:c r="O879" s="22">
        <s:f>'5'!F880</s:f>
        <s:v>46247.46041666667</s:v>
      </s:c>
      <s:c r="P879" s="22">
        <s:f>'6'!F880</s:f>
        <s:v>46247.44096064815</s:v>
      </s:c>
      <s:c r="Q879" s="22">
        <s:f>'7'!F880</s:f>
        <s:v>46247.41831018519</s:v>
      </s:c>
      <s:c r="R879" s="22">
        <s:f>'8'!F880</s:f>
        <s:v>46247.39412037037</s:v>
      </s:c>
      <s:c r="S879" s="22">
        <s:f>'9'!F880</s:f>
        <s:v>46247.37630787037</s:v>
      </s:c>
      <s:c r="T879" s="22">
        <s:f>'10'!F880</s:f>
        <s:v>46247.347083333334</s:v>
      </s:c>
      <s:c r="U879" s="23">
        <s:f>'자료구성'!$B$2</s:f>
        <s:v>46247.0</s:v>
      </s:c>
    </s:row>
    <s:row r="880">
      <s:c r="A880" s="0" t="n">
        <s:v>1854</s:v>
      </s:c>
      <s:c r="B880" s="0" t="n">
        <s:v>1417</s:v>
      </s:c>
      <s:c r="C880" s="0" t="n">
        <s:v>1829</s:v>
      </s:c>
      <s:c r="D880" s="0" t="n">
        <s:v>141</s:v>
      </s:c>
      <s:c r="E880" s="0" t="n">
        <s:v>1600</s:v>
      </s:c>
      <s:c r="F880" s="0" t="n">
        <s:v>2384</s:v>
      </s:c>
      <s:c r="G880" s="0" t="n">
        <s:v>3071</s:v>
      </s:c>
      <s:c r="H880" s="0" t="n">
        <s:v>3942</s:v>
      </s:c>
      <s:c r="I880" s="0" t="n">
        <s:v>1566</s:v>
      </s:c>
      <s:c r="J880" s="0" t="n">
        <s:v>1306</s:v>
      </s:c>
      <s:c r="K880" s="22">
        <s:f>'1'!F881</s:f>
        <s:v>46247.570335648146</s:v>
      </s:c>
      <s:c r="L880" s="22">
        <s:f>'2'!F881</s:f>
        <s:v>46247.55207175926</s:v>
      </s:c>
      <s:c r="M880" s="22">
        <s:f>'3'!F881</s:f>
        <s:v>46247.53466435185</s:v>
      </s:c>
      <s:c r="N880" s="22">
        <s:f>'4'!F881</s:f>
        <s:v>46247.48877314815</s:v>
      </s:c>
      <s:c r="O880" s="22">
        <s:f>'5'!F881</s:f>
        <s:v>46247.46042824074</s:v>
      </s:c>
      <s:c r="P880" s="22">
        <s:f>'6'!F881</s:f>
        <s:v>46247.44097222222</s:v>
      </s:c>
      <s:c r="Q880" s="22">
        <s:f>'7'!F881</s:f>
        <s:v>46247.41832175926</s:v>
      </s:c>
      <s:c r="R880" s="22">
        <s:f>'8'!F881</s:f>
        <s:v>46247.39413194444</s:v>
      </s:c>
      <s:c r="S880" s="22">
        <s:f>'9'!F881</s:f>
        <s:v>46247.37631944445</s:v>
      </s:c>
      <s:c r="T880" s="22">
        <s:f>'10'!F881</s:f>
        <s:v>46247.34709490741</s:v>
      </s:c>
      <s:c r="U880" s="23">
        <s:f>'자료구성'!$B$2</s:f>
        <s:v>46247.0</s:v>
      </s:c>
    </s:row>
    <s:row r="881">
      <s:c r="A881" s="0" t="n">
        <s:v>1823</s:v>
      </s:c>
      <s:c r="B881" s="0" t="n">
        <s:v>1413</s:v>
      </s:c>
      <s:c r="C881" s="0" t="n">
        <s:v>1761</s:v>
      </s:c>
      <s:c r="D881" s="0" t="n">
        <s:v>134</s:v>
      </s:c>
      <s:c r="E881" s="0" t="n">
        <s:v>1606</s:v>
      </s:c>
      <s:c r="F881" s="0" t="n">
        <s:v>2359</s:v>
      </s:c>
      <s:c r="G881" s="0" t="n">
        <s:v>3017</s:v>
      </s:c>
      <s:c r="H881" s="0" t="n">
        <s:v>3946</s:v>
      </s:c>
      <s:c r="I881" s="0" t="n">
        <s:v>1615</s:v>
      </s:c>
      <s:c r="J881" s="0" t="n">
        <s:v>1335</s:v>
      </s:c>
      <s:c r="K881" s="22">
        <s:f>'1'!F882</s:f>
        <s:v>46247.57034722222</s:v>
      </s:c>
      <s:c r="L881" s="22">
        <s:f>'2'!F882</s:f>
        <s:v>46247.552083333336</s:v>
      </s:c>
      <s:c r="M881" s="22">
        <s:f>'3'!F882</s:f>
        <s:v>46247.53467592593</s:v>
      </s:c>
      <s:c r="N881" s="22">
        <s:f>'4'!F882</s:f>
        <s:v>46247.48878472222</s:v>
      </s:c>
      <s:c r="O881" s="22">
        <s:f>'5'!F882</s:f>
        <s:v>46247.460439814815</s:v>
      </s:c>
      <s:c r="P881" s="22">
        <s:f>'6'!F882</s:f>
        <s:v>46247.440983796296</s:v>
      </s:c>
      <s:c r="Q881" s="22">
        <s:f>'7'!F882</s:f>
        <s:v>46247.418333333335</s:v>
      </s:c>
      <s:c r="R881" s="22">
        <s:f>'8'!F882</s:f>
        <s:v>46247.39414351852</s:v>
      </s:c>
      <s:c r="S881" s="22">
        <s:f>'9'!F882</s:f>
        <s:v>46247.37633101852</s:v>
      </s:c>
      <s:c r="T881" s="22">
        <s:f>'10'!F882</s:f>
        <s:v>46247.34710648148</s:v>
      </s:c>
      <s:c r="U881" s="23">
        <s:f>'자료구성'!$B$2</s:f>
        <s:v>46247.0</s:v>
      </s:c>
    </s:row>
    <s:row r="882">
      <s:c r="A882" s="0" t="n">
        <s:v>1869</s:v>
      </s:c>
      <s:c r="B882" s="0" t="n">
        <s:v>1386</s:v>
      </s:c>
      <s:c r="C882" s="0" t="n">
        <s:v>1738</s:v>
      </s:c>
      <s:c r="D882" s="0" t="n">
        <s:v>145</s:v>
      </s:c>
      <s:c r="E882" s="0" t="n">
        <s:v>1615</s:v>
      </s:c>
      <s:c r="F882" s="0" t="n">
        <s:v>2309</s:v>
      </s:c>
      <s:c r="G882" s="0" t="n">
        <s:v>2917</s:v>
      </s:c>
      <s:c r="H882" s="0" t="n">
        <s:v>3912</s:v>
      </s:c>
      <s:c r="I882" s="0" t="n">
        <s:v>1620</s:v>
      </s:c>
      <s:c r="J882" s="0" t="n">
        <s:v>1350</s:v>
      </s:c>
      <s:c r="K882" s="22">
        <s:f>'1'!F883</s:f>
        <s:v>46247.5703587963</s:v>
      </s:c>
      <s:c r="L882" s="22">
        <s:f>'2'!F883</s:f>
        <s:v>46247.552094907405</s:v>
      </s:c>
      <s:c r="M882" s="22">
        <s:f>'3'!F883</s:f>
        <s:v>46247.5346875</s:v>
      </s:c>
      <s:c r="N882" s="22">
        <s:f>'4'!F883</s:f>
        <s:v>46247.4887962963</s:v>
      </s:c>
      <s:c r="O882" s="22">
        <s:f>'5'!F883</s:f>
        <s:v>46247.46045138889</s:v>
      </s:c>
      <s:c r="P882" s="22">
        <s:f>'6'!F883</s:f>
        <s:v>46247.44099537037</s:v>
      </s:c>
      <s:c r="Q882" s="22">
        <s:f>'7'!F883</s:f>
        <s:v>46247.418344907404</s:v>
      </s:c>
      <s:c r="R882" s="22">
        <s:f>'8'!F883</s:f>
        <s:v>46247.394155092596</s:v>
      </s:c>
      <s:c r="S882" s="22">
        <s:f>'9'!F883</s:f>
        <s:v>46247.37634259259</s:v>
      </s:c>
      <s:c r="T882" s="22">
        <s:f>'10'!F883</s:f>
        <s:v>46247.34711805556</s:v>
      </s:c>
      <s:c r="U882" s="23">
        <s:f>'자료구성'!$B$2</s:f>
        <s:v>46247.0</s:v>
      </s:c>
    </s:row>
    <s:row r="883">
      <s:c r="A883" s="0" t="n">
        <s:v>1897</s:v>
      </s:c>
      <s:c r="B883" s="0" t="n">
        <s:v>1366</s:v>
      </s:c>
      <s:c r="C883" s="0" t="n">
        <s:v>1741</s:v>
      </s:c>
      <s:c r="D883" s="0" t="n">
        <s:v>102</s:v>
      </s:c>
      <s:c r="E883" s="0" t="n">
        <s:v>1626</s:v>
      </s:c>
      <s:c r="F883" s="0" t="n">
        <s:v>2300</s:v>
      </s:c>
      <s:c r="G883" s="0" t="n">
        <s:v>2815</s:v>
      </s:c>
      <s:c r="H883" s="0" t="n">
        <s:v>3900</s:v>
      </s:c>
      <s:c r="I883" s="0" t="n">
        <s:v>1606</s:v>
      </s:c>
      <s:c r="J883" s="0" t="n">
        <s:v>1406</s:v>
      </s:c>
      <s:c r="K883" s="22">
        <s:f>'1'!F884</s:f>
        <s:v>46247.57037037037</s:v>
      </s:c>
      <s:c r="L883" s="22">
        <s:f>'2'!F884</s:f>
        <s:v>46247.55210648148</s:v>
      </s:c>
      <s:c r="M883" s="22">
        <s:f>'3'!F884</s:f>
        <s:v>46247.53469907407</s:v>
      </s:c>
      <s:c r="N883" s="22">
        <s:f>'4'!F884</s:f>
        <s:v>46247.48880787037</s:v>
      </s:c>
      <s:c r="O883" s="22">
        <s:f>'5'!F884</s:f>
        <s:v>46247.46046296296</s:v>
      </s:c>
      <s:c r="P883" s="22">
        <s:f>'6'!F884</s:f>
        <s:v>46247.44100694444</s:v>
      </s:c>
      <s:c r="Q883" s="22">
        <s:f>'7'!F884</s:f>
        <s:v>46247.41835648148</s:v>
      </s:c>
      <s:c r="R883" s="22">
        <s:f>'8'!F884</s:f>
        <s:v>46247.394166666665</s:v>
      </s:c>
      <s:c r="S883" s="22">
        <s:f>'9'!F884</s:f>
        <s:v>46247.37635416666</s:v>
      </s:c>
      <s:c r="T883" s="22">
        <s:f>'10'!F884</s:f>
        <s:v>46247.34712962963</s:v>
      </s:c>
      <s:c r="U883" s="23">
        <s:f>'자료구성'!$B$2</s:f>
        <s:v>46247.0</s:v>
      </s:c>
    </s:row>
    <s:row r="884">
      <s:c r="A884" s="0" t="n">
        <s:v>1936</s:v>
      </s:c>
      <s:c r="B884" s="0" t="n">
        <s:v>1334</s:v>
      </s:c>
      <s:c r="C884" s="0" t="n">
        <s:v>1711</s:v>
      </s:c>
      <s:c r="D884" s="0" t="n">
        <s:v>50</s:v>
      </s:c>
      <s:c r="E884" s="0" t="n">
        <s:v>1636</s:v>
      </s:c>
      <s:c r="F884" s="0" t="n">
        <s:v>2297</s:v>
      </s:c>
      <s:c r="G884" s="0" t="n">
        <s:v>2852</s:v>
      </s:c>
      <s:c r="H884" s="0" t="n">
        <s:v>3841</s:v>
      </s:c>
      <s:c r="I884" s="0" t="n">
        <s:v>1617</s:v>
      </s:c>
      <s:c r="J884" s="0" t="n">
        <s:v>1419</s:v>
      </s:c>
      <s:c r="K884" s="22">
        <s:f>'1'!F885</s:f>
        <s:v>46247.570381944446</s:v>
      </s:c>
      <s:c r="L884" s="22">
        <s:f>'2'!F885</s:f>
        <s:v>46247.55211805556</s:v>
      </s:c>
      <s:c r="M884" s="22">
        <s:f>'3'!F885</s:f>
        <s:v>46247.53471064815</s:v>
      </s:c>
      <s:c r="N884" s="22">
        <s:f>'4'!F885</s:f>
        <s:v>46247.48881944444</s:v>
      </s:c>
      <s:c r="O884" s="22">
        <s:f>'5'!F885</s:f>
        <s:v>46247.46047453704</s:v>
      </s:c>
      <s:c r="P884" s="22">
        <s:f>'6'!F885</s:f>
        <s:v>46247.44101851852</s:v>
      </s:c>
      <s:c r="Q884" s="22">
        <s:f>'7'!F885</s:f>
        <s:v>46247.41836805556</s:v>
      </s:c>
      <s:c r="R884" s="22">
        <s:f>'8'!F885</s:f>
        <s:v>46247.39417824074</s:v>
      </s:c>
      <s:c r="S884" s="22">
        <s:f>'9'!F885</s:f>
        <s:v>46247.37636574074</s:v>
      </s:c>
      <s:c r="T884" s="22">
        <s:f>'10'!F885</s:f>
        <s:v>46247.3471412037</s:v>
      </s:c>
      <s:c r="U884" s="23">
        <s:f>'자료구성'!$B$2</s:f>
        <s:v>46247.0</s:v>
      </s:c>
    </s:row>
    <s:row r="885">
      <s:c r="A885" s="0" t="n">
        <s:v>1972</s:v>
      </s:c>
      <s:c r="B885" s="0" t="n">
        <s:v>1279</s:v>
      </s:c>
      <s:c r="C885" s="0" t="n">
        <s:v>1675</s:v>
      </s:c>
      <s:c r="D885" s="0" t="n">
        <s:v>16</s:v>
      </s:c>
      <s:c r="E885" s="0" t="n">
        <s:v>1633</s:v>
      </s:c>
      <s:c r="F885" s="0" t="n">
        <s:v>2265</s:v>
      </s:c>
      <s:c r="G885" s="0" t="n">
        <s:v>2921</s:v>
      </s:c>
      <s:c r="H885" s="0" t="n">
        <s:v>3800</s:v>
      </s:c>
      <s:c r="I885" s="0" t="n">
        <s:v>1622</s:v>
      </s:c>
      <s:c r="J885" s="0" t="n">
        <s:v>1424</s:v>
      </s:c>
      <s:c r="K885" s="22">
        <s:f>'1'!F886</s:f>
        <s:v>46247.570393518516</s:v>
      </s:c>
      <s:c r="L885" s="22">
        <s:f>'2'!F886</s:f>
        <s:v>46247.55212962963</s:v>
      </s:c>
      <s:c r="M885" s="22">
        <s:f>'3'!F886</s:f>
        <s:v>46247.53472222222</s:v>
      </s:c>
      <s:c r="N885" s="22">
        <s:f>'4'!F886</s:f>
        <s:v>46247.48883101852</s:v>
      </s:c>
      <s:c r="O885" s="22">
        <s:f>'5'!F886</s:f>
        <s:v>46247.460486111115</s:v>
      </s:c>
      <s:c r="P885" s="22">
        <s:f>'6'!F886</s:f>
        <s:v>46247.441030092596</s:v>
      </s:c>
      <s:c r="Q885" s="22">
        <s:f>'7'!F886</s:f>
        <s:v>46247.41837962963</s:v>
      </s:c>
      <s:c r="R885" s="22">
        <s:f>'8'!F886</s:f>
        <s:v>46247.39418981481</s:v>
      </s:c>
      <s:c r="S885" s="22">
        <s:f>'9'!F886</s:f>
        <s:v>46247.37637731482</s:v>
      </s:c>
      <s:c r="T885" s="22">
        <s:f>'10'!F886</s:f>
        <s:v>46247.34715277778</s:v>
      </s:c>
      <s:c r="U885" s="23">
        <s:f>'자료구성'!$B$2</s:f>
        <s:v>46247.0</s:v>
      </s:c>
    </s:row>
    <s:row r="886">
      <s:c r="A886" s="0" t="n">
        <s:v>2044</s:v>
      </s:c>
      <s:c r="B886" s="0" t="n">
        <s:v>1236</s:v>
      </s:c>
      <s:c r="C886" s="0" t="n">
        <s:v>1641</s:v>
      </s:c>
      <s:c r="D886" s="0" t="n">
        <s:v>3</s:v>
      </s:c>
      <s:c r="E886" s="0" t="n">
        <s:v>1623</s:v>
      </s:c>
      <s:c r="F886" s="0" t="n">
        <s:v>2234</s:v>
      </s:c>
      <s:c r="G886" s="0" t="n">
        <s:v>3024</s:v>
      </s:c>
      <s:c r="H886" s="0" t="n">
        <s:v>3788</s:v>
      </s:c>
      <s:c r="I886" s="0" t="n">
        <s:v>1615</s:v>
      </s:c>
      <s:c r="J886" s="0" t="n">
        <s:v>1449</s:v>
      </s:c>
      <s:c r="K886" s="22">
        <s:f>'1'!F887</s:f>
        <s:v>46247.57040509259</s:v>
      </s:c>
      <s:c r="L886" s="22">
        <s:f>'2'!F887</s:f>
        <s:v>46247.552141203705</s:v>
      </s:c>
      <s:c r="M886" s="22">
        <s:f>'3'!F887</s:f>
        <s:v>46247.534733796296</s:v>
      </s:c>
      <s:c r="N886" s="22">
        <s:f>'4'!F887</s:f>
        <s:v>46247.48884259259</s:v>
      </s:c>
      <s:c r="O886" s="22">
        <s:f>'5'!F887</s:f>
        <s:v>46247.460497685184</s:v>
      </s:c>
      <s:c r="P886" s="22">
        <s:f>'6'!F887</s:f>
        <s:v>46247.441041666665</s:v>
      </s:c>
      <s:c r="Q886" s="22">
        <s:f>'7'!F887</s:f>
        <s:v>46247.418391203704</s:v>
      </s:c>
      <s:c r="R886" s="22">
        <s:f>'8'!F887</s:f>
        <s:v>46247.39420138889</s:v>
      </s:c>
      <s:c r="S886" s="22">
        <s:f>'9'!F887</s:f>
        <s:v>46247.376388888886</s:v>
      </s:c>
      <s:c r="T886" s="22">
        <s:f>'10'!F887</s:f>
        <s:v>46247.34716435185</s:v>
      </s:c>
      <s:c r="U886" s="23">
        <s:f>'자료구성'!$B$2</s:f>
        <s:v>46247.0</s:v>
      </s:c>
    </s:row>
    <s:row r="887">
      <s:c r="A887" s="0" t="n">
        <s:v>2050</s:v>
      </s:c>
      <s:c r="B887" s="0" t="n">
        <s:v>1197</s:v>
      </s:c>
      <s:c r="C887" s="0" t="n">
        <s:v>1626</s:v>
      </s:c>
      <s:c r="D887" s="0" t="n">
        <s:v>957</s:v>
      </s:c>
      <s:c r="E887" s="0" t="n">
        <s:v>1590</s:v>
      </s:c>
      <s:c r="F887" s="0" t="n">
        <s:v>2229</s:v>
      </s:c>
      <s:c r="G887" s="0" t="n">
        <s:v>3211</s:v>
      </s:c>
      <s:c r="H887" s="0" t="n">
        <s:v>3862</s:v>
      </s:c>
      <s:c r="I887" s="0" t="n">
        <s:v>1606</s:v>
      </s:c>
      <s:c r="J887" s="0" t="n">
        <s:v>1493</s:v>
      </s:c>
      <s:c r="K887" s="22">
        <s:f>'1'!F888</s:f>
        <s:v>46247.57041666667</s:v>
      </s:c>
      <s:c r="L887" s="22">
        <s:f>'2'!F888</s:f>
        <s:v>46247.552152777775</s:v>
      </s:c>
      <s:c r="M887" s="22">
        <s:f>'3'!F888</s:f>
        <s:v>46247.53474537037</s:v>
      </s:c>
      <s:c r="N887" s="22">
        <s:f>'4'!F888</s:f>
        <s:v>46247.488854166666</s:v>
      </s:c>
      <s:c r="O887" s="22">
        <s:f>'5'!F888</s:f>
        <s:v>46247.46050925926</s:v>
      </s:c>
      <s:c r="P887" s="22">
        <s:f>'6'!F888</s:f>
        <s:v>46247.44105324074</s:v>
      </s:c>
      <s:c r="Q887" s="22">
        <s:f>'7'!F888</s:f>
        <s:v>46247.41840277778</s:v>
      </s:c>
      <s:c r="R887" s="22">
        <s:f>'8'!F888</s:f>
        <s:v>46247.394212962965</s:v>
      </s:c>
      <s:c r="S887" s="22">
        <s:f>'9'!F888</s:f>
        <s:v>46247.37640046296</s:v>
      </s:c>
      <s:c r="T887" s="22">
        <s:f>'10'!F888</s:f>
        <s:v>46247.34717592593</s:v>
      </s:c>
      <s:c r="U887" s="23">
        <s:f>'자료구성'!$B$2</s:f>
        <s:v>46247.0</s:v>
      </s:c>
    </s:row>
    <s:row r="888">
      <s:c r="A888" s="0" t="n">
        <s:v>2022</s:v>
      </s:c>
      <s:c r="B888" s="0" t="n">
        <s:v>1162</s:v>
      </s:c>
      <s:c r="C888" s="0" t="n">
        <s:v>1618</s:v>
      </s:c>
      <s:c r="D888" s="0" t="n">
        <s:v>902</s:v>
      </s:c>
      <s:c r="E888" s="0" t="n">
        <s:v>1581</s:v>
      </s:c>
      <s:c r="F888" s="0" t="n">
        <s:v>2259</s:v>
      </s:c>
      <s:c r="G888" s="0" t="n">
        <s:v>3401</s:v>
      </s:c>
      <s:c r="H888" s="0" t="n">
        <s:v>3899</s:v>
      </s:c>
      <s:c r="I888" s="0" t="n">
        <s:v>1600</s:v>
      </s:c>
      <s:c r="J888" s="0" t="n">
        <s:v>1518</s:v>
      </s:c>
      <s:c r="K888" s="22">
        <s:f>'1'!F889</s:f>
        <s:v>46247.57042824074</s:v>
      </s:c>
      <s:c r="L888" s="22">
        <s:f>'2'!F889</s:f>
        <s:v>46247.55216435185</s:v>
      </s:c>
      <s:c r="M888" s="22">
        <s:f>'3'!F889</s:f>
        <s:v>46247.53475694444</s:v>
      </s:c>
      <s:c r="N888" s="22">
        <s:f>'4'!F889</s:f>
        <s:v>46247.48886574074</s:v>
      </s:c>
      <s:c r="O888" s="22">
        <s:f>'5'!F889</s:f>
        <s:v>46247.46052083333</s:v>
      </s:c>
      <s:c r="P888" s="22">
        <s:f>'6'!F889</s:f>
        <s:v>46247.44106481481</s:v>
      </s:c>
      <s:c r="Q888" s="22">
        <s:f>'7'!F889</s:f>
        <s:v>46247.41841435185</s:v>
      </s:c>
      <s:c r="R888" s="22">
        <s:f>'8'!F889</s:f>
        <s:v>46247.394224537034</s:v>
      </s:c>
      <s:c r="S888" s="22">
        <s:f>'9'!F889</s:f>
        <s:v>46247.37641203704</s:v>
      </s:c>
      <s:c r="T888" s="22">
        <s:f>'10'!F889</s:f>
        <s:v>46247.3471875</s:v>
      </s:c>
      <s:c r="U888" s="23">
        <s:f>'자료구성'!$B$2</s:f>
        <s:v>46247.0</s:v>
      </s:c>
    </s:row>
    <s:row r="889">
      <s:c r="A889" s="0" t="n">
        <s:v>1931</s:v>
      </s:c>
      <s:c r="B889" s="0" t="n">
        <s:v>1116</s:v>
      </s:c>
      <s:c r="C889" s="0" t="n">
        <s:v>1596</s:v>
      </s:c>
      <s:c r="D889" s="0" t="n">
        <s:v>878</s:v>
      </s:c>
      <s:c r="E889" s="0" t="n">
        <s:v>1581</s:v>
      </s:c>
      <s:c r="F889" s="0" t="n">
        <s:v>2265</s:v>
      </s:c>
      <s:c r="G889" s="0" t="n">
        <s:v>3722</s:v>
      </s:c>
      <s:c r="H889" s="0" t="n">
        <s:v>3884</s:v>
      </s:c>
      <s:c r="I889" s="0" t="n">
        <s:v>1593</s:v>
      </s:c>
      <s:c r="J889" s="0" t="n">
        <s:v>1558</s:v>
      </s:c>
      <s:c r="K889" s="22">
        <s:f>'1'!F890</s:f>
        <s:v>46247.570439814815</s:v>
      </s:c>
      <s:c r="L889" s="22">
        <s:f>'2'!F890</s:f>
        <s:v>46247.55217592593</s:v>
      </s:c>
      <s:c r="M889" s="22">
        <s:f>'3'!F890</s:f>
        <s:v>46247.53476851852</s:v>
      </s:c>
      <s:c r="N889" s="22">
        <s:f>'4'!F890</s:f>
        <s:v>46247.48887731481</s:v>
      </s:c>
      <s:c r="O889" s="22">
        <s:f>'5'!F890</s:f>
        <s:v>46247.46053240741</s:v>
      </s:c>
      <s:c r="P889" s="22">
        <s:f>'6'!F890</s:f>
        <s:v>46247.44107638889</s:v>
      </s:c>
      <s:c r="Q889" s="22">
        <s:f>'7'!F890</s:f>
        <s:v>46247.41842592593</s:v>
      </s:c>
      <s:c r="R889" s="22">
        <s:f>'8'!F890</s:f>
        <s:v>46247.39423611111</s:v>
      </s:c>
      <s:c r="S889" s="22">
        <s:f>'9'!F890</s:f>
        <s:v>46247.37642361111</s:v>
      </s:c>
      <s:c r="T889" s="22">
        <s:f>'10'!F890</s:f>
        <s:v>46247.34719907407</s:v>
      </s:c>
      <s:c r="U889" s="23">
        <s:f>'자료구성'!$B$2</s:f>
        <s:v>46247.0</s:v>
      </s:c>
    </s:row>
    <s:row r="890">
      <s:c r="A890" s="0" t="n">
        <s:v>1846</s:v>
      </s:c>
      <s:c r="B890" s="0" t="n">
        <s:v>1078</s:v>
      </s:c>
      <s:c r="C890" s="0" t="n">
        <s:v>1566</s:v>
      </s:c>
      <s:c r="D890" s="0" t="n">
        <s:v>876</s:v>
      </s:c>
      <s:c r="E890" s="0" t="n">
        <s:v>1581</s:v>
      </s:c>
      <s:c r="F890" s="0" t="n">
        <s:v>2268</s:v>
      </s:c>
      <s:c r="G890" s="0" t="n">
        <s:v>4006</s:v>
      </s:c>
      <s:c r="H890" s="0" t="n">
        <s:v>3845</s:v>
      </s:c>
      <s:c r="I890" s="0" t="n">
        <s:v>1579</s:v>
      </s:c>
      <s:c r="J890" s="0" t="n">
        <s:v>1598</s:v>
      </s:c>
      <s:c r="K890" s="22">
        <s:f>'1'!F891</s:f>
        <s:v>46247.57045138889</s:v>
      </s:c>
      <s:c r="L890" s="22">
        <s:f>'2'!F891</s:f>
        <s:v>46247.5521875</s:v>
      </s:c>
      <s:c r="M890" s="22">
        <s:f>'3'!F891</s:f>
        <s:v>46247.534780092596</s:v>
      </s:c>
      <s:c r="N890" s="22">
        <s:f>'4'!F891</s:f>
        <s:v>46247.48888888889</s:v>
      </s:c>
      <s:c r="O890" s="22">
        <s:f>'5'!F891</s:f>
        <s:v>46247.460543981484</s:v>
      </s:c>
      <s:c r="P890" s="22">
        <s:f>'6'!F891</s:f>
        <s:v>46247.441087962965</s:v>
      </s:c>
      <s:c r="Q890" s="22">
        <s:f>'7'!F891</s:f>
        <s:v>46247.4184375</s:v>
      </s:c>
      <s:c r="R890" s="22">
        <s:f>'8'!F891</s:f>
        <s:v>46247.39424768519</s:v>
      </s:c>
      <s:c r="S890" s="22">
        <s:f>'9'!F891</s:f>
        <s:v>46247.376435185186</s:v>
      </s:c>
      <s:c r="T890" s="22">
        <s:f>'10'!F891</s:f>
        <s:v>46247.34721064815</s:v>
      </s:c>
      <s:c r="U890" s="23">
        <s:f>'자료구성'!$B$2</s:f>
        <s:v>46247.0</s:v>
      </s:c>
    </s:row>
    <s:row r="891">
      <s:c r="A891" s="0" t="n">
        <s:v>1773</s:v>
      </s:c>
      <s:c r="B891" s="0" t="n">
        <s:v>1057</s:v>
      </s:c>
      <s:c r="C891" s="0" t="n">
        <s:v>1585</s:v>
      </s:c>
      <s:c r="D891" s="0" t="n">
        <s:v>868</s:v>
      </s:c>
      <s:c r="E891" s="0" t="n">
        <s:v>1587</s:v>
      </s:c>
      <s:c r="F891" s="0" t="n">
        <s:v>2287</s:v>
      </s:c>
      <s:c r="G891" s="0" t="n">
        <s:v>3975</s:v>
      </s:c>
      <s:c r="H891" s="0" t="n">
        <s:v>3865</s:v>
      </s:c>
      <s:c r="I891" s="0" t="n">
        <s:v>1573</s:v>
      </s:c>
      <s:c r="J891" s="0" t="n">
        <s:v>1611</s:v>
      </s:c>
      <s:c r="K891" s="22">
        <s:f>'1'!F892</s:f>
        <s:v>46247.57046296296</s:v>
      </s:c>
      <s:c r="L891" s="22">
        <s:f>'2'!F892</s:f>
        <s:v>46247.552199074074</s:v>
      </s:c>
      <s:c r="M891" s="22">
        <s:f>'3'!F892</s:f>
        <s:v>46247.534791666665</s:v>
      </s:c>
      <s:c r="N891" s="22">
        <s:f>'4'!F892</s:f>
        <s:v>46247.488900462966</s:v>
      </s:c>
      <s:c r="O891" s="22">
        <s:f>'5'!F892</s:f>
        <s:v>46247.46055555555</s:v>
      </s:c>
      <s:c r="P891" s="22">
        <s:f>'6'!F892</s:f>
        <s:v>46247.441099537034</s:v>
      </s:c>
      <s:c r="Q891" s="22">
        <s:f>'7'!F892</s:f>
        <s:v>46247.41844907407</s:v>
      </s:c>
      <s:c r="R891" s="22">
        <s:f>'8'!F892</s:f>
        <s:v>46247.39425925926</s:v>
      </s:c>
      <s:c r="S891" s="22">
        <s:f>'9'!F892</s:f>
        <s:v>46247.37644675926</s:v>
      </s:c>
      <s:c r="T891" s="22">
        <s:f>'10'!F892</s:f>
        <s:v>46247.34722222222</s:v>
      </s:c>
      <s:c r="U891" s="23">
        <s:f>'자료구성'!$B$2</s:f>
        <s:v>46247.0</s:v>
      </s:c>
    </s:row>
    <s:row r="892">
      <s:c r="A892" s="0" t="n">
        <s:v>1734</s:v>
      </s:c>
      <s:c r="B892" s="0" t="n">
        <s:v>1044</s:v>
      </s:c>
      <s:c r="C892" s="0" t="n">
        <s:v>1638</s:v>
      </s:c>
      <s:c r="D892" s="0" t="n">
        <s:v>832</s:v>
      </s:c>
      <s:c r="E892" s="0" t="n">
        <s:v>1570</s:v>
      </s:c>
      <s:c r="F892" s="0" t="n">
        <s:v>2314</s:v>
      </s:c>
      <s:c r="G892" s="0" t="n">
        <s:v>3857</s:v>
      </s:c>
      <s:c r="H892" s="0" t="n">
        <s:v>3899</s:v>
      </s:c>
      <s:c r="I892" s="0" t="n">
        <s:v>1569</s:v>
      </s:c>
      <s:c r="J892" s="0" t="n">
        <s:v>1602</s:v>
      </s:c>
      <s:c r="K892" s="22">
        <s:f>'1'!F893</s:f>
        <s:v>46247.57047453704</s:v>
      </s:c>
      <s:c r="L892" s="22">
        <s:f>'2'!F893</s:f>
        <s:v>46247.55221064815</s:v>
      </s:c>
      <s:c r="M892" s="22">
        <s:f>'3'!F893</s:f>
        <s:v>46247.53480324074</s:v>
      </s:c>
      <s:c r="N892" s="22">
        <s:f>'4'!F893</s:f>
        <s:v>46247.488912037035</s:v>
      </s:c>
      <s:c r="O892" s="22">
        <s:f>'5'!F893</s:f>
        <s:v>46247.46056712963</s:v>
      </s:c>
      <s:c r="P892" s="22">
        <s:f>'6'!F893</s:f>
        <s:v>46247.44111111111</s:v>
      </s:c>
      <s:c r="Q892" s="22">
        <s:f>'7'!F893</s:f>
        <s:v>46247.41846064815</s:v>
      </s:c>
      <s:c r="R892" s="22">
        <s:f>'8'!F893</s:f>
        <s:v>46247.394270833334</s:v>
      </s:c>
      <s:c r="S892" s="22">
        <s:f>'9'!F893</s:f>
        <s:v>46247.37645833333</s:v>
      </s:c>
      <s:c r="T892" s="22">
        <s:f>'10'!F893</s:f>
        <s:v>46247.347233796296</s:v>
      </s:c>
      <s:c r="U892" s="23">
        <s:f>'자료구성'!$B$2</s:f>
        <s:v>46247.0</s:v>
      </s:c>
    </s:row>
    <s:row r="893">
      <s:c r="A893" s="0" t="n">
        <s:v>1686</s:v>
      </s:c>
      <s:c r="B893" s="0" t="n">
        <s:v>1020</s:v>
      </s:c>
      <s:c r="C893" s="0" t="n">
        <s:v>1630</s:v>
      </s:c>
      <s:c r="D893" s="0" t="n">
        <s:v>794</s:v>
      </s:c>
      <s:c r="E893" s="0" t="n">
        <s:v>1570</s:v>
      </s:c>
      <s:c r="F893" s="0" t="n">
        <s:v>2304</s:v>
      </s:c>
      <s:c r="G893" s="0" t="n">
        <s:v>3857</s:v>
      </s:c>
      <s:c r="H893" s="0" t="n">
        <s:v>3941</s:v>
      </s:c>
      <s:c r="I893" s="0" t="n">
        <s:v>1601</s:v>
      </s:c>
      <s:c r="J893" s="0" t="n">
        <s:v>1611</s:v>
      </s:c>
      <s:c r="K893" s="22">
        <s:f>'1'!F894</s:f>
        <s:v>46247.57048611111</s:v>
      </s:c>
      <s:c r="L893" s="22">
        <s:f>'2'!F894</s:f>
        <s:v>46247.55222222222</s:v>
      </s:c>
      <s:c r="M893" s="22">
        <s:f>'3'!F894</s:f>
        <s:v>46247.53481481481</s:v>
      </s:c>
      <s:c r="N893" s="22">
        <s:f>'4'!F894</s:f>
        <s:v>46247.48892361111</s:v>
      </s:c>
      <s:c r="O893" s="22">
        <s:f>'5'!F894</s:f>
        <s:v>46247.46057870371</s:v>
      </s:c>
      <s:c r="P893" s="22">
        <s:f>'6'!F894</s:f>
        <s:v>46247.44112268519</s:v>
      </s:c>
      <s:c r="Q893" s="22">
        <s:f>'7'!F894</s:f>
        <s:v>46247.41847222222</s:v>
      </s:c>
      <s:c r="R893" s="22">
        <s:f>'8'!F894</s:f>
        <s:v>46247.394282407404</s:v>
      </s:c>
      <s:c r="S893" s="22">
        <s:f>'9'!F894</s:f>
        <s:v>46247.37646990741</s:v>
      </s:c>
      <s:c r="T893" s="22">
        <s:f>'10'!F894</s:f>
        <s:v>46247.34724537037</s:v>
      </s:c>
      <s:c r="U893" s="23">
        <s:f>'자료구성'!$B$2</s:f>
        <s:v>46247.0</s:v>
      </s:c>
    </s:row>
    <s:row r="894">
      <s:c r="A894" s="0" t="n">
        <s:v>1642</s:v>
      </s:c>
      <s:c r="B894" s="0" t="n">
        <s:v>1012</s:v>
      </s:c>
      <s:c r="C894" s="0" t="n">
        <s:v>1635</s:v>
      </s:c>
      <s:c r="D894" s="0" t="n">
        <s:v>777</s:v>
      </s:c>
      <s:c r="E894" s="0" t="n">
        <s:v>1566</s:v>
      </s:c>
      <s:c r="F894" s="0" t="n">
        <s:v>2284</s:v>
      </s:c>
      <s:c r="G894" s="0" t="n">
        <s:v>3659</s:v>
      </s:c>
      <s:c r="H894" s="0" t="n">
        <s:v>4051</s:v>
      </s:c>
      <s:c r="I894" s="0" t="n">
        <s:v>1627</s:v>
      </s:c>
      <s:c r="J894" s="0" t="n">
        <s:v>1612</s:v>
      </s:c>
      <s:c r="K894" s="22">
        <s:f>'1'!F895</s:f>
        <s:v>46247.570497685185</s:v>
      </s:c>
      <s:c r="L894" s="22">
        <s:f>'2'!F895</s:f>
        <s:v>46247.5522337963</s:v>
      </s:c>
      <s:c r="M894" s="22">
        <s:f>'3'!F895</s:f>
        <s:v>46247.53482638889</s:v>
      </s:c>
      <s:c r="N894" s="22">
        <s:f>'4'!F895</s:f>
        <s:v>46247.48893518518</s:v>
      </s:c>
      <s:c r="O894" s="22">
        <s:f>'5'!F895</s:f>
        <s:v>46247.46059027778</s:v>
      </s:c>
      <s:c r="P894" s="22">
        <s:f>'6'!F895</s:f>
        <s:v>46247.44113425926</s:v>
      </s:c>
      <s:c r="Q894" s="22">
        <s:f>'7'!F895</s:f>
        <s:v>46247.4184837963</s:v>
      </s:c>
      <s:c r="R894" s="22">
        <s:f>'8'!F895</s:f>
        <s:v>46247.39429398148</s:v>
      </s:c>
      <s:c r="S894" s="22">
        <s:f>'9'!F895</s:f>
        <s:v>46247.37648148148</s:v>
      </s:c>
      <s:c r="T894" s="22">
        <s:f>'10'!F895</s:f>
        <s:v>46247.34725694444</s:v>
      </s:c>
      <s:c r="U894" s="23">
        <s:f>'자료구성'!$B$2</s:f>
        <s:v>46247.0</s:v>
      </s:c>
    </s:row>
    <s:row r="895">
      <s:c r="A895" s="0" t="n">
        <s:v>1605</s:v>
      </s:c>
      <s:c r="B895" s="0" t="n">
        <s:v>1018</s:v>
      </s:c>
      <s:c r="C895" s="0" t="n">
        <s:v>1669</s:v>
      </s:c>
      <s:c r="D895" s="0" t="n">
        <s:v>738</s:v>
      </s:c>
      <s:c r="E895" s="0" t="n">
        <s:v>1564</s:v>
      </s:c>
      <s:c r="F895" s="0" t="n">
        <s:v>2343</s:v>
      </s:c>
      <s:c r="G895" s="0" t="n">
        <s:v>3500</s:v>
      </s:c>
      <s:c r="H895" s="0" t="n">
        <s:v>4134</s:v>
      </s:c>
      <s:c r="I895" s="0" t="n">
        <s:v>1637</s:v>
      </s:c>
      <s:c r="J895" s="0" t="n">
        <s:v>1608</s:v>
      </s:c>
      <s:c r="K895" s="22">
        <s:f>'1'!F896</s:f>
        <s:v>46247.57050925926</s:v>
      </s:c>
      <s:c r="L895" s="22">
        <s:f>'2'!F896</s:f>
        <s:v>46247.55224537037</s:v>
      </s:c>
      <s:c r="M895" s="22">
        <s:f>'3'!F896</s:f>
        <s:v>46247.534837962965</s:v>
      </s:c>
      <s:c r="N895" s="22">
        <s:f>'4'!F896</s:f>
        <s:v>46247.48894675926</s:v>
      </s:c>
      <s:c r="O895" s="22">
        <s:f>'5'!F896</s:f>
        <s:v>46247.46060185185</s:v>
      </s:c>
      <s:c r="P895" s="22">
        <s:f>'6'!F896</s:f>
        <s:v>46247.441145833334</s:v>
      </s:c>
      <s:c r="Q895" s="22">
        <s:f>'7'!F896</s:f>
        <s:v>46247.41849537037</s:v>
      </s:c>
      <s:c r="R895" s="22">
        <s:f>'8'!F896</s:f>
        <s:v>46247.39430555556</s:v>
      </s:c>
      <s:c r="S895" s="22">
        <s:f>'9'!F896</s:f>
        <s:v>46247.376493055555</s:v>
      </s:c>
      <s:c r="T895" s="22">
        <s:f>'10'!F896</s:f>
        <s:v>46247.34726851852</s:v>
      </s:c>
      <s:c r="U895" s="23">
        <s:f>'자료구성'!$B$2</s:f>
        <s:v>46247.0</s:v>
      </s:c>
    </s:row>
    <s:row r="896">
      <s:c r="A896" s="0" t="n">
        <s:v>1606</s:v>
      </s:c>
      <s:c r="B896" s="0" t="n">
        <s:v>1024</s:v>
      </s:c>
      <s:c r="C896" s="0" t="n">
        <s:v>1725</s:v>
      </s:c>
      <s:c r="D896" s="0" t="n">
        <s:v>696</s:v>
      </s:c>
      <s:c r="E896" s="0" t="n">
        <s:v>1573</s:v>
      </s:c>
      <s:c r="F896" s="0" t="n">
        <s:v>2341</s:v>
      </s:c>
      <s:c r="G896" s="0" t="n">
        <s:v>3317</s:v>
      </s:c>
      <s:c r="H896" s="0" t="n">
        <s:v>4206</s:v>
      </s:c>
      <s:c r="I896" s="0" t="n">
        <s:v>1639</s:v>
      </s:c>
      <s:c r="J896" s="0" t="n">
        <s:v>1621</s:v>
      </s:c>
      <s:c r="K896" s="22">
        <s:f>'1'!F897</s:f>
        <s:v>46247.57052083333</s:v>
      </s:c>
      <s:c r="L896" s="22">
        <s:f>'2'!F897</s:f>
        <s:v>46247.552256944444</s:v>
      </s:c>
      <s:c r="M896" s="22">
        <s:f>'3'!F897</s:f>
        <s:v>46247.534849537034</s:v>
      </s:c>
      <s:c r="N896" s="22">
        <s:f>'4'!F897</s:f>
        <s:v>46247.488958333335</s:v>
      </s:c>
      <s:c r="O896" s="22">
        <s:f>'5'!F897</s:f>
        <s:v>46247.46061342592</s:v>
      </s:c>
      <s:c r="P896" s="22">
        <s:f>'6'!F897</s:f>
        <s:v>46247.441157407404</s:v>
      </s:c>
      <s:c r="Q896" s="22">
        <s:f>'7'!F897</s:f>
        <s:v>46247.41850694444</s:v>
      </s:c>
      <s:c r="R896" s="22">
        <s:f>'8'!F897</s:f>
        <s:v>46247.39431712963</s:v>
      </s:c>
      <s:c r="S896" s="22">
        <s:f>'9'!F897</s:f>
        <s:v>46247.37650462963</s:v>
      </s:c>
      <s:c r="T896" s="22">
        <s:f>'10'!F897</s:f>
        <s:v>46247.347280092596</s:v>
      </s:c>
      <s:c r="U896" s="23">
        <s:f>'자료구성'!$B$2</s:f>
        <s:v>46247.0</s:v>
      </s:c>
    </s:row>
    <s:row r="897">
      <s:c r="A897" s="0" t="n">
        <s:v>1672</s:v>
      </s:c>
      <s:c r="B897" s="0" t="n">
        <s:v>1025</s:v>
      </s:c>
      <s:c r="C897" s="0" t="n">
        <s:v>1834</s:v>
      </s:c>
      <s:c r="D897" s="0" t="n">
        <s:v>668</s:v>
      </s:c>
      <s:c r="E897" s="0" t="n">
        <s:v>1580</s:v>
      </s:c>
      <s:c r="F897" s="0" t="n">
        <s:v>2344</s:v>
      </s:c>
      <s:c r="G897" s="0" t="n">
        <s:v>3185</s:v>
      </s:c>
      <s:c r="H897" s="0" t="n">
        <s:v>4206</s:v>
      </s:c>
      <s:c r="I897" s="0" t="n">
        <s:v>1633</s:v>
      </s:c>
      <s:c r="J897" s="0" t="n">
        <s:v>1680</s:v>
      </s:c>
      <s:c r="K897" s="22">
        <s:f>'1'!F898</s:f>
        <s:v>46247.57053240741</s:v>
      </s:c>
      <s:c r="L897" s="22">
        <s:f>'2'!F898</s:f>
        <s:v>46247.55226851852</s:v>
      </s:c>
      <s:c r="M897" s="22">
        <s:f>'3'!F898</s:f>
        <s:v>46247.53486111111</s:v>
      </s:c>
      <s:c r="N897" s="22">
        <s:f>'4'!F898</s:f>
        <s:v>46247.488969907405</s:v>
      </s:c>
      <s:c r="O897" s="22">
        <s:f>'5'!F898</s:f>
        <s:v>46247.460625</s:v>
      </s:c>
      <s:c r="P897" s="22">
        <s:f>'6'!F898</s:f>
        <s:v>46247.44116898148</s:v>
      </s:c>
      <s:c r="Q897" s="22">
        <s:f>'7'!F898</s:f>
        <s:v>46247.41851851852</s:v>
      </s:c>
      <s:c r="R897" s="22">
        <s:f>'8'!F898</s:f>
        <s:v>46247.394328703704</s:v>
      </s:c>
      <s:c r="S897" s="22">
        <s:f>'9'!F898</s:f>
        <s:v>46247.3765162037</s:v>
      </s:c>
      <s:c r="T897" s="22">
        <s:f>'10'!F898</s:f>
        <s:v>46247.347291666665</s:v>
      </s:c>
      <s:c r="U897" s="23">
        <s:f>'자료구성'!$B$2</s:f>
        <s:v>46247.0</s:v>
      </s:c>
    </s:row>
    <s:row r="898">
      <s:c r="A898" s="0" t="n">
        <s:v>1716</s:v>
      </s:c>
      <s:c r="B898" s="0" t="n">
        <s:v>1037</s:v>
      </s:c>
      <s:c r="C898" s="0" t="n">
        <s:v>1908</s:v>
      </s:c>
      <s:c r="D898" s="0" t="n">
        <s:v>647</s:v>
      </s:c>
      <s:c r="E898" s="0" t="n">
        <s:v>1604</s:v>
      </s:c>
      <s:c r="F898" s="0" t="n">
        <s:v>2292</s:v>
      </s:c>
      <s:c r="G898" s="0" t="n">
        <s:v>3024</s:v>
      </s:c>
      <s:c r="H898" s="0" t="n">
        <s:v>4297</s:v>
      </s:c>
      <s:c r="I898" s="0" t="n">
        <s:v>1615</s:v>
      </s:c>
      <s:c r="J898" s="0" t="n">
        <s:v>1676</s:v>
      </s:c>
      <s:c r="K898" s="22">
        <s:f>'1'!F899</s:f>
        <s:v>46247.570543981485</s:v>
      </s:c>
      <s:c r="L898" s="22">
        <s:f>'2'!F899</s:f>
        <s:v>46247.55228009259</s:v>
      </s:c>
      <s:c r="M898" s="22">
        <s:f>'3'!F899</s:f>
        <s:v>46247.53487268519</s:v>
      </s:c>
      <s:c r="N898" s="22">
        <s:f>'4'!F899</s:f>
        <s:v>46247.48898148148</s:v>
      </s:c>
      <s:c r="O898" s="22">
        <s:f>'5'!F899</s:f>
        <s:v>46247.46063657408</s:v>
      </s:c>
      <s:c r="P898" s="22">
        <s:f>'6'!F899</s:f>
        <s:v>46247.44118055556</s:v>
      </s:c>
      <s:c r="Q898" s="22">
        <s:f>'7'!F899</s:f>
        <s:v>46247.41853009259</s:v>
      </s:c>
      <s:c r="R898" s="22">
        <s:f>'8'!F899</s:f>
        <s:v>46247.39434027778</s:v>
      </s:c>
      <s:c r="S898" s="22">
        <s:f>'9'!F899</s:f>
        <s:v>46247.37652777778</s:v>
      </s:c>
      <s:c r="T898" s="22">
        <s:f>'10'!F899</s:f>
        <s:v>46247.34730324074</s:v>
      </s:c>
      <s:c r="U898" s="23">
        <s:f>'자료구성'!$B$2</s:f>
        <s:v>46247.0</s:v>
      </s:c>
    </s:row>
    <s:row r="899">
      <s:c r="A899" s="0" t="n">
        <s:v>1712</s:v>
      </s:c>
      <s:c r="B899" s="0" t="n">
        <s:v>1032</s:v>
      </s:c>
      <s:c r="C899" s="0" t="n">
        <s:v>2072</s:v>
      </s:c>
      <s:c r="D899" s="0" t="n">
        <s:v>640</s:v>
      </s:c>
      <s:c r="E899" s="0" t="n">
        <s:v>1588</s:v>
      </s:c>
      <s:c r="F899" s="0" t="n">
        <s:v>2276</s:v>
      </s:c>
      <s:c r="G899" s="0" t="n">
        <s:v>2868</s:v>
      </s:c>
      <s:c r="H899" s="0" t="n">
        <s:v>4342</s:v>
      </s:c>
      <s:c r="I899" s="0" t="n">
        <s:v>1621</s:v>
      </s:c>
      <s:c r="J899" s="0" t="n">
        <s:v>1645</s:v>
      </s:c>
      <s:c r="K899" s="22">
        <s:f>'1'!F900</s:f>
        <s:v>46247.570555555554</s:v>
      </s:c>
      <s:c r="L899" s="22">
        <s:f>'2'!F900</s:f>
        <s:v>46247.55229166667</s:v>
      </s:c>
      <s:c r="M899" s="22">
        <s:f>'3'!F900</s:f>
        <s:v>46247.53488425926</s:v>
      </s:c>
      <s:c r="N899" s="22">
        <s:f>'4'!F900</s:f>
        <s:v>46247.48899305556</s:v>
      </s:c>
      <s:c r="O899" s="22">
        <s:f>'5'!F900</s:f>
        <s:v>46247.460648148146</s:v>
      </s:c>
      <s:c r="P899" s="22">
        <s:f>'6'!F900</s:f>
        <s:v>46247.44119212963</s:v>
      </s:c>
      <s:c r="Q899" s="22">
        <s:f>'7'!F900</s:f>
        <s:v>46247.418541666666</s:v>
      </s:c>
      <s:c r="R899" s="22">
        <s:f>'8'!F900</s:f>
        <s:v>46247.39435185185</s:v>
      </s:c>
      <s:c r="S899" s="22">
        <s:f>'9'!F900</s:f>
        <s:v>46247.376539351855</s:v>
      </s:c>
      <s:c r="T899" s="22">
        <s:f>'10'!F900</s:f>
        <s:v>46247.34731481481</s:v>
      </s:c>
      <s:c r="U899" s="23">
        <s:f>'자료구성'!$B$2</s:f>
        <s:v>46247.0</s:v>
      </s:c>
    </s:row>
    <s:row r="900">
      <s:c r="A900" s="0" t="n">
        <s:v>1680</s:v>
      </s:c>
      <s:c r="B900" s="0" t="n">
        <s:v>1030</s:v>
      </s:c>
      <s:c r="C900" s="0" t="n">
        <s:v>2128</s:v>
      </s:c>
      <s:c r="D900" s="0" t="n">
        <s:v>632</s:v>
      </s:c>
      <s:c r="E900" s="0" t="n">
        <s:v>1616</s:v>
      </s:c>
      <s:c r="F900" s="0" t="n">
        <s:v>2242</s:v>
      </s:c>
      <s:c r="G900" s="0" t="n">
        <s:v>2727</s:v>
      </s:c>
      <s:c r="H900" s="0" t="n">
        <s:v>4378</s:v>
      </s:c>
      <s:c r="I900" s="0" t="n">
        <s:v>1638</s:v>
      </s:c>
      <s:c r="J900" s="0" t="n">
        <s:v>1607</s:v>
      </s:c>
      <s:c r="K900" s="22">
        <s:f>'1'!F901</s:f>
        <s:v>46247.57056712963</s:v>
      </s:c>
      <s:c r="L900" s="22">
        <s:f>'2'!F901</s:f>
        <s:v>46247.552303240744</s:v>
      </s:c>
      <s:c r="M900" s="22">
        <s:f>'3'!F901</s:f>
        <s:v>46247.534895833334</s:v>
      </s:c>
      <s:c r="N900" s="22">
        <s:f>'4'!F901</s:f>
        <s:v>46247.48900462963</s:v>
      </s:c>
      <s:c r="O900" s="22">
        <s:f>'5'!F901</s:f>
        <s:v>46247.46065972222</s:v>
      </s:c>
      <s:c r="P900" s="22">
        <s:f>'6'!F901</s:f>
        <s:v>46247.441203703704</s:v>
      </s:c>
      <s:c r="Q900" s="22">
        <s:f>'7'!F901</s:f>
        <s:v>46247.41855324074</s:v>
      </s:c>
      <s:c r="R900" s="22">
        <s:f>'8'!F901</s:f>
        <s:v>46247.39436342593</s:v>
      </s:c>
      <s:c r="S900" s="22">
        <s:f>'9'!F901</s:f>
        <s:v>46247.376550925925</s:v>
      </s:c>
      <s:c r="T900" s="22">
        <s:f>'10'!F901</s:f>
        <s:v>46247.34732638889</s:v>
      </s:c>
      <s:c r="U900" s="23">
        <s:f>'자료구성'!$B$2</s:f>
        <s:v>46247.0</s:v>
      </s:c>
    </s:row>
    <s:row r="901">
      <s:c r="A901" s="0" t="n">
        <s:v>1681</s:v>
      </s:c>
      <s:c r="B901" s="0" t="n">
        <s:v>1028</s:v>
      </s:c>
      <s:c r="C901" s="0" t="n">
        <s:v>2050</s:v>
      </s:c>
      <s:c r="D901" s="0" t="n">
        <s:v>639</s:v>
      </s:c>
      <s:c r="E901" s="0" t="n">
        <s:v>1609</s:v>
      </s:c>
      <s:c r="F901" s="0" t="n">
        <s:v>2218</s:v>
      </s:c>
      <s:c r="G901" s="0" t="n">
        <s:v>2639</s:v>
      </s:c>
      <s:c r="H901" s="0" t="n">
        <s:v>4473</s:v>
      </s:c>
      <s:c r="I901" s="0" t="n">
        <s:v>1627</s:v>
      </s:c>
      <s:c r="J901" s="0" t="n">
        <s:v>1568</s:v>
      </s:c>
      <s:c r="K901" s="22">
        <s:f>'1'!F902</s:f>
        <s:v>46247.5705787037</s:v>
      </s:c>
      <s:c r="L901" s="22">
        <s:f>'2'!F902</s:f>
        <s:v>46247.55231481481</s:v>
      </s:c>
      <s:c r="M901" s="22">
        <s:f>'3'!F902</s:f>
        <s:v>46247.534907407404</s:v>
      </s:c>
      <s:c r="N901" s="22">
        <s:f>'4'!F902</s:f>
        <s:v>46247.489016203705</s:v>
      </s:c>
      <s:c r="O901" s="22">
        <s:f>'5'!F902</s:f>
        <s:v>46247.4606712963</s:v>
      </s:c>
      <s:c r="P901" s="22">
        <s:f>'6'!F902</s:f>
        <s:v>46247.44121527778</s:v>
      </s:c>
      <s:c r="Q901" s="22">
        <s:f>'7'!F902</s:f>
        <s:v>46247.41856481481</s:v>
      </s:c>
      <s:c r="R901" s="22">
        <s:f>'8'!F902</s:f>
        <s:v>46247.394375</s:v>
      </s:c>
      <s:c r="S901" s="22">
        <s:f>'9'!F902</s:f>
        <s:v>46247.3765625</s:v>
      </s:c>
      <s:c r="T901" s="22">
        <s:f>'10'!F902</s:f>
        <s:v>46247.347337962965</s:v>
      </s:c>
      <s:c r="U901" s="23">
        <s:f>'자료구성'!$B$2</s:f>
        <s:v>46247.0</s:v>
      </s:c>
    </s:row>
  </s:sheetData>
  <s:pageMargins left="0.7" right="0.7" top="0.75" bottom="0.75" header="0.3" footer="0.3"/>
  <s:legacyDrawing r:id="anysvml"/>
</s:worksheet>
</file>

<file path=xl/worksheets/sheet2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/>
  </s:sheetPr>
  <s:dimension ref="A1:F902"/>
  <s:sheetViews>
    <s:sheetView workbookViewId="0">
      <s:pane ySplit="2" topLeftCell="A3" activePane="bottomLeft" state="frozen"/>
      <s:selection pane="bottomLeft" activeCell="D902" sqref="D3:D902"/>
    </s:sheetView>
  </s:sheetViews>
  <s:sheetFormatPr baseColWidth="8" defaultRowHeight="16.5"/>
  <s:cols>
    <s:col width="14.25" customWidth="1" style="7" min="3" max="3"/>
    <s:col width="13" bestFit="1" customWidth="1" style="7" min="4" max="4"/>
    <s:col width="25" customWidth="1" style="7" min="6" max="6"/>
  </s:cols>
  <s:sheetData>
    <s:row r="1">
      <s:c r="A1" s="4" t="inlineStr">
        <s:is>
          <s:t>리기다소나무</s:t>
        </s:is>
      </s:c>
    </s:row>
    <s:row r="2" ht="17.25" customHeight="1" s="7" thickBot="1">
      <s:c r="A2" s="2" t="inlineStr">
        <s:is>
          <s:t>조사일자</s:t>
        </s:is>
      </s:c>
      <s:c r="B2" s="3" t="inlineStr">
        <s:is>
          <s:t>조사자명</s:t>
        </s:is>
      </s:c>
      <s:c r="C2" s="3" t="inlineStr">
        <s:is>
          <s:t>조사시작시간</s:t>
        </s:is>
      </s:c>
      <s:c r="D2" s="3" t="inlineStr">
        <s:is>
          <s:t>음이온발생량</s:t>
        </s:is>
      </s:c>
      <s:c r="E2" s="1" t="inlineStr">
        <s:is>
          <s:t>비고</s:t>
        </s:is>
      </s:c>
      <s:c r="F2" s="3" t="inlineStr">
        <s:is>
          <s:t>측정일시</s:t>
        </s:is>
      </s:c>
    </s:row>
    <s:row r="3">
      <s:c r="A3" s="0" t="n">
        <s:v>260813</s:v>
      </s:c>
      <s:c r="B3" s="0" t="inlineStr">
        <s:is>
          <s:t>이종훈</s:t>
        </s:is>
      </s:c>
      <s:c r="C3" s="0" t="n">
        <s:v>132639</s:v>
      </s:c>
      <s:c r="D3" s="0" t="n">
        <s:v>1842</s:v>
      </s:c>
      <s:c r="F3" s="24">
        <s:f>'자료구성'!$B$2+TIME(INT($C$3/10000),INT(MOD($C$3,10000)/100),MOD($C$3,100))+(ROW()-ROW($C$3))/86400</s:f>
        <s:v>46247.56017361111</s:v>
      </s:c>
    </s:row>
    <s:row r="4">
      <s:c r="A4" s="0" t="n">
        <s:v>260813</s:v>
      </s:c>
      <s:c r="B4" s="0" t="inlineStr">
        <s:is>
          <s:t>이종훈</s:t>
        </s:is>
      </s:c>
      <s:c r="C4" s="0" t="n">
        <s:v>132639</s:v>
      </s:c>
      <s:c r="D4" s="0" t="n">
        <s:v>1875</s:v>
      </s:c>
      <s:c r="F4" s="24">
        <s:f>'자료구성'!$B$2+TIME(INT($C$3/10000),INT(MOD($C$3,10000)/100),MOD($C$3,100))+(ROW()-ROW($C$3))/86400</s:f>
        <s:v>46247.56018518518</s:v>
      </s:c>
    </s:row>
    <s:row r="5">
      <s:c r="A5" s="0" t="n">
        <s:v>260813</s:v>
      </s:c>
      <s:c r="B5" s="0" t="inlineStr">
        <s:is>
          <s:t>이종훈</s:t>
        </s:is>
      </s:c>
      <s:c r="C5" s="0" t="n">
        <s:v>132639</s:v>
      </s:c>
      <s:c r="D5" s="0" t="n">
        <s:v>1903</s:v>
      </s:c>
      <s:c r="F5" s="24">
        <s:f>'자료구성'!$B$2+TIME(INT($C$3/10000),INT(MOD($C$3,10000)/100),MOD($C$3,100))+(ROW()-ROW($C$3))/86400</s:f>
        <s:v>46247.56019675926</s:v>
      </s:c>
    </s:row>
    <s:row r="6">
      <s:c r="A6" s="0" t="n">
        <s:v>260813</s:v>
      </s:c>
      <s:c r="B6" s="0" t="inlineStr">
        <s:is>
          <s:t>이종훈</s:t>
        </s:is>
      </s:c>
      <s:c r="C6" s="0" t="n">
        <s:v>132639</s:v>
      </s:c>
      <s:c r="D6" s="0" t="n">
        <s:v>1910</s:v>
      </s:c>
      <s:c r="F6" s="24">
        <s:f>'자료구성'!$B$2+TIME(INT($C$3/10000),INT(MOD($C$3,10000)/100),MOD($C$3,100))+(ROW()-ROW($C$3))/86400</s:f>
        <s:v>46247.560208333336</s:v>
      </s:c>
    </s:row>
    <s:row r="7">
      <s:c r="A7" s="0" t="n">
        <s:v>260813</s:v>
      </s:c>
      <s:c r="B7" s="0" t="inlineStr">
        <s:is>
          <s:t>이종훈</s:t>
        </s:is>
      </s:c>
      <s:c r="C7" s="0" t="n">
        <s:v>132639</s:v>
      </s:c>
      <s:c r="D7" s="0" t="n">
        <s:v>1932</s:v>
      </s:c>
      <s:c r="F7" s="24">
        <s:f>'자료구성'!$B$2+TIME(INT($C$3/10000),INT(MOD($C$3,10000)/100),MOD($C$3,100))+(ROW()-ROW($C$3))/86400</s:f>
        <s:v>46247.560219907406</s:v>
      </s:c>
    </s:row>
    <s:row r="8">
      <s:c r="A8" s="0" t="n">
        <s:v>260813</s:v>
      </s:c>
      <s:c r="B8" s="0" t="inlineStr">
        <s:is>
          <s:t>이종훈</s:t>
        </s:is>
      </s:c>
      <s:c r="C8" s="0" t="n">
        <s:v>132639</s:v>
      </s:c>
      <s:c r="D8" s="0" t="n">
        <s:v>1940</s:v>
      </s:c>
      <s:c r="F8" s="24">
        <s:f>'자료구성'!$B$2+TIME(INT($C$3/10000),INT(MOD($C$3,10000)/100),MOD($C$3,100))+(ROW()-ROW($C$3))/86400</s:f>
        <s:v>46247.56023148148</s:v>
      </s:c>
    </s:row>
    <s:row r="9">
      <s:c r="A9" s="0" t="n">
        <s:v>260813</s:v>
      </s:c>
      <s:c r="B9" s="0" t="inlineStr">
        <s:is>
          <s:t>이종훈</s:t>
        </s:is>
      </s:c>
      <s:c r="C9" s="0" t="n">
        <s:v>132639</s:v>
      </s:c>
      <s:c r="D9" s="0" t="n">
        <s:v>1963</s:v>
      </s:c>
      <s:c r="F9" s="24">
        <s:f>'자료구성'!$B$2+TIME(INT($C$3/10000),INT(MOD($C$3,10000)/100),MOD($C$3,100))+(ROW()-ROW($C$3))/86400</s:f>
        <s:v>46247.56024305556</s:v>
      </s:c>
    </s:row>
    <s:row r="10">
      <s:c r="A10" s="0" t="n">
        <s:v>260813</s:v>
      </s:c>
      <s:c r="B10" s="0" t="inlineStr">
        <s:is>
          <s:t>이종훈</s:t>
        </s:is>
      </s:c>
      <s:c r="C10" s="0" t="n">
        <s:v>132639</s:v>
      </s:c>
      <s:c r="D10" s="0" t="n">
        <s:v>1968</s:v>
      </s:c>
      <s:c r="F10" s="24">
        <s:f>'자료구성'!$B$2+TIME(INT($C$3/10000),INT(MOD($C$3,10000)/100),MOD($C$3,100))+(ROW()-ROW($C$3))/86400</s:f>
        <s:v>46247.56025462963</s:v>
      </s:c>
    </s:row>
    <s:row r="11">
      <s:c r="A11" s="0" t="n">
        <s:v>260813</s:v>
      </s:c>
      <s:c r="B11" s="0" t="inlineStr">
        <s:is>
          <s:t>이종훈</s:t>
        </s:is>
      </s:c>
      <s:c r="C11" s="0" t="n">
        <s:v>132639</s:v>
      </s:c>
      <s:c r="D11" s="0" t="n">
        <s:v>2008</s:v>
      </s:c>
      <s:c r="F11" s="24">
        <s:f>'자료구성'!$B$2+TIME(INT($C$3/10000),INT(MOD($C$3,10000)/100),MOD($C$3,100))+(ROW()-ROW($C$3))/86400</s:f>
        <s:v>46247.560266203705</s:v>
      </s:c>
    </s:row>
    <s:row r="12">
      <s:c r="A12" s="0" t="n">
        <s:v>260813</s:v>
      </s:c>
      <s:c r="B12" s="0" t="inlineStr">
        <s:is>
          <s:t>이종훈</s:t>
        </s:is>
      </s:c>
      <s:c r="C12" s="0" t="n">
        <s:v>132639</s:v>
      </s:c>
      <s:c r="D12" s="0" t="n">
        <s:v>2011</s:v>
      </s:c>
      <s:c r="F12" s="24">
        <s:f>'자료구성'!$B$2+TIME(INT($C$3/10000),INT(MOD($C$3,10000)/100),MOD($C$3,100))+(ROW()-ROW($C$3))/86400</s:f>
        <s:v>46247.560277777775</s:v>
      </s:c>
    </s:row>
    <s:row r="13">
      <s:c r="A13" s="0" t="n">
        <s:v>260813</s:v>
      </s:c>
      <s:c r="B13" s="0" t="inlineStr">
        <s:is>
          <s:t>이종훈</s:t>
        </s:is>
      </s:c>
      <s:c r="C13" s="0" t="n">
        <s:v>132639</s:v>
      </s:c>
      <s:c r="D13" s="0" t="n">
        <s:v>2030</s:v>
      </s:c>
      <s:c r="F13" s="24">
        <s:f>'자료구성'!$B$2+TIME(INT($C$3/10000),INT(MOD($C$3,10000)/100),MOD($C$3,100))+(ROW()-ROW($C$3))/86400</s:f>
        <s:v>46247.56028935185</s:v>
      </s:c>
    </s:row>
    <s:row r="14">
      <s:c r="A14" s="0" t="n">
        <s:v>260813</s:v>
      </s:c>
      <s:c r="B14" s="0" t="inlineStr">
        <s:is>
          <s:t>이종훈</s:t>
        </s:is>
      </s:c>
      <s:c r="C14" s="0" t="n">
        <s:v>132639</s:v>
      </s:c>
      <s:c r="D14" s="0" t="n">
        <s:v>2052</s:v>
      </s:c>
      <s:c r="F14" s="24">
        <s:f>'자료구성'!$B$2+TIME(INT($C$3/10000),INT(MOD($C$3,10000)/100),MOD($C$3,100))+(ROW()-ROW($C$3))/86400</s:f>
        <s:v>46247.56030092593</s:v>
      </s:c>
    </s:row>
    <s:row r="15">
      <s:c r="A15" s="0" t="n">
        <s:v>260813</s:v>
      </s:c>
      <s:c r="B15" s="0" t="inlineStr">
        <s:is>
          <s:t>이종훈</s:t>
        </s:is>
      </s:c>
      <s:c r="C15" s="0" t="n">
        <s:v>132639</s:v>
      </s:c>
      <s:c r="D15" s="0" t="n">
        <s:v>2062</s:v>
      </s:c>
      <s:c r="F15" s="24">
        <s:f>'자료구성'!$B$2+TIME(INT($C$3/10000),INT(MOD($C$3,10000)/100),MOD($C$3,100))+(ROW()-ROW($C$3))/86400</s:f>
        <s:v>46247.5603125</s:v>
      </s:c>
    </s:row>
    <s:row r="16">
      <s:c r="A16" s="0" t="n">
        <s:v>260813</s:v>
      </s:c>
      <s:c r="B16" s="0" t="inlineStr">
        <s:is>
          <s:t>이종훈</s:t>
        </s:is>
      </s:c>
      <s:c r="C16" s="0" t="n">
        <s:v>132639</s:v>
      </s:c>
      <s:c r="D16" s="0" t="n">
        <s:v>2021</s:v>
      </s:c>
      <s:c r="F16" s="24">
        <s:f>'자료구성'!$B$2+TIME(INT($C$3/10000),INT(MOD($C$3,10000)/100),MOD($C$3,100))+(ROW()-ROW($C$3))/86400</s:f>
        <s:v>46247.560324074075</s:v>
      </s:c>
    </s:row>
    <s:row r="17">
      <s:c r="A17" s="0" t="n">
        <s:v>260813</s:v>
      </s:c>
      <s:c r="B17" s="0" t="inlineStr">
        <s:is>
          <s:t>이종훈</s:t>
        </s:is>
      </s:c>
      <s:c r="C17" s="0" t="n">
        <s:v>132639</s:v>
      </s:c>
      <s:c r="D17" s="0" t="n">
        <s:v>1950</s:v>
      </s:c>
      <s:c r="F17" s="24">
        <s:f>'자료구성'!$B$2+TIME(INT($C$3/10000),INT(MOD($C$3,10000)/100),MOD($C$3,100))+(ROW()-ROW($C$3))/86400</s:f>
        <s:v>46247.56033564815</s:v>
      </s:c>
    </s:row>
    <s:row r="18">
      <s:c r="A18" s="0" t="n">
        <s:v>260813</s:v>
      </s:c>
      <s:c r="B18" s="0" t="inlineStr">
        <s:is>
          <s:t>이종훈</s:t>
        </s:is>
      </s:c>
      <s:c r="C18" s="0" t="n">
        <s:v>132639</s:v>
      </s:c>
      <s:c r="D18" s="0" t="n">
        <s:v>1888</s:v>
      </s:c>
      <s:c r="F18" s="24">
        <s:f>'자료구성'!$B$2+TIME(INT($C$3/10000),INT(MOD($C$3,10000)/100),MOD($C$3,100))+(ROW()-ROW($C$3))/86400</s:f>
        <s:v>46247.56034722222</s:v>
      </s:c>
    </s:row>
    <s:row r="19">
      <s:c r="A19" s="0" t="n">
        <s:v>260813</s:v>
      </s:c>
      <s:c r="B19" s="0" t="inlineStr">
        <s:is>
          <s:t>이종훈</s:t>
        </s:is>
      </s:c>
      <s:c r="C19" s="0" t="n">
        <s:v>132639</s:v>
      </s:c>
      <s:c r="D19" s="0" t="n">
        <s:v>1878</s:v>
      </s:c>
      <s:c r="F19" s="24">
        <s:f>'자료구성'!$B$2+TIME(INT($C$3/10000),INT(MOD($C$3,10000)/100),MOD($C$3,100))+(ROW()-ROW($C$3))/86400</s:f>
        <s:v>46247.5603587963</s:v>
      </s:c>
    </s:row>
    <s:row r="20">
      <s:c r="A20" s="0" t="n">
        <s:v>260813</s:v>
      </s:c>
      <s:c r="B20" s="0" t="inlineStr">
        <s:is>
          <s:t>이종훈</s:t>
        </s:is>
      </s:c>
      <s:c r="C20" s="0" t="n">
        <s:v>132639</s:v>
      </s:c>
      <s:c r="D20" s="0" t="n">
        <s:v>1826</s:v>
      </s:c>
      <s:c r="F20" s="24">
        <s:f>'자료구성'!$B$2+TIME(INT($C$3/10000),INT(MOD($C$3,10000)/100),MOD($C$3,100))+(ROW()-ROW($C$3))/86400</s:f>
        <s:v>46247.56037037037</s:v>
      </s:c>
    </s:row>
    <s:row r="21">
      <s:c r="A21" s="0" t="n">
        <s:v>260813</s:v>
      </s:c>
      <s:c r="B21" s="0" t="inlineStr">
        <s:is>
          <s:t>이종훈</s:t>
        </s:is>
      </s:c>
      <s:c r="C21" s="0" t="n">
        <s:v>132639</s:v>
      </s:c>
      <s:c r="D21" s="0" t="n">
        <s:v>1787</s:v>
      </s:c>
      <s:c r="F21" s="24">
        <s:f>'자료구성'!$B$2+TIME(INT($C$3/10000),INT(MOD($C$3,10000)/100),MOD($C$3,100))+(ROW()-ROW($C$3))/86400</s:f>
        <s:v>46247.560381944444</s:v>
      </s:c>
    </s:row>
    <s:row r="22">
      <s:c r="A22" s="0" t="n">
        <s:v>260813</s:v>
      </s:c>
      <s:c r="B22" s="0" t="inlineStr">
        <s:is>
          <s:t>이종훈</s:t>
        </s:is>
      </s:c>
      <s:c r="C22" s="0" t="n">
        <s:v>132639</s:v>
      </s:c>
      <s:c r="D22" s="0" t="n">
        <s:v>1761</s:v>
      </s:c>
      <s:c r="F22" s="24">
        <s:f>'자료구성'!$B$2+TIME(INT($C$3/10000),INT(MOD($C$3,10000)/100),MOD($C$3,100))+(ROW()-ROW($C$3))/86400</s:f>
        <s:v>46247.56039351852</s:v>
      </s:c>
    </s:row>
    <s:row r="23">
      <s:c r="A23" s="0" t="n">
        <s:v>260813</s:v>
      </s:c>
      <s:c r="B23" s="0" t="inlineStr">
        <s:is>
          <s:t>이종훈</s:t>
        </s:is>
      </s:c>
      <s:c r="C23" s="0" t="n">
        <s:v>132639</s:v>
      </s:c>
      <s:c r="D23" s="0" t="n">
        <s:v>1779</s:v>
      </s:c>
      <s:c r="F23" s="24">
        <s:f>'자료구성'!$B$2+TIME(INT($C$3/10000),INT(MOD($C$3,10000)/100),MOD($C$3,100))+(ROW()-ROW($C$3))/86400</s:f>
        <s:v>46247.56040509259</s:v>
      </s:c>
    </s:row>
    <s:row r="24">
      <s:c r="A24" s="0" t="n">
        <s:v>260813</s:v>
      </s:c>
      <s:c r="B24" s="0" t="inlineStr">
        <s:is>
          <s:t>이종훈</s:t>
        </s:is>
      </s:c>
      <s:c r="C24" s="0" t="n">
        <s:v>132639</s:v>
      </s:c>
      <s:c r="D24" s="0" t="n">
        <s:v>1747</s:v>
      </s:c>
      <s:c r="F24" s="24">
        <s:f>'자료구성'!$B$2+TIME(INT($C$3/10000),INT(MOD($C$3,10000)/100),MOD($C$3,100))+(ROW()-ROW($C$3))/86400</s:f>
        <s:v>46247.56041666667</s:v>
      </s:c>
    </s:row>
    <s:row r="25">
      <s:c r="A25" s="0" t="n">
        <s:v>260813</s:v>
      </s:c>
      <s:c r="B25" s="0" t="inlineStr">
        <s:is>
          <s:t>이종훈</s:t>
        </s:is>
      </s:c>
      <s:c r="C25" s="0" t="n">
        <s:v>132639</s:v>
      </s:c>
      <s:c r="D25" s="0" t="n">
        <s:v>1726</s:v>
      </s:c>
      <s:c r="F25" s="24">
        <s:f>'자료구성'!$B$2+TIME(INT($C$3/10000),INT(MOD($C$3,10000)/100),MOD($C$3,100))+(ROW()-ROW($C$3))/86400</s:f>
        <s:v>46247.560428240744</s:v>
      </s:c>
    </s:row>
    <s:row r="26">
      <s:c r="A26" s="0" t="n">
        <s:v>260813</s:v>
      </s:c>
      <s:c r="B26" s="0" t="inlineStr">
        <s:is>
          <s:t>이종훈</s:t>
        </s:is>
      </s:c>
      <s:c r="C26" s="0" t="n">
        <s:v>132639</s:v>
      </s:c>
      <s:c r="D26" s="0" t="n">
        <s:v>1727</s:v>
      </s:c>
      <s:c r="F26" s="24">
        <s:f>'자료구성'!$B$2+TIME(INT($C$3/10000),INT(MOD($C$3,10000)/100),MOD($C$3,100))+(ROW()-ROW($C$3))/86400</s:f>
        <s:v>46247.56043981481</s:v>
      </s:c>
    </s:row>
    <s:row r="27">
      <s:c r="A27" s="0" t="n">
        <s:v>260813</s:v>
      </s:c>
      <s:c r="B27" s="0" t="inlineStr">
        <s:is>
          <s:t>이종훈</s:t>
        </s:is>
      </s:c>
      <s:c r="C27" s="0" t="n">
        <s:v>132639</s:v>
      </s:c>
      <s:c r="D27" s="0" t="n">
        <s:v>1732</s:v>
      </s:c>
      <s:c r="F27" s="24">
        <s:f>'자료구성'!$B$2+TIME(INT($C$3/10000),INT(MOD($C$3,10000)/100),MOD($C$3,100))+(ROW()-ROW($C$3))/86400</s:f>
        <s:v>46247.56045138889</s:v>
      </s:c>
    </s:row>
    <s:row r="28">
      <s:c r="A28" s="0" t="n">
        <s:v>260813</s:v>
      </s:c>
      <s:c r="B28" s="0" t="inlineStr">
        <s:is>
          <s:t>이종훈</s:t>
        </s:is>
      </s:c>
      <s:c r="C28" s="0" t="n">
        <s:v>132639</s:v>
      </s:c>
      <s:c r="D28" s="0" t="n">
        <s:v>1757</s:v>
      </s:c>
      <s:c r="F28" s="24">
        <s:f>'자료구성'!$B$2+TIME(INT($C$3/10000),INT(MOD($C$3,10000)/100),MOD($C$3,100))+(ROW()-ROW($C$3))/86400</s:f>
        <s:v>46247.56046296296</s:v>
      </s:c>
    </s:row>
    <s:row r="29">
      <s:c r="A29" s="0" t="n">
        <s:v>260813</s:v>
      </s:c>
      <s:c r="B29" s="0" t="inlineStr">
        <s:is>
          <s:t>이종훈</s:t>
        </s:is>
      </s:c>
      <s:c r="C29" s="0" t="n">
        <s:v>132639</s:v>
      </s:c>
      <s:c r="D29" s="0" t="n">
        <s:v>1760</s:v>
      </s:c>
      <s:c r="F29" s="24">
        <s:f>'자료구성'!$B$2+TIME(INT($C$3/10000),INT(MOD($C$3,10000)/100),MOD($C$3,100))+(ROW()-ROW($C$3))/86400</s:f>
        <s:v>46247.56047453704</s:v>
      </s:c>
    </s:row>
    <s:row r="30">
      <s:c r="A30" s="0" t="n">
        <s:v>260813</s:v>
      </s:c>
      <s:c r="B30" s="0" t="inlineStr">
        <s:is>
          <s:t>이종훈</s:t>
        </s:is>
      </s:c>
      <s:c r="C30" s="0" t="n">
        <s:v>132639</s:v>
      </s:c>
      <s:c r="D30" s="0" t="n">
        <s:v>1775</s:v>
      </s:c>
      <s:c r="F30" s="24">
        <s:f>'자료구성'!$B$2+TIME(INT($C$3/10000),INT(MOD($C$3,10000)/100),MOD($C$3,100))+(ROW()-ROW($C$3))/86400</s:f>
        <s:v>46247.56048611111</s:v>
      </s:c>
    </s:row>
    <s:row r="31">
      <s:c r="A31" s="0" t="n">
        <s:v>260813</s:v>
      </s:c>
      <s:c r="B31" s="0" t="inlineStr">
        <s:is>
          <s:t>이종훈</s:t>
        </s:is>
      </s:c>
      <s:c r="C31" s="0" t="n">
        <s:v>132639</s:v>
      </s:c>
      <s:c r="D31" s="0" t="n">
        <s:v>1759</s:v>
      </s:c>
      <s:c r="F31" s="24">
        <s:f>'자료구성'!$B$2+TIME(INT($C$3/10000),INT(MOD($C$3,10000)/100),MOD($C$3,100))+(ROW()-ROW($C$3))/86400</s:f>
        <s:v>46247.56049768518</s:v>
      </s:c>
    </s:row>
    <s:row r="32">
      <s:c r="A32" s="0" t="n">
        <s:v>260813</s:v>
      </s:c>
      <s:c r="B32" s="0" t="inlineStr">
        <s:is>
          <s:t>이종훈</s:t>
        </s:is>
      </s:c>
      <s:c r="C32" s="0" t="n">
        <s:v>132639</s:v>
      </s:c>
      <s:c r="D32" s="0" t="n">
        <s:v>1723</s:v>
      </s:c>
      <s:c r="F32" s="24">
        <s:f>'자료구성'!$B$2+TIME(INT($C$3/10000),INT(MOD($C$3,10000)/100),MOD($C$3,100))+(ROW()-ROW($C$3))/86400</s:f>
        <s:v>46247.56050925926</s:v>
      </s:c>
    </s:row>
    <s:row r="33">
      <s:c r="A33" s="0" t="n">
        <s:v>260813</s:v>
      </s:c>
      <s:c r="B33" s="0" t="inlineStr">
        <s:is>
          <s:t>이종훈</s:t>
        </s:is>
      </s:c>
      <s:c r="C33" s="0" t="n">
        <s:v>132639</s:v>
      </s:c>
      <s:c r="D33" s="0" t="n">
        <s:v>1690</s:v>
      </s:c>
      <s:c r="F33" s="24">
        <s:f>'자료구성'!$B$2+TIME(INT($C$3/10000),INT(MOD($C$3,10000)/100),MOD($C$3,100))+(ROW()-ROW($C$3))/86400</s:f>
        <s:v>46247.560520833336</s:v>
      </s:c>
    </s:row>
    <s:row r="34">
      <s:c r="A34" s="0" t="n">
        <s:v>260813</s:v>
      </s:c>
      <s:c r="B34" s="0" t="inlineStr">
        <s:is>
          <s:t>이종훈</s:t>
        </s:is>
      </s:c>
      <s:c r="C34" s="0" t="n">
        <s:v>132639</s:v>
      </s:c>
      <s:c r="D34" s="0" t="n">
        <s:v>1681</s:v>
      </s:c>
      <s:c r="F34" s="24">
        <s:f>'자료구성'!$B$2+TIME(INT($C$3/10000),INT(MOD($C$3,10000)/100),MOD($C$3,100))+(ROW()-ROW($C$3))/86400</s:f>
        <s:v>46247.560532407406</s:v>
      </s:c>
    </s:row>
    <s:row r="35">
      <s:c r="A35" s="0" t="n">
        <s:v>260813</s:v>
      </s:c>
      <s:c r="B35" s="0" t="inlineStr">
        <s:is>
          <s:t>이종훈</s:t>
        </s:is>
      </s:c>
      <s:c r="C35" s="0" t="n">
        <s:v>132639</s:v>
      </s:c>
      <s:c r="D35" s="0" t="n">
        <s:v>1665</s:v>
      </s:c>
      <s:c r="F35" s="24">
        <s:f>'자료구성'!$B$2+TIME(INT($C$3/10000),INT(MOD($C$3,10000)/100),MOD($C$3,100))+(ROW()-ROW($C$3))/86400</s:f>
        <s:v>46247.56054398148</s:v>
      </s:c>
    </s:row>
    <s:row r="36">
      <s:c r="A36" s="0" t="n">
        <s:v>260813</s:v>
      </s:c>
      <s:c r="B36" s="0" t="inlineStr">
        <s:is>
          <s:t>이종훈</s:t>
        </s:is>
      </s:c>
      <s:c r="C36" s="0" t="n">
        <s:v>132639</s:v>
      </s:c>
      <s:c r="D36" s="0" t="n">
        <s:v>1654</s:v>
      </s:c>
      <s:c r="F36" s="24">
        <s:f>'자료구성'!$B$2+TIME(INT($C$3/10000),INT(MOD($C$3,10000)/100),MOD($C$3,100))+(ROW()-ROW($C$3))/86400</s:f>
        <s:v>46247.56055555555</s:v>
      </s:c>
    </s:row>
    <s:row r="37">
      <s:c r="A37" s="0" t="n">
        <s:v>260813</s:v>
      </s:c>
      <s:c r="B37" s="0" t="inlineStr">
        <s:is>
          <s:t>이종훈</s:t>
        </s:is>
      </s:c>
      <s:c r="C37" s="0" t="n">
        <s:v>132639</s:v>
      </s:c>
      <s:c r="D37" s="0" t="n">
        <s:v>1637</s:v>
      </s:c>
      <s:c r="F37" s="24">
        <s:f>'자료구성'!$B$2+TIME(INT($C$3/10000),INT(MOD($C$3,10000)/100),MOD($C$3,100))+(ROW()-ROW($C$3))/86400</s:f>
        <s:v>46247.56056712963</s:v>
      </s:c>
    </s:row>
    <s:row r="38">
      <s:c r="A38" s="0" t="n">
        <s:v>260813</s:v>
      </s:c>
      <s:c r="B38" s="0" t="inlineStr">
        <s:is>
          <s:t>이종훈</s:t>
        </s:is>
      </s:c>
      <s:c r="C38" s="0" t="n">
        <s:v>132639</s:v>
      </s:c>
      <s:c r="D38" s="0" t="n">
        <s:v>1629</s:v>
      </s:c>
      <s:c r="F38" s="24">
        <s:f>'자료구성'!$B$2+TIME(INT($C$3/10000),INT(MOD($C$3,10000)/100),MOD($C$3,100))+(ROW()-ROW($C$3))/86400</s:f>
        <s:v>46247.560578703706</s:v>
      </s:c>
    </s:row>
    <s:row r="39">
      <s:c r="A39" s="0" t="n">
        <s:v>260813</s:v>
      </s:c>
      <s:c r="B39" s="0" t="inlineStr">
        <s:is>
          <s:t>이종훈</s:t>
        </s:is>
      </s:c>
      <s:c r="C39" s="0" t="n">
        <s:v>132639</s:v>
      </s:c>
      <s:c r="D39" s="0" t="n">
        <s:v>1629</s:v>
      </s:c>
      <s:c r="F39" s="24">
        <s:f>'자료구성'!$B$2+TIME(INT($C$3/10000),INT(MOD($C$3,10000)/100),MOD($C$3,100))+(ROW()-ROW($C$3))/86400</s:f>
        <s:v>46247.560590277775</s:v>
      </s:c>
    </s:row>
    <s:row r="40">
      <s:c r="A40" s="0" t="n">
        <s:v>260813</s:v>
      </s:c>
      <s:c r="B40" s="0" t="inlineStr">
        <s:is>
          <s:t>이종훈</s:t>
        </s:is>
      </s:c>
      <s:c r="C40" s="0" t="n">
        <s:v>132639</s:v>
      </s:c>
      <s:c r="D40" s="0" t="n">
        <s:v>1634</s:v>
      </s:c>
      <s:c r="F40" s="24">
        <s:f>'자료구성'!$B$2+TIME(INT($C$3/10000),INT(MOD($C$3,10000)/100),MOD($C$3,100))+(ROW()-ROW($C$3))/86400</s:f>
        <s:v>46247.56060185185</s:v>
      </s:c>
    </s:row>
    <s:row r="41">
      <s:c r="A41" s="0" t="n">
        <s:v>260813</s:v>
      </s:c>
      <s:c r="B41" s="0" t="inlineStr">
        <s:is>
          <s:t>이종훈</s:t>
        </s:is>
      </s:c>
      <s:c r="C41" s="0" t="n">
        <s:v>132639</s:v>
      </s:c>
      <s:c r="D41" s="0" t="n">
        <s:v>1630</s:v>
      </s:c>
      <s:c r="F41" s="24">
        <s:f>'자료구성'!$B$2+TIME(INT($C$3/10000),INT(MOD($C$3,10000)/100),MOD($C$3,100))+(ROW()-ROW($C$3))/86400</s:f>
        <s:v>46247.56061342593</s:v>
      </s:c>
    </s:row>
    <s:row r="42">
      <s:c r="A42" s="0" t="n">
        <s:v>260813</s:v>
      </s:c>
      <s:c r="B42" s="0" t="inlineStr">
        <s:is>
          <s:t>이종훈</s:t>
        </s:is>
      </s:c>
      <s:c r="C42" s="0" t="n">
        <s:v>132639</s:v>
      </s:c>
      <s:c r="D42" s="0" t="n">
        <s:v>1604</s:v>
      </s:c>
      <s:c r="F42" s="24">
        <s:f>'자료구성'!$B$2+TIME(INT($C$3/10000),INT(MOD($C$3,10000)/100),MOD($C$3,100))+(ROW()-ROW($C$3))/86400</s:f>
        <s:v>46247.560625</s:v>
      </s:c>
    </s:row>
    <s:row r="43">
      <s:c r="A43" s="0" t="n">
        <s:v>260813</s:v>
      </s:c>
      <s:c r="B43" s="0" t="inlineStr">
        <s:is>
          <s:t>이종훈</s:t>
        </s:is>
      </s:c>
      <s:c r="C43" s="0" t="n">
        <s:v>132639</s:v>
      </s:c>
      <s:c r="D43" s="0" t="n">
        <s:v>1592</s:v>
      </s:c>
      <s:c r="F43" s="24">
        <s:f>'자료구성'!$B$2+TIME(INT($C$3/10000),INT(MOD($C$3,10000)/100),MOD($C$3,100))+(ROW()-ROW($C$3))/86400</s:f>
        <s:v>46247.560636574075</s:v>
      </s:c>
    </s:row>
    <s:row r="44">
      <s:c r="A44" s="0" t="n">
        <s:v>260813</s:v>
      </s:c>
      <s:c r="B44" s="0" t="inlineStr">
        <s:is>
          <s:t>이종훈</s:t>
        </s:is>
      </s:c>
      <s:c r="C44" s="0" t="n">
        <s:v>132639</s:v>
      </s:c>
      <s:c r="D44" s="0" t="n">
        <s:v>1602</s:v>
      </s:c>
      <s:c r="F44" s="24">
        <s:f>'자료구성'!$B$2+TIME(INT($C$3/10000),INT(MOD($C$3,10000)/100),MOD($C$3,100))+(ROW()-ROW($C$3))/86400</s:f>
        <s:v>46247.560648148145</s:v>
      </s:c>
    </s:row>
    <s:row r="45">
      <s:c r="A45" s="0" t="n">
        <s:v>260813</s:v>
      </s:c>
      <s:c r="B45" s="0" t="inlineStr">
        <s:is>
          <s:t>이종훈</s:t>
        </s:is>
      </s:c>
      <s:c r="C45" s="0" t="n">
        <s:v>132639</s:v>
      </s:c>
      <s:c r="D45" s="0" t="n">
        <s:v>1601</s:v>
      </s:c>
      <s:c r="F45" s="24">
        <s:f>'자료구성'!$B$2+TIME(INT($C$3/10000),INT(MOD($C$3,10000)/100),MOD($C$3,100))+(ROW()-ROW($C$3))/86400</s:f>
        <s:v>46247.56065972222</s:v>
      </s:c>
    </s:row>
    <s:row r="46">
      <s:c r="A46" s="0" t="n">
        <s:v>260813</s:v>
      </s:c>
      <s:c r="B46" s="0" t="inlineStr">
        <s:is>
          <s:t>이종훈</s:t>
        </s:is>
      </s:c>
      <s:c r="C46" s="0" t="n">
        <s:v>132639</s:v>
      </s:c>
      <s:c r="D46" s="0" t="n">
        <s:v>1645</s:v>
      </s:c>
      <s:c r="F46" s="24">
        <s:f>'자료구성'!$B$2+TIME(INT($C$3/10000),INT(MOD($C$3,10000)/100),MOD($C$3,100))+(ROW()-ROW($C$3))/86400</s:f>
        <s:v>46247.5606712963</s:v>
      </s:c>
    </s:row>
    <s:row r="47">
      <s:c r="A47" s="0" t="n">
        <s:v>260813</s:v>
      </s:c>
      <s:c r="B47" s="0" t="inlineStr">
        <s:is>
          <s:t>이종훈</s:t>
        </s:is>
      </s:c>
      <s:c r="C47" s="0" t="n">
        <s:v>132639</s:v>
      </s:c>
      <s:c r="D47" s="0" t="n">
        <s:v>1713</s:v>
      </s:c>
      <s:c r="F47" s="24">
        <s:f>'자료구성'!$B$2+TIME(INT($C$3/10000),INT(MOD($C$3,10000)/100),MOD($C$3,100))+(ROW()-ROW($C$3))/86400</s:f>
        <s:v>46247.56068287037</s:v>
      </s:c>
    </s:row>
    <s:row r="48">
      <s:c r="A48" s="0" t="n">
        <s:v>260813</s:v>
      </s:c>
      <s:c r="B48" s="0" t="inlineStr">
        <s:is>
          <s:t>이종훈</s:t>
        </s:is>
      </s:c>
      <s:c r="C48" s="0" t="n">
        <s:v>132639</s:v>
      </s:c>
      <s:c r="D48" s="0" t="n">
        <s:v>1815</s:v>
      </s:c>
      <s:c r="F48" s="24">
        <s:f>'자료구성'!$B$2+TIME(INT($C$3/10000),INT(MOD($C$3,10000)/100),MOD($C$3,100))+(ROW()-ROW($C$3))/86400</s:f>
        <s:v>46247.560694444444</s:v>
      </s:c>
    </s:row>
    <s:row r="49">
      <s:c r="A49" s="0" t="n">
        <s:v>260813</s:v>
      </s:c>
      <s:c r="B49" s="0" t="inlineStr">
        <s:is>
          <s:t>이종훈</s:t>
        </s:is>
      </s:c>
      <s:c r="C49" s="0" t="n">
        <s:v>132639</s:v>
      </s:c>
      <s:c r="D49" s="0" t="n">
        <s:v>1908</s:v>
      </s:c>
      <s:c r="F49" s="24">
        <s:f>'자료구성'!$B$2+TIME(INT($C$3/10000),INT(MOD($C$3,10000)/100),MOD($C$3,100))+(ROW()-ROW($C$3))/86400</s:f>
        <s:v>46247.56070601852</s:v>
      </s:c>
    </s:row>
    <s:row r="50">
      <s:c r="A50" s="0" t="n">
        <s:v>260813</s:v>
      </s:c>
      <s:c r="B50" s="0" t="inlineStr">
        <s:is>
          <s:t>이종훈</s:t>
        </s:is>
      </s:c>
      <s:c r="C50" s="0" t="n">
        <s:v>132639</s:v>
      </s:c>
      <s:c r="D50" s="0" t="n">
        <s:v>1988</s:v>
      </s:c>
      <s:c r="F50" s="24">
        <s:f>'자료구성'!$B$2+TIME(INT($C$3/10000),INT(MOD($C$3,10000)/100),MOD($C$3,100))+(ROW()-ROW($C$3))/86400</s:f>
        <s:v>46247.56071759259</s:v>
      </s:c>
    </s:row>
    <s:row r="51">
      <s:c r="A51" s="0" t="n">
        <s:v>260813</s:v>
      </s:c>
      <s:c r="B51" s="0" t="inlineStr">
        <s:is>
          <s:t>이종훈</s:t>
        </s:is>
      </s:c>
      <s:c r="C51" s="0" t="n">
        <s:v>132639</s:v>
      </s:c>
      <s:c r="D51" s="0" t="n">
        <s:v>2056</s:v>
      </s:c>
      <s:c r="F51" s="24">
        <s:f>'자료구성'!$B$2+TIME(INT($C$3/10000),INT(MOD($C$3,10000)/100),MOD($C$3,100))+(ROW()-ROW($C$3))/86400</s:f>
        <s:v>46247.56072916667</s:v>
      </s:c>
    </s:row>
    <s:row r="52">
      <s:c r="A52" s="0" t="n">
        <s:v>260813</s:v>
      </s:c>
      <s:c r="B52" s="0" t="inlineStr">
        <s:is>
          <s:t>이종훈</s:t>
        </s:is>
      </s:c>
      <s:c r="C52" s="0" t="n">
        <s:v>132639</s:v>
      </s:c>
      <s:c r="D52" s="0" t="n">
        <s:v>2083</s:v>
      </s:c>
      <s:c r="F52" s="24">
        <s:f>'자료구성'!$B$2+TIME(INT($C$3/10000),INT(MOD($C$3,10000)/100),MOD($C$3,100))+(ROW()-ROW($C$3))/86400</s:f>
        <s:v>46247.560740740744</s:v>
      </s:c>
    </s:row>
    <s:row r="53">
      <s:c r="A53" s="0" t="n">
        <s:v>260813</s:v>
      </s:c>
      <s:c r="B53" s="0" t="inlineStr">
        <s:is>
          <s:t>이종훈</s:t>
        </s:is>
      </s:c>
      <s:c r="C53" s="0" t="n">
        <s:v>132639</s:v>
      </s:c>
      <s:c r="D53" s="0" t="n">
        <s:v>2148</s:v>
      </s:c>
      <s:c r="F53" s="24">
        <s:f>'자료구성'!$B$2+TIME(INT($C$3/10000),INT(MOD($C$3,10000)/100),MOD($C$3,100))+(ROW()-ROW($C$3))/86400</s:f>
        <s:v>46247.560752314814</s:v>
      </s:c>
    </s:row>
    <s:row r="54">
      <s:c r="A54" s="0" t="n">
        <s:v>260813</s:v>
      </s:c>
      <s:c r="B54" s="0" t="inlineStr">
        <s:is>
          <s:t>이종훈</s:t>
        </s:is>
      </s:c>
      <s:c r="C54" s="0" t="n">
        <s:v>132639</s:v>
      </s:c>
      <s:c r="D54" s="0" t="n">
        <s:v>2190</s:v>
      </s:c>
      <s:c r="F54" s="24">
        <s:f>'자료구성'!$B$2+TIME(INT($C$3/10000),INT(MOD($C$3,10000)/100),MOD($C$3,100))+(ROW()-ROW($C$3))/86400</s:f>
        <s:v>46247.56076388889</s:v>
      </s:c>
    </s:row>
    <s:row r="55">
      <s:c r="A55" s="0" t="n">
        <s:v>260813</s:v>
      </s:c>
      <s:c r="B55" s="0" t="inlineStr">
        <s:is>
          <s:t>이종훈</s:t>
        </s:is>
      </s:c>
      <s:c r="C55" s="0" t="n">
        <s:v>132639</s:v>
      </s:c>
      <s:c r="D55" s="0" t="n">
        <s:v>2230</s:v>
      </s:c>
      <s:c r="F55" s="24">
        <s:f>'자료구성'!$B$2+TIME(INT($C$3/10000),INT(MOD($C$3,10000)/100),MOD($C$3,100))+(ROW()-ROW($C$3))/86400</s:f>
        <s:v>46247.56077546296</s:v>
      </s:c>
    </s:row>
    <s:row r="56">
      <s:c r="A56" s="0" t="n">
        <s:v>260813</s:v>
      </s:c>
      <s:c r="B56" s="0" t="inlineStr">
        <s:is>
          <s:t>이종훈</s:t>
        </s:is>
      </s:c>
      <s:c r="C56" s="0" t="n">
        <s:v>132639</s:v>
      </s:c>
      <s:c r="D56" s="0" t="n">
        <s:v>2276</s:v>
      </s:c>
      <s:c r="F56" s="24">
        <s:f>'자료구성'!$B$2+TIME(INT($C$3/10000),INT(MOD($C$3,10000)/100),MOD($C$3,100))+(ROW()-ROW($C$3))/86400</s:f>
        <s:v>46247.56078703704</s:v>
      </s:c>
    </s:row>
    <s:row r="57">
      <s:c r="A57" s="0" t="n">
        <s:v>260813</s:v>
      </s:c>
      <s:c r="B57" s="0" t="inlineStr">
        <s:is>
          <s:t>이종훈</s:t>
        </s:is>
      </s:c>
      <s:c r="C57" s="0" t="n">
        <s:v>132639</s:v>
      </s:c>
      <s:c r="D57" s="0" t="n">
        <s:v>2308</s:v>
      </s:c>
      <s:c r="F57" s="24">
        <s:f>'자료구성'!$B$2+TIME(INT($C$3/10000),INT(MOD($C$3,10000)/100),MOD($C$3,100))+(ROW()-ROW($C$3))/86400</s:f>
        <s:v>46247.56079861111</s:v>
      </s:c>
    </s:row>
    <s:row r="58">
      <s:c r="A58" s="0" t="n">
        <s:v>260813</s:v>
      </s:c>
      <s:c r="B58" s="0" t="inlineStr">
        <s:is>
          <s:t>이종훈</s:t>
        </s:is>
      </s:c>
      <s:c r="C58" s="0" t="n">
        <s:v>132639</s:v>
      </s:c>
      <s:c r="D58" s="0" t="n">
        <s:v>2339</s:v>
      </s:c>
      <s:c r="F58" s="24">
        <s:f>'자료구성'!$B$2+TIME(INT($C$3/10000),INT(MOD($C$3,10000)/100),MOD($C$3,100))+(ROW()-ROW($C$3))/86400</s:f>
        <s:v>46247.56081018518</s:v>
      </s:c>
    </s:row>
    <s:row r="59">
      <s:c r="A59" s="0" t="n">
        <s:v>260813</s:v>
      </s:c>
      <s:c r="B59" s="0" t="inlineStr">
        <s:is>
          <s:t>이종훈</s:t>
        </s:is>
      </s:c>
      <s:c r="C59" s="0" t="n">
        <s:v>132639</s:v>
      </s:c>
      <s:c r="D59" s="0" t="n">
        <s:v>2392</s:v>
      </s:c>
      <s:c r="F59" s="24">
        <s:f>'자료구성'!$B$2+TIME(INT($C$3/10000),INT(MOD($C$3,10000)/100),MOD($C$3,100))+(ROW()-ROW($C$3))/86400</s:f>
        <s:v>46247.56082175926</s:v>
      </s:c>
    </s:row>
    <s:row r="60">
      <s:c r="A60" s="0" t="n">
        <s:v>260813</s:v>
      </s:c>
      <s:c r="B60" s="0" t="inlineStr">
        <s:is>
          <s:t>이종훈</s:t>
        </s:is>
      </s:c>
      <s:c r="C60" s="0" t="n">
        <s:v>132639</s:v>
      </s:c>
      <s:c r="D60" s="0" t="n">
        <s:v>2388</s:v>
      </s:c>
      <s:c r="F60" s="24">
        <s:f>'자료구성'!$B$2+TIME(INT($C$3/10000),INT(MOD($C$3,10000)/100),MOD($C$3,100))+(ROW()-ROW($C$3))/86400</s:f>
        <s:v>46247.56083333334</s:v>
      </s:c>
    </s:row>
    <s:row r="61">
      <s:c r="A61" s="0" t="n">
        <s:v>260813</s:v>
      </s:c>
      <s:c r="B61" s="0" t="inlineStr">
        <s:is>
          <s:t>이종훈</s:t>
        </s:is>
      </s:c>
      <s:c r="C61" s="0" t="n">
        <s:v>132639</s:v>
      </s:c>
      <s:c r="D61" s="0" t="n">
        <s:v>2294</s:v>
      </s:c>
      <s:c r="F61" s="24">
        <s:f>'자료구성'!$B$2+TIME(INT($C$3/10000),INT(MOD($C$3,10000)/100),MOD($C$3,100))+(ROW()-ROW($C$3))/86400</s:f>
        <s:v>46247.560844907406</s:v>
      </s:c>
    </s:row>
    <s:row r="62">
      <s:c r="A62" s="0" t="n">
        <s:v>260813</s:v>
      </s:c>
      <s:c r="B62" s="0" t="inlineStr">
        <s:is>
          <s:t>이종훈</s:t>
        </s:is>
      </s:c>
      <s:c r="C62" s="0" t="n">
        <s:v>132639</s:v>
      </s:c>
      <s:c r="D62" s="0" t="n">
        <s:v>2210</s:v>
      </s:c>
      <s:c r="F62" s="24">
        <s:f>'자료구성'!$B$2+TIME(INT($C$3/10000),INT(MOD($C$3,10000)/100),MOD($C$3,100))+(ROW()-ROW($C$3))/86400</s:f>
        <s:v>46247.56085648148</s:v>
      </s:c>
    </s:row>
    <s:row r="63">
      <s:c r="A63" s="0" t="n">
        <s:v>260813</s:v>
      </s:c>
      <s:c r="B63" s="0" t="inlineStr">
        <s:is>
          <s:t>이종훈</s:t>
        </s:is>
      </s:c>
      <s:c r="C63" s="0" t="n">
        <s:v>132639</s:v>
      </s:c>
      <s:c r="D63" s="0" t="n">
        <s:v>2163</s:v>
      </s:c>
      <s:c r="F63" s="24">
        <s:f>'자료구성'!$B$2+TIME(INT($C$3/10000),INT(MOD($C$3,10000)/100),MOD($C$3,100))+(ROW()-ROW($C$3))/86400</s:f>
        <s:v>46247.56086805555</s:v>
      </s:c>
    </s:row>
    <s:row r="64">
      <s:c r="A64" s="0" t="n">
        <s:v>260813</s:v>
      </s:c>
      <s:c r="B64" s="0" t="inlineStr">
        <s:is>
          <s:t>이종훈</s:t>
        </s:is>
      </s:c>
      <s:c r="C64" s="0" t="n">
        <s:v>132639</s:v>
      </s:c>
      <s:c r="D64" s="0" t="n">
        <s:v>2008</s:v>
      </s:c>
      <s:c r="F64" s="24">
        <s:f>'자료구성'!$B$2+TIME(INT($C$3/10000),INT(MOD($C$3,10000)/100),MOD($C$3,100))+(ROW()-ROW($C$3))/86400</s:f>
        <s:v>46247.56087962963</s:v>
      </s:c>
    </s:row>
    <s:row r="65">
      <s:c r="A65" s="0" t="n">
        <s:v>260813</s:v>
      </s:c>
      <s:c r="B65" s="0" t="inlineStr">
        <s:is>
          <s:t>이종훈</s:t>
        </s:is>
      </s:c>
      <s:c r="C65" s="0" t="n">
        <s:v>132639</s:v>
      </s:c>
      <s:c r="D65" s="0" t="n">
        <s:v>1962</s:v>
      </s:c>
      <s:c r="F65" s="24">
        <s:f>'자료구성'!$B$2+TIME(INT($C$3/10000),INT(MOD($C$3,10000)/100),MOD($C$3,100))+(ROW()-ROW($C$3))/86400</s:f>
        <s:v>46247.560891203706</s:v>
      </s:c>
    </s:row>
    <s:row r="66">
      <s:c r="A66" s="0" t="n">
        <s:v>260813</s:v>
      </s:c>
      <s:c r="B66" s="0" t="inlineStr">
        <s:is>
          <s:t>이종훈</s:t>
        </s:is>
      </s:c>
      <s:c r="C66" s="0" t="n">
        <s:v>132639</s:v>
      </s:c>
      <s:c r="D66" s="0" t="n">
        <s:v>1990</s:v>
      </s:c>
      <s:c r="F66" s="24">
        <s:f>'자료구성'!$B$2+TIME(INT($C$3/10000),INT(MOD($C$3,10000)/100),MOD($C$3,100))+(ROW()-ROW($C$3))/86400</s:f>
        <s:v>46247.560902777775</s:v>
      </s:c>
    </s:row>
    <s:row r="67">
      <s:c r="A67" s="0" t="n">
        <s:v>260813</s:v>
      </s:c>
      <s:c r="B67" s="0" t="inlineStr">
        <s:is>
          <s:t>이종훈</s:t>
        </s:is>
      </s:c>
      <s:c r="C67" s="0" t="n">
        <s:v>132639</s:v>
      </s:c>
      <s:c r="D67" s="0" t="n">
        <s:v>2052</s:v>
      </s:c>
      <s:c r="F67" s="24">
        <s:f>'자료구성'!$B$2+TIME(INT($C$3/10000),INT(MOD($C$3,10000)/100),MOD($C$3,100))+(ROW()-ROW($C$3))/86400</s:f>
        <s:v>46247.56091435185</s:v>
      </s:c>
    </s:row>
    <s:row r="68">
      <s:c r="A68" s="0" t="n">
        <s:v>260813</s:v>
      </s:c>
      <s:c r="B68" s="0" t="inlineStr">
        <s:is>
          <s:t>이종훈</s:t>
        </s:is>
      </s:c>
      <s:c r="C68" s="0" t="n">
        <s:v>132639</s:v>
      </s:c>
      <s:c r="D68" s="0" t="n">
        <s:v>2013</s:v>
      </s:c>
      <s:c r="F68" s="24">
        <s:f>'자료구성'!$B$2+TIME(INT($C$3/10000),INT(MOD($C$3,10000)/100),MOD($C$3,100))+(ROW()-ROW($C$3))/86400</s:f>
        <s:v>46247.56092592593</s:v>
      </s:c>
    </s:row>
    <s:row r="69">
      <s:c r="A69" s="0" t="n">
        <s:v>260813</s:v>
      </s:c>
      <s:c r="B69" s="0" t="inlineStr">
        <s:is>
          <s:t>이종훈</s:t>
        </s:is>
      </s:c>
      <s:c r="C69" s="0" t="n">
        <s:v>132639</s:v>
      </s:c>
      <s:c r="D69" s="0" t="n">
        <s:v>1974</s:v>
      </s:c>
      <s:c r="F69" s="24">
        <s:f>'자료구성'!$B$2+TIME(INT($C$3/10000),INT(MOD($C$3,10000)/100),MOD($C$3,100))+(ROW()-ROW($C$3))/86400</s:f>
        <s:v>46247.5609375</s:v>
      </s:c>
    </s:row>
    <s:row r="70">
      <s:c r="A70" s="0" t="n">
        <s:v>260813</s:v>
      </s:c>
      <s:c r="B70" s="0" t="inlineStr">
        <s:is>
          <s:t>이종훈</s:t>
        </s:is>
      </s:c>
      <s:c r="C70" s="0" t="n">
        <s:v>132639</s:v>
      </s:c>
      <s:c r="D70" s="0" t="n">
        <s:v>1963</s:v>
      </s:c>
      <s:c r="F70" s="24">
        <s:f>'자료구성'!$B$2+TIME(INT($C$3/10000),INT(MOD($C$3,10000)/100),MOD($C$3,100))+(ROW()-ROW($C$3))/86400</s:f>
        <s:v>46247.560949074075</s:v>
      </s:c>
    </s:row>
    <s:row r="71">
      <s:c r="A71" s="0" t="n">
        <s:v>260813</s:v>
      </s:c>
      <s:c r="B71" s="0" t="inlineStr">
        <s:is>
          <s:t>이종훈</s:t>
        </s:is>
      </s:c>
      <s:c r="C71" s="0" t="n">
        <s:v>132639</s:v>
      </s:c>
      <s:c r="D71" s="0" t="n">
        <s:v>1870</s:v>
      </s:c>
      <s:c r="F71" s="24">
        <s:f>'자료구성'!$B$2+TIME(INT($C$3/10000),INT(MOD($C$3,10000)/100),MOD($C$3,100))+(ROW()-ROW($C$3))/86400</s:f>
        <s:v>46247.560960648145</s:v>
      </s:c>
    </s:row>
    <s:row r="72">
      <s:c r="A72" s="0" t="n">
        <s:v>260813</s:v>
      </s:c>
      <s:c r="B72" s="0" t="inlineStr">
        <s:is>
          <s:t>이종훈</s:t>
        </s:is>
      </s:c>
      <s:c r="C72" s="0" t="n">
        <s:v>132639</s:v>
      </s:c>
      <s:c r="D72" s="0" t="n">
        <s:v>1808</s:v>
      </s:c>
      <s:c r="F72" s="24">
        <s:f>'자료구성'!$B$2+TIME(INT($C$3/10000),INT(MOD($C$3,10000)/100),MOD($C$3,100))+(ROW()-ROW($C$3))/86400</s:f>
        <s:v>46247.56097222222</s:v>
      </s:c>
    </s:row>
    <s:row r="73">
      <s:c r="A73" s="0" t="n">
        <s:v>260813</s:v>
      </s:c>
      <s:c r="B73" s="0" t="inlineStr">
        <s:is>
          <s:t>이종훈</s:t>
        </s:is>
      </s:c>
      <s:c r="C73" s="0" t="n">
        <s:v>132639</s:v>
      </s:c>
      <s:c r="D73" s="0" t="n">
        <s:v>1870</s:v>
      </s:c>
      <s:c r="F73" s="24">
        <s:f>'자료구성'!$B$2+TIME(INT($C$3/10000),INT(MOD($C$3,10000)/100),MOD($C$3,100))+(ROW()-ROW($C$3))/86400</s:f>
        <s:v>46247.5609837963</s:v>
      </s:c>
    </s:row>
    <s:row r="74">
      <s:c r="A74" s="0" t="n">
        <s:v>260813</s:v>
      </s:c>
      <s:c r="B74" s="0" t="inlineStr">
        <s:is>
          <s:t>이종훈</s:t>
        </s:is>
      </s:c>
      <s:c r="C74" s="0" t="n">
        <s:v>132639</s:v>
      </s:c>
      <s:c r="D74" s="0" t="n">
        <s:v>1891</s:v>
      </s:c>
      <s:c r="F74" s="24">
        <s:f>'자료구성'!$B$2+TIME(INT($C$3/10000),INT(MOD($C$3,10000)/100),MOD($C$3,100))+(ROW()-ROW($C$3))/86400</s:f>
        <s:v>46247.56099537037</s:v>
      </s:c>
    </s:row>
    <s:row r="75">
      <s:c r="A75" s="0" t="n">
        <s:v>260813</s:v>
      </s:c>
      <s:c r="B75" s="0" t="inlineStr">
        <s:is>
          <s:t>이종훈</s:t>
        </s:is>
      </s:c>
      <s:c r="C75" s="0" t="n">
        <s:v>132639</s:v>
      </s:c>
      <s:c r="D75" s="0" t="n">
        <s:v>1809</s:v>
      </s:c>
      <s:c r="F75" s="24">
        <s:f>'자료구성'!$B$2+TIME(INT($C$3/10000),INT(MOD($C$3,10000)/100),MOD($C$3,100))+(ROW()-ROW($C$3))/86400</s:f>
        <s:v>46247.561006944445</s:v>
      </s:c>
    </s:row>
    <s:row r="76">
      <s:c r="A76" s="0" t="n">
        <s:v>260813</s:v>
      </s:c>
      <s:c r="B76" s="0" t="inlineStr">
        <s:is>
          <s:t>이종훈</s:t>
        </s:is>
      </s:c>
      <s:c r="C76" s="0" t="n">
        <s:v>132639</s:v>
      </s:c>
      <s:c r="D76" s="0" t="n">
        <s:v>1800</s:v>
      </s:c>
      <s:c r="F76" s="24">
        <s:f>'자료구성'!$B$2+TIME(INT($C$3/10000),INT(MOD($C$3,10000)/100),MOD($C$3,100))+(ROW()-ROW($C$3))/86400</s:f>
        <s:v>46247.56101851852</s:v>
      </s:c>
    </s:row>
    <s:row r="77">
      <s:c r="A77" s="0" t="n">
        <s:v>260813</s:v>
      </s:c>
      <s:c r="B77" s="0" t="inlineStr">
        <s:is>
          <s:t>이종훈</s:t>
        </s:is>
      </s:c>
      <s:c r="C77" s="0" t="n">
        <s:v>132639</s:v>
      </s:c>
      <s:c r="D77" s="0" t="n">
        <s:v>1743</s:v>
      </s:c>
      <s:c r="F77" s="24">
        <s:f>'자료구성'!$B$2+TIME(INT($C$3/10000),INT(MOD($C$3,10000)/100),MOD($C$3,100))+(ROW()-ROW($C$3))/86400</s:f>
        <s:v>46247.56103009259</s:v>
      </s:c>
    </s:row>
    <s:row r="78">
      <s:c r="A78" s="0" t="n">
        <s:v>260813</s:v>
      </s:c>
      <s:c r="B78" s="0" t="inlineStr">
        <s:is>
          <s:t>이종훈</s:t>
        </s:is>
      </s:c>
      <s:c r="C78" s="0" t="n">
        <s:v>132639</s:v>
      </s:c>
      <s:c r="D78" s="0" t="n">
        <s:v>1715</s:v>
      </s:c>
      <s:c r="F78" s="24">
        <s:f>'자료구성'!$B$2+TIME(INT($C$3/10000),INT(MOD($C$3,10000)/100),MOD($C$3,100))+(ROW()-ROW($C$3))/86400</s:f>
        <s:v>46247.56104166667</s:v>
      </s:c>
    </s:row>
    <s:row r="79">
      <s:c r="A79" s="0" t="n">
        <s:v>260813</s:v>
      </s:c>
      <s:c r="B79" s="0" t="inlineStr">
        <s:is>
          <s:t>이종훈</s:t>
        </s:is>
      </s:c>
      <s:c r="C79" s="0" t="n">
        <s:v>132639</s:v>
      </s:c>
      <s:c r="D79" s="0" t="n">
        <s:v>1705</s:v>
      </s:c>
      <s:c r="F79" s="24">
        <s:f>'자료구성'!$B$2+TIME(INT($C$3/10000),INT(MOD($C$3,10000)/100),MOD($C$3,100))+(ROW()-ROW($C$3))/86400</s:f>
        <s:v>46247.56105324074</s:v>
      </s:c>
    </s:row>
    <s:row r="80">
      <s:c r="A80" s="0" t="n">
        <s:v>260813</s:v>
      </s:c>
      <s:c r="B80" s="0" t="inlineStr">
        <s:is>
          <s:t>이종훈</s:t>
        </s:is>
      </s:c>
      <s:c r="C80" s="0" t="n">
        <s:v>132639</s:v>
      </s:c>
      <s:c r="D80" s="0" t="n">
        <s:v>1683</s:v>
      </s:c>
      <s:c r="F80" s="24">
        <s:f>'자료구성'!$B$2+TIME(INT($C$3/10000),INT(MOD($C$3,10000)/100),MOD($C$3,100))+(ROW()-ROW($C$3))/86400</s:f>
        <s:v>46247.561064814814</s:v>
      </s:c>
    </s:row>
    <s:row r="81">
      <s:c r="A81" s="0" t="n">
        <s:v>260813</s:v>
      </s:c>
      <s:c r="B81" s="0" t="inlineStr">
        <s:is>
          <s:t>이종훈</s:t>
        </s:is>
      </s:c>
      <s:c r="C81" s="0" t="n">
        <s:v>132639</s:v>
      </s:c>
      <s:c r="D81" s="0" t="n">
        <s:v>1659</s:v>
      </s:c>
      <s:c r="F81" s="24">
        <s:f>'자료구성'!$B$2+TIME(INT($C$3/10000),INT(MOD($C$3,10000)/100),MOD($C$3,100))+(ROW()-ROW($C$3))/86400</s:f>
        <s:v>46247.56107638889</s:v>
      </s:c>
    </s:row>
    <s:row r="82">
      <s:c r="A82" s="0" t="n">
        <s:v>260813</s:v>
      </s:c>
      <s:c r="B82" s="0" t="inlineStr">
        <s:is>
          <s:t>이종훈</s:t>
        </s:is>
      </s:c>
      <s:c r="C82" s="0" t="n">
        <s:v>132639</s:v>
      </s:c>
      <s:c r="D82" s="0" t="n">
        <s:v>1628</s:v>
      </s:c>
      <s:c r="F82" s="24">
        <s:f>'자료구성'!$B$2+TIME(INT($C$3/10000),INT(MOD($C$3,10000)/100),MOD($C$3,100))+(ROW()-ROW($C$3))/86400</s:f>
        <s:v>46247.56108796296</s:v>
      </s:c>
    </s:row>
    <s:row r="83">
      <s:c r="A83" s="0" t="n">
        <s:v>260813</s:v>
      </s:c>
      <s:c r="B83" s="0" t="inlineStr">
        <s:is>
          <s:t>이종훈</s:t>
        </s:is>
      </s:c>
      <s:c r="C83" s="0" t="n">
        <s:v>132639</s:v>
      </s:c>
      <s:c r="D83" s="0" t="n">
        <s:v>1606</s:v>
      </s:c>
      <s:c r="F83" s="24">
        <s:f>'자료구성'!$B$2+TIME(INT($C$3/10000),INT(MOD($C$3,10000)/100),MOD($C$3,100))+(ROW()-ROW($C$3))/86400</s:f>
        <s:v>46247.56109953704</s:v>
      </s:c>
    </s:row>
    <s:row r="84">
      <s:c r="A84" s="0" t="n">
        <s:v>260813</s:v>
      </s:c>
      <s:c r="B84" s="0" t="inlineStr">
        <s:is>
          <s:t>이종훈</s:t>
        </s:is>
      </s:c>
      <s:c r="C84" s="0" t="n">
        <s:v>132639</s:v>
      </s:c>
      <s:c r="D84" s="0" t="n">
        <s:v>1590</s:v>
      </s:c>
      <s:c r="F84" s="24">
        <s:f>'자료구성'!$B$2+TIME(INT($C$3/10000),INT(MOD($C$3,10000)/100),MOD($C$3,100))+(ROW()-ROW($C$3))/86400</s:f>
        <s:v>46247.561111111114</s:v>
      </s:c>
    </s:row>
    <s:row r="85">
      <s:c r="A85" s="0" t="n">
        <s:v>260813</s:v>
      </s:c>
      <s:c r="B85" s="0" t="inlineStr">
        <s:is>
          <s:t>이종훈</s:t>
        </s:is>
      </s:c>
      <s:c r="C85" s="0" t="n">
        <s:v>132639</s:v>
      </s:c>
      <s:c r="D85" s="0" t="n">
        <s:v>1603</s:v>
      </s:c>
      <s:c r="F85" s="24">
        <s:f>'자료구성'!$B$2+TIME(INT($C$3/10000),INT(MOD($C$3,10000)/100),MOD($C$3,100))+(ROW()-ROW($C$3))/86400</s:f>
        <s:v>46247.56112268518</s:v>
      </s:c>
    </s:row>
    <s:row r="86">
      <s:c r="A86" s="0" t="n">
        <s:v>260813</s:v>
      </s:c>
      <s:c r="B86" s="0" t="inlineStr">
        <s:is>
          <s:t>이종훈</s:t>
        </s:is>
      </s:c>
      <s:c r="C86" s="0" t="n">
        <s:v>132639</s:v>
      </s:c>
      <s:c r="D86" s="0" t="n">
        <s:v>1614</s:v>
      </s:c>
      <s:c r="F86" s="24">
        <s:f>'자료구성'!$B$2+TIME(INT($C$3/10000),INT(MOD($C$3,10000)/100),MOD($C$3,100))+(ROW()-ROW($C$3))/86400</s:f>
        <s:v>46247.56113425926</s:v>
      </s:c>
    </s:row>
    <s:row r="87">
      <s:c r="A87" s="0" t="n">
        <s:v>260813</s:v>
      </s:c>
      <s:c r="B87" s="0" t="inlineStr">
        <s:is>
          <s:t>이종훈</s:t>
        </s:is>
      </s:c>
      <s:c r="C87" s="0" t="n">
        <s:v>132639</s:v>
      </s:c>
      <s:c r="D87" s="0" t="n">
        <s:v>1617</s:v>
      </s:c>
      <s:c r="F87" s="24">
        <s:f>'자료구성'!$B$2+TIME(INT($C$3/10000),INT(MOD($C$3,10000)/100),MOD($C$3,100))+(ROW()-ROW($C$3))/86400</s:f>
        <s:v>46247.56114583334</s:v>
      </s:c>
    </s:row>
    <s:row r="88">
      <s:c r="A88" s="0" t="n">
        <s:v>260813</s:v>
      </s:c>
      <s:c r="B88" s="0" t="inlineStr">
        <s:is>
          <s:t>이종훈</s:t>
        </s:is>
      </s:c>
      <s:c r="C88" s="0" t="n">
        <s:v>132639</s:v>
      </s:c>
      <s:c r="D88" s="0" t="n">
        <s:v>1613</s:v>
      </s:c>
      <s:c r="F88" s="24">
        <s:f>'자료구성'!$B$2+TIME(INT($C$3/10000),INT(MOD($C$3,10000)/100),MOD($C$3,100))+(ROW()-ROW($C$3))/86400</s:f>
        <s:v>46247.56115740741</s:v>
      </s:c>
    </s:row>
    <s:row r="89">
      <s:c r="A89" s="0" t="n">
        <s:v>260813</s:v>
      </s:c>
      <s:c r="B89" s="0" t="inlineStr">
        <s:is>
          <s:t>이종훈</s:t>
        </s:is>
      </s:c>
      <s:c r="C89" s="0" t="n">
        <s:v>132639</s:v>
      </s:c>
      <s:c r="D89" s="0" t="n">
        <s:v>1605</s:v>
      </s:c>
      <s:c r="F89" s="24">
        <s:f>'자료구성'!$B$2+TIME(INT($C$3/10000),INT(MOD($C$3,10000)/100),MOD($C$3,100))+(ROW()-ROW($C$3))/86400</s:f>
        <s:v>46247.56116898148</s:v>
      </s:c>
    </s:row>
    <s:row r="90">
      <s:c r="A90" s="0" t="n">
        <s:v>260813</s:v>
      </s:c>
      <s:c r="B90" s="0" t="inlineStr">
        <s:is>
          <s:t>이종훈</s:t>
        </s:is>
      </s:c>
      <s:c r="C90" s="0" t="n">
        <s:v>132639</s:v>
      </s:c>
      <s:c r="D90" s="0" t="n">
        <s:v>1584</s:v>
      </s:c>
      <s:c r="F90" s="24">
        <s:f>'자료구성'!$B$2+TIME(INT($C$3/10000),INT(MOD($C$3,10000)/100),MOD($C$3,100))+(ROW()-ROW($C$3))/86400</s:f>
        <s:v>46247.56118055555</s:v>
      </s:c>
    </s:row>
    <s:row r="91">
      <s:c r="A91" s="0" t="n">
        <s:v>260813</s:v>
      </s:c>
      <s:c r="B91" s="0" t="inlineStr">
        <s:is>
          <s:t>이종훈</s:t>
        </s:is>
      </s:c>
      <s:c r="C91" s="0" t="n">
        <s:v>132639</s:v>
      </s:c>
      <s:c r="D91" s="0" t="n">
        <s:v>1547</s:v>
      </s:c>
      <s:c r="F91" s="24">
        <s:f>'자료구성'!$B$2+TIME(INT($C$3/10000),INT(MOD($C$3,10000)/100),MOD($C$3,100))+(ROW()-ROW($C$3))/86400</s:f>
        <s:v>46247.56119212963</s:v>
      </s:c>
    </s:row>
    <s:row r="92">
      <s:c r="A92" s="0" t="n">
        <s:v>260813</s:v>
      </s:c>
      <s:c r="B92" s="0" t="inlineStr">
        <s:is>
          <s:t>이종훈</s:t>
        </s:is>
      </s:c>
      <s:c r="C92" s="0" t="n">
        <s:v>132639</s:v>
      </s:c>
      <s:c r="D92" s="0" t="n">
        <s:v>1510</s:v>
      </s:c>
      <s:c r="F92" s="24">
        <s:f>'자료구성'!$B$2+TIME(INT($C$3/10000),INT(MOD($C$3,10000)/100),MOD($C$3,100))+(ROW()-ROW($C$3))/86400</s:f>
        <s:v>46247.561203703706</s:v>
      </s:c>
    </s:row>
    <s:row r="93">
      <s:c r="A93" s="0" t="n">
        <s:v>260813</s:v>
      </s:c>
      <s:c r="B93" s="0" t="inlineStr">
        <s:is>
          <s:t>이종훈</s:t>
        </s:is>
      </s:c>
      <s:c r="C93" s="0" t="n">
        <s:v>132639</s:v>
      </s:c>
      <s:c r="D93" s="0" t="n">
        <s:v>1470</s:v>
      </s:c>
      <s:c r="F93" s="24">
        <s:f>'자료구성'!$B$2+TIME(INT($C$3/10000),INT(MOD($C$3,10000)/100),MOD($C$3,100))+(ROW()-ROW($C$3))/86400</s:f>
        <s:v>46247.561215277776</s:v>
      </s:c>
    </s:row>
    <s:row r="94">
      <s:c r="A94" s="0" t="n">
        <s:v>260813</s:v>
      </s:c>
      <s:c r="B94" s="0" t="inlineStr">
        <s:is>
          <s:t>이종훈</s:t>
        </s:is>
      </s:c>
      <s:c r="C94" s="0" t="n">
        <s:v>132639</s:v>
      </s:c>
      <s:c r="D94" s="0" t="n">
        <s:v>1440</s:v>
      </s:c>
      <s:c r="F94" s="24">
        <s:f>'자료구성'!$B$2+TIME(INT($C$3/10000),INT(MOD($C$3,10000)/100),MOD($C$3,100))+(ROW()-ROW($C$3))/86400</s:f>
        <s:v>46247.56122685185</s:v>
      </s:c>
    </s:row>
    <s:row r="95">
      <s:c r="A95" s="0" t="n">
        <s:v>260813</s:v>
      </s:c>
      <s:c r="B95" s="0" t="inlineStr">
        <s:is>
          <s:t>이종훈</s:t>
        </s:is>
      </s:c>
      <s:c r="C95" s="0" t="n">
        <s:v>132639</s:v>
      </s:c>
      <s:c r="D95" s="0" t="n">
        <s:v>1451</s:v>
      </s:c>
      <s:c r="F95" s="24">
        <s:f>'자료구성'!$B$2+TIME(INT($C$3/10000),INT(MOD($C$3,10000)/100),MOD($C$3,100))+(ROW()-ROW($C$3))/86400</s:f>
        <s:v>46247.56123842593</s:v>
      </s:c>
    </s:row>
    <s:row r="96">
      <s:c r="A96" s="0" t="n">
        <s:v>260813</s:v>
      </s:c>
      <s:c r="B96" s="0" t="inlineStr">
        <s:is>
          <s:t>이종훈</s:t>
        </s:is>
      </s:c>
      <s:c r="C96" s="0" t="n">
        <s:v>132639</s:v>
      </s:c>
      <s:c r="D96" s="0" t="n">
        <s:v>1472</s:v>
      </s:c>
      <s:c r="F96" s="24">
        <s:f>'자료구성'!$B$2+TIME(INT($C$3/10000),INT(MOD($C$3,10000)/100),MOD($C$3,100))+(ROW()-ROW($C$3))/86400</s:f>
        <s:v>46247.56125</s:v>
      </s:c>
    </s:row>
    <s:row r="97">
      <s:c r="A97" s="0" t="n">
        <s:v>260813</s:v>
      </s:c>
      <s:c r="B97" s="0" t="inlineStr">
        <s:is>
          <s:t>이종훈</s:t>
        </s:is>
      </s:c>
      <s:c r="C97" s="0" t="n">
        <s:v>132639</s:v>
      </s:c>
      <s:c r="D97" s="0" t="n">
        <s:v>1470</s:v>
      </s:c>
      <s:c r="F97" s="24">
        <s:f>'자료구성'!$B$2+TIME(INT($C$3/10000),INT(MOD($C$3,10000)/100),MOD($C$3,100))+(ROW()-ROW($C$3))/86400</s:f>
        <s:v>46247.561261574076</s:v>
      </s:c>
    </s:row>
    <s:row r="98">
      <s:c r="A98" s="0" t="n">
        <s:v>260813</s:v>
      </s:c>
      <s:c r="B98" s="0" t="inlineStr">
        <s:is>
          <s:t>이종훈</s:t>
        </s:is>
      </s:c>
      <s:c r="C98" s="0" t="n">
        <s:v>132639</s:v>
      </s:c>
      <s:c r="D98" s="0" t="n">
        <s:v>1462</s:v>
      </s:c>
      <s:c r="F98" s="24">
        <s:f>'자료구성'!$B$2+TIME(INT($C$3/10000),INT(MOD($C$3,10000)/100),MOD($C$3,100))+(ROW()-ROW($C$3))/86400</s:f>
        <s:v>46247.561273148145</s:v>
      </s:c>
    </s:row>
    <s:row r="99">
      <s:c r="A99" s="0" t="n">
        <s:v>260813</s:v>
      </s:c>
      <s:c r="B99" s="0" t="inlineStr">
        <s:is>
          <s:t>이종훈</s:t>
        </s:is>
      </s:c>
      <s:c r="C99" s="0" t="n">
        <s:v>132639</s:v>
      </s:c>
      <s:c r="D99" s="0" t="n">
        <s:v>1415</s:v>
      </s:c>
      <s:c r="F99" s="24">
        <s:f>'자료구성'!$B$2+TIME(INT($C$3/10000),INT(MOD($C$3,10000)/100),MOD($C$3,100))+(ROW()-ROW($C$3))/86400</s:f>
        <s:v>46247.56128472222</s:v>
      </s:c>
    </s:row>
    <s:row r="100">
      <s:c r="A100" s="0" t="n">
        <s:v>260813</s:v>
      </s:c>
      <s:c r="B100" s="0" t="inlineStr">
        <s:is>
          <s:t>이종훈</s:t>
        </s:is>
      </s:c>
      <s:c r="C100" s="0" t="n">
        <s:v>132639</s:v>
      </s:c>
      <s:c r="D100" s="0" t="n">
        <s:v>1381</s:v>
      </s:c>
      <s:c r="F100" s="24">
        <s:f>'자료구성'!$B$2+TIME(INT($C$3/10000),INT(MOD($C$3,10000)/100),MOD($C$3,100))+(ROW()-ROW($C$3))/86400</s:f>
        <s:v>46247.5612962963</s:v>
      </s:c>
    </s:row>
    <s:row r="101">
      <s:c r="A101" s="0" t="n">
        <s:v>260813</s:v>
      </s:c>
      <s:c r="B101" s="0" t="inlineStr">
        <s:is>
          <s:t>이종훈</s:t>
        </s:is>
      </s:c>
      <s:c r="C101" s="0" t="n">
        <s:v>132639</s:v>
      </s:c>
      <s:c r="D101" s="0" t="n">
        <s:v>1356</s:v>
      </s:c>
      <s:c r="F101" s="24">
        <s:f>'자료구성'!$B$2+TIME(INT($C$3/10000),INT(MOD($C$3,10000)/100),MOD($C$3,100))+(ROW()-ROW($C$3))/86400</s:f>
        <s:v>46247.56130787037</s:v>
      </s:c>
    </s:row>
    <s:row r="102">
      <s:c r="A102" s="0" t="n">
        <s:v>260813</s:v>
      </s:c>
      <s:c r="B102" s="0" t="inlineStr">
        <s:is>
          <s:t>이종훈</s:t>
        </s:is>
      </s:c>
      <s:c r="C102" s="0" t="n">
        <s:v>132639</s:v>
      </s:c>
      <s:c r="D102" s="0" t="n">
        <s:v>1333</s:v>
      </s:c>
      <s:c r="F102" s="24">
        <s:f>'자료구성'!$B$2+TIME(INT($C$3/10000),INT(MOD($C$3,10000)/100),MOD($C$3,100))+(ROW()-ROW($C$3))/86400</s:f>
        <s:v>46247.561319444445</s:v>
      </s:c>
    </s:row>
    <s:row r="103">
      <s:c r="A103" s="0" t="n">
        <s:v>260813</s:v>
      </s:c>
      <s:c r="B103" s="0" t="inlineStr">
        <s:is>
          <s:t>이종훈</s:t>
        </s:is>
      </s:c>
      <s:c r="C103" s="0" t="n">
        <s:v>132639</s:v>
      </s:c>
      <s:c r="D103" s="0" t="n">
        <s:v>1288</s:v>
      </s:c>
      <s:c r="F103" s="24">
        <s:f>'자료구성'!$B$2+TIME(INT($C$3/10000),INT(MOD($C$3,10000)/100),MOD($C$3,100))+(ROW()-ROW($C$3))/86400</s:f>
        <s:v>46247.56133101852</s:v>
      </s:c>
    </s:row>
    <s:row r="104">
      <s:c r="A104" s="0" t="n">
        <s:v>260813</s:v>
      </s:c>
      <s:c r="B104" s="0" t="inlineStr">
        <s:is>
          <s:t>이종훈</s:t>
        </s:is>
      </s:c>
      <s:c r="C104" s="0" t="n">
        <s:v>132639</s:v>
      </s:c>
      <s:c r="D104" s="0" t="n">
        <s:v>1261</s:v>
      </s:c>
      <s:c r="F104" s="24">
        <s:f>'자료구성'!$B$2+TIME(INT($C$3/10000),INT(MOD($C$3,10000)/100),MOD($C$3,100))+(ROW()-ROW($C$3))/86400</s:f>
        <s:v>46247.56134259259</s:v>
      </s:c>
    </s:row>
    <s:row r="105">
      <s:c r="A105" s="0" t="n">
        <s:v>260813</s:v>
      </s:c>
      <s:c r="B105" s="0" t="inlineStr">
        <s:is>
          <s:t>이종훈</s:t>
        </s:is>
      </s:c>
      <s:c r="C105" s="0" t="n">
        <s:v>132639</s:v>
      </s:c>
      <s:c r="D105" s="0" t="n">
        <s:v>1270</s:v>
      </s:c>
      <s:c r="F105" s="24">
        <s:f>'자료구성'!$B$2+TIME(INT($C$3/10000),INT(MOD($C$3,10000)/100),MOD($C$3,100))+(ROW()-ROW($C$3))/86400</s:f>
        <s:v>46247.56135416667</s:v>
      </s:c>
    </s:row>
    <s:row r="106">
      <s:c r="A106" s="0" t="n">
        <s:v>260813</s:v>
      </s:c>
      <s:c r="B106" s="0" t="inlineStr">
        <s:is>
          <s:t>이종훈</s:t>
        </s:is>
      </s:c>
      <s:c r="C106" s="0" t="n">
        <s:v>132639</s:v>
      </s:c>
      <s:c r="D106" s="0" t="n">
        <s:v>1293</s:v>
      </s:c>
      <s:c r="F106" s="24">
        <s:f>'자료구성'!$B$2+TIME(INT($C$3/10000),INT(MOD($C$3,10000)/100),MOD($C$3,100))+(ROW()-ROW($C$3))/86400</s:f>
        <s:v>46247.56136574074</s:v>
      </s:c>
    </s:row>
    <s:row r="107">
      <s:c r="A107" s="0" t="n">
        <s:v>260813</s:v>
      </s:c>
      <s:c r="B107" s="0" t="inlineStr">
        <s:is>
          <s:t>이종훈</s:t>
        </s:is>
      </s:c>
      <s:c r="C107" s="0" t="n">
        <s:v>132639</s:v>
      </s:c>
      <s:c r="D107" s="0" t="n">
        <s:v>1322</s:v>
      </s:c>
      <s:c r="F107" s="24">
        <s:f>'자료구성'!$B$2+TIME(INT($C$3/10000),INT(MOD($C$3,10000)/100),MOD($C$3,100))+(ROW()-ROW($C$3))/86400</s:f>
        <s:v>46247.561377314814</s:v>
      </s:c>
    </s:row>
    <s:row r="108">
      <s:c r="A108" s="0" t="n">
        <s:v>260813</s:v>
      </s:c>
      <s:c r="B108" s="0" t="inlineStr">
        <s:is>
          <s:t>이종훈</s:t>
        </s:is>
      </s:c>
      <s:c r="C108" s="0" t="n">
        <s:v>132639</s:v>
      </s:c>
      <s:c r="D108" s="0" t="n">
        <s:v>1376</s:v>
      </s:c>
      <s:c r="F108" s="24">
        <s:f>'자료구성'!$B$2+TIME(INT($C$3/10000),INT(MOD($C$3,10000)/100),MOD($C$3,100))+(ROW()-ROW($C$3))/86400</s:f>
        <s:v>46247.56138888889</s:v>
      </s:c>
    </s:row>
    <s:row r="109">
      <s:c r="A109" s="0" t="n">
        <s:v>260813</s:v>
      </s:c>
      <s:c r="B109" s="0" t="inlineStr">
        <s:is>
          <s:t>이종훈</s:t>
        </s:is>
      </s:c>
      <s:c r="C109" s="0" t="n">
        <s:v>132639</s:v>
      </s:c>
      <s:c r="D109" s="0" t="n">
        <s:v>1424</s:v>
      </s:c>
      <s:c r="F109" s="24">
        <s:f>'자료구성'!$B$2+TIME(INT($C$3/10000),INT(MOD($C$3,10000)/100),MOD($C$3,100))+(ROW()-ROW($C$3))/86400</s:f>
        <s:v>46247.56140046296</s:v>
      </s:c>
    </s:row>
    <s:row r="110">
      <s:c r="A110" s="0" t="n">
        <s:v>260813</s:v>
      </s:c>
      <s:c r="B110" s="0" t="inlineStr">
        <s:is>
          <s:t>이종훈</s:t>
        </s:is>
      </s:c>
      <s:c r="C110" s="0" t="n">
        <s:v>132639</s:v>
      </s:c>
      <s:c r="D110" s="0" t="n">
        <s:v>1404</s:v>
      </s:c>
      <s:c r="F110" s="24">
        <s:f>'자료구성'!$B$2+TIME(INT($C$3/10000),INT(MOD($C$3,10000)/100),MOD($C$3,100))+(ROW()-ROW($C$3))/86400</s:f>
        <s:v>46247.56141203704</s:v>
      </s:c>
    </s:row>
    <s:row r="111">
      <s:c r="A111" s="0" t="n">
        <s:v>260813</s:v>
      </s:c>
      <s:c r="B111" s="0" t="inlineStr">
        <s:is>
          <s:t>이종훈</s:t>
        </s:is>
      </s:c>
      <s:c r="C111" s="0" t="n">
        <s:v>132639</s:v>
      </s:c>
      <s:c r="D111" s="0" t="n">
        <s:v>1368</s:v>
      </s:c>
      <s:c r="F111" s="24">
        <s:f>'자료구성'!$B$2+TIME(INT($C$3/10000),INT(MOD($C$3,10000)/100),MOD($C$3,100))+(ROW()-ROW($C$3))/86400</s:f>
        <s:v>46247.561423611114</s:v>
      </s:c>
    </s:row>
    <s:row r="112">
      <s:c r="A112" s="0" t="n">
        <s:v>260813</s:v>
      </s:c>
      <s:c r="B112" s="0" t="inlineStr">
        <s:is>
          <s:t>이종훈</s:t>
        </s:is>
      </s:c>
      <s:c r="C112" s="0" t="n">
        <s:v>132639</s:v>
      </s:c>
      <s:c r="D112" s="0" t="n">
        <s:v>1332</s:v>
      </s:c>
      <s:c r="F112" s="24">
        <s:f>'자료구성'!$B$2+TIME(INT($C$3/10000),INT(MOD($C$3,10000)/100),MOD($C$3,100))+(ROW()-ROW($C$3))/86400</s:f>
        <s:v>46247.561435185184</s:v>
      </s:c>
    </s:row>
    <s:row r="113">
      <s:c r="A113" s="0" t="n">
        <s:v>260813</s:v>
      </s:c>
      <s:c r="B113" s="0" t="inlineStr">
        <s:is>
          <s:t>이종훈</s:t>
        </s:is>
      </s:c>
      <s:c r="C113" s="0" t="n">
        <s:v>132639</s:v>
      </s:c>
      <s:c r="D113" s="0" t="n">
        <s:v>1313</s:v>
      </s:c>
      <s:c r="F113" s="24">
        <s:f>'자료구성'!$B$2+TIME(INT($C$3/10000),INT(MOD($C$3,10000)/100),MOD($C$3,100))+(ROW()-ROW($C$3))/86400</s:f>
        <s:v>46247.56144675926</s:v>
      </s:c>
    </s:row>
    <s:row r="114">
      <s:c r="A114" s="0" t="n">
        <s:v>260813</s:v>
      </s:c>
      <s:c r="B114" s="0" t="inlineStr">
        <s:is>
          <s:t>이종훈</s:t>
        </s:is>
      </s:c>
      <s:c r="C114" s="0" t="n">
        <s:v>132639</s:v>
      </s:c>
      <s:c r="D114" s="0" t="n">
        <s:v>1343</s:v>
      </s:c>
      <s:c r="F114" s="24">
        <s:f>'자료구성'!$B$2+TIME(INT($C$3/10000),INT(MOD($C$3,10000)/100),MOD($C$3,100))+(ROW()-ROW($C$3))/86400</s:f>
        <s:v>46247.56145833333</s:v>
      </s:c>
    </s:row>
    <s:row r="115">
      <s:c r="A115" s="0" t="n">
        <s:v>260813</s:v>
      </s:c>
      <s:c r="B115" s="0" t="inlineStr">
        <s:is>
          <s:t>이종훈</s:t>
        </s:is>
      </s:c>
      <s:c r="C115" s="0" t="n">
        <s:v>132639</s:v>
      </s:c>
      <s:c r="D115" s="0" t="n">
        <s:v>1339</s:v>
      </s:c>
      <s:c r="F115" s="24">
        <s:f>'자료구성'!$B$2+TIME(INT($C$3/10000),INT(MOD($C$3,10000)/100),MOD($C$3,100))+(ROW()-ROW($C$3))/86400</s:f>
        <s:v>46247.56146990741</s:v>
      </s:c>
    </s:row>
    <s:row r="116">
      <s:c r="A116" s="0" t="n">
        <s:v>260813</s:v>
      </s:c>
      <s:c r="B116" s="0" t="inlineStr">
        <s:is>
          <s:t>이종훈</s:t>
        </s:is>
      </s:c>
      <s:c r="C116" s="0" t="n">
        <s:v>132639</s:v>
      </s:c>
      <s:c r="D116" s="0" t="n">
        <s:v>1314</s:v>
      </s:c>
      <s:c r="F116" s="24">
        <s:f>'자료구성'!$B$2+TIME(INT($C$3/10000),INT(MOD($C$3,10000)/100),MOD($C$3,100))+(ROW()-ROW($C$3))/86400</s:f>
        <s:v>46247.56148148148</s:v>
      </s:c>
    </s:row>
    <s:row r="117">
      <s:c r="A117" s="0" t="n">
        <s:v>260813</s:v>
      </s:c>
      <s:c r="B117" s="0" t="inlineStr">
        <s:is>
          <s:t>이종훈</s:t>
        </s:is>
      </s:c>
      <s:c r="C117" s="0" t="n">
        <s:v>132639</s:v>
      </s:c>
      <s:c r="D117" s="0" t="n">
        <s:v>1287</s:v>
      </s:c>
      <s:c r="F117" s="24">
        <s:f>'자료구성'!$B$2+TIME(INT($C$3/10000),INT(MOD($C$3,10000)/100),MOD($C$3,100))+(ROW()-ROW($C$3))/86400</s:f>
        <s:v>46247.56149305555</s:v>
      </s:c>
    </s:row>
    <s:row r="118">
      <s:c r="A118" s="0" t="n">
        <s:v>260813</s:v>
      </s:c>
      <s:c r="B118" s="0" t="inlineStr">
        <s:is>
          <s:t>이종훈</s:t>
        </s:is>
      </s:c>
      <s:c r="C118" s="0" t="n">
        <s:v>132639</s:v>
      </s:c>
      <s:c r="D118" s="0" t="n">
        <s:v>1266</s:v>
      </s:c>
      <s:c r="F118" s="24">
        <s:f>'자료구성'!$B$2+TIME(INT($C$3/10000),INT(MOD($C$3,10000)/100),MOD($C$3,100))+(ROW()-ROW($C$3))/86400</s:f>
        <s:v>46247.56150462963</s:v>
      </s:c>
    </s:row>
    <s:row r="119">
      <s:c r="A119" s="0" t="n">
        <s:v>260813</s:v>
      </s:c>
      <s:c r="B119" s="0" t="inlineStr">
        <s:is>
          <s:t>이종훈</s:t>
        </s:is>
      </s:c>
      <s:c r="C119" s="0" t="n">
        <s:v>132639</s:v>
      </s:c>
      <s:c r="D119" s="0" t="n">
        <s:v>1234</s:v>
      </s:c>
      <s:c r="F119" s="24">
        <s:f>'자료구성'!$B$2+TIME(INT($C$3/10000),INT(MOD($C$3,10000)/100),MOD($C$3,100))+(ROW()-ROW($C$3))/86400</s:f>
        <s:v>46247.56151620371</s:v>
      </s:c>
    </s:row>
    <s:row r="120">
      <s:c r="A120" s="0" t="n">
        <s:v>260813</s:v>
      </s:c>
      <s:c r="B120" s="0" t="inlineStr">
        <s:is>
          <s:t>이종훈</s:t>
        </s:is>
      </s:c>
      <s:c r="C120" s="0" t="n">
        <s:v>132639</s:v>
      </s:c>
      <s:c r="D120" s="0" t="n">
        <s:v>1217</s:v>
      </s:c>
      <s:c r="F120" s="24">
        <s:f>'자료구성'!$B$2+TIME(INT($C$3/10000),INT(MOD($C$3,10000)/100),MOD($C$3,100))+(ROW()-ROW($C$3))/86400</s:f>
        <s:v>46247.561527777776</s:v>
      </s:c>
    </s:row>
    <s:row r="121">
      <s:c r="A121" s="0" t="n">
        <s:v>260813</s:v>
      </s:c>
      <s:c r="B121" s="0" t="inlineStr">
        <s:is>
          <s:t>이종훈</s:t>
        </s:is>
      </s:c>
      <s:c r="C121" s="0" t="n">
        <s:v>132639</s:v>
      </s:c>
      <s:c r="D121" s="0" t="n">
        <s:v>1226</s:v>
      </s:c>
      <s:c r="F121" s="24">
        <s:f>'자료구성'!$B$2+TIME(INT($C$3/10000),INT(MOD($C$3,10000)/100),MOD($C$3,100))+(ROW()-ROW($C$3))/86400</s:f>
        <s:v>46247.56153935185</s:v>
      </s:c>
    </s:row>
    <s:row r="122">
      <s:c r="A122" s="0" t="n">
        <s:v>260813</s:v>
      </s:c>
      <s:c r="B122" s="0" t="inlineStr">
        <s:is>
          <s:t>이종훈</s:t>
        </s:is>
      </s:c>
      <s:c r="C122" s="0" t="n">
        <s:v>132639</s:v>
      </s:c>
      <s:c r="D122" s="0" t="n">
        <s:v>1201</s:v>
      </s:c>
      <s:c r="F122" s="24">
        <s:f>'자료구성'!$B$2+TIME(INT($C$3/10000),INT(MOD($C$3,10000)/100),MOD($C$3,100))+(ROW()-ROW($C$3))/86400</s:f>
        <s:v>46247.56155092592</s:v>
      </s:c>
    </s:row>
    <s:row r="123">
      <s:c r="A123" s="0" t="n">
        <s:v>260813</s:v>
      </s:c>
      <s:c r="B123" s="0" t="inlineStr">
        <s:is>
          <s:t>이종훈</s:t>
        </s:is>
      </s:c>
      <s:c r="C123" s="0" t="n">
        <s:v>132639</s:v>
      </s:c>
      <s:c r="D123" s="0" t="n">
        <s:v>1179</s:v>
      </s:c>
      <s:c r="F123" s="24">
        <s:f>'자료구성'!$B$2+TIME(INT($C$3/10000),INT(MOD($C$3,10000)/100),MOD($C$3,100))+(ROW()-ROW($C$3))/86400</s:f>
        <s:v>46247.5615625</s:v>
      </s:c>
    </s:row>
    <s:row r="124">
      <s:c r="A124" s="0" t="n">
        <s:v>260813</s:v>
      </s:c>
      <s:c r="B124" s="0" t="inlineStr">
        <s:is>
          <s:t>이종훈</s:t>
        </s:is>
      </s:c>
      <s:c r="C124" s="0" t="n">
        <s:v>132639</s:v>
      </s:c>
      <s:c r="D124" s="0" t="n">
        <s:v>1164</s:v>
      </s:c>
      <s:c r="F124" s="24">
        <s:f>'자료구성'!$B$2+TIME(INT($C$3/10000),INT(MOD($C$3,10000)/100),MOD($C$3,100))+(ROW()-ROW($C$3))/86400</s:f>
        <s:v>46247.561574074076</s:v>
      </s:c>
    </s:row>
    <s:row r="125">
      <s:c r="A125" s="0" t="n">
        <s:v>260813</s:v>
      </s:c>
      <s:c r="B125" s="0" t="inlineStr">
        <s:is>
          <s:t>이종훈</s:t>
        </s:is>
      </s:c>
      <s:c r="C125" s="0" t="n">
        <s:v>132639</s:v>
      </s:c>
      <s:c r="D125" s="0" t="n">
        <s:v>1144</s:v>
      </s:c>
      <s:c r="F125" s="24">
        <s:f>'자료구성'!$B$2+TIME(INT($C$3/10000),INT(MOD($C$3,10000)/100),MOD($C$3,100))+(ROW()-ROW($C$3))/86400</s:f>
        <s:v>46247.561585648145</s:v>
      </s:c>
    </s:row>
    <s:row r="126">
      <s:c r="A126" s="0" t="n">
        <s:v>260813</s:v>
      </s:c>
      <s:c r="B126" s="0" t="inlineStr">
        <s:is>
          <s:t>이종훈</s:t>
        </s:is>
      </s:c>
      <s:c r="C126" s="0" t="n">
        <s:v>132639</s:v>
      </s:c>
      <s:c r="D126" s="0" t="n">
        <s:v>1141</s:v>
      </s:c>
      <s:c r="F126" s="24">
        <s:f>'자료구성'!$B$2+TIME(INT($C$3/10000),INT(MOD($C$3,10000)/100),MOD($C$3,100))+(ROW()-ROW($C$3))/86400</s:f>
        <s:v>46247.56159722222</s:v>
      </s:c>
    </s:row>
    <s:row r="127">
      <s:c r="A127" s="0" t="n">
        <s:v>260813</s:v>
      </s:c>
      <s:c r="B127" s="0" t="inlineStr">
        <s:is>
          <s:t>이종훈</s:t>
        </s:is>
      </s:c>
      <s:c r="C127" s="0" t="n">
        <s:v>132639</s:v>
      </s:c>
      <s:c r="D127" s="0" t="n">
        <s:v>1153</s:v>
      </s:c>
      <s:c r="F127" s="24">
        <s:f>'자료구성'!$B$2+TIME(INT($C$3/10000),INT(MOD($C$3,10000)/100),MOD($C$3,100))+(ROW()-ROW($C$3))/86400</s:f>
        <s:v>46247.5616087963</s:v>
      </s:c>
    </s:row>
    <s:row r="128">
      <s:c r="A128" s="0" t="n">
        <s:v>260813</s:v>
      </s:c>
      <s:c r="B128" s="0" t="inlineStr">
        <s:is>
          <s:t>이종훈</s:t>
        </s:is>
      </s:c>
      <s:c r="C128" s="0" t="n">
        <s:v>132639</s:v>
      </s:c>
      <s:c r="D128" s="0" t="n">
        <s:v>1172</s:v>
      </s:c>
      <s:c r="F128" s="24">
        <s:f>'자료구성'!$B$2+TIME(INT($C$3/10000),INT(MOD($C$3,10000)/100),MOD($C$3,100))+(ROW()-ROW($C$3))/86400</s:f>
        <s:v>46247.56162037037</s:v>
      </s:c>
    </s:row>
    <s:row r="129">
      <s:c r="A129" s="0" t="n">
        <s:v>260813</s:v>
      </s:c>
      <s:c r="B129" s="0" t="inlineStr">
        <s:is>
          <s:t>이종훈</s:t>
        </s:is>
      </s:c>
      <s:c r="C129" s="0" t="n">
        <s:v>132639</s:v>
      </s:c>
      <s:c r="D129" s="0" t="n">
        <s:v>1180</s:v>
      </s:c>
      <s:c r="F129" s="24">
        <s:f>'자료구성'!$B$2+TIME(INT($C$3/10000),INT(MOD($C$3,10000)/100),MOD($C$3,100))+(ROW()-ROW($C$3))/86400</s:f>
        <s:v>46247.561631944445</s:v>
      </s:c>
    </s:row>
    <s:row r="130">
      <s:c r="A130" s="0" t="n">
        <s:v>260813</s:v>
      </s:c>
      <s:c r="B130" s="0" t="inlineStr">
        <s:is>
          <s:t>이종훈</s:t>
        </s:is>
      </s:c>
      <s:c r="C130" s="0" t="n">
        <s:v>132639</s:v>
      </s:c>
      <s:c r="D130" s="0" t="n">
        <s:v>1152</s:v>
      </s:c>
      <s:c r="F130" s="24">
        <s:f>'자료구성'!$B$2+TIME(INT($C$3/10000),INT(MOD($C$3,10000)/100),MOD($C$3,100))+(ROW()-ROW($C$3))/86400</s:f>
        <s:v>46247.56164351852</s:v>
      </s:c>
    </s:row>
    <s:row r="131">
      <s:c r="A131" s="0" t="n">
        <s:v>260813</s:v>
      </s:c>
      <s:c r="B131" s="0" t="inlineStr">
        <s:is>
          <s:t>이종훈</s:t>
        </s:is>
      </s:c>
      <s:c r="C131" s="0" t="n">
        <s:v>132639</s:v>
      </s:c>
      <s:c r="D131" s="0" t="n">
        <s:v>1150</s:v>
      </s:c>
      <s:c r="F131" s="24">
        <s:f>'자료구성'!$B$2+TIME(INT($C$3/10000),INT(MOD($C$3,10000)/100),MOD($C$3,100))+(ROW()-ROW($C$3))/86400</s:f>
        <s:v>46247.56165509259</s:v>
      </s:c>
    </s:row>
    <s:row r="132">
      <s:c r="A132" s="0" t="n">
        <s:v>260813</s:v>
      </s:c>
      <s:c r="B132" s="0" t="inlineStr">
        <s:is>
          <s:t>이종훈</s:t>
        </s:is>
      </s:c>
      <s:c r="C132" s="0" t="n">
        <s:v>132639</s:v>
      </s:c>
      <s:c r="D132" s="0" t="n">
        <s:v>1145</s:v>
      </s:c>
      <s:c r="F132" s="24">
        <s:f>'자료구성'!$B$2+TIME(INT($C$3/10000),INT(MOD($C$3,10000)/100),MOD($C$3,100))+(ROW()-ROW($C$3))/86400</s:f>
        <s:v>46247.56166666667</s:v>
      </s:c>
    </s:row>
    <s:row r="133">
      <s:c r="A133" s="0" t="n">
        <s:v>260813</s:v>
      </s:c>
      <s:c r="B133" s="0" t="inlineStr">
        <s:is>
          <s:t>이종훈</s:t>
        </s:is>
      </s:c>
      <s:c r="C133" s="0" t="n">
        <s:v>132639</s:v>
      </s:c>
      <s:c r="D133" s="0" t="n">
        <s:v>1138</s:v>
      </s:c>
      <s:c r="F133" s="24">
        <s:f>'자료구성'!$B$2+TIME(INT($C$3/10000),INT(MOD($C$3,10000)/100),MOD($C$3,100))+(ROW()-ROW($C$3))/86400</s:f>
        <s:v>46247.56167824074</s:v>
      </s:c>
    </s:row>
    <s:row r="134">
      <s:c r="A134" s="0" t="n">
        <s:v>260813</s:v>
      </s:c>
      <s:c r="B134" s="0" t="inlineStr">
        <s:is>
          <s:t>이종훈</s:t>
        </s:is>
      </s:c>
      <s:c r="C134" s="0" t="n">
        <s:v>132639</s:v>
      </s:c>
      <s:c r="D134" s="0" t="n">
        <s:v>1152</s:v>
      </s:c>
      <s:c r="F134" s="24">
        <s:f>'자료구성'!$B$2+TIME(INT($C$3/10000),INT(MOD($C$3,10000)/100),MOD($C$3,100))+(ROW()-ROW($C$3))/86400</s:f>
        <s:v>46247.561689814815</s:v>
      </s:c>
    </s:row>
    <s:row r="135">
      <s:c r="A135" s="0" t="n">
        <s:v>260813</s:v>
      </s:c>
      <s:c r="B135" s="0" t="inlineStr">
        <s:is>
          <s:t>이종훈</s:t>
        </s:is>
      </s:c>
      <s:c r="C135" s="0" t="n">
        <s:v>132639</s:v>
      </s:c>
      <s:c r="D135" s="0" t="n">
        <s:v>1201</s:v>
      </s:c>
      <s:c r="F135" s="24">
        <s:f>'자료구성'!$B$2+TIME(INT($C$3/10000),INT(MOD($C$3,10000)/100),MOD($C$3,100))+(ROW()-ROW($C$3))/86400</s:f>
        <s:v>46247.56170138889</s:v>
      </s:c>
    </s:row>
    <s:row r="136">
      <s:c r="A136" s="0" t="n">
        <s:v>260813</s:v>
      </s:c>
      <s:c r="B136" s="0" t="inlineStr">
        <s:is>
          <s:t>이종훈</s:t>
        </s:is>
      </s:c>
      <s:c r="C136" s="0" t="n">
        <s:v>132639</s:v>
      </s:c>
      <s:c r="D136" s="0" t="n">
        <s:v>1259</s:v>
      </s:c>
      <s:c r="F136" s="24">
        <s:f>'자료구성'!$B$2+TIME(INT($C$3/10000),INT(MOD($C$3,10000)/100),MOD($C$3,100))+(ROW()-ROW($C$3))/86400</s:f>
        <s:v>46247.56171296296</s:v>
      </s:c>
    </s:row>
    <s:row r="137">
      <s:c r="A137" s="0" t="n">
        <s:v>260813</s:v>
      </s:c>
      <s:c r="B137" s="0" t="inlineStr">
        <s:is>
          <s:t>이종훈</s:t>
        </s:is>
      </s:c>
      <s:c r="C137" s="0" t="n">
        <s:v>132639</s:v>
      </s:c>
      <s:c r="D137" s="0" t="n">
        <s:v>1314</s:v>
      </s:c>
      <s:c r="F137" s="24">
        <s:f>'자료구성'!$B$2+TIME(INT($C$3/10000),INT(MOD($C$3,10000)/100),MOD($C$3,100))+(ROW()-ROW($C$3))/86400</s:f>
        <s:v>46247.56172453704</s:v>
      </s:c>
    </s:row>
    <s:row r="138">
      <s:c r="A138" s="0" t="n">
        <s:v>260813</s:v>
      </s:c>
      <s:c r="B138" s="0" t="inlineStr">
        <s:is>
          <s:t>이종훈</s:t>
        </s:is>
      </s:c>
      <s:c r="C138" s="0" t="n">
        <s:v>132639</s:v>
      </s:c>
      <s:c r="D138" s="0" t="n">
        <s:v>1363</s:v>
      </s:c>
      <s:c r="F138" s="24">
        <s:f>'자료구성'!$B$2+TIME(INT($C$3/10000),INT(MOD($C$3,10000)/100),MOD($C$3,100))+(ROW()-ROW($C$3))/86400</s:f>
        <s:v>46247.561736111114</s:v>
      </s:c>
    </s:row>
    <s:row r="139">
      <s:c r="A139" s="0" t="n">
        <s:v>260813</s:v>
      </s:c>
      <s:c r="B139" s="0" t="inlineStr">
        <s:is>
          <s:t>이종훈</s:t>
        </s:is>
      </s:c>
      <s:c r="C139" s="0" t="n">
        <s:v>132639</s:v>
      </s:c>
      <s:c r="D139" s="0" t="n">
        <s:v>1467</s:v>
      </s:c>
      <s:c r="F139" s="24">
        <s:f>'자료구성'!$B$2+TIME(INT($C$3/10000),INT(MOD($C$3,10000)/100),MOD($C$3,100))+(ROW()-ROW($C$3))/86400</s:f>
        <s:v>46247.561747685184</s:v>
      </s:c>
    </s:row>
    <s:row r="140">
      <s:c r="A140" s="0" t="n">
        <s:v>260813</s:v>
      </s:c>
      <s:c r="B140" s="0" t="inlineStr">
        <s:is>
          <s:t>이종훈</s:t>
        </s:is>
      </s:c>
      <s:c r="C140" s="0" t="n">
        <s:v>132639</s:v>
      </s:c>
      <s:c r="D140" s="0" t="n">
        <s:v>1509</s:v>
      </s:c>
      <s:c r="F140" s="24">
        <s:f>'자료구성'!$B$2+TIME(INT($C$3/10000),INT(MOD($C$3,10000)/100),MOD($C$3,100))+(ROW()-ROW($C$3))/86400</s:f>
        <s:v>46247.56175925926</s:v>
      </s:c>
    </s:row>
    <s:row r="141">
      <s:c r="A141" s="0" t="n">
        <s:v>260813</s:v>
      </s:c>
      <s:c r="B141" s="0" t="inlineStr">
        <s:is>
          <s:t>이종훈</s:t>
        </s:is>
      </s:c>
      <s:c r="C141" s="0" t="n">
        <s:v>132639</s:v>
      </s:c>
      <s:c r="D141" s="0" t="n">
        <s:v>1572</s:v>
      </s:c>
      <s:c r="F141" s="24">
        <s:f>'자료구성'!$B$2+TIME(INT($C$3/10000),INT(MOD($C$3,10000)/100),MOD($C$3,100))+(ROW()-ROW($C$3))/86400</s:f>
        <s:v>46247.56177083333</s:v>
      </s:c>
    </s:row>
    <s:row r="142">
      <s:c r="A142" s="0" t="n">
        <s:v>260813</s:v>
      </s:c>
      <s:c r="B142" s="0" t="inlineStr">
        <s:is>
          <s:t>이종훈</s:t>
        </s:is>
      </s:c>
      <s:c r="C142" s="0" t="n">
        <s:v>132639</s:v>
      </s:c>
      <s:c r="D142" s="0" t="n">
        <s:v>1618</s:v>
      </s:c>
      <s:c r="F142" s="24">
        <s:f>'자료구성'!$B$2+TIME(INT($C$3/10000),INT(MOD($C$3,10000)/100),MOD($C$3,100))+(ROW()-ROW($C$3))/86400</s:f>
        <s:v>46247.56178240741</s:v>
      </s:c>
    </s:row>
    <s:row r="143">
      <s:c r="A143" s="0" t="n">
        <s:v>260813</s:v>
      </s:c>
      <s:c r="B143" s="0" t="inlineStr">
        <s:is>
          <s:t>이종훈</s:t>
        </s:is>
      </s:c>
      <s:c r="C143" s="0" t="n">
        <s:v>132639</s:v>
      </s:c>
      <s:c r="D143" s="0" t="n">
        <s:v>1614</s:v>
      </s:c>
      <s:c r="F143" s="24">
        <s:f>'자료구성'!$B$2+TIME(INT($C$3/10000),INT(MOD($C$3,10000)/100),MOD($C$3,100))+(ROW()-ROW($C$3))/86400</s:f>
        <s:v>46247.561793981484</s:v>
      </s:c>
    </s:row>
    <s:row r="144">
      <s:c r="A144" s="0" t="n">
        <s:v>260813</s:v>
      </s:c>
      <s:c r="B144" s="0" t="inlineStr">
        <s:is>
          <s:t>이종훈</s:t>
        </s:is>
      </s:c>
      <s:c r="C144" s="0" t="n">
        <s:v>132639</s:v>
      </s:c>
      <s:c r="D144" s="0" t="n">
        <s:v>1610</s:v>
      </s:c>
      <s:c r="F144" s="24">
        <s:f>'자료구성'!$B$2+TIME(INT($C$3/10000),INT(MOD($C$3,10000)/100),MOD($C$3,100))+(ROW()-ROW($C$3))/86400</s:f>
        <s:v>46247.56180555555</s:v>
      </s:c>
    </s:row>
    <s:row r="145">
      <s:c r="A145" s="0" t="n">
        <s:v>260813</s:v>
      </s:c>
      <s:c r="B145" s="0" t="inlineStr">
        <s:is>
          <s:t>이종훈</s:t>
        </s:is>
      </s:c>
      <s:c r="C145" s="0" t="n">
        <s:v>132639</s:v>
      </s:c>
      <s:c r="D145" s="0" t="n">
        <s:v>1651</s:v>
      </s:c>
      <s:c r="F145" s="24">
        <s:f>'자료구성'!$B$2+TIME(INT($C$3/10000),INT(MOD($C$3,10000)/100),MOD($C$3,100))+(ROW()-ROW($C$3))/86400</s:f>
        <s:v>46247.56181712963</s:v>
      </s:c>
    </s:row>
    <s:row r="146">
      <s:c r="A146" s="0" t="n">
        <s:v>260813</s:v>
      </s:c>
      <s:c r="B146" s="0" t="inlineStr">
        <s:is>
          <s:t>이종훈</s:t>
        </s:is>
      </s:c>
      <s:c r="C146" s="0" t="n">
        <s:v>132639</s:v>
      </s:c>
      <s:c r="D146" s="0" t="n">
        <s:v>1680</s:v>
      </s:c>
      <s:c r="F146" s="24">
        <s:f>'자료구성'!$B$2+TIME(INT($C$3/10000),INT(MOD($C$3,10000)/100),MOD($C$3,100))+(ROW()-ROW($C$3))/86400</s:f>
        <s:v>46247.56182870371</s:v>
      </s:c>
    </s:row>
    <s:row r="147">
      <s:c r="A147" s="0" t="n">
        <s:v>260813</s:v>
      </s:c>
      <s:c r="B147" s="0" t="inlineStr">
        <s:is>
          <s:t>이종훈</s:t>
        </s:is>
      </s:c>
      <s:c r="C147" s="0" t="n">
        <s:v>132639</s:v>
      </s:c>
      <s:c r="D147" s="0" t="n">
        <s:v>1703</s:v>
      </s:c>
      <s:c r="F147" s="24">
        <s:f>'자료구성'!$B$2+TIME(INT($C$3/10000),INT(MOD($C$3,10000)/100),MOD($C$3,100))+(ROW()-ROW($C$3))/86400</s:f>
        <s:v>46247.561840277776</s:v>
      </s:c>
    </s:row>
    <s:row r="148">
      <s:c r="A148" s="0" t="n">
        <s:v>260813</s:v>
      </s:c>
      <s:c r="B148" s="0" t="inlineStr">
        <s:is>
          <s:t>이종훈</s:t>
        </s:is>
      </s:c>
      <s:c r="C148" s="0" t="n">
        <s:v>132639</s:v>
      </s:c>
      <s:c r="D148" s="0" t="n">
        <s:v>1723</s:v>
      </s:c>
      <s:c r="F148" s="24">
        <s:f>'자료구성'!$B$2+TIME(INT($C$3/10000),INT(MOD($C$3,10000)/100),MOD($C$3,100))+(ROW()-ROW($C$3))/86400</s:f>
        <s:v>46247.56185185185</s:v>
      </s:c>
    </s:row>
    <s:row r="149">
      <s:c r="A149" s="0" t="n">
        <s:v>260813</s:v>
      </s:c>
      <s:c r="B149" s="0" t="inlineStr">
        <s:is>
          <s:t>이종훈</s:t>
        </s:is>
      </s:c>
      <s:c r="C149" s="0" t="n">
        <s:v>132639</s:v>
      </s:c>
      <s:c r="D149" s="0" t="n">
        <s:v>1794</s:v>
      </s:c>
      <s:c r="F149" s="24">
        <s:f>'자료구성'!$B$2+TIME(INT($C$3/10000),INT(MOD($C$3,10000)/100),MOD($C$3,100))+(ROW()-ROW($C$3))/86400</s:f>
        <s:v>46247.56186342592</s:v>
      </s:c>
    </s:row>
    <s:row r="150">
      <s:c r="A150" s="0" t="n">
        <s:v>260813</s:v>
      </s:c>
      <s:c r="B150" s="0" t="inlineStr">
        <s:is>
          <s:t>이종훈</s:t>
        </s:is>
      </s:c>
      <s:c r="C150" s="0" t="n">
        <s:v>132639</s:v>
      </s:c>
      <s:c r="D150" s="0" t="n">
        <s:v>1841</s:v>
      </s:c>
      <s:c r="F150" s="24">
        <s:f>'자료구성'!$B$2+TIME(INT($C$3/10000),INT(MOD($C$3,10000)/100),MOD($C$3,100))+(ROW()-ROW($C$3))/86400</s:f>
        <s:v>46247.561875</s:v>
      </s:c>
    </s:row>
    <s:row r="151">
      <s:c r="A151" s="0" t="n">
        <s:v>260813</s:v>
      </s:c>
      <s:c r="B151" s="0" t="inlineStr">
        <s:is>
          <s:t>이종훈</s:t>
        </s:is>
      </s:c>
      <s:c r="C151" s="0" t="n">
        <s:v>132639</s:v>
      </s:c>
      <s:c r="D151" s="0" t="n">
        <s:v>1859</s:v>
      </s:c>
      <s:c r="F151" s="24">
        <s:f>'자료구성'!$B$2+TIME(INT($C$3/10000),INT(MOD($C$3,10000)/100),MOD($C$3,100))+(ROW()-ROW($C$3))/86400</s:f>
        <s:v>46247.561886574076</s:v>
      </s:c>
    </s:row>
    <s:row r="152">
      <s:c r="A152" s="0" t="n">
        <s:v>260813</s:v>
      </s:c>
      <s:c r="B152" s="0" t="inlineStr">
        <s:is>
          <s:t>이종훈</s:t>
        </s:is>
      </s:c>
      <s:c r="C152" s="0" t="n">
        <s:v>132639</s:v>
      </s:c>
      <s:c r="D152" s="0" t="n">
        <s:v>1876</s:v>
      </s:c>
      <s:c r="F152" s="24">
        <s:f>'자료구성'!$B$2+TIME(INT($C$3/10000),INT(MOD($C$3,10000)/100),MOD($C$3,100))+(ROW()-ROW($C$3))/86400</s:f>
        <s:v>46247.561898148146</s:v>
      </s:c>
    </s:row>
    <s:row r="153">
      <s:c r="A153" s="0" t="n">
        <s:v>260813</s:v>
      </s:c>
      <s:c r="B153" s="0" t="inlineStr">
        <s:is>
          <s:t>이종훈</s:t>
        </s:is>
      </s:c>
      <s:c r="C153" s="0" t="n">
        <s:v>132639</s:v>
      </s:c>
      <s:c r="D153" s="0" t="n">
        <s:v>1894</s:v>
      </s:c>
      <s:c r="F153" s="24">
        <s:f>'자료구성'!$B$2+TIME(INT($C$3/10000),INT(MOD($C$3,10000)/100),MOD($C$3,100))+(ROW()-ROW($C$3))/86400</s:f>
        <s:v>46247.56190972222</s:v>
      </s:c>
    </s:row>
    <s:row r="154">
      <s:c r="A154" s="0" t="n">
        <s:v>260813</s:v>
      </s:c>
      <s:c r="B154" s="0" t="inlineStr">
        <s:is>
          <s:t>이종훈</s:t>
        </s:is>
      </s:c>
      <s:c r="C154" s="0" t="n">
        <s:v>132639</s:v>
      </s:c>
      <s:c r="D154" s="0" t="n">
        <s:v>1901</s:v>
      </s:c>
      <s:c r="F154" s="24">
        <s:f>'자료구성'!$B$2+TIME(INT($C$3/10000),INT(MOD($C$3,10000)/100),MOD($C$3,100))+(ROW()-ROW($C$3))/86400</s:f>
        <s:v>46247.5619212963</s:v>
      </s:c>
    </s:row>
    <s:row r="155">
      <s:c r="A155" s="0" t="n">
        <s:v>260813</s:v>
      </s:c>
      <s:c r="B155" s="0" t="inlineStr">
        <s:is>
          <s:t>이종훈</s:t>
        </s:is>
      </s:c>
      <s:c r="C155" s="0" t="n">
        <s:v>132639</s:v>
      </s:c>
      <s:c r="D155" s="0" t="n">
        <s:v>1928</s:v>
      </s:c>
      <s:c r="F155" s="24">
        <s:f>'자료구성'!$B$2+TIME(INT($C$3/10000),INT(MOD($C$3,10000)/100),MOD($C$3,100))+(ROW()-ROW($C$3))/86400</s:f>
        <s:v>46247.56193287037</s:v>
      </s:c>
    </s:row>
    <s:row r="156">
      <s:c r="A156" s="0" t="n">
        <s:v>260813</s:v>
      </s:c>
      <s:c r="B156" s="0" t="inlineStr">
        <s:is>
          <s:t>이종훈</s:t>
        </s:is>
      </s:c>
      <s:c r="C156" s="0" t="n">
        <s:v>132639</s:v>
      </s:c>
      <s:c r="D156" s="0" t="n">
        <s:v>1928</s:v>
      </s:c>
      <s:c r="F156" s="24">
        <s:f>'자료구성'!$B$2+TIME(INT($C$3/10000),INT(MOD($C$3,10000)/100),MOD($C$3,100))+(ROW()-ROW($C$3))/86400</s:f>
        <s:v>46247.561944444446</s:v>
      </s:c>
    </s:row>
    <s:row r="157">
      <s:c r="A157" s="0" t="n">
        <s:v>260813</s:v>
      </s:c>
      <s:c r="B157" s="0" t="inlineStr">
        <s:is>
          <s:t>이종훈</s:t>
        </s:is>
      </s:c>
      <s:c r="C157" s="0" t="n">
        <s:v>132639</s:v>
      </s:c>
      <s:c r="D157" s="0" t="n">
        <s:v>1904</s:v>
      </s:c>
      <s:c r="F157" s="24">
        <s:f>'자료구성'!$B$2+TIME(INT($C$3/10000),INT(MOD($C$3,10000)/100),MOD($C$3,100))+(ROW()-ROW($C$3))/86400</s:f>
        <s:v>46247.561956018515</s:v>
      </s:c>
    </s:row>
    <s:row r="158">
      <s:c r="A158" s="0" t="n">
        <s:v>260813</s:v>
      </s:c>
      <s:c r="B158" s="0" t="inlineStr">
        <s:is>
          <s:t>이종훈</s:t>
        </s:is>
      </s:c>
      <s:c r="C158" s="0" t="n">
        <s:v>132639</s:v>
      </s:c>
      <s:c r="D158" s="0" t="n">
        <s:v>1900</s:v>
      </s:c>
      <s:c r="F158" s="24">
        <s:f>'자료구성'!$B$2+TIME(INT($C$3/10000),INT(MOD($C$3,10000)/100),MOD($C$3,100))+(ROW()-ROW($C$3))/86400</s:f>
        <s:v>46247.56196759259</s:v>
      </s:c>
    </s:row>
    <s:row r="159">
      <s:c r="A159" s="0" t="n">
        <s:v>260813</s:v>
      </s:c>
      <s:c r="B159" s="0" t="inlineStr">
        <s:is>
          <s:t>이종훈</s:t>
        </s:is>
      </s:c>
      <s:c r="C159" s="0" t="n">
        <s:v>132639</s:v>
      </s:c>
      <s:c r="D159" s="0" t="n">
        <s:v>1896</s:v>
      </s:c>
      <s:c r="F159" s="24">
        <s:f>'자료구성'!$B$2+TIME(INT($C$3/10000),INT(MOD($C$3,10000)/100),MOD($C$3,100))+(ROW()-ROW($C$3))/86400</s:f>
        <s:v>46247.56197916667</s:v>
      </s:c>
    </s:row>
    <s:row r="160">
      <s:c r="A160" s="0" t="n">
        <s:v>260813</s:v>
      </s:c>
      <s:c r="B160" s="0" t="inlineStr">
        <s:is>
          <s:t>이종훈</s:t>
        </s:is>
      </s:c>
      <s:c r="C160" s="0" t="n">
        <s:v>132639</s:v>
      </s:c>
      <s:c r="D160" s="0" t="n">
        <s:v>1842</s:v>
      </s:c>
      <s:c r="F160" s="24">
        <s:f>'자료구성'!$B$2+TIME(INT($C$3/10000),INT(MOD($C$3,10000)/100),MOD($C$3,100))+(ROW()-ROW($C$3))/86400</s:f>
        <s:v>46247.56199074074</s:v>
      </s:c>
    </s:row>
    <s:row r="161">
      <s:c r="A161" s="0" t="n">
        <s:v>260813</s:v>
      </s:c>
      <s:c r="B161" s="0" t="inlineStr">
        <s:is>
          <s:t>이종훈</s:t>
        </s:is>
      </s:c>
      <s:c r="C161" s="0" t="n">
        <s:v>132639</s:v>
      </s:c>
      <s:c r="D161" s="0" t="n">
        <s:v>1786</s:v>
      </s:c>
      <s:c r="F161" s="24">
        <s:f>'자료구성'!$B$2+TIME(INT($C$3/10000),INT(MOD($C$3,10000)/100),MOD($C$3,100))+(ROW()-ROW($C$3))/86400</s:f>
        <s:v>46247.562002314815</s:v>
      </s:c>
    </s:row>
    <s:row r="162">
      <s:c r="A162" s="0" t="n">
        <s:v>260813</s:v>
      </s:c>
      <s:c r="B162" s="0" t="inlineStr">
        <s:is>
          <s:t>이종훈</s:t>
        </s:is>
      </s:c>
      <s:c r="C162" s="0" t="n">
        <s:v>132639</s:v>
      </s:c>
      <s:c r="D162" s="0" t="n">
        <s:v>1774</s:v>
      </s:c>
      <s:c r="F162" s="24">
        <s:f>'자료구성'!$B$2+TIME(INT($C$3/10000),INT(MOD($C$3,10000)/100),MOD($C$3,100))+(ROW()-ROW($C$3))/86400</s:f>
        <s:v>46247.56201388889</s:v>
      </s:c>
    </s:row>
    <s:row r="163">
      <s:c r="A163" s="0" t="n">
        <s:v>260813</s:v>
      </s:c>
      <s:c r="B163" s="0" t="inlineStr">
        <s:is>
          <s:t>이종훈</s:t>
        </s:is>
      </s:c>
      <s:c r="C163" s="0" t="n">
        <s:v>132639</s:v>
      </s:c>
      <s:c r="D163" s="0" t="n">
        <s:v>1748</s:v>
      </s:c>
      <s:c r="F163" s="24">
        <s:f>'자료구성'!$B$2+TIME(INT($C$3/10000),INT(MOD($C$3,10000)/100),MOD($C$3,100))+(ROW()-ROW($C$3))/86400</s:f>
        <s:v>46247.56202546296</s:v>
      </s:c>
    </s:row>
    <s:row r="164">
      <s:c r="A164" s="0" t="n">
        <s:v>260813</s:v>
      </s:c>
      <s:c r="B164" s="0" t="inlineStr">
        <s:is>
          <s:t>이종훈</s:t>
        </s:is>
      </s:c>
      <s:c r="C164" s="0" t="n">
        <s:v>132639</s:v>
      </s:c>
      <s:c r="D164" s="0" t="n">
        <s:v>1718</s:v>
      </s:c>
      <s:c r="F164" s="24">
        <s:f>'자료구성'!$B$2+TIME(INT($C$3/10000),INT(MOD($C$3,10000)/100),MOD($C$3,100))+(ROW()-ROW($C$3))/86400</s:f>
        <s:v>46247.56203703704</s:v>
      </s:c>
    </s:row>
    <s:row r="165">
      <s:c r="A165" s="0" t="n">
        <s:v>260813</s:v>
      </s:c>
      <s:c r="B165" s="0" t="inlineStr">
        <s:is>
          <s:t>이종훈</s:t>
        </s:is>
      </s:c>
      <s:c r="C165" s="0" t="n">
        <s:v>132639</s:v>
      </s:c>
      <s:c r="D165" s="0" t="n">
        <s:v>1730</s:v>
      </s:c>
      <s:c r="F165" s="24">
        <s:f>'자료구성'!$B$2+TIME(INT($C$3/10000),INT(MOD($C$3,10000)/100),MOD($C$3,100))+(ROW()-ROW($C$3))/86400</s:f>
        <s:v>46247.562048611115</s:v>
      </s:c>
    </s:row>
    <s:row r="166">
      <s:c r="A166" s="0" t="n">
        <s:v>260813</s:v>
      </s:c>
      <s:c r="B166" s="0" t="inlineStr">
        <s:is>
          <s:t>이종훈</s:t>
        </s:is>
      </s:c>
      <s:c r="C166" s="0" t="n">
        <s:v>132639</s:v>
      </s:c>
      <s:c r="D166" s="0" t="n">
        <s:v>1720</s:v>
      </s:c>
      <s:c r="F166" s="24">
        <s:f>'자료구성'!$B$2+TIME(INT($C$3/10000),INT(MOD($C$3,10000)/100),MOD($C$3,100))+(ROW()-ROW($C$3))/86400</s:f>
        <s:v>46247.562060185184</s:v>
      </s:c>
    </s:row>
    <s:row r="167">
      <s:c r="A167" s="0" t="n">
        <s:v>260813</s:v>
      </s:c>
      <s:c r="B167" s="0" t="inlineStr">
        <s:is>
          <s:t>이종훈</s:t>
        </s:is>
      </s:c>
      <s:c r="C167" s="0" t="n">
        <s:v>132639</s:v>
      </s:c>
      <s:c r="D167" s="0" t="n">
        <s:v>1699</s:v>
      </s:c>
      <s:c r="F167" s="24">
        <s:f>'자료구성'!$B$2+TIME(INT($C$3/10000),INT(MOD($C$3,10000)/100),MOD($C$3,100))+(ROW()-ROW($C$3))/86400</s:f>
        <s:v>46247.56207175926</s:v>
      </s:c>
    </s:row>
    <s:row r="168">
      <s:c r="A168" s="0" t="n">
        <s:v>260813</s:v>
      </s:c>
      <s:c r="B168" s="0" t="inlineStr">
        <s:is>
          <s:t>이종훈</s:t>
        </s:is>
      </s:c>
      <s:c r="C168" s="0" t="n">
        <s:v>132639</s:v>
      </s:c>
      <s:c r="D168" s="0" t="n">
        <s:v>1681</s:v>
      </s:c>
      <s:c r="F168" s="24">
        <s:f>'자료구성'!$B$2+TIME(INT($C$3/10000),INT(MOD($C$3,10000)/100),MOD($C$3,100))+(ROW()-ROW($C$3))/86400</s:f>
        <s:v>46247.56208333333</s:v>
      </s:c>
    </s:row>
    <s:row r="169">
      <s:c r="A169" s="0" t="n">
        <s:v>260813</s:v>
      </s:c>
      <s:c r="B169" s="0" t="inlineStr">
        <s:is>
          <s:t>이종훈</s:t>
        </s:is>
      </s:c>
      <s:c r="C169" s="0" t="n">
        <s:v>132639</s:v>
      </s:c>
      <s:c r="D169" s="0" t="n">
        <s:v>1670</s:v>
      </s:c>
      <s:c r="F169" s="24">
        <s:f>'자료구성'!$B$2+TIME(INT($C$3/10000),INT(MOD($C$3,10000)/100),MOD($C$3,100))+(ROW()-ROW($C$3))/86400</s:f>
        <s:v>46247.56209490741</s:v>
      </s:c>
    </s:row>
    <s:row r="170">
      <s:c r="A170" s="0" t="n">
        <s:v>260813</s:v>
      </s:c>
      <s:c r="B170" s="0" t="inlineStr">
        <s:is>
          <s:t>이종훈</s:t>
        </s:is>
      </s:c>
      <s:c r="C170" s="0" t="n">
        <s:v>132639</s:v>
      </s:c>
      <s:c r="D170" s="0" t="n">
        <s:v>1677</s:v>
      </s:c>
      <s:c r="F170" s="24">
        <s:f>'자료구성'!$B$2+TIME(INT($C$3/10000),INT(MOD($C$3,10000)/100),MOD($C$3,100))+(ROW()-ROW($C$3))/86400</s:f>
        <s:v>46247.562106481484</s:v>
      </s:c>
    </s:row>
    <s:row r="171">
      <s:c r="A171" s="0" t="n">
        <s:v>260813</s:v>
      </s:c>
      <s:c r="B171" s="0" t="inlineStr">
        <s:is>
          <s:t>이종훈</s:t>
        </s:is>
      </s:c>
      <s:c r="C171" s="0" t="n">
        <s:v>132639</s:v>
      </s:c>
      <s:c r="D171" s="0" t="n">
        <s:v>1678</s:v>
      </s:c>
      <s:c r="F171" s="24">
        <s:f>'자료구성'!$B$2+TIME(INT($C$3/10000),INT(MOD($C$3,10000)/100),MOD($C$3,100))+(ROW()-ROW($C$3))/86400</s:f>
        <s:v>46247.56211805555</s:v>
      </s:c>
    </s:row>
    <s:row r="172">
      <s:c r="A172" s="0" t="n">
        <s:v>260813</s:v>
      </s:c>
      <s:c r="B172" s="0" t="inlineStr">
        <s:is>
          <s:t>이종훈</s:t>
        </s:is>
      </s:c>
      <s:c r="C172" s="0" t="n">
        <s:v>132639</s:v>
      </s:c>
      <s:c r="D172" s="0" t="n">
        <s:v>1694</s:v>
      </s:c>
      <s:c r="F172" s="24">
        <s:f>'자료구성'!$B$2+TIME(INT($C$3/10000),INT(MOD($C$3,10000)/100),MOD($C$3,100))+(ROW()-ROW($C$3))/86400</s:f>
        <s:v>46247.56212962963</s:v>
      </s:c>
    </s:row>
    <s:row r="173">
      <s:c r="A173" s="0" t="n">
        <s:v>260813</s:v>
      </s:c>
      <s:c r="B173" s="0" t="inlineStr">
        <s:is>
          <s:t>이종훈</s:t>
        </s:is>
      </s:c>
      <s:c r="C173" s="0" t="n">
        <s:v>132639</s:v>
      </s:c>
      <s:c r="D173" s="0" t="n">
        <s:v>1709</s:v>
      </s:c>
      <s:c r="F173" s="24">
        <s:f>'자료구성'!$B$2+TIME(INT($C$3/10000),INT(MOD($C$3,10000)/100),MOD($C$3,100))+(ROW()-ROW($C$3))/86400</s:f>
        <s:v>46247.56214120371</s:v>
      </s:c>
    </s:row>
    <s:row r="174">
      <s:c r="A174" s="0" t="n">
        <s:v>260813</s:v>
      </s:c>
      <s:c r="B174" s="0" t="inlineStr">
        <s:is>
          <s:t>이종훈</s:t>
        </s:is>
      </s:c>
      <s:c r="C174" s="0" t="n">
        <s:v>132639</s:v>
      </s:c>
      <s:c r="D174" s="0" t="n">
        <s:v>1736</s:v>
      </s:c>
      <s:c r="F174" s="24">
        <s:f>'자료구성'!$B$2+TIME(INT($C$3/10000),INT(MOD($C$3,10000)/100),MOD($C$3,100))+(ROW()-ROW($C$3))/86400</s:f>
        <s:v>46247.56215277778</s:v>
      </s:c>
    </s:row>
    <s:row r="175">
      <s:c r="A175" s="0" t="n">
        <s:v>260813</s:v>
      </s:c>
      <s:c r="B175" s="0" t="inlineStr">
        <s:is>
          <s:t>이종훈</s:t>
        </s:is>
      </s:c>
      <s:c r="C175" s="0" t="n">
        <s:v>132639</s:v>
      </s:c>
      <s:c r="D175" s="0" t="n">
        <s:v>1756</s:v>
      </s:c>
      <s:c r="F175" s="24">
        <s:f>'자료구성'!$B$2+TIME(INT($C$3/10000),INT(MOD($C$3,10000)/100),MOD($C$3,100))+(ROW()-ROW($C$3))/86400</s:f>
        <s:v>46247.56216435185</s:v>
      </s:c>
    </s:row>
    <s:row r="176">
      <s:c r="A176" s="0" t="n">
        <s:v>260813</s:v>
      </s:c>
      <s:c r="B176" s="0" t="inlineStr">
        <s:is>
          <s:t>이종훈</s:t>
        </s:is>
      </s:c>
      <s:c r="C176" s="0" t="n">
        <s:v>132639</s:v>
      </s:c>
      <s:c r="D176" s="0" t="n">
        <s:v>1785</s:v>
      </s:c>
      <s:c r="F176" s="24">
        <s:f>'자료구성'!$B$2+TIME(INT($C$3/10000),INT(MOD($C$3,10000)/100),MOD($C$3,100))+(ROW()-ROW($C$3))/86400</s:f>
        <s:v>46247.56217592592</s:v>
      </s:c>
    </s:row>
    <s:row r="177">
      <s:c r="A177" s="0" t="n">
        <s:v>260813</s:v>
      </s:c>
      <s:c r="B177" s="0" t="inlineStr">
        <s:is>
          <s:t>이종훈</s:t>
        </s:is>
      </s:c>
      <s:c r="C177" s="0" t="n">
        <s:v>132639</s:v>
      </s:c>
      <s:c r="D177" s="0" t="n">
        <s:v>1774</s:v>
      </s:c>
      <s:c r="F177" s="24">
        <s:f>'자료구성'!$B$2+TIME(INT($C$3/10000),INT(MOD($C$3,10000)/100),MOD($C$3,100))+(ROW()-ROW($C$3))/86400</s:f>
        <s:v>46247.5621875</s:v>
      </s:c>
    </s:row>
    <s:row r="178">
      <s:c r="A178" s="0" t="n">
        <s:v>260813</s:v>
      </s:c>
      <s:c r="B178" s="0" t="inlineStr">
        <s:is>
          <s:t>이종훈</s:t>
        </s:is>
      </s:c>
      <s:c r="C178" s="0" t="n">
        <s:v>132639</s:v>
      </s:c>
      <s:c r="D178" s="0" t="n">
        <s:v>1761</s:v>
      </s:c>
      <s:c r="F178" s="24">
        <s:f>'자료구성'!$B$2+TIME(INT($C$3/10000),INT(MOD($C$3,10000)/100),MOD($C$3,100))+(ROW()-ROW($C$3))/86400</s:f>
        <s:v>46247.56219907408</s:v>
      </s:c>
    </s:row>
    <s:row r="179">
      <s:c r="A179" s="0" t="n">
        <s:v>260813</s:v>
      </s:c>
      <s:c r="B179" s="0" t="inlineStr">
        <s:is>
          <s:t>이종훈</s:t>
        </s:is>
      </s:c>
      <s:c r="C179" s="0" t="n">
        <s:v>132639</s:v>
      </s:c>
      <s:c r="D179" s="0" t="n">
        <s:v>1731</s:v>
      </s:c>
      <s:c r="F179" s="24">
        <s:f>'자료구성'!$B$2+TIME(INT($C$3/10000),INT(MOD($C$3,10000)/100),MOD($C$3,100))+(ROW()-ROW($C$3))/86400</s:f>
        <s:v>46247.562210648146</s:v>
      </s:c>
    </s:row>
    <s:row r="180">
      <s:c r="A180" s="0" t="n">
        <s:v>260813</s:v>
      </s:c>
      <s:c r="B180" s="0" t="inlineStr">
        <s:is>
          <s:t>이종훈</s:t>
        </s:is>
      </s:c>
      <s:c r="C180" s="0" t="n">
        <s:v>132639</s:v>
      </s:c>
      <s:c r="D180" s="0" t="n">
        <s:v>1714</s:v>
      </s:c>
      <s:c r="F180" s="24">
        <s:f>'자료구성'!$B$2+TIME(INT($C$3/10000),INT(MOD($C$3,10000)/100),MOD($C$3,100))+(ROW()-ROW($C$3))/86400</s:f>
        <s:v>46247.56222222222</s:v>
      </s:c>
    </s:row>
    <s:row r="181">
      <s:c r="A181" s="0" t="n">
        <s:v>260813</s:v>
      </s:c>
      <s:c r="B181" s="0" t="inlineStr">
        <s:is>
          <s:t>이종훈</s:t>
        </s:is>
      </s:c>
      <s:c r="C181" s="0" t="n">
        <s:v>132639</s:v>
      </s:c>
      <s:c r="D181" s="0" t="n">
        <s:v>1705</s:v>
      </s:c>
      <s:c r="F181" s="24">
        <s:f>'자료구성'!$B$2+TIME(INT($C$3/10000),INT(MOD($C$3,10000)/100),MOD($C$3,100))+(ROW()-ROW($C$3))/86400</s:f>
        <s:v>46247.5622337963</s:v>
      </s:c>
    </s:row>
    <s:row r="182">
      <s:c r="A182" s="0" t="n">
        <s:v>260813</s:v>
      </s:c>
      <s:c r="B182" s="0" t="inlineStr">
        <s:is>
          <s:t>이종훈</s:t>
        </s:is>
      </s:c>
      <s:c r="C182" s="0" t="n">
        <s:v>132639</s:v>
      </s:c>
      <s:c r="D182" s="0" t="n">
        <s:v>1695</s:v>
      </s:c>
      <s:c r="F182" s="24">
        <s:f>'자료구성'!$B$2+TIME(INT($C$3/10000),INT(MOD($C$3,10000)/100),MOD($C$3,100))+(ROW()-ROW($C$3))/86400</s:f>
        <s:v>46247.56224537037</s:v>
      </s:c>
    </s:row>
    <s:row r="183">
      <s:c r="A183" s="0" t="n">
        <s:v>260813</s:v>
      </s:c>
      <s:c r="B183" s="0" t="inlineStr">
        <s:is>
          <s:t>이종훈</s:t>
        </s:is>
      </s:c>
      <s:c r="C183" s="0" t="n">
        <s:v>132639</s:v>
      </s:c>
      <s:c r="D183" s="0" t="n">
        <s:v>1661</s:v>
      </s:c>
      <s:c r="F183" s="24">
        <s:f>'자료구성'!$B$2+TIME(INT($C$3/10000),INT(MOD($C$3,10000)/100),MOD($C$3,100))+(ROW()-ROW($C$3))/86400</s:f>
        <s:v>46247.562256944446</s:v>
      </s:c>
    </s:row>
    <s:row r="184">
      <s:c r="A184" s="0" t="n">
        <s:v>260813</s:v>
      </s:c>
      <s:c r="B184" s="0" t="inlineStr">
        <s:is>
          <s:t>이종훈</s:t>
        </s:is>
      </s:c>
      <s:c r="C184" s="0" t="n">
        <s:v>132639</s:v>
      </s:c>
      <s:c r="D184" s="0" t="n">
        <s:v>1615</s:v>
      </s:c>
      <s:c r="F184" s="24">
        <s:f>'자료구성'!$B$2+TIME(INT($C$3/10000),INT(MOD($C$3,10000)/100),MOD($C$3,100))+(ROW()-ROW($C$3))/86400</s:f>
        <s:v>46247.562268518515</s:v>
      </s:c>
    </s:row>
    <s:row r="185">
      <s:c r="A185" s="0" t="n">
        <s:v>260813</s:v>
      </s:c>
      <s:c r="B185" s="0" t="inlineStr">
        <s:is>
          <s:t>이종훈</s:t>
        </s:is>
      </s:c>
      <s:c r="C185" s="0" t="n">
        <s:v>132639</s:v>
      </s:c>
      <s:c r="D185" s="0" t="n">
        <s:v>1588</s:v>
      </s:c>
      <s:c r="F185" s="24">
        <s:f>'자료구성'!$B$2+TIME(INT($C$3/10000),INT(MOD($C$3,10000)/100),MOD($C$3,100))+(ROW()-ROW($C$3))/86400</s:f>
        <s:v>46247.56228009259</s:v>
      </s:c>
    </s:row>
    <s:row r="186">
      <s:c r="A186" s="0" t="n">
        <s:v>260813</s:v>
      </s:c>
      <s:c r="B186" s="0" t="inlineStr">
        <s:is>
          <s:t>이종훈</s:t>
        </s:is>
      </s:c>
      <s:c r="C186" s="0" t="n">
        <s:v>132639</s:v>
      </s:c>
      <s:c r="D186" s="0" t="n">
        <s:v>1577</s:v>
      </s:c>
      <s:c r="F186" s="24">
        <s:f>'자료구성'!$B$2+TIME(INT($C$3/10000),INT(MOD($C$3,10000)/100),MOD($C$3,100))+(ROW()-ROW($C$3))/86400</s:f>
        <s:v>46247.56229166667</s:v>
      </s:c>
    </s:row>
    <s:row r="187">
      <s:c r="A187" s="0" t="n">
        <s:v>260813</s:v>
      </s:c>
      <s:c r="B187" s="0" t="inlineStr">
        <s:is>
          <s:t>이종훈</s:t>
        </s:is>
      </s:c>
      <s:c r="C187" s="0" t="n">
        <s:v>132639</s:v>
      </s:c>
      <s:c r="D187" s="0" t="n">
        <s:v>1569</s:v>
      </s:c>
      <s:c r="F187" s="24">
        <s:f>'자료구성'!$B$2+TIME(INT($C$3/10000),INT(MOD($C$3,10000)/100),MOD($C$3,100))+(ROW()-ROW($C$3))/86400</s:f>
        <s:v>46247.56230324074</s:v>
      </s:c>
    </s:row>
    <s:row r="188">
      <s:c r="A188" s="0" t="n">
        <s:v>260813</s:v>
      </s:c>
      <s:c r="B188" s="0" t="inlineStr">
        <s:is>
          <s:t>이종훈</s:t>
        </s:is>
      </s:c>
      <s:c r="C188" s="0" t="n">
        <s:v>132639</s:v>
      </s:c>
      <s:c r="D188" s="0" t="n">
        <s:v>1552</s:v>
      </s:c>
      <s:c r="F188" s="24">
        <s:f>'자료구성'!$B$2+TIME(INT($C$3/10000),INT(MOD($C$3,10000)/100),MOD($C$3,100))+(ROW()-ROW($C$3))/86400</s:f>
        <s:v>46247.562314814815</s:v>
      </s:c>
    </s:row>
    <s:row r="189">
      <s:c r="A189" s="0" t="n">
        <s:v>260813</s:v>
      </s:c>
      <s:c r="B189" s="0" t="inlineStr">
        <s:is>
          <s:t>이종훈</s:t>
        </s:is>
      </s:c>
      <s:c r="C189" s="0" t="n">
        <s:v>132639</s:v>
      </s:c>
      <s:c r="D189" s="0" t="n">
        <s:v>1531</s:v>
      </s:c>
      <s:c r="F189" s="24">
        <s:f>'자료구성'!$B$2+TIME(INT($C$3/10000),INT(MOD($C$3,10000)/100),MOD($C$3,100))+(ROW()-ROW($C$3))/86400</s:f>
        <s:v>46247.56232638889</s:v>
      </s:c>
    </s:row>
    <s:row r="190">
      <s:c r="A190" s="0" t="n">
        <s:v>260813</s:v>
      </s:c>
      <s:c r="B190" s="0" t="inlineStr">
        <s:is>
          <s:t>이종훈</s:t>
        </s:is>
      </s:c>
      <s:c r="C190" s="0" t="n">
        <s:v>132639</s:v>
      </s:c>
      <s:c r="D190" s="0" t="n">
        <s:v>1506</s:v>
      </s:c>
      <s:c r="F190" s="24">
        <s:f>'자료구성'!$B$2+TIME(INT($C$3/10000),INT(MOD($C$3,10000)/100),MOD($C$3,100))+(ROW()-ROW($C$3))/86400</s:f>
        <s:v>46247.56233796296</s:v>
      </s:c>
    </s:row>
    <s:row r="191">
      <s:c r="A191" s="0" t="n">
        <s:v>260813</s:v>
      </s:c>
      <s:c r="B191" s="0" t="inlineStr">
        <s:is>
          <s:t>이종훈</s:t>
        </s:is>
      </s:c>
      <s:c r="C191" s="0" t="n">
        <s:v>132639</s:v>
      </s:c>
      <s:c r="D191" s="0" t="n">
        <s:v>1477</s:v>
      </s:c>
      <s:c r="F191" s="24">
        <s:f>'자료구성'!$B$2+TIME(INT($C$3/10000),INT(MOD($C$3,10000)/100),MOD($C$3,100))+(ROW()-ROW($C$3))/86400</s:f>
        <s:v>46247.56234953704</s:v>
      </s:c>
    </s:row>
    <s:row r="192">
      <s:c r="A192" s="0" t="n">
        <s:v>260813</s:v>
      </s:c>
      <s:c r="B192" s="0" t="inlineStr">
        <s:is>
          <s:t>이종훈</s:t>
        </s:is>
      </s:c>
      <s:c r="C192" s="0" t="n">
        <s:v>132639</s:v>
      </s:c>
      <s:c r="D192" s="0" t="n">
        <s:v>1454</s:v>
      </s:c>
      <s:c r="F192" s="24">
        <s:f>'자료구성'!$B$2+TIME(INT($C$3/10000),INT(MOD($C$3,10000)/100),MOD($C$3,100))+(ROW()-ROW($C$3))/86400</s:f>
        <s:v>46247.56236111111</s:v>
      </s:c>
    </s:row>
    <s:row r="193">
      <s:c r="A193" s="0" t="n">
        <s:v>260813</s:v>
      </s:c>
      <s:c r="B193" s="0" t="inlineStr">
        <s:is>
          <s:t>이종훈</s:t>
        </s:is>
      </s:c>
      <s:c r="C193" s="0" t="n">
        <s:v>132639</s:v>
      </s:c>
      <s:c r="D193" s="0" t="n">
        <s:v>1434</s:v>
      </s:c>
      <s:c r="F193" s="24">
        <s:f>'자료구성'!$B$2+TIME(INT($C$3/10000),INT(MOD($C$3,10000)/100),MOD($C$3,100))+(ROW()-ROW($C$3))/86400</s:f>
        <s:v>46247.562372685185</s:v>
      </s:c>
    </s:row>
    <s:row r="194">
      <s:c r="A194" s="0" t="n">
        <s:v>260813</s:v>
      </s:c>
      <s:c r="B194" s="0" t="inlineStr">
        <s:is>
          <s:t>이종훈</s:t>
        </s:is>
      </s:c>
      <s:c r="C194" s="0" t="n">
        <s:v>132639</s:v>
      </s:c>
      <s:c r="D194" s="0" t="n">
        <s:v>1423</s:v>
      </s:c>
      <s:c r="F194" s="24">
        <s:f>'자료구성'!$B$2+TIME(INT($C$3/10000),INT(MOD($C$3,10000)/100),MOD($C$3,100))+(ROW()-ROW($C$3))/86400</s:f>
        <s:v>46247.56238425926</s:v>
      </s:c>
    </s:row>
    <s:row r="195">
      <s:c r="A195" s="0" t="n">
        <s:v>260813</s:v>
      </s:c>
      <s:c r="B195" s="0" t="inlineStr">
        <s:is>
          <s:t>이종훈</s:t>
        </s:is>
      </s:c>
      <s:c r="C195" s="0" t="n">
        <s:v>132639</s:v>
      </s:c>
      <s:c r="D195" s="0" t="n">
        <s:v>1418</s:v>
      </s:c>
      <s:c r="F195" s="24">
        <s:f>'자료구성'!$B$2+TIME(INT($C$3/10000),INT(MOD($C$3,10000)/100),MOD($C$3,100))+(ROW()-ROW($C$3))/86400</s:f>
        <s:v>46247.56239583333</s:v>
      </s:c>
    </s:row>
    <s:row r="196">
      <s:c r="A196" s="0" t="n">
        <s:v>260813</s:v>
      </s:c>
      <s:c r="B196" s="0" t="inlineStr">
        <s:is>
          <s:t>이종훈</s:t>
        </s:is>
      </s:c>
      <s:c r="C196" s="0" t="n">
        <s:v>132639</s:v>
      </s:c>
      <s:c r="D196" s="0" t="n">
        <s:v>1413</s:v>
      </s:c>
      <s:c r="F196" s="24">
        <s:f>'자료구성'!$B$2+TIME(INT($C$3/10000),INT(MOD($C$3,10000)/100),MOD($C$3,100))+(ROW()-ROW($C$3))/86400</s:f>
        <s:v>46247.56240740741</s:v>
      </s:c>
    </s:row>
    <s:row r="197">
      <s:c r="A197" s="0" t="n">
        <s:v>260813</s:v>
      </s:c>
      <s:c r="B197" s="0" t="inlineStr">
        <s:is>
          <s:t>이종훈</s:t>
        </s:is>
      </s:c>
      <s:c r="C197" s="0" t="n">
        <s:v>132639</s:v>
      </s:c>
      <s:c r="D197" s="0" t="n">
        <s:v>1401</s:v>
      </s:c>
      <s:c r="F197" s="24">
        <s:f>'자료구성'!$B$2+TIME(INT($C$3/10000),INT(MOD($C$3,10000)/100),MOD($C$3,100))+(ROW()-ROW($C$3))/86400</s:f>
        <s:v>46247.562418981484</s:v>
      </s:c>
    </s:row>
    <s:row r="198">
      <s:c r="A198" s="0" t="n">
        <s:v>260813</s:v>
      </s:c>
      <s:c r="B198" s="0" t="inlineStr">
        <s:is>
          <s:t>이종훈</s:t>
        </s:is>
      </s:c>
      <s:c r="C198" s="0" t="n">
        <s:v>132639</s:v>
      </s:c>
      <s:c r="D198" s="0" t="n">
        <s:v>1395</s:v>
      </s:c>
      <s:c r="F198" s="24">
        <s:f>'자료구성'!$B$2+TIME(INT($C$3/10000),INT(MOD($C$3,10000)/100),MOD($C$3,100))+(ROW()-ROW($C$3))/86400</s:f>
        <s:v>46247.562430555554</s:v>
      </s:c>
    </s:row>
    <s:row r="199">
      <s:c r="A199" s="0" t="n">
        <s:v>260813</s:v>
      </s:c>
      <s:c r="B199" s="0" t="inlineStr">
        <s:is>
          <s:t>이종훈</s:t>
        </s:is>
      </s:c>
      <s:c r="C199" s="0" t="n">
        <s:v>132639</s:v>
      </s:c>
      <s:c r="D199" s="0" t="n">
        <s:v>1395</s:v>
      </s:c>
      <s:c r="F199" s="24">
        <s:f>'자료구성'!$B$2+TIME(INT($C$3/10000),INT(MOD($C$3,10000)/100),MOD($C$3,100))+(ROW()-ROW($C$3))/86400</s:f>
        <s:v>46247.56244212963</s:v>
      </s:c>
    </s:row>
    <s:row r="200">
      <s:c r="A200" s="0" t="n">
        <s:v>260813</s:v>
      </s:c>
      <s:c r="B200" s="0" t="inlineStr">
        <s:is>
          <s:t>이종훈</s:t>
        </s:is>
      </s:c>
      <s:c r="C200" s="0" t="n">
        <s:v>132639</s:v>
      </s:c>
      <s:c r="D200" s="0" t="n">
        <s:v>1396</s:v>
      </s:c>
      <s:c r="F200" s="24">
        <s:f>'자료구성'!$B$2+TIME(INT($C$3/10000),INT(MOD($C$3,10000)/100),MOD($C$3,100))+(ROW()-ROW($C$3))/86400</s:f>
        <s:v>46247.5624537037</s:v>
      </s:c>
    </s:row>
    <s:row r="201">
      <s:c r="A201" s="0" t="n">
        <s:v>260813</s:v>
      </s:c>
      <s:c r="B201" s="0" t="inlineStr">
        <s:is>
          <s:t>이종훈</s:t>
        </s:is>
      </s:c>
      <s:c r="C201" s="0" t="n">
        <s:v>132639</s:v>
      </s:c>
      <s:c r="D201" s="0" t="n">
        <s:v>1398</s:v>
      </s:c>
      <s:c r="F201" s="24">
        <s:f>'자료구성'!$B$2+TIME(INT($C$3/10000),INT(MOD($C$3,10000)/100),MOD($C$3,100))+(ROW()-ROW($C$3))/86400</s:f>
        <s:v>46247.56246527778</s:v>
      </s:c>
    </s:row>
    <s:row r="202">
      <s:c r="A202" s="0" t="n">
        <s:v>260813</s:v>
      </s:c>
      <s:c r="B202" s="0" t="inlineStr">
        <s:is>
          <s:t>이종훈</s:t>
        </s:is>
      </s:c>
      <s:c r="C202" s="0" t="n">
        <s:v>132639</s:v>
      </s:c>
      <s:c r="D202" s="0" t="n">
        <s:v>1386</s:v>
      </s:c>
      <s:c r="F202" s="24">
        <s:f>'자료구성'!$B$2+TIME(INT($C$3/10000),INT(MOD($C$3,10000)/100),MOD($C$3,100))+(ROW()-ROW($C$3))/86400</s:f>
        <s:v>46247.562476851854</s:v>
      </s:c>
    </s:row>
    <s:row r="203">
      <s:c r="A203" s="0" t="n">
        <s:v>260813</s:v>
      </s:c>
      <s:c r="B203" s="0" t="inlineStr">
        <s:is>
          <s:t>이종훈</s:t>
        </s:is>
      </s:c>
      <s:c r="C203" s="0" t="n">
        <s:v>132639</s:v>
      </s:c>
      <s:c r="D203" s="0" t="n">
        <s:v>1384</s:v>
      </s:c>
      <s:c r="F203" s="24">
        <s:f>'자료구성'!$B$2+TIME(INT($C$3/10000),INT(MOD($C$3,10000)/100),MOD($C$3,100))+(ROW()-ROW($C$3))/86400</s:f>
        <s:v>46247.56248842592</s:v>
      </s:c>
    </s:row>
    <s:row r="204">
      <s:c r="A204" s="0" t="n">
        <s:v>260813</s:v>
      </s:c>
      <s:c r="B204" s="0" t="inlineStr">
        <s:is>
          <s:t>이종훈</s:t>
        </s:is>
      </s:c>
      <s:c r="C204" s="0" t="n">
        <s:v>132639</s:v>
      </s:c>
      <s:c r="D204" s="0" t="n">
        <s:v>1381</s:v>
      </s:c>
      <s:c r="F204" s="24">
        <s:f>'자료구성'!$B$2+TIME(INT($C$3/10000),INT(MOD($C$3,10000)/100),MOD($C$3,100))+(ROW()-ROW($C$3))/86400</s:f>
        <s:v>46247.5625</s:v>
      </s:c>
    </s:row>
    <s:row r="205">
      <s:c r="A205" s="0" t="n">
        <s:v>260813</s:v>
      </s:c>
      <s:c r="B205" s="0" t="inlineStr">
        <s:is>
          <s:t>이종훈</s:t>
        </s:is>
      </s:c>
      <s:c r="C205" s="0" t="n">
        <s:v>132639</s:v>
      </s:c>
      <s:c r="D205" s="0" t="n">
        <s:v>1369</s:v>
      </s:c>
      <s:c r="F205" s="24">
        <s:f>'자료구성'!$B$2+TIME(INT($C$3/10000),INT(MOD($C$3,10000)/100),MOD($C$3,100))+(ROW()-ROW($C$3))/86400</s:f>
        <s:v>46247.56251157408</s:v>
      </s:c>
    </s:row>
    <s:row r="206">
      <s:c r="A206" s="0" t="n">
        <s:v>260813</s:v>
      </s:c>
      <s:c r="B206" s="0" t="inlineStr">
        <s:is>
          <s:t>이종훈</s:t>
        </s:is>
      </s:c>
      <s:c r="C206" s="0" t="n">
        <s:v>132639</s:v>
      </s:c>
      <s:c r="D206" s="0" t="n">
        <s:v>1351</s:v>
      </s:c>
      <s:c r="F206" s="24">
        <s:f>'자료구성'!$B$2+TIME(INT($C$3/10000),INT(MOD($C$3,10000)/100),MOD($C$3,100))+(ROW()-ROW($C$3))/86400</s:f>
        <s:v>46247.562523148146</s:v>
      </s:c>
    </s:row>
    <s:row r="207">
      <s:c r="A207" s="0" t="n">
        <s:v>260813</s:v>
      </s:c>
      <s:c r="B207" s="0" t="inlineStr">
        <s:is>
          <s:t>이종훈</s:t>
        </s:is>
      </s:c>
      <s:c r="C207" s="0" t="n">
        <s:v>132639</s:v>
      </s:c>
      <s:c r="D207" s="0" t="n">
        <s:v>1374</s:v>
      </s:c>
      <s:c r="F207" s="24">
        <s:f>'자료구성'!$B$2+TIME(INT($C$3/10000),INT(MOD($C$3,10000)/100),MOD($C$3,100))+(ROW()-ROW($C$3))/86400</s:f>
        <s:v>46247.56253472222</s:v>
      </s:c>
    </s:row>
    <s:row r="208">
      <s:c r="A208" s="0" t="n">
        <s:v>260813</s:v>
      </s:c>
      <s:c r="B208" s="0" t="inlineStr">
        <s:is>
          <s:t>이종훈</s:t>
        </s:is>
      </s:c>
      <s:c r="C208" s="0" t="n">
        <s:v>132639</s:v>
      </s:c>
      <s:c r="D208" s="0" t="n">
        <s:v>1429</s:v>
      </s:c>
      <s:c r="F208" s="24">
        <s:f>'자료구성'!$B$2+TIME(INT($C$3/10000),INT(MOD($C$3,10000)/100),MOD($C$3,100))+(ROW()-ROW($C$3))/86400</s:f>
        <s:v>46247.5625462963</s:v>
      </s:c>
    </s:row>
    <s:row r="209">
      <s:c r="A209" s="0" t="n">
        <s:v>260813</s:v>
      </s:c>
      <s:c r="B209" s="0" t="inlineStr">
        <s:is>
          <s:t>이종훈</s:t>
        </s:is>
      </s:c>
      <s:c r="C209" s="0" t="n">
        <s:v>132639</s:v>
      </s:c>
      <s:c r="D209" s="0" t="n">
        <s:v>1434</s:v>
      </s:c>
      <s:c r="F209" s="24">
        <s:f>'자료구성'!$B$2+TIME(INT($C$3/10000),INT(MOD($C$3,10000)/100),MOD($C$3,100))+(ROW()-ROW($C$3))/86400</s:f>
        <s:v>46247.56255787037</s:v>
      </s:c>
    </s:row>
    <s:row r="210">
      <s:c r="A210" s="0" t="n">
        <s:v>260813</s:v>
      </s:c>
      <s:c r="B210" s="0" t="inlineStr">
        <s:is>
          <s:t>이종훈</s:t>
        </s:is>
      </s:c>
      <s:c r="C210" s="0" t="n">
        <s:v>132639</s:v>
      </s:c>
      <s:c r="D210" s="0" t="n">
        <s:v>1434</s:v>
      </s:c>
      <s:c r="F210" s="24">
        <s:f>'자료구성'!$B$2+TIME(INT($C$3/10000),INT(MOD($C$3,10000)/100),MOD($C$3,100))+(ROW()-ROW($C$3))/86400</s:f>
        <s:v>46247.562569444446</s:v>
      </s:c>
    </s:row>
    <s:row r="211">
      <s:c r="A211" s="0" t="n">
        <s:v>260813</s:v>
      </s:c>
      <s:c r="B211" s="0" t="inlineStr">
        <s:is>
          <s:t>이종훈</s:t>
        </s:is>
      </s:c>
      <s:c r="C211" s="0" t="n">
        <s:v>132639</s:v>
      </s:c>
      <s:c r="D211" s="0" t="n">
        <s:v>1466</s:v>
      </s:c>
      <s:c r="F211" s="24">
        <s:f>'자료구성'!$B$2+TIME(INT($C$3/10000),INT(MOD($C$3,10000)/100),MOD($C$3,100))+(ROW()-ROW($C$3))/86400</s:f>
        <s:v>46247.562581018516</s:v>
      </s:c>
    </s:row>
    <s:row r="212">
      <s:c r="A212" s="0" t="n">
        <s:v>260813</s:v>
      </s:c>
      <s:c r="B212" s="0" t="inlineStr">
        <s:is>
          <s:t>이종훈</s:t>
        </s:is>
      </s:c>
      <s:c r="C212" s="0" t="n">
        <s:v>132639</s:v>
      </s:c>
      <s:c r="D212" s="0" t="n">
        <s:v>1485</s:v>
      </s:c>
      <s:c r="F212" s="24">
        <s:f>'자료구성'!$B$2+TIME(INT($C$3/10000),INT(MOD($C$3,10000)/100),MOD($C$3,100))+(ROW()-ROW($C$3))/86400</s:f>
        <s:v>46247.56259259259</s:v>
      </s:c>
    </s:row>
    <s:row r="213">
      <s:c r="A213" s="0" t="n">
        <s:v>260813</s:v>
      </s:c>
      <s:c r="B213" s="0" t="inlineStr">
        <s:is>
          <s:t>이종훈</s:t>
        </s:is>
      </s:c>
      <s:c r="C213" s="0" t="n">
        <s:v>132639</s:v>
      </s:c>
      <s:c r="D213" s="0" t="n">
        <s:v>1483</s:v>
      </s:c>
      <s:c r="F213" s="24">
        <s:f>'자료구성'!$B$2+TIME(INT($C$3/10000),INT(MOD($C$3,10000)/100),MOD($C$3,100))+(ROW()-ROW($C$3))/86400</s:f>
        <s:v>46247.56260416667</s:v>
      </s:c>
    </s:row>
    <s:row r="214">
      <s:c r="A214" s="0" t="n">
        <s:v>260813</s:v>
      </s:c>
      <s:c r="B214" s="0" t="inlineStr">
        <s:is>
          <s:t>이종훈</s:t>
        </s:is>
      </s:c>
      <s:c r="C214" s="0" t="n">
        <s:v>132639</s:v>
      </s:c>
      <s:c r="D214" s="0" t="n">
        <s:v>1496</s:v>
      </s:c>
      <s:c r="F214" s="24">
        <s:f>'자료구성'!$B$2+TIME(INT($C$3/10000),INT(MOD($C$3,10000)/100),MOD($C$3,100))+(ROW()-ROW($C$3))/86400</s:f>
        <s:v>46247.56261574074</s:v>
      </s:c>
    </s:row>
    <s:row r="215">
      <s:c r="A215" s="0" t="n">
        <s:v>260813</s:v>
      </s:c>
      <s:c r="B215" s="0" t="inlineStr">
        <s:is>
          <s:t>이종훈</s:t>
        </s:is>
      </s:c>
      <s:c r="C215" s="0" t="n">
        <s:v>132639</s:v>
      </s:c>
      <s:c r="D215" s="0" t="n">
        <s:v>1503</s:v>
      </s:c>
      <s:c r="F215" s="24">
        <s:f>'자료구성'!$B$2+TIME(INT($C$3/10000),INT(MOD($C$3,10000)/100),MOD($C$3,100))+(ROW()-ROW($C$3))/86400</s:f>
        <s:v>46247.562627314815</s:v>
      </s:c>
    </s:row>
    <s:row r="216">
      <s:c r="A216" s="0" t="n">
        <s:v>260813</s:v>
      </s:c>
      <s:c r="B216" s="0" t="inlineStr">
        <s:is>
          <s:t>이종훈</s:t>
        </s:is>
      </s:c>
      <s:c r="C216" s="0" t="n">
        <s:v>132639</s:v>
      </s:c>
      <s:c r="D216" s="0" t="n">
        <s:v>1504</s:v>
      </s:c>
      <s:c r="F216" s="24">
        <s:f>'자료구성'!$B$2+TIME(INT($C$3/10000),INT(MOD($C$3,10000)/100),MOD($C$3,100))+(ROW()-ROW($C$3))/86400</s:f>
        <s:v>46247.56263888889</s:v>
      </s:c>
    </s:row>
    <s:row r="217">
      <s:c r="A217" s="0" t="n">
        <s:v>260813</s:v>
      </s:c>
      <s:c r="B217" s="0" t="inlineStr">
        <s:is>
          <s:t>이종훈</s:t>
        </s:is>
      </s:c>
      <s:c r="C217" s="0" t="n">
        <s:v>132639</s:v>
      </s:c>
      <s:c r="D217" s="0" t="n">
        <s:v>1520</s:v>
      </s:c>
      <s:c r="F217" s="24">
        <s:f>'자료구성'!$B$2+TIME(INT($C$3/10000),INT(MOD($C$3,10000)/100),MOD($C$3,100))+(ROW()-ROW($C$3))/86400</s:f>
        <s:v>46247.56265046296</s:v>
      </s:c>
    </s:row>
    <s:row r="218">
      <s:c r="A218" s="0" t="n">
        <s:v>260813</s:v>
      </s:c>
      <s:c r="B218" s="0" t="inlineStr">
        <s:is>
          <s:t>이종훈</s:t>
        </s:is>
      </s:c>
      <s:c r="C218" s="0" t="n">
        <s:v>132639</s:v>
      </s:c>
      <s:c r="D218" s="0" t="n">
        <s:v>1563</s:v>
      </s:c>
      <s:c r="F218" s="24">
        <s:f>'자료구성'!$B$2+TIME(INT($C$3/10000),INT(MOD($C$3,10000)/100),MOD($C$3,100))+(ROW()-ROW($C$3))/86400</s:f>
        <s:v>46247.56266203704</s:v>
      </s:c>
    </s:row>
    <s:row r="219">
      <s:c r="A219" s="0" t="n">
        <s:v>260813</s:v>
      </s:c>
      <s:c r="B219" s="0" t="inlineStr">
        <s:is>
          <s:t>이종훈</s:t>
        </s:is>
      </s:c>
      <s:c r="C219" s="0" t="n">
        <s:v>132639</s:v>
      </s:c>
      <s:c r="D219" s="0" t="n">
        <s:v>1621</s:v>
      </s:c>
      <s:c r="F219" s="24">
        <s:f>'자료구성'!$B$2+TIME(INT($C$3/10000),INT(MOD($C$3,10000)/100),MOD($C$3,100))+(ROW()-ROW($C$3))/86400</s:f>
        <s:v>46247.56267361111</s:v>
      </s:c>
    </s:row>
    <s:row r="220">
      <s:c r="A220" s="0" t="n">
        <s:v>260813</s:v>
      </s:c>
      <s:c r="B220" s="0" t="inlineStr">
        <s:is>
          <s:t>이종훈</s:t>
        </s:is>
      </s:c>
      <s:c r="C220" s="0" t="n">
        <s:v>132639</s:v>
      </s:c>
      <s:c r="D220" s="0" t="n">
        <s:v>1652</s:v>
      </s:c>
      <s:c r="F220" s="24">
        <s:f>'자료구성'!$B$2+TIME(INT($C$3/10000),INT(MOD($C$3,10000)/100),MOD($C$3,100))+(ROW()-ROW($C$3))/86400</s:f>
        <s:v>46247.562685185185</s:v>
      </s:c>
    </s:row>
    <s:row r="221">
      <s:c r="A221" s="0" t="n">
        <s:v>260813</s:v>
      </s:c>
      <s:c r="B221" s="0" t="inlineStr">
        <s:is>
          <s:t>이종훈</s:t>
        </s:is>
      </s:c>
      <s:c r="C221" s="0" t="n">
        <s:v>132639</s:v>
      </s:c>
      <s:c r="D221" s="0" t="n">
        <s:v>1674</s:v>
      </s:c>
      <s:c r="F221" s="24">
        <s:f>'자료구성'!$B$2+TIME(INT($C$3/10000),INT(MOD($C$3,10000)/100),MOD($C$3,100))+(ROW()-ROW($C$3))/86400</s:f>
        <s:v>46247.56269675926</s:v>
      </s:c>
    </s:row>
    <s:row r="222">
      <s:c r="A222" s="0" t="n">
        <s:v>260813</s:v>
      </s:c>
      <s:c r="B222" s="0" t="inlineStr">
        <s:is>
          <s:t>이종훈</s:t>
        </s:is>
      </s:c>
      <s:c r="C222" s="0" t="n">
        <s:v>132639</s:v>
      </s:c>
      <s:c r="D222" s="0" t="n">
        <s:v>1681</s:v>
      </s:c>
      <s:c r="F222" s="24">
        <s:f>'자료구성'!$B$2+TIME(INT($C$3/10000),INT(MOD($C$3,10000)/100),MOD($C$3,100))+(ROW()-ROW($C$3))/86400</s:f>
        <s:v>46247.56270833333</s:v>
      </s:c>
    </s:row>
    <s:row r="223">
      <s:c r="A223" s="0" t="n">
        <s:v>260813</s:v>
      </s:c>
      <s:c r="B223" s="0" t="inlineStr">
        <s:is>
          <s:t>이종훈</s:t>
        </s:is>
      </s:c>
      <s:c r="C223" s="0" t="n">
        <s:v>132639</s:v>
      </s:c>
      <s:c r="D223" s="0" t="n">
        <s:v>1704</s:v>
      </s:c>
      <s:c r="F223" s="24">
        <s:f>'자료구성'!$B$2+TIME(INT($C$3/10000),INT(MOD($C$3,10000)/100),MOD($C$3,100))+(ROW()-ROW($C$3))/86400</s:f>
        <s:v>46247.56271990741</s:v>
      </s:c>
    </s:row>
    <s:row r="224">
      <s:c r="A224" s="0" t="n">
        <s:v>260813</s:v>
      </s:c>
      <s:c r="B224" s="0" t="inlineStr">
        <s:is>
          <s:t>이종훈</s:t>
        </s:is>
      </s:c>
      <s:c r="C224" s="0" t="n">
        <s:v>132639</s:v>
      </s:c>
      <s:c r="D224" s="0" t="n">
        <s:v>1730</s:v>
      </s:c>
      <s:c r="F224" s="24">
        <s:f>'자료구성'!$B$2+TIME(INT($C$3/10000),INT(MOD($C$3,10000)/100),MOD($C$3,100))+(ROW()-ROW($C$3))/86400</s:f>
        <s:v>46247.562731481485</s:v>
      </s:c>
    </s:row>
    <s:row r="225">
      <s:c r="A225" s="0" t="n">
        <s:v>260813</s:v>
      </s:c>
      <s:c r="B225" s="0" t="inlineStr">
        <s:is>
          <s:t>이종훈</s:t>
        </s:is>
      </s:c>
      <s:c r="C225" s="0" t="n">
        <s:v>132639</s:v>
      </s:c>
      <s:c r="D225" s="0" t="n">
        <s:v>1743</s:v>
      </s:c>
      <s:c r="F225" s="24">
        <s:f>'자료구성'!$B$2+TIME(INT($C$3/10000),INT(MOD($C$3,10000)/100),MOD($C$3,100))+(ROW()-ROW($C$3))/86400</s:f>
        <s:v>46247.562743055554</s:v>
      </s:c>
    </s:row>
    <s:row r="226">
      <s:c r="A226" s="0" t="n">
        <s:v>260813</s:v>
      </s:c>
      <s:c r="B226" s="0" t="inlineStr">
        <s:is>
          <s:t>이종훈</s:t>
        </s:is>
      </s:c>
      <s:c r="C226" s="0" t="n">
        <s:v>132639</s:v>
      </s:c>
      <s:c r="D226" s="0" t="n">
        <s:v>1730</s:v>
      </s:c>
      <s:c r="F226" s="24">
        <s:f>'자료구성'!$B$2+TIME(INT($C$3/10000),INT(MOD($C$3,10000)/100),MOD($C$3,100))+(ROW()-ROW($C$3))/86400</s:f>
        <s:v>46247.56275462963</s:v>
      </s:c>
    </s:row>
    <s:row r="227">
      <s:c r="A227" s="0" t="n">
        <s:v>260813</s:v>
      </s:c>
      <s:c r="B227" s="0" t="inlineStr">
        <s:is>
          <s:t>이종훈</s:t>
        </s:is>
      </s:c>
      <s:c r="C227" s="0" t="n">
        <s:v>132639</s:v>
      </s:c>
      <s:c r="D227" s="0" t="n">
        <s:v>1721</s:v>
      </s:c>
      <s:c r="F227" s="24">
        <s:f>'자료구성'!$B$2+TIME(INT($C$3/10000),INT(MOD($C$3,10000)/100),MOD($C$3,100))+(ROW()-ROW($C$3))/86400</s:f>
        <s:v>46247.5627662037</s:v>
      </s:c>
    </s:row>
    <s:row r="228">
      <s:c r="A228" s="0" t="n">
        <s:v>260813</s:v>
      </s:c>
      <s:c r="B228" s="0" t="inlineStr">
        <s:is>
          <s:t>이종훈</s:t>
        </s:is>
      </s:c>
      <s:c r="C228" s="0" t="n">
        <s:v>132639</s:v>
      </s:c>
      <s:c r="D228" s="0" t="n">
        <s:v>1726</s:v>
      </s:c>
      <s:c r="F228" s="24">
        <s:f>'자료구성'!$B$2+TIME(INT($C$3/10000),INT(MOD($C$3,10000)/100),MOD($C$3,100))+(ROW()-ROW($C$3))/86400</s:f>
        <s:v>46247.56277777778</s:v>
      </s:c>
    </s:row>
    <s:row r="229">
      <s:c r="A229" s="0" t="n">
        <s:v>260813</s:v>
      </s:c>
      <s:c r="B229" s="0" t="inlineStr">
        <s:is>
          <s:t>이종훈</s:t>
        </s:is>
      </s:c>
      <s:c r="C229" s="0" t="n">
        <s:v>132639</s:v>
      </s:c>
      <s:c r="D229" s="0" t="n">
        <s:v>1708</s:v>
      </s:c>
      <s:c r="F229" s="24">
        <s:f>'자료구성'!$B$2+TIME(INT($C$3/10000),INT(MOD($C$3,10000)/100),MOD($C$3,100))+(ROW()-ROW($C$3))/86400</s:f>
        <s:v>46247.562789351854</s:v>
      </s:c>
    </s:row>
    <s:row r="230">
      <s:c r="A230" s="0" t="n">
        <s:v>260813</s:v>
      </s:c>
      <s:c r="B230" s="0" t="inlineStr">
        <s:is>
          <s:t>이종훈</s:t>
        </s:is>
      </s:c>
      <s:c r="C230" s="0" t="n">
        <s:v>132639</s:v>
      </s:c>
      <s:c r="D230" s="0" t="n">
        <s:v>1680</s:v>
      </s:c>
      <s:c r="F230" s="24">
        <s:f>'자료구성'!$B$2+TIME(INT($C$3/10000),INT(MOD($C$3,10000)/100),MOD($C$3,100))+(ROW()-ROW($C$3))/86400</s:f>
        <s:v>46247.56280092592</s:v>
      </s:c>
    </s:row>
    <s:row r="231">
      <s:c r="A231" s="0" t="n">
        <s:v>260813</s:v>
      </s:c>
      <s:c r="B231" s="0" t="inlineStr">
        <s:is>
          <s:t>이종훈</s:t>
        </s:is>
      </s:c>
      <s:c r="C231" s="0" t="n">
        <s:v>132639</s:v>
      </s:c>
      <s:c r="D231" s="0" t="n">
        <s:v>1686</s:v>
      </s:c>
      <s:c r="F231" s="24">
        <s:f>'자료구성'!$B$2+TIME(INT($C$3/10000),INT(MOD($C$3,10000)/100),MOD($C$3,100))+(ROW()-ROW($C$3))/86400</s:f>
        <s:v>46247.5628125</s:v>
      </s:c>
    </s:row>
    <s:row r="232">
      <s:c r="A232" s="0" t="n">
        <s:v>260813</s:v>
      </s:c>
      <s:c r="B232" s="0" t="inlineStr">
        <s:is>
          <s:t>이종훈</s:t>
        </s:is>
      </s:c>
      <s:c r="C232" s="0" t="n">
        <s:v>132639</s:v>
      </s:c>
      <s:c r="D232" s="0" t="n">
        <s:v>1675</s:v>
      </s:c>
      <s:c r="F232" s="24">
        <s:f>'자료구성'!$B$2+TIME(INT($C$3/10000),INT(MOD($C$3,10000)/100),MOD($C$3,100))+(ROW()-ROW($C$3))/86400</s:f>
        <s:v>46247.56282407408</s:v>
      </s:c>
    </s:row>
    <s:row r="233">
      <s:c r="A233" s="0" t="n">
        <s:v>260813</s:v>
      </s:c>
      <s:c r="B233" s="0" t="inlineStr">
        <s:is>
          <s:t>이종훈</s:t>
        </s:is>
      </s:c>
      <s:c r="C233" s="0" t="n">
        <s:v>132639</s:v>
      </s:c>
      <s:c r="D233" s="0" t="n">
        <s:v>1656</s:v>
      </s:c>
      <s:c r="F233" s="24">
        <s:f>'자료구성'!$B$2+TIME(INT($C$3/10000),INT(MOD($C$3,10000)/100),MOD($C$3,100))+(ROW()-ROW($C$3))/86400</s:f>
        <s:v>46247.56283564815</s:v>
      </s:c>
    </s:row>
    <s:row r="234">
      <s:c r="A234" s="0" t="n">
        <s:v>260813</s:v>
      </s:c>
      <s:c r="B234" s="0" t="inlineStr">
        <s:is>
          <s:t>이종훈</s:t>
        </s:is>
      </s:c>
      <s:c r="C234" s="0" t="n">
        <s:v>132639</s:v>
      </s:c>
      <s:c r="D234" s="0" t="n">
        <s:v>1646</s:v>
      </s:c>
      <s:c r="F234" s="24">
        <s:f>'자료구성'!$B$2+TIME(INT($C$3/10000),INT(MOD($C$3,10000)/100),MOD($C$3,100))+(ROW()-ROW($C$3))/86400</s:f>
        <s:v>46247.56284722222</s:v>
      </s:c>
    </s:row>
    <s:row r="235">
      <s:c r="A235" s="0" t="n">
        <s:v>260813</s:v>
      </s:c>
      <s:c r="B235" s="0" t="inlineStr">
        <s:is>
          <s:t>이종훈</s:t>
        </s:is>
      </s:c>
      <s:c r="C235" s="0" t="n">
        <s:v>132639</s:v>
      </s:c>
      <s:c r="D235" s="0" t="n">
        <s:v>1649</s:v>
      </s:c>
      <s:c r="F235" s="24">
        <s:f>'자료구성'!$B$2+TIME(INT($C$3/10000),INT(MOD($C$3,10000)/100),MOD($C$3,100))+(ROW()-ROW($C$3))/86400</s:f>
        <s:v>46247.56285879629</s:v>
      </s:c>
    </s:row>
    <s:row r="236">
      <s:c r="A236" s="0" t="n">
        <s:v>260813</s:v>
      </s:c>
      <s:c r="B236" s="0" t="inlineStr">
        <s:is>
          <s:t>이종훈</s:t>
        </s:is>
      </s:c>
      <s:c r="C236" s="0" t="n">
        <s:v>132639</s:v>
      </s:c>
      <s:c r="D236" s="0" t="n">
        <s:v>1661</s:v>
      </s:c>
      <s:c r="F236" s="24">
        <s:f>'자료구성'!$B$2+TIME(INT($C$3/10000),INT(MOD($C$3,10000)/100),MOD($C$3,100))+(ROW()-ROW($C$3))/86400</s:f>
        <s:v>46247.56287037037</s:v>
      </s:c>
    </s:row>
    <s:row r="237">
      <s:c r="A237" s="0" t="n">
        <s:v>260813</s:v>
      </s:c>
      <s:c r="B237" s="0" t="inlineStr">
        <s:is>
          <s:t>이종훈</s:t>
        </s:is>
      </s:c>
      <s:c r="C237" s="0" t="n">
        <s:v>132639</s:v>
      </s:c>
      <s:c r="D237" s="0" t="n">
        <s:v>1658</s:v>
      </s:c>
      <s:c r="F237" s="24">
        <s:f>'자료구성'!$B$2+TIME(INT($C$3/10000),INT(MOD($C$3,10000)/100),MOD($C$3,100))+(ROW()-ROW($C$3))/86400</s:f>
        <s:v>46247.56288194445</s:v>
      </s:c>
    </s:row>
    <s:row r="238">
      <s:c r="A238" s="0" t="n">
        <s:v>260813</s:v>
      </s:c>
      <s:c r="B238" s="0" t="inlineStr">
        <s:is>
          <s:t>이종훈</s:t>
        </s:is>
      </s:c>
      <s:c r="C238" s="0" t="n">
        <s:v>132639</s:v>
      </s:c>
      <s:c r="D238" s="0" t="n">
        <s:v>1668</s:v>
      </s:c>
      <s:c r="F238" s="24">
        <s:f>'자료구성'!$B$2+TIME(INT($C$3/10000),INT(MOD($C$3,10000)/100),MOD($C$3,100))+(ROW()-ROW($C$3))/86400</s:f>
        <s:v>46247.562893518516</s:v>
      </s:c>
    </s:row>
    <s:row r="239">
      <s:c r="A239" s="0" t="n">
        <s:v>260813</s:v>
      </s:c>
      <s:c r="B239" s="0" t="inlineStr">
        <s:is>
          <s:t>이종훈</s:t>
        </s:is>
      </s:c>
      <s:c r="C239" s="0" t="n">
        <s:v>132639</s:v>
      </s:c>
      <s:c r="D239" s="0" t="n">
        <s:v>1665</s:v>
      </s:c>
      <s:c r="F239" s="24">
        <s:f>'자료구성'!$B$2+TIME(INT($C$3/10000),INT(MOD($C$3,10000)/100),MOD($C$3,100))+(ROW()-ROW($C$3))/86400</s:f>
        <s:v>46247.56290509259</s:v>
      </s:c>
    </s:row>
    <s:row r="240">
      <s:c r="A240" s="0" t="n">
        <s:v>260813</s:v>
      </s:c>
      <s:c r="B240" s="0" t="inlineStr">
        <s:is>
          <s:t>이종훈</s:t>
        </s:is>
      </s:c>
      <s:c r="C240" s="0" t="n">
        <s:v>132639</s:v>
      </s:c>
      <s:c r="D240" s="0" t="n">
        <s:v>1657</s:v>
      </s:c>
      <s:c r="F240" s="24">
        <s:f>'자료구성'!$B$2+TIME(INT($C$3/10000),INT(MOD($C$3,10000)/100),MOD($C$3,100))+(ROW()-ROW($C$3))/86400</s:f>
        <s:v>46247.56291666667</s:v>
      </s:c>
    </s:row>
    <s:row r="241">
      <s:c r="A241" s="0" t="n">
        <s:v>260813</s:v>
      </s:c>
      <s:c r="B241" s="0" t="inlineStr">
        <s:is>
          <s:t>이종훈</s:t>
        </s:is>
      </s:c>
      <s:c r="C241" s="0" t="n">
        <s:v>132639</s:v>
      </s:c>
      <s:c r="D241" s="0" t="n">
        <s:v>1663</s:v>
      </s:c>
      <s:c r="F241" s="24">
        <s:f>'자료구성'!$B$2+TIME(INT($C$3/10000),INT(MOD($C$3,10000)/100),MOD($C$3,100))+(ROW()-ROW($C$3))/86400</s:f>
        <s:v>46247.56292824074</s:v>
      </s:c>
    </s:row>
    <s:row r="242">
      <s:c r="A242" s="0" t="n">
        <s:v>260813</s:v>
      </s:c>
      <s:c r="B242" s="0" t="inlineStr">
        <s:is>
          <s:t>이종훈</s:t>
        </s:is>
      </s:c>
      <s:c r="C242" s="0" t="n">
        <s:v>132639</s:v>
      </s:c>
      <s:c r="D242" s="0" t="n">
        <s:v>1651</s:v>
      </s:c>
      <s:c r="F242" s="24">
        <s:f>'자료구성'!$B$2+TIME(INT($C$3/10000),INT(MOD($C$3,10000)/100),MOD($C$3,100))+(ROW()-ROW($C$3))/86400</s:f>
        <s:v>46247.562939814816</s:v>
      </s:c>
    </s:row>
    <s:row r="243">
      <s:c r="A243" s="0" t="n">
        <s:v>260813</s:v>
      </s:c>
      <s:c r="B243" s="0" t="inlineStr">
        <s:is>
          <s:t>이종훈</s:t>
        </s:is>
      </s:c>
      <s:c r="C243" s="0" t="n">
        <s:v>132639</s:v>
      </s:c>
      <s:c r="D243" s="0" t="n">
        <s:v>1646</s:v>
      </s:c>
      <s:c r="F243" s="24">
        <s:f>'자료구성'!$B$2+TIME(INT($C$3/10000),INT(MOD($C$3,10000)/100),MOD($C$3,100))+(ROW()-ROW($C$3))/86400</s:f>
        <s:v>46247.562951388885</s:v>
      </s:c>
    </s:row>
    <s:row r="244">
      <s:c r="A244" s="0" t="n">
        <s:v>260813</s:v>
      </s:c>
      <s:c r="B244" s="0" t="inlineStr">
        <s:is>
          <s:t>이종훈</s:t>
        </s:is>
      </s:c>
      <s:c r="C244" s="0" t="n">
        <s:v>132639</s:v>
      </s:c>
      <s:c r="D244" s="0" t="n">
        <s:v>1618</s:v>
      </s:c>
      <s:c r="F244" s="24">
        <s:f>'자료구성'!$B$2+TIME(INT($C$3/10000),INT(MOD($C$3,10000)/100),MOD($C$3,100))+(ROW()-ROW($C$3))/86400</s:f>
        <s:v>46247.56296296296</s:v>
      </s:c>
    </s:row>
    <s:row r="245">
      <s:c r="A245" s="0" t="n">
        <s:v>260813</s:v>
      </s:c>
      <s:c r="B245" s="0" t="inlineStr">
        <s:is>
          <s:t>이종훈</s:t>
        </s:is>
      </s:c>
      <s:c r="C245" s="0" t="n">
        <s:v>132639</s:v>
      </s:c>
      <s:c r="D245" s="0" t="n">
        <s:v>1599</s:v>
      </s:c>
      <s:c r="F245" s="24">
        <s:f>'자료구성'!$B$2+TIME(INT($C$3/10000),INT(MOD($C$3,10000)/100),MOD($C$3,100))+(ROW()-ROW($C$3))/86400</s:f>
        <s:v>46247.56297453704</s:v>
      </s:c>
    </s:row>
    <s:row r="246">
      <s:c r="A246" s="0" t="n">
        <s:v>260813</s:v>
      </s:c>
      <s:c r="B246" s="0" t="inlineStr">
        <s:is>
          <s:t>이종훈</s:t>
        </s:is>
      </s:c>
      <s:c r="C246" s="0" t="n">
        <s:v>132639</s:v>
      </s:c>
      <s:c r="D246" s="0" t="n">
        <s:v>1588</s:v>
      </s:c>
      <s:c r="F246" s="24">
        <s:f>'자료구성'!$B$2+TIME(INT($C$3/10000),INT(MOD($C$3,10000)/100),MOD($C$3,100))+(ROW()-ROW($C$3))/86400</s:f>
        <s:v>46247.56298611111</s:v>
      </s:c>
    </s:row>
    <s:row r="247">
      <s:c r="A247" s="0" t="n">
        <s:v>260813</s:v>
      </s:c>
      <s:c r="B247" s="0" t="inlineStr">
        <s:is>
          <s:t>이종훈</s:t>
        </s:is>
      </s:c>
      <s:c r="C247" s="0" t="n">
        <s:v>132639</s:v>
      </s:c>
      <s:c r="D247" s="0" t="n">
        <s:v>1575</s:v>
      </s:c>
      <s:c r="F247" s="24">
        <s:f>'자료구성'!$B$2+TIME(INT($C$3/10000),INT(MOD($C$3,10000)/100),MOD($C$3,100))+(ROW()-ROW($C$3))/86400</s:f>
        <s:v>46247.562997685185</s:v>
      </s:c>
    </s:row>
    <s:row r="248">
      <s:c r="A248" s="0" t="n">
        <s:v>260813</s:v>
      </s:c>
      <s:c r="B248" s="0" t="inlineStr">
        <s:is>
          <s:t>이종훈</s:t>
        </s:is>
      </s:c>
      <s:c r="C248" s="0" t="n">
        <s:v>132639</s:v>
      </s:c>
      <s:c r="D248" s="0" t="n">
        <s:v>1557</s:v>
      </s:c>
      <s:c r="F248" s="24">
        <s:f>'자료구성'!$B$2+TIME(INT($C$3/10000),INT(MOD($C$3,10000)/100),MOD($C$3,100))+(ROW()-ROW($C$3))/86400</s:f>
        <s:v>46247.56300925926</s:v>
      </s:c>
    </s:row>
    <s:row r="249">
      <s:c r="A249" s="0" t="n">
        <s:v>260813</s:v>
      </s:c>
      <s:c r="B249" s="0" t="inlineStr">
        <s:is>
          <s:t>이종훈</s:t>
        </s:is>
      </s:c>
      <s:c r="C249" s="0" t="n">
        <s:v>132639</s:v>
      </s:c>
      <s:c r="D249" s="0" t="n">
        <s:v>1553</s:v>
      </s:c>
      <s:c r="F249" s="24">
        <s:f>'자료구성'!$B$2+TIME(INT($C$3/10000),INT(MOD($C$3,10000)/100),MOD($C$3,100))+(ROW()-ROW($C$3))/86400</s:f>
        <s:v>46247.56302083333</s:v>
      </s:c>
    </s:row>
    <s:row r="250">
      <s:c r="A250" s="0" t="n">
        <s:v>260813</s:v>
      </s:c>
      <s:c r="B250" s="0" t="inlineStr">
        <s:is>
          <s:t>이종훈</s:t>
        </s:is>
      </s:c>
      <s:c r="C250" s="0" t="n">
        <s:v>132639</s:v>
      </s:c>
      <s:c r="D250" s="0" t="n">
        <s:v>1554</s:v>
      </s:c>
      <s:c r="F250" s="24">
        <s:f>'자료구성'!$B$2+TIME(INT($C$3/10000),INT(MOD($C$3,10000)/100),MOD($C$3,100))+(ROW()-ROW($C$3))/86400</s:f>
        <s:v>46247.56303240741</s:v>
      </s:c>
    </s:row>
    <s:row r="251">
      <s:c r="A251" s="0" t="n">
        <s:v>260813</s:v>
      </s:c>
      <s:c r="B251" s="0" t="inlineStr">
        <s:is>
          <s:t>이종훈</s:t>
        </s:is>
      </s:c>
      <s:c r="C251" s="0" t="n">
        <s:v>132639</s:v>
      </s:c>
      <s:c r="D251" s="0" t="n">
        <s:v>1537</s:v>
      </s:c>
      <s:c r="F251" s="24">
        <s:f>'자료구성'!$B$2+TIME(INT($C$3/10000),INT(MOD($C$3,10000)/100),MOD($C$3,100))+(ROW()-ROW($C$3))/86400</s:f>
        <s:v>46247.563043981485</s:v>
      </s:c>
    </s:row>
    <s:row r="252">
      <s:c r="A252" s="0" t="n">
        <s:v>260813</s:v>
      </s:c>
      <s:c r="B252" s="0" t="inlineStr">
        <s:is>
          <s:t>이종훈</s:t>
        </s:is>
      </s:c>
      <s:c r="C252" s="0" t="n">
        <s:v>132639</s:v>
      </s:c>
      <s:c r="D252" s="0" t="n">
        <s:v>1578</s:v>
      </s:c>
      <s:c r="F252" s="24">
        <s:f>'자료구성'!$B$2+TIME(INT($C$3/10000),INT(MOD($C$3,10000)/100),MOD($C$3,100))+(ROW()-ROW($C$3))/86400</s:f>
        <s:v>46247.563055555554</s:v>
      </s:c>
    </s:row>
    <s:row r="253">
      <s:c r="A253" s="0" t="n">
        <s:v>260813</s:v>
      </s:c>
      <s:c r="B253" s="0" t="inlineStr">
        <s:is>
          <s:t>이종훈</s:t>
        </s:is>
      </s:c>
      <s:c r="C253" s="0" t="n">
        <s:v>132639</s:v>
      </s:c>
      <s:c r="D253" s="0" t="n">
        <s:v>1605</s:v>
      </s:c>
      <s:c r="F253" s="24">
        <s:f>'자료구성'!$B$2+TIME(INT($C$3/10000),INT(MOD($C$3,10000)/100),MOD($C$3,100))+(ROW()-ROW($C$3))/86400</s:f>
        <s:v>46247.56306712963</s:v>
      </s:c>
    </s:row>
    <s:row r="254">
      <s:c r="A254" s="0" t="n">
        <s:v>260813</s:v>
      </s:c>
      <s:c r="B254" s="0" t="inlineStr">
        <s:is>
          <s:t>이종훈</s:t>
        </s:is>
      </s:c>
      <s:c r="C254" s="0" t="n">
        <s:v>132639</s:v>
      </s:c>
      <s:c r="D254" s="0" t="n">
        <s:v>1591</s:v>
      </s:c>
      <s:c r="F254" s="24">
        <s:f>'자료구성'!$B$2+TIME(INT($C$3/10000),INT(MOD($C$3,10000)/100),MOD($C$3,100))+(ROW()-ROW($C$3))/86400</s:f>
        <s:v>46247.5630787037</s:v>
      </s:c>
    </s:row>
    <s:row r="255">
      <s:c r="A255" s="0" t="n">
        <s:v>260813</s:v>
      </s:c>
      <s:c r="B255" s="0" t="inlineStr">
        <s:is>
          <s:t>이종훈</s:t>
        </s:is>
      </s:c>
      <s:c r="C255" s="0" t="n">
        <s:v>132639</s:v>
      </s:c>
      <s:c r="D255" s="0" t="n">
        <s:v>1585</s:v>
      </s:c>
      <s:c r="F255" s="24">
        <s:f>'자료구성'!$B$2+TIME(INT($C$3/10000),INT(MOD($C$3,10000)/100),MOD($C$3,100))+(ROW()-ROW($C$3))/86400</s:f>
        <s:v>46247.56309027778</s:v>
      </s:c>
    </s:row>
    <s:row r="256">
      <s:c r="A256" s="0" t="n">
        <s:v>260813</s:v>
      </s:c>
      <s:c r="B256" s="0" t="inlineStr">
        <s:is>
          <s:t>이종훈</s:t>
        </s:is>
      </s:c>
      <s:c r="C256" s="0" t="n">
        <s:v>132639</s:v>
      </s:c>
      <s:c r="D256" s="0" t="n">
        <s:v>1603</s:v>
      </s:c>
      <s:c r="F256" s="24">
        <s:f>'자료구성'!$B$2+TIME(INT($C$3/10000),INT(MOD($C$3,10000)/100),MOD($C$3,100))+(ROW()-ROW($C$3))/86400</s:f>
        <s:v>46247.563101851854</s:v>
      </s:c>
    </s:row>
    <s:row r="257">
      <s:c r="A257" s="0" t="n">
        <s:v>260813</s:v>
      </s:c>
      <s:c r="B257" s="0" t="inlineStr">
        <s:is>
          <s:t>이종훈</s:t>
        </s:is>
      </s:c>
      <s:c r="C257" s="0" t="n">
        <s:v>132639</s:v>
      </s:c>
      <s:c r="D257" s="0" t="n">
        <s:v>1611</s:v>
      </s:c>
      <s:c r="F257" s="24">
        <s:f>'자료구성'!$B$2+TIME(INT($C$3/10000),INT(MOD($C$3,10000)/100),MOD($C$3,100))+(ROW()-ROW($C$3))/86400</s:f>
        <s:v>46247.563113425924</s:v>
      </s:c>
    </s:row>
    <s:row r="258">
      <s:c r="A258" s="0" t="n">
        <s:v>260813</s:v>
      </s:c>
      <s:c r="B258" s="0" t="inlineStr">
        <s:is>
          <s:t>이종훈</s:t>
        </s:is>
      </s:c>
      <s:c r="C258" s="0" t="n">
        <s:v>132639</s:v>
      </s:c>
      <s:c r="D258" s="0" t="n">
        <s:v>1618</s:v>
      </s:c>
      <s:c r="F258" s="24">
        <s:f>'자료구성'!$B$2+TIME(INT($C$3/10000),INT(MOD($C$3,10000)/100),MOD($C$3,100))+(ROW()-ROW($C$3))/86400</s:f>
        <s:v>46247.563125</s:v>
      </s:c>
    </s:row>
    <s:row r="259">
      <s:c r="A259" s="0" t="n">
        <s:v>260813</s:v>
      </s:c>
      <s:c r="B259" s="0" t="inlineStr">
        <s:is>
          <s:t>이종훈</s:t>
        </s:is>
      </s:c>
      <s:c r="C259" s="0" t="n">
        <s:v>132639</s:v>
      </s:c>
      <s:c r="D259" s="0" t="n">
        <s:v>1671</s:v>
      </s:c>
      <s:c r="F259" s="24">
        <s:f>'자료구성'!$B$2+TIME(INT($C$3/10000),INT(MOD($C$3,10000)/100),MOD($C$3,100))+(ROW()-ROW($C$3))/86400</s:f>
        <s:v>46247.56313657408</s:v>
      </s:c>
    </s:row>
    <s:row r="260">
      <s:c r="A260" s="0" t="n">
        <s:v>260813</s:v>
      </s:c>
      <s:c r="B260" s="0" t="inlineStr">
        <s:is>
          <s:t>이종훈</s:t>
        </s:is>
      </s:c>
      <s:c r="C260" s="0" t="n">
        <s:v>132639</s:v>
      </s:c>
      <s:c r="D260" s="0" t="n">
        <s:v>1697</s:v>
      </s:c>
      <s:c r="F260" s="24">
        <s:f>'자료구성'!$B$2+TIME(INT($C$3/10000),INT(MOD($C$3,10000)/100),MOD($C$3,100))+(ROW()-ROW($C$3))/86400</s:f>
        <s:v>46247.56314814815</s:v>
      </s:c>
    </s:row>
    <s:row r="261">
      <s:c r="A261" s="0" t="n">
        <s:v>260813</s:v>
      </s:c>
      <s:c r="B261" s="0" t="inlineStr">
        <s:is>
          <s:t>이종훈</s:t>
        </s:is>
      </s:c>
      <s:c r="C261" s="0" t="n">
        <s:v>132639</s:v>
      </s:c>
      <s:c r="D261" s="0" t="n">
        <s:v>1719</s:v>
      </s:c>
      <s:c r="F261" s="24">
        <s:f>'자료구성'!$B$2+TIME(INT($C$3/10000),INT(MOD($C$3,10000)/100),MOD($C$3,100))+(ROW()-ROW($C$3))/86400</s:f>
        <s:v>46247.563159722224</s:v>
      </s:c>
    </s:row>
    <s:row r="262">
      <s:c r="A262" s="0" t="n">
        <s:v>260813</s:v>
      </s:c>
      <s:c r="B262" s="0" t="inlineStr">
        <s:is>
          <s:t>이종훈</s:t>
        </s:is>
      </s:c>
      <s:c r="C262" s="0" t="n">
        <s:v>132639</s:v>
      </s:c>
      <s:c r="D262" s="0" t="n">
        <s:v>1719</s:v>
      </s:c>
      <s:c r="F262" s="24">
        <s:f>'자료구성'!$B$2+TIME(INT($C$3/10000),INT(MOD($C$3,10000)/100),MOD($C$3,100))+(ROW()-ROW($C$3))/86400</s:f>
        <s:v>46247.56317129629</s:v>
      </s:c>
    </s:row>
    <s:row r="263">
      <s:c r="A263" s="0" t="n">
        <s:v>260813</s:v>
      </s:c>
      <s:c r="B263" s="0" t="inlineStr">
        <s:is>
          <s:t>이종훈</s:t>
        </s:is>
      </s:c>
      <s:c r="C263" s="0" t="n">
        <s:v>132639</s:v>
      </s:c>
      <s:c r="D263" s="0" t="n">
        <s:v>1768</s:v>
      </s:c>
      <s:c r="F263" s="24">
        <s:f>'자료구성'!$B$2+TIME(INT($C$3/10000),INT(MOD($C$3,10000)/100),MOD($C$3,100))+(ROW()-ROW($C$3))/86400</s:f>
        <s:v>46247.56318287037</s:v>
      </s:c>
    </s:row>
    <s:row r="264">
      <s:c r="A264" s="0" t="n">
        <s:v>260813</s:v>
      </s:c>
      <s:c r="B264" s="0" t="inlineStr">
        <s:is>
          <s:t>이종훈</s:t>
        </s:is>
      </s:c>
      <s:c r="C264" s="0" t="n">
        <s:v>132639</s:v>
      </s:c>
      <s:c r="D264" s="0" t="n">
        <s:v>1776</s:v>
      </s:c>
      <s:c r="F264" s="24">
        <s:f>'자료구성'!$B$2+TIME(INT($C$3/10000),INT(MOD($C$3,10000)/100),MOD($C$3,100))+(ROW()-ROW($C$3))/86400</s:f>
        <s:v>46247.56319444445</s:v>
      </s:c>
    </s:row>
    <s:row r="265">
      <s:c r="A265" s="0" t="n">
        <s:v>260813</s:v>
      </s:c>
      <s:c r="B265" s="0" t="inlineStr">
        <s:is>
          <s:t>이종훈</s:t>
        </s:is>
      </s:c>
      <s:c r="C265" s="0" t="n">
        <s:v>132639</s:v>
      </s:c>
      <s:c r="D265" s="0" t="n">
        <s:v>1707</s:v>
      </s:c>
      <s:c r="F265" s="24">
        <s:f>'자료구성'!$B$2+TIME(INT($C$3/10000),INT(MOD($C$3,10000)/100),MOD($C$3,100))+(ROW()-ROW($C$3))/86400</s:f>
        <s:v>46247.563206018516</s:v>
      </s:c>
    </s:row>
    <s:row r="266">
      <s:c r="A266" s="0" t="n">
        <s:v>260813</s:v>
      </s:c>
      <s:c r="B266" s="0" t="inlineStr">
        <s:is>
          <s:t>이종훈</s:t>
        </s:is>
      </s:c>
      <s:c r="C266" s="0" t="n">
        <s:v>132639</s:v>
      </s:c>
      <s:c r="D266" s="0" t="n">
        <s:v>1635</s:v>
      </s:c>
      <s:c r="F266" s="24">
        <s:f>'자료구성'!$B$2+TIME(INT($C$3/10000),INT(MOD($C$3,10000)/100),MOD($C$3,100))+(ROW()-ROW($C$3))/86400</s:f>
        <s:v>46247.56321759259</s:v>
      </s:c>
    </s:row>
    <s:row r="267">
      <s:c r="A267" s="0" t="n">
        <s:v>260813</s:v>
      </s:c>
      <s:c r="B267" s="0" t="inlineStr">
        <s:is>
          <s:t>이종훈</s:t>
        </s:is>
      </s:c>
      <s:c r="C267" s="0" t="n">
        <s:v>132639</s:v>
      </s:c>
      <s:c r="D267" s="0" t="n">
        <s:v>1584</s:v>
      </s:c>
      <s:c r="F267" s="24">
        <s:f>'자료구성'!$B$2+TIME(INT($C$3/10000),INT(MOD($C$3,10000)/100),MOD($C$3,100))+(ROW()-ROW($C$3))/86400</s:f>
        <s:v>46247.56322916667</s:v>
      </s:c>
    </s:row>
    <s:row r="268">
      <s:c r="A268" s="0" t="n">
        <s:v>260813</s:v>
      </s:c>
      <s:c r="B268" s="0" t="inlineStr">
        <s:is>
          <s:t>이종훈</s:t>
        </s:is>
      </s:c>
      <s:c r="C268" s="0" t="n">
        <s:v>132639</s:v>
      </s:c>
      <s:c r="D268" s="0" t="n">
        <s:v>1580</s:v>
      </s:c>
      <s:c r="F268" s="24">
        <s:f>'자료구성'!$B$2+TIME(INT($C$3/10000),INT(MOD($C$3,10000)/100),MOD($C$3,100))+(ROW()-ROW($C$3))/86400</s:f>
        <s:v>46247.56324074074</s:v>
      </s:c>
    </s:row>
    <s:row r="269">
      <s:c r="A269" s="0" t="n">
        <s:v>260813</s:v>
      </s:c>
      <s:c r="B269" s="0" t="inlineStr">
        <s:is>
          <s:t>이종훈</s:t>
        </s:is>
      </s:c>
      <s:c r="C269" s="0" t="n">
        <s:v>132639</s:v>
      </s:c>
      <s:c r="D269" s="0" t="n">
        <s:v>1554</s:v>
      </s:c>
      <s:c r="F269" s="24">
        <s:f>'자료구성'!$B$2+TIME(INT($C$3/10000),INT(MOD($C$3,10000)/100),MOD($C$3,100))+(ROW()-ROW($C$3))/86400</s:f>
        <s:v>46247.563252314816</s:v>
      </s:c>
    </s:row>
    <s:row r="270">
      <s:c r="A270" s="0" t="n">
        <s:v>260813</s:v>
      </s:c>
      <s:c r="B270" s="0" t="inlineStr">
        <s:is>
          <s:t>이종훈</s:t>
        </s:is>
      </s:c>
      <s:c r="C270" s="0" t="n">
        <s:v>132639</s:v>
      </s:c>
      <s:c r="D270" s="0" t="n">
        <s:v>1516</s:v>
      </s:c>
      <s:c r="F270" s="24">
        <s:f>'자료구성'!$B$2+TIME(INT($C$3/10000),INT(MOD($C$3,10000)/100),MOD($C$3,100))+(ROW()-ROW($C$3))/86400</s:f>
        <s:v>46247.563263888886</s:v>
      </s:c>
    </s:row>
    <s:row r="271">
      <s:c r="A271" s="0" t="n">
        <s:v>260813</s:v>
      </s:c>
      <s:c r="B271" s="0" t="inlineStr">
        <s:is>
          <s:t>이종훈</s:t>
        </s:is>
      </s:c>
      <s:c r="C271" s="0" t="n">
        <s:v>132639</s:v>
      </s:c>
      <s:c r="D271" s="0" t="n">
        <s:v>1480</s:v>
      </s:c>
      <s:c r="F271" s="24">
        <s:f>'자료구성'!$B$2+TIME(INT($C$3/10000),INT(MOD($C$3,10000)/100),MOD($C$3,100))+(ROW()-ROW($C$3))/86400</s:f>
        <s:v>46247.56327546296</s:v>
      </s:c>
    </s:row>
    <s:row r="272">
      <s:c r="A272" s="0" t="n">
        <s:v>260813</s:v>
      </s:c>
      <s:c r="B272" s="0" t="inlineStr">
        <s:is>
          <s:t>이종훈</s:t>
        </s:is>
      </s:c>
      <s:c r="C272" s="0" t="n">
        <s:v>132639</s:v>
      </s:c>
      <s:c r="D272" s="0" t="n">
        <s:v>1436</s:v>
      </s:c>
      <s:c r="F272" s="24">
        <s:f>'자료구성'!$B$2+TIME(INT($C$3/10000),INT(MOD($C$3,10000)/100),MOD($C$3,100))+(ROW()-ROW($C$3))/86400</s:f>
        <s:v>46247.56328703704</s:v>
      </s:c>
    </s:row>
    <s:row r="273">
      <s:c r="A273" s="0" t="n">
        <s:v>260813</s:v>
      </s:c>
      <s:c r="B273" s="0" t="inlineStr">
        <s:is>
          <s:t>이종훈</s:t>
        </s:is>
      </s:c>
      <s:c r="C273" s="0" t="n">
        <s:v>132639</s:v>
      </s:c>
      <s:c r="D273" s="0" t="n">
        <s:v>1438</s:v>
      </s:c>
      <s:c r="F273" s="24">
        <s:f>'자료구성'!$B$2+TIME(INT($C$3/10000),INT(MOD($C$3,10000)/100),MOD($C$3,100))+(ROW()-ROW($C$3))/86400</s:f>
        <s:v>46247.56329861111</s:v>
      </s:c>
    </s:row>
    <s:row r="274">
      <s:c r="A274" s="0" t="n">
        <s:v>260813</s:v>
      </s:c>
      <s:c r="B274" s="0" t="inlineStr">
        <s:is>
          <s:t>이종훈</s:t>
        </s:is>
      </s:c>
      <s:c r="C274" s="0" t="n">
        <s:v>132639</s:v>
      </s:c>
      <s:c r="D274" s="0" t="n">
        <s:v>1447</s:v>
      </s:c>
      <s:c r="F274" s="24">
        <s:f>'자료구성'!$B$2+TIME(INT($C$3/10000),INT(MOD($C$3,10000)/100),MOD($C$3,100))+(ROW()-ROW($C$3))/86400</s:f>
        <s:v>46247.563310185185</s:v>
      </s:c>
    </s:row>
    <s:row r="275">
      <s:c r="A275" s="0" t="n">
        <s:v>260813</s:v>
      </s:c>
      <s:c r="B275" s="0" t="inlineStr">
        <s:is>
          <s:t>이종훈</s:t>
        </s:is>
      </s:c>
      <s:c r="C275" s="0" t="n">
        <s:v>132639</s:v>
      </s:c>
      <s:c r="D275" s="0" t="n">
        <s:v>1423</s:v>
      </s:c>
      <s:c r="F275" s="24">
        <s:f>'자료구성'!$B$2+TIME(INT($C$3/10000),INT(MOD($C$3,10000)/100),MOD($C$3,100))+(ROW()-ROW($C$3))/86400</s:f>
        <s:v>46247.56332175926</s:v>
      </s:c>
    </s:row>
    <s:row r="276">
      <s:c r="A276" s="0" t="n">
        <s:v>260813</s:v>
      </s:c>
      <s:c r="B276" s="0" t="inlineStr">
        <s:is>
          <s:t>이종훈</s:t>
        </s:is>
      </s:c>
      <s:c r="C276" s="0" t="n">
        <s:v>132639</s:v>
      </s:c>
      <s:c r="D276" s="0" t="n">
        <s:v>1396</s:v>
      </s:c>
      <s:c r="F276" s="24">
        <s:f>'자료구성'!$B$2+TIME(INT($C$3/10000),INT(MOD($C$3,10000)/100),MOD($C$3,100))+(ROW()-ROW($C$3))/86400</s:f>
        <s:v>46247.56333333333</s:v>
      </s:c>
    </s:row>
    <s:row r="277">
      <s:c r="A277" s="0" t="n">
        <s:v>260813</s:v>
      </s:c>
      <s:c r="B277" s="0" t="inlineStr">
        <s:is>
          <s:t>이종훈</s:t>
        </s:is>
      </s:c>
      <s:c r="C277" s="0" t="n">
        <s:v>132639</s:v>
      </s:c>
      <s:c r="D277" s="0" t="n">
        <s:v>1430</s:v>
      </s:c>
      <s:c r="F277" s="24">
        <s:f>'자료구성'!$B$2+TIME(INT($C$3/10000),INT(MOD($C$3,10000)/100),MOD($C$3,100))+(ROW()-ROW($C$3))/86400</s:f>
        <s:v>46247.56334490741</s:v>
      </s:c>
    </s:row>
    <s:row r="278">
      <s:c r="A278" s="0" t="n">
        <s:v>260813</s:v>
      </s:c>
      <s:c r="B278" s="0" t="inlineStr">
        <s:is>
          <s:t>이종훈</s:t>
        </s:is>
      </s:c>
      <s:c r="C278" s="0" t="n">
        <s:v>132639</s:v>
      </s:c>
      <s:c r="D278" s="0" t="n">
        <s:v>1440</s:v>
      </s:c>
      <s:c r="F278" s="24">
        <s:f>'자료구성'!$B$2+TIME(INT($C$3/10000),INT(MOD($C$3,10000)/100),MOD($C$3,100))+(ROW()-ROW($C$3))/86400</s:f>
        <s:v>46247.56335648148</s:v>
      </s:c>
    </s:row>
    <s:row r="279">
      <s:c r="A279" s="0" t="n">
        <s:v>260813</s:v>
      </s:c>
      <s:c r="B279" s="0" t="inlineStr">
        <s:is>
          <s:t>이종훈</s:t>
        </s:is>
      </s:c>
      <s:c r="C279" s="0" t="n">
        <s:v>132639</s:v>
      </s:c>
      <s:c r="D279" s="0" t="n">
        <s:v>1423</s:v>
      </s:c>
      <s:c r="F279" s="24">
        <s:f>'자료구성'!$B$2+TIME(INT($C$3/10000),INT(MOD($C$3,10000)/100),MOD($C$3,100))+(ROW()-ROW($C$3))/86400</s:f>
        <s:v>46247.563368055555</s:v>
      </s:c>
    </s:row>
    <s:row r="280">
      <s:c r="A280" s="0" t="n">
        <s:v>260813</s:v>
      </s:c>
      <s:c r="B280" s="0" t="inlineStr">
        <s:is>
          <s:t>이종훈</s:t>
        </s:is>
      </s:c>
      <s:c r="C280" s="0" t="n">
        <s:v>132639</s:v>
      </s:c>
      <s:c r="D280" s="0" t="n">
        <s:v>1381</s:v>
      </s:c>
      <s:c r="F280" s="24">
        <s:f>'자료구성'!$B$2+TIME(INT($C$3/10000),INT(MOD($C$3,10000)/100),MOD($C$3,100))+(ROW()-ROW($C$3))/86400</s:f>
        <s:v>46247.56337962963</s:v>
      </s:c>
    </s:row>
    <s:row r="281">
      <s:c r="A281" s="0" t="n">
        <s:v>260813</s:v>
      </s:c>
      <s:c r="B281" s="0" t="inlineStr">
        <s:is>
          <s:t>이종훈</s:t>
        </s:is>
      </s:c>
      <s:c r="C281" s="0" t="n">
        <s:v>132639</s:v>
      </s:c>
      <s:c r="D281" s="0" t="n">
        <s:v>1370</s:v>
      </s:c>
      <s:c r="F281" s="24">
        <s:f>'자료구성'!$B$2+TIME(INT($C$3/10000),INT(MOD($C$3,10000)/100),MOD($C$3,100))+(ROW()-ROW($C$3))/86400</s:f>
        <s:v>46247.5633912037</s:v>
      </s:c>
    </s:row>
    <s:row r="282">
      <s:c r="A282" s="0" t="n">
        <s:v>260813</s:v>
      </s:c>
      <s:c r="B282" s="0" t="inlineStr">
        <s:is>
          <s:t>이종훈</s:t>
        </s:is>
      </s:c>
      <s:c r="C282" s="0" t="n">
        <s:v>132639</s:v>
      </s:c>
      <s:c r="D282" s="0" t="n">
        <s:v>1376</s:v>
      </s:c>
      <s:c r="F282" s="24">
        <s:f>'자료구성'!$B$2+TIME(INT($C$3/10000),INT(MOD($C$3,10000)/100),MOD($C$3,100))+(ROW()-ROW($C$3))/86400</s:f>
        <s:v>46247.56340277778</s:v>
      </s:c>
    </s:row>
    <s:row r="283">
      <s:c r="A283" s="0" t="n">
        <s:v>260813</s:v>
      </s:c>
      <s:c r="B283" s="0" t="inlineStr">
        <s:is>
          <s:t>이종훈</s:t>
        </s:is>
      </s:c>
      <s:c r="C283" s="0" t="n">
        <s:v>132639</s:v>
      </s:c>
      <s:c r="D283" s="0" t="n">
        <s:v>1363</s:v>
      </s:c>
      <s:c r="F283" s="24">
        <s:f>'자료구성'!$B$2+TIME(INT($C$3/10000),INT(MOD($C$3,10000)/100),MOD($C$3,100))+(ROW()-ROW($C$3))/86400</s:f>
        <s:v>46247.563414351855</s:v>
      </s:c>
    </s:row>
    <s:row r="284">
      <s:c r="A284" s="0" t="n">
        <s:v>260813</s:v>
      </s:c>
      <s:c r="B284" s="0" t="inlineStr">
        <s:is>
          <s:t>이종훈</s:t>
        </s:is>
      </s:c>
      <s:c r="C284" s="0" t="n">
        <s:v>132639</s:v>
      </s:c>
      <s:c r="D284" s="0" t="n">
        <s:v>1345</s:v>
      </s:c>
      <s:c r="F284" s="24">
        <s:f>'자료구성'!$B$2+TIME(INT($C$3/10000),INT(MOD($C$3,10000)/100),MOD($C$3,100))+(ROW()-ROW($C$3))/86400</s:f>
        <s:v>46247.563425925924</s:v>
      </s:c>
    </s:row>
    <s:row r="285">
      <s:c r="A285" s="0" t="n">
        <s:v>260813</s:v>
      </s:c>
      <s:c r="B285" s="0" t="inlineStr">
        <s:is>
          <s:t>이종훈</s:t>
        </s:is>
      </s:c>
      <s:c r="C285" s="0" t="n">
        <s:v>132639</s:v>
      </s:c>
      <s:c r="D285" s="0" t="n">
        <s:v>1338</s:v>
      </s:c>
      <s:c r="F285" s="24">
        <s:f>'자료구성'!$B$2+TIME(INT($C$3/10000),INT(MOD($C$3,10000)/100),MOD($C$3,100))+(ROW()-ROW($C$3))/86400</s:f>
        <s:v>46247.5634375</s:v>
      </s:c>
    </s:row>
    <s:row r="286">
      <s:c r="A286" s="0" t="n">
        <s:v>260813</s:v>
      </s:c>
      <s:c r="B286" s="0" t="inlineStr">
        <s:is>
          <s:t>이종훈</s:t>
        </s:is>
      </s:c>
      <s:c r="C286" s="0" t="n">
        <s:v>132639</s:v>
      </s:c>
      <s:c r="D286" s="0" t="n">
        <s:v>1372</s:v>
      </s:c>
      <s:c r="F286" s="24">
        <s:f>'자료구성'!$B$2+TIME(INT($C$3/10000),INT(MOD($C$3,10000)/100),MOD($C$3,100))+(ROW()-ROW($C$3))/86400</s:f>
        <s:v>46247.56344907408</s:v>
      </s:c>
    </s:row>
    <s:row r="287">
      <s:c r="A287" s="0" t="n">
        <s:v>260813</s:v>
      </s:c>
      <s:c r="B287" s="0" t="inlineStr">
        <s:is>
          <s:t>이종훈</s:t>
        </s:is>
      </s:c>
      <s:c r="C287" s="0" t="n">
        <s:v>132639</s:v>
      </s:c>
      <s:c r="D287" s="0" t="n">
        <s:v>1437</s:v>
      </s:c>
      <s:c r="F287" s="24">
        <s:f>'자료구성'!$B$2+TIME(INT($C$3/10000),INT(MOD($C$3,10000)/100),MOD($C$3,100))+(ROW()-ROW($C$3))/86400</s:f>
        <s:v>46247.56346064815</s:v>
      </s:c>
    </s:row>
    <s:row r="288">
      <s:c r="A288" s="0" t="n">
        <s:v>260813</s:v>
      </s:c>
      <s:c r="B288" s="0" t="inlineStr">
        <s:is>
          <s:t>이종훈</s:t>
        </s:is>
      </s:c>
      <s:c r="C288" s="0" t="n">
        <s:v>132639</s:v>
      </s:c>
      <s:c r="D288" s="0" t="n">
        <s:v>1452</s:v>
      </s:c>
      <s:c r="F288" s="24">
        <s:f>'자료구성'!$B$2+TIME(INT($C$3/10000),INT(MOD($C$3,10000)/100),MOD($C$3,100))+(ROW()-ROW($C$3))/86400</s:f>
        <s:v>46247.563472222224</s:v>
      </s:c>
    </s:row>
    <s:row r="289">
      <s:c r="A289" s="0" t="n">
        <s:v>260813</s:v>
      </s:c>
      <s:c r="B289" s="0" t="inlineStr">
        <s:is>
          <s:t>이종훈</s:t>
        </s:is>
      </s:c>
      <s:c r="C289" s="0" t="n">
        <s:v>132639</s:v>
      </s:c>
      <s:c r="D289" s="0" t="n">
        <s:v>1420</s:v>
      </s:c>
      <s:c r="F289" s="24">
        <s:f>'자료구성'!$B$2+TIME(INT($C$3/10000),INT(MOD($C$3,10000)/100),MOD($C$3,100))+(ROW()-ROW($C$3))/86400</s:f>
        <s:v>46247.56348379629</s:v>
      </s:c>
    </s:row>
    <s:row r="290">
      <s:c r="A290" s="0" t="n">
        <s:v>260813</s:v>
      </s:c>
      <s:c r="B290" s="0" t="inlineStr">
        <s:is>
          <s:t>이종훈</s:t>
        </s:is>
      </s:c>
      <s:c r="C290" s="0" t="n">
        <s:v>132639</s:v>
      </s:c>
      <s:c r="D290" s="0" t="n">
        <s:v>1411</s:v>
      </s:c>
      <s:c r="F290" s="24">
        <s:f>'자료구성'!$B$2+TIME(INT($C$3/10000),INT(MOD($C$3,10000)/100),MOD($C$3,100))+(ROW()-ROW($C$3))/86400</s:f>
        <s:v>46247.56349537037</s:v>
      </s:c>
    </s:row>
    <s:row r="291">
      <s:c r="A291" s="0" t="n">
        <s:v>260813</s:v>
      </s:c>
      <s:c r="B291" s="0" t="inlineStr">
        <s:is>
          <s:t>이종훈</s:t>
        </s:is>
      </s:c>
      <s:c r="C291" s="0" t="n">
        <s:v>132639</s:v>
      </s:c>
      <s:c r="D291" s="0" t="n">
        <s:v>1432</s:v>
      </s:c>
      <s:c r="F291" s="24">
        <s:f>'자료구성'!$B$2+TIME(INT($C$3/10000),INT(MOD($C$3,10000)/100),MOD($C$3,100))+(ROW()-ROW($C$3))/86400</s:f>
        <s:v>46247.56350694445</s:v>
      </s:c>
    </s:row>
    <s:row r="292">
      <s:c r="A292" s="0" t="n">
        <s:v>260813</s:v>
      </s:c>
      <s:c r="B292" s="0" t="inlineStr">
        <s:is>
          <s:t>이종훈</s:t>
        </s:is>
      </s:c>
      <s:c r="C292" s="0" t="n">
        <s:v>132639</s:v>
      </s:c>
      <s:c r="D292" s="0" t="n">
        <s:v>1423</s:v>
      </s:c>
      <s:c r="F292" s="24">
        <s:f>'자료구성'!$B$2+TIME(INT($C$3/10000),INT(MOD($C$3,10000)/100),MOD($C$3,100))+(ROW()-ROW($C$3))/86400</s:f>
        <s:v>46247.56351851852</s:v>
      </s:c>
    </s:row>
    <s:row r="293">
      <s:c r="A293" s="0" t="n">
        <s:v>260813</s:v>
      </s:c>
      <s:c r="B293" s="0" t="inlineStr">
        <s:is>
          <s:t>이종훈</s:t>
        </s:is>
      </s:c>
      <s:c r="C293" s="0" t="n">
        <s:v>132639</s:v>
      </s:c>
      <s:c r="D293" s="0" t="n">
        <s:v>1445</s:v>
      </s:c>
      <s:c r="F293" s="24">
        <s:f>'자료구성'!$B$2+TIME(INT($C$3/10000),INT(MOD($C$3,10000)/100),MOD($C$3,100))+(ROW()-ROW($C$3))/86400</s:f>
        <s:v>46247.56353009259</s:v>
      </s:c>
    </s:row>
    <s:row r="294">
      <s:c r="A294" s="0" t="n">
        <s:v>260813</s:v>
      </s:c>
      <s:c r="B294" s="0" t="inlineStr">
        <s:is>
          <s:t>이종훈</s:t>
        </s:is>
      </s:c>
      <s:c r="C294" s="0" t="n">
        <s:v>132639</s:v>
      </s:c>
      <s:c r="D294" s="0" t="n">
        <s:v>1435</s:v>
      </s:c>
      <s:c r="F294" s="24">
        <s:f>'자료구성'!$B$2+TIME(INT($C$3/10000),INT(MOD($C$3,10000)/100),MOD($C$3,100))+(ROW()-ROW($C$3))/86400</s:f>
        <s:v>46247.56354166667</s:v>
      </s:c>
    </s:row>
    <s:row r="295">
      <s:c r="A295" s="0" t="n">
        <s:v>260813</s:v>
      </s:c>
      <s:c r="B295" s="0" t="inlineStr">
        <s:is>
          <s:t>이종훈</s:t>
        </s:is>
      </s:c>
      <s:c r="C295" s="0" t="n">
        <s:v>132639</s:v>
      </s:c>
      <s:c r="D295" s="0" t="n">
        <s:v>1420</s:v>
      </s:c>
      <s:c r="F295" s="24">
        <s:f>'자료구성'!$B$2+TIME(INT($C$3/10000),INT(MOD($C$3,10000)/100),MOD($C$3,100))+(ROW()-ROW($C$3))/86400</s:f>
        <s:v>46247.56355324074</s:v>
      </s:c>
    </s:row>
    <s:row r="296">
      <s:c r="A296" s="0" t="n">
        <s:v>260813</s:v>
      </s:c>
      <s:c r="B296" s="0" t="inlineStr">
        <s:is>
          <s:t>이종훈</s:t>
        </s:is>
      </s:c>
      <s:c r="C296" s="0" t="n">
        <s:v>132639</s:v>
      </s:c>
      <s:c r="D296" s="0" t="n">
        <s:v>1493</s:v>
      </s:c>
      <s:c r="F296" s="24">
        <s:f>'자료구성'!$B$2+TIME(INT($C$3/10000),INT(MOD($C$3,10000)/100),MOD($C$3,100))+(ROW()-ROW($C$3))/86400</s:f>
        <s:v>46247.563564814816</s:v>
      </s:c>
    </s:row>
    <s:row r="297">
      <s:c r="A297" s="0" t="n">
        <s:v>260813</s:v>
      </s:c>
      <s:c r="B297" s="0" t="inlineStr">
        <s:is>
          <s:t>이종훈</s:t>
        </s:is>
      </s:c>
      <s:c r="C297" s="0" t="n">
        <s:v>132639</s:v>
      </s:c>
      <s:c r="D297" s="0" t="n">
        <s:v>1555</s:v>
      </s:c>
      <s:c r="F297" s="24">
        <s:f>'자료구성'!$B$2+TIME(INT($C$3/10000),INT(MOD($C$3,10000)/100),MOD($C$3,100))+(ROW()-ROW($C$3))/86400</s:f>
        <s:v>46247.563576388886</s:v>
      </s:c>
    </s:row>
    <s:row r="298">
      <s:c r="A298" s="0" t="n">
        <s:v>260813</s:v>
      </s:c>
      <s:c r="B298" s="0" t="inlineStr">
        <s:is>
          <s:t>이종훈</s:t>
        </s:is>
      </s:c>
      <s:c r="C298" s="0" t="n">
        <s:v>132639</s:v>
      </s:c>
      <s:c r="D298" s="0" t="n">
        <s:v>1584</s:v>
      </s:c>
      <s:c r="F298" s="24">
        <s:f>'자료구성'!$B$2+TIME(INT($C$3/10000),INT(MOD($C$3,10000)/100),MOD($C$3,100))+(ROW()-ROW($C$3))/86400</s:f>
        <s:v>46247.56358796296</s:v>
      </s:c>
    </s:row>
    <s:row r="299">
      <s:c r="A299" s="0" t="n">
        <s:v>260813</s:v>
      </s:c>
      <s:c r="B299" s="0" t="inlineStr">
        <s:is>
          <s:t>이종훈</s:t>
        </s:is>
      </s:c>
      <s:c r="C299" s="0" t="n">
        <s:v>132639</s:v>
      </s:c>
      <s:c r="D299" s="0" t="n">
        <s:v>1604</s:v>
      </s:c>
      <s:c r="F299" s="24">
        <s:f>'자료구성'!$B$2+TIME(INT($C$3/10000),INT(MOD($C$3,10000)/100),MOD($C$3,100))+(ROW()-ROW($C$3))/86400</s:f>
        <s:v>46247.56359953704</s:v>
      </s:c>
    </s:row>
    <s:row r="300">
      <s:c r="A300" s="0" t="n">
        <s:v>260813</s:v>
      </s:c>
      <s:c r="B300" s="0" t="inlineStr">
        <s:is>
          <s:t>이종훈</s:t>
        </s:is>
      </s:c>
      <s:c r="C300" s="0" t="n">
        <s:v>132639</s:v>
      </s:c>
      <s:c r="D300" s="0" t="n">
        <s:v>1597</s:v>
      </s:c>
      <s:c r="F300" s="24">
        <s:f>'자료구성'!$B$2+TIME(INT($C$3/10000),INT(MOD($C$3,10000)/100),MOD($C$3,100))+(ROW()-ROW($C$3))/86400</s:f>
        <s:v>46247.56361111111</s:v>
      </s:c>
    </s:row>
    <s:row r="301">
      <s:c r="A301" s="0" t="n">
        <s:v>260813</s:v>
      </s:c>
      <s:c r="B301" s="0" t="inlineStr">
        <s:is>
          <s:t>이종훈</s:t>
        </s:is>
      </s:c>
      <s:c r="C301" s="0" t="n">
        <s:v>132639</s:v>
      </s:c>
      <s:c r="D301" s="0" t="n">
        <s:v>1596</s:v>
      </s:c>
      <s:c r="F301" s="24">
        <s:f>'자료구성'!$B$2+TIME(INT($C$3/10000),INT(MOD($C$3,10000)/100),MOD($C$3,100))+(ROW()-ROW($C$3))/86400</s:f>
        <s:v>46247.563622685186</s:v>
      </s:c>
    </s:row>
    <s:row r="302">
      <s:c r="A302" s="0" t="n">
        <s:v>260813</s:v>
      </s:c>
      <s:c r="B302" s="0" t="inlineStr">
        <s:is>
          <s:t>이종훈</s:t>
        </s:is>
      </s:c>
      <s:c r="C302" s="0" t="n">
        <s:v>132639</s:v>
      </s:c>
      <s:c r="D302" s="0" t="n">
        <s:v>1623</s:v>
      </s:c>
      <s:c r="F302" s="24">
        <s:f>'자료구성'!$B$2+TIME(INT($C$3/10000),INT(MOD($C$3,10000)/100),MOD($C$3,100))+(ROW()-ROW($C$3))/86400</s:f>
        <s:v>46247.56363425926</s:v>
      </s:c>
    </s:row>
    <s:row r="303">
      <s:c r="A303" s="0" t="n">
        <s:v>260813</s:v>
      </s:c>
      <s:c r="B303" s="0" t="inlineStr">
        <s:is>
          <s:t>이종훈</s:t>
        </s:is>
      </s:c>
      <s:c r="C303" s="0" t="n">
        <s:v>132639</s:v>
      </s:c>
      <s:c r="D303" s="0" t="n">
        <s:v>1647</s:v>
      </s:c>
      <s:c r="F303" s="24">
        <s:f>'자료구성'!$B$2+TIME(INT($C$3/10000),INT(MOD($C$3,10000)/100),MOD($C$3,100))+(ROW()-ROW($C$3))/86400</s:f>
        <s:v>46247.56364583333</s:v>
      </s:c>
    </s:row>
    <s:row r="304">
      <s:c r="A304" s="0" t="n">
        <s:v>260813</s:v>
      </s:c>
      <s:c r="B304" s="0" t="inlineStr">
        <s:is>
          <s:t>이종훈</s:t>
        </s:is>
      </s:c>
      <s:c r="C304" s="0" t="n">
        <s:v>132639</s:v>
      </s:c>
      <s:c r="D304" s="0" t="n">
        <s:v>1687</s:v>
      </s:c>
      <s:c r="F304" s="24">
        <s:f>'자료구성'!$B$2+TIME(INT($C$3/10000),INT(MOD($C$3,10000)/100),MOD($C$3,100))+(ROW()-ROW($C$3))/86400</s:f>
        <s:v>46247.56365740741</s:v>
      </s:c>
    </s:row>
    <s:row r="305">
      <s:c r="A305" s="0" t="n">
        <s:v>260813</s:v>
      </s:c>
      <s:c r="B305" s="0" t="inlineStr">
        <s:is>
          <s:t>이종훈</s:t>
        </s:is>
      </s:c>
      <s:c r="C305" s="0" t="n">
        <s:v>132639</s:v>
      </s:c>
      <s:c r="D305" s="0" t="n">
        <s:v>1712</s:v>
      </s:c>
      <s:c r="F305" s="24">
        <s:f>'자료구성'!$B$2+TIME(INT($C$3/10000),INT(MOD($C$3,10000)/100),MOD($C$3,100))+(ROW()-ROW($C$3))/86400</s:f>
        <s:v>46247.56366898148</s:v>
      </s:c>
    </s:row>
    <s:row r="306">
      <s:c r="A306" s="0" t="n">
        <s:v>260813</s:v>
      </s:c>
      <s:c r="B306" s="0" t="inlineStr">
        <s:is>
          <s:t>이종훈</s:t>
        </s:is>
      </s:c>
      <s:c r="C306" s="0" t="n">
        <s:v>132639</s:v>
      </s:c>
      <s:c r="D306" s="0" t="n">
        <s:v>1727</s:v>
      </s:c>
      <s:c r="F306" s="24">
        <s:f>'자료구성'!$B$2+TIME(INT($C$3/10000),INT(MOD($C$3,10000)/100),MOD($C$3,100))+(ROW()-ROW($C$3))/86400</s:f>
        <s:v>46247.563680555555</s:v>
      </s:c>
    </s:row>
    <s:row r="307">
      <s:c r="A307" s="0" t="n">
        <s:v>260813</s:v>
      </s:c>
      <s:c r="B307" s="0" t="inlineStr">
        <s:is>
          <s:t>이종훈</s:t>
        </s:is>
      </s:c>
      <s:c r="C307" s="0" t="n">
        <s:v>132639</s:v>
      </s:c>
      <s:c r="D307" s="0" t="n">
        <s:v>1753</s:v>
      </s:c>
      <s:c r="F307" s="24">
        <s:f>'자료구성'!$B$2+TIME(INT($C$3/10000),INT(MOD($C$3,10000)/100),MOD($C$3,100))+(ROW()-ROW($C$3))/86400</s:f>
        <s:v>46247.56369212963</s:v>
      </s:c>
    </s:row>
    <s:row r="308">
      <s:c r="A308" s="0" t="n">
        <s:v>260813</s:v>
      </s:c>
      <s:c r="B308" s="0" t="inlineStr">
        <s:is>
          <s:t>이종훈</s:t>
        </s:is>
      </s:c>
      <s:c r="C308" s="0" t="n">
        <s:v>132639</s:v>
      </s:c>
      <s:c r="D308" s="0" t="n">
        <s:v>1772</s:v>
      </s:c>
      <s:c r="F308" s="24">
        <s:f>'자료구성'!$B$2+TIME(INT($C$3/10000),INT(MOD($C$3,10000)/100),MOD($C$3,100))+(ROW()-ROW($C$3))/86400</s:f>
        <s:v>46247.5637037037</s:v>
      </s:c>
    </s:row>
    <s:row r="309">
      <s:c r="A309" s="0" t="n">
        <s:v>260813</s:v>
      </s:c>
      <s:c r="B309" s="0" t="inlineStr">
        <s:is>
          <s:t>이종훈</s:t>
        </s:is>
      </s:c>
      <s:c r="C309" s="0" t="n">
        <s:v>132639</s:v>
      </s:c>
      <s:c r="D309" s="0" t="n">
        <s:v>1798</s:v>
      </s:c>
      <s:c r="F309" s="24">
        <s:f>'자료구성'!$B$2+TIME(INT($C$3/10000),INT(MOD($C$3,10000)/100),MOD($C$3,100))+(ROW()-ROW($C$3))/86400</s:f>
        <s:v>46247.56371527778</s:v>
      </s:c>
    </s:row>
    <s:row r="310">
      <s:c r="A310" s="0" t="n">
        <s:v>260813</s:v>
      </s:c>
      <s:c r="B310" s="0" t="inlineStr">
        <s:is>
          <s:t>이종훈</s:t>
        </s:is>
      </s:c>
      <s:c r="C310" s="0" t="n">
        <s:v>132639</s:v>
      </s:c>
      <s:c r="D310" s="0" t="n">
        <s:v>1831</s:v>
      </s:c>
      <s:c r="F310" s="24">
        <s:f>'자료구성'!$B$2+TIME(INT($C$3/10000),INT(MOD($C$3,10000)/100),MOD($C$3,100))+(ROW()-ROW($C$3))/86400</s:f>
        <s:v>46247.563726851855</s:v>
      </s:c>
    </s:row>
    <s:row r="311">
      <s:c r="A311" s="0" t="n">
        <s:v>260813</s:v>
      </s:c>
      <s:c r="B311" s="0" t="inlineStr">
        <s:is>
          <s:t>이종훈</s:t>
        </s:is>
      </s:c>
      <s:c r="C311" s="0" t="n">
        <s:v>132639</s:v>
      </s:c>
      <s:c r="D311" s="0" t="n">
        <s:v>1886</s:v>
      </s:c>
      <s:c r="F311" s="24">
        <s:f>'자료구성'!$B$2+TIME(INT($C$3/10000),INT(MOD($C$3,10000)/100),MOD($C$3,100))+(ROW()-ROW($C$3))/86400</s:f>
        <s:v>46247.563738425924</s:v>
      </s:c>
    </s:row>
    <s:row r="312">
      <s:c r="A312" s="0" t="n">
        <s:v>260813</s:v>
      </s:c>
      <s:c r="B312" s="0" t="inlineStr">
        <s:is>
          <s:t>이종훈</s:t>
        </s:is>
      </s:c>
      <s:c r="C312" s="0" t="n">
        <s:v>132639</s:v>
      </s:c>
      <s:c r="D312" s="0" t="n">
        <s:v>1911</s:v>
      </s:c>
      <s:c r="F312" s="24">
        <s:f>'자료구성'!$B$2+TIME(INT($C$3/10000),INT(MOD($C$3,10000)/100),MOD($C$3,100))+(ROW()-ROW($C$3))/86400</s:f>
        <s:v>46247.56375</s:v>
      </s:c>
    </s:row>
    <s:row r="313">
      <s:c r="A313" s="0" t="n">
        <s:v>260813</s:v>
      </s:c>
      <s:c r="B313" s="0" t="inlineStr">
        <s:is>
          <s:t>이종훈</s:t>
        </s:is>
      </s:c>
      <s:c r="C313" s="0" t="n">
        <s:v>132639</s:v>
      </s:c>
      <s:c r="D313" s="0" t="n">
        <s:v>1927</s:v>
      </s:c>
      <s:c r="F313" s="24">
        <s:f>'자료구성'!$B$2+TIME(INT($C$3/10000),INT(MOD($C$3,10000)/100),MOD($C$3,100))+(ROW()-ROW($C$3))/86400</s:f>
        <s:v>46247.56376157407</s:v>
      </s:c>
    </s:row>
    <s:row r="314">
      <s:c r="A314" s="0" t="n">
        <s:v>260813</s:v>
      </s:c>
      <s:c r="B314" s="0" t="inlineStr">
        <s:is>
          <s:t>이종훈</s:t>
        </s:is>
      </s:c>
      <s:c r="C314" s="0" t="n">
        <s:v>132639</s:v>
      </s:c>
      <s:c r="D314" s="0" t="n">
        <s:v>1903</s:v>
      </s:c>
      <s:c r="F314" s="24">
        <s:f>'자료구성'!$B$2+TIME(INT($C$3/10000),INT(MOD($C$3,10000)/100),MOD($C$3,100))+(ROW()-ROW($C$3))/86400</s:f>
        <s:v>46247.56377314815</s:v>
      </s:c>
    </s:row>
    <s:row r="315">
      <s:c r="A315" s="0" t="n">
        <s:v>260813</s:v>
      </s:c>
      <s:c r="B315" s="0" t="inlineStr">
        <s:is>
          <s:t>이종훈</s:t>
        </s:is>
      </s:c>
      <s:c r="C315" s="0" t="n">
        <s:v>132639</s:v>
      </s:c>
      <s:c r="D315" s="0" t="n">
        <s:v>1875</s:v>
      </s:c>
      <s:c r="F315" s="24">
        <s:f>'자료구성'!$B$2+TIME(INT($C$3/10000),INT(MOD($C$3,10000)/100),MOD($C$3,100))+(ROW()-ROW($C$3))/86400</s:f>
        <s:v>46247.563784722224</s:v>
      </s:c>
    </s:row>
    <s:row r="316">
      <s:c r="A316" s="0" t="n">
        <s:v>260813</s:v>
      </s:c>
      <s:c r="B316" s="0" t="inlineStr">
        <s:is>
          <s:t>이종훈</s:t>
        </s:is>
      </s:c>
      <s:c r="C316" s="0" t="n">
        <s:v>132639</s:v>
      </s:c>
      <s:c r="D316" s="0" t="n">
        <s:v>1814</s:v>
      </s:c>
      <s:c r="F316" s="24">
        <s:f>'자료구성'!$B$2+TIME(INT($C$3/10000),INT(MOD($C$3,10000)/100),MOD($C$3,100))+(ROW()-ROW($C$3))/86400</s:f>
        <s:v>46247.563796296294</s:v>
      </s:c>
    </s:row>
    <s:row r="317">
      <s:c r="A317" s="0" t="n">
        <s:v>260813</s:v>
      </s:c>
      <s:c r="B317" s="0" t="inlineStr">
        <s:is>
          <s:t>이종훈</s:t>
        </s:is>
      </s:c>
      <s:c r="C317" s="0" t="n">
        <s:v>132639</s:v>
      </s:c>
      <s:c r="D317" s="0" t="n">
        <s:v>1798</s:v>
      </s:c>
      <s:c r="F317" s="24">
        <s:f>'자료구성'!$B$2+TIME(INT($C$3/10000),INT(MOD($C$3,10000)/100),MOD($C$3,100))+(ROW()-ROW($C$3))/86400</s:f>
        <s:v>46247.56380787037</s:v>
      </s:c>
    </s:row>
    <s:row r="318">
      <s:c r="A318" s="0" t="n">
        <s:v>260813</s:v>
      </s:c>
      <s:c r="B318" s="0" t="inlineStr">
        <s:is>
          <s:t>이종훈</s:t>
        </s:is>
      </s:c>
      <s:c r="C318" s="0" t="n">
        <s:v>132639</s:v>
      </s:c>
      <s:c r="D318" s="0" t="n">
        <s:v>1759</s:v>
      </s:c>
      <s:c r="F318" s="24">
        <s:f>'자료구성'!$B$2+TIME(INT($C$3/10000),INT(MOD($C$3,10000)/100),MOD($C$3,100))+(ROW()-ROW($C$3))/86400</s:f>
        <s:v>46247.56381944445</s:v>
      </s:c>
    </s:row>
    <s:row r="319">
      <s:c r="A319" s="0" t="n">
        <s:v>260813</s:v>
      </s:c>
      <s:c r="B319" s="0" t="inlineStr">
        <s:is>
          <s:t>이종훈</s:t>
        </s:is>
      </s:c>
      <s:c r="C319" s="0" t="n">
        <s:v>132639</s:v>
      </s:c>
      <s:c r="D319" s="0" t="n">
        <s:v>1736</s:v>
      </s:c>
      <s:c r="F319" s="24">
        <s:f>'자료구성'!$B$2+TIME(INT($C$3/10000),INT(MOD($C$3,10000)/100),MOD($C$3,100))+(ROW()-ROW($C$3))/86400</s:f>
        <s:v>46247.56383101852</s:v>
      </s:c>
    </s:row>
    <s:row r="320">
      <s:c r="A320" s="0" t="n">
        <s:v>260813</s:v>
      </s:c>
      <s:c r="B320" s="0" t="inlineStr">
        <s:is>
          <s:t>이종훈</s:t>
        </s:is>
      </s:c>
      <s:c r="C320" s="0" t="n">
        <s:v>132639</s:v>
      </s:c>
      <s:c r="D320" s="0" t="n">
        <s:v>1723</s:v>
      </s:c>
      <s:c r="F320" s="24">
        <s:f>'자료구성'!$B$2+TIME(INT($C$3/10000),INT(MOD($C$3,10000)/100),MOD($C$3,100))+(ROW()-ROW($C$3))/86400</s:f>
        <s:v>46247.56384259259</s:v>
      </s:c>
    </s:row>
    <s:row r="321">
      <s:c r="A321" s="0" t="n">
        <s:v>260813</s:v>
      </s:c>
      <s:c r="B321" s="0" t="inlineStr">
        <s:is>
          <s:t>이종훈</s:t>
        </s:is>
      </s:c>
      <s:c r="C321" s="0" t="n">
        <s:v>132639</s:v>
      </s:c>
      <s:c r="D321" s="0" t="n">
        <s:v>1720</s:v>
      </s:c>
      <s:c r="F321" s="24">
        <s:f>'자료구성'!$B$2+TIME(INT($C$3/10000),INT(MOD($C$3,10000)/100),MOD($C$3,100))+(ROW()-ROW($C$3))/86400</s:f>
        <s:v>46247.56385416666</s:v>
      </s:c>
    </s:row>
    <s:row r="322">
      <s:c r="A322" s="0" t="n">
        <s:v>260813</s:v>
      </s:c>
      <s:c r="B322" s="0" t="inlineStr">
        <s:is>
          <s:t>이종훈</s:t>
        </s:is>
      </s:c>
      <s:c r="C322" s="0" t="n">
        <s:v>132639</s:v>
      </s:c>
      <s:c r="D322" s="0" t="n">
        <s:v>1744</s:v>
      </s:c>
      <s:c r="F322" s="24">
        <s:f>'자료구성'!$B$2+TIME(INT($C$3/10000),INT(MOD($C$3,10000)/100),MOD($C$3,100))+(ROW()-ROW($C$3))/86400</s:f>
        <s:v>46247.56386574074</s:v>
      </s:c>
    </s:row>
    <s:row r="323">
      <s:c r="A323" s="0" t="n">
        <s:v>260813</s:v>
      </s:c>
      <s:c r="B323" s="0" t="inlineStr">
        <s:is>
          <s:t>이종훈</s:t>
        </s:is>
      </s:c>
      <s:c r="C323" s="0" t="n">
        <s:v>132639</s:v>
      </s:c>
      <s:c r="D323" s="0" t="n">
        <s:v>1769</s:v>
      </s:c>
      <s:c r="F323" s="24">
        <s:f>'자료구성'!$B$2+TIME(INT($C$3/10000),INT(MOD($C$3,10000)/100),MOD($C$3,100))+(ROW()-ROW($C$3))/86400</s:f>
        <s:v>46247.56387731482</s:v>
      </s:c>
    </s:row>
    <s:row r="324">
      <s:c r="A324" s="0" t="n">
        <s:v>260813</s:v>
      </s:c>
      <s:c r="B324" s="0" t="inlineStr">
        <s:is>
          <s:t>이종훈</s:t>
        </s:is>
      </s:c>
      <s:c r="C324" s="0" t="n">
        <s:v>132639</s:v>
      </s:c>
      <s:c r="D324" s="0" t="n">
        <s:v>1810</s:v>
      </s:c>
      <s:c r="F324" s="24">
        <s:f>'자료구성'!$B$2+TIME(INT($C$3/10000),INT(MOD($C$3,10000)/100),MOD($C$3,100))+(ROW()-ROW($C$3))/86400</s:f>
        <s:v>46247.563888888886</s:v>
      </s:c>
    </s:row>
    <s:row r="325">
      <s:c r="A325" s="0" t="n">
        <s:v>260813</s:v>
      </s:c>
      <s:c r="B325" s="0" t="inlineStr">
        <s:is>
          <s:t>이종훈</s:t>
        </s:is>
      </s:c>
      <s:c r="C325" s="0" t="n">
        <s:v>132639</s:v>
      </s:c>
      <s:c r="D325" s="0" t="n">
        <s:v>1812</s:v>
      </s:c>
      <s:c r="F325" s="24">
        <s:f>'자료구성'!$B$2+TIME(INT($C$3/10000),INT(MOD($C$3,10000)/100),MOD($C$3,100))+(ROW()-ROW($C$3))/86400</s:f>
        <s:v>46247.56390046296</s:v>
      </s:c>
    </s:row>
    <s:row r="326">
      <s:c r="A326" s="0" t="n">
        <s:v>260813</s:v>
      </s:c>
      <s:c r="B326" s="0" t="inlineStr">
        <s:is>
          <s:t>이종훈</s:t>
        </s:is>
      </s:c>
      <s:c r="C326" s="0" t="n">
        <s:v>132639</s:v>
      </s:c>
      <s:c r="D326" s="0" t="n">
        <s:v>1814</s:v>
      </s:c>
      <s:c r="F326" s="24">
        <s:f>'자료구성'!$B$2+TIME(INT($C$3/10000),INT(MOD($C$3,10000)/100),MOD($C$3,100))+(ROW()-ROW($C$3))/86400</s:f>
        <s:v>46247.56391203704</s:v>
      </s:c>
    </s:row>
    <s:row r="327">
      <s:c r="A327" s="0" t="n">
        <s:v>260813</s:v>
      </s:c>
      <s:c r="B327" s="0" t="inlineStr">
        <s:is>
          <s:t>이종훈</s:t>
        </s:is>
      </s:c>
      <s:c r="C327" s="0" t="n">
        <s:v>132639</s:v>
      </s:c>
      <s:c r="D327" s="0" t="n">
        <s:v>1814</s:v>
      </s:c>
      <s:c r="F327" s="24">
        <s:f>'자료구성'!$B$2+TIME(INT($C$3/10000),INT(MOD($C$3,10000)/100),MOD($C$3,100))+(ROW()-ROW($C$3))/86400</s:f>
        <s:v>46247.56392361111</s:v>
      </s:c>
    </s:row>
    <s:row r="328">
      <s:c r="A328" s="0" t="n">
        <s:v>260813</s:v>
      </s:c>
      <s:c r="B328" s="0" t="inlineStr">
        <s:is>
          <s:t>이종훈</s:t>
        </s:is>
      </s:c>
      <s:c r="C328" s="0" t="n">
        <s:v>132639</s:v>
      </s:c>
      <s:c r="D328" s="0" t="n">
        <s:v>1840</s:v>
      </s:c>
      <s:c r="F328" s="24">
        <s:f>'자료구성'!$B$2+TIME(INT($C$3/10000),INT(MOD($C$3,10000)/100),MOD($C$3,100))+(ROW()-ROW($C$3))/86400</s:f>
        <s:v>46247.563935185186</s:v>
      </s:c>
    </s:row>
    <s:row r="329">
      <s:c r="A329" s="0" t="n">
        <s:v>260813</s:v>
      </s:c>
      <s:c r="B329" s="0" t="inlineStr">
        <s:is>
          <s:t>이종훈</s:t>
        </s:is>
      </s:c>
      <s:c r="C329" s="0" t="n">
        <s:v>132639</s:v>
      </s:c>
      <s:c r="D329" s="0" t="n">
        <s:v>1855</s:v>
      </s:c>
      <s:c r="F329" s="24">
        <s:f>'자료구성'!$B$2+TIME(INT($C$3/10000),INT(MOD($C$3,10000)/100),MOD($C$3,100))+(ROW()-ROW($C$3))/86400</s:f>
        <s:v>46247.56394675926</s:v>
      </s:c>
    </s:row>
    <s:row r="330">
      <s:c r="A330" s="0" t="n">
        <s:v>260813</s:v>
      </s:c>
      <s:c r="B330" s="0" t="inlineStr">
        <s:is>
          <s:t>이종훈</s:t>
        </s:is>
      </s:c>
      <s:c r="C330" s="0" t="n">
        <s:v>132639</s:v>
      </s:c>
      <s:c r="D330" s="0" t="n">
        <s:v>1856</s:v>
      </s:c>
      <s:c r="F330" s="24">
        <s:f>'자료구성'!$B$2+TIME(INT($C$3/10000),INT(MOD($C$3,10000)/100),MOD($C$3,100))+(ROW()-ROW($C$3))/86400</s:f>
        <s:v>46247.56395833333</s:v>
      </s:c>
    </s:row>
    <s:row r="331">
      <s:c r="A331" s="0" t="n">
        <s:v>260813</s:v>
      </s:c>
      <s:c r="B331" s="0" t="inlineStr">
        <s:is>
          <s:t>이종훈</s:t>
        </s:is>
      </s:c>
      <s:c r="C331" s="0" t="n">
        <s:v>132639</s:v>
      </s:c>
      <s:c r="D331" s="0" t="n">
        <s:v>1881</s:v>
      </s:c>
      <s:c r="F331" s="24">
        <s:f>'자료구성'!$B$2+TIME(INT($C$3/10000),INT(MOD($C$3,10000)/100),MOD($C$3,100))+(ROW()-ROW($C$3))/86400</s:f>
        <s:v>46247.56396990741</s:v>
      </s:c>
    </s:row>
    <s:row r="332">
      <s:c r="A332" s="0" t="n">
        <s:v>260813</s:v>
      </s:c>
      <s:c r="B332" s="0" t="inlineStr">
        <s:is>
          <s:t>이종훈</s:t>
        </s:is>
      </s:c>
      <s:c r="C332" s="0" t="n">
        <s:v>132639</s:v>
      </s:c>
      <s:c r="D332" s="0" t="n">
        <s:v>1891</s:v>
      </s:c>
      <s:c r="F332" s="24">
        <s:f>'자료구성'!$B$2+TIME(INT($C$3/10000),INT(MOD($C$3,10000)/100),MOD($C$3,100))+(ROW()-ROW($C$3))/86400</s:f>
        <s:v>46247.56398148148</s:v>
      </s:c>
    </s:row>
    <s:row r="333">
      <s:c r="A333" s="0" t="n">
        <s:v>260813</s:v>
      </s:c>
      <s:c r="B333" s="0" t="inlineStr">
        <s:is>
          <s:t>이종훈</s:t>
        </s:is>
      </s:c>
      <s:c r="C333" s="0" t="n">
        <s:v>132639</s:v>
      </s:c>
      <s:c r="D333" s="0" t="n">
        <s:v>1906</s:v>
      </s:c>
      <s:c r="F333" s="24">
        <s:f>'자료구성'!$B$2+TIME(INT($C$3/10000),INT(MOD($C$3,10000)/100),MOD($C$3,100))+(ROW()-ROW($C$3))/86400</s:f>
        <s:v>46247.563993055555</s:v>
      </s:c>
    </s:row>
    <s:row r="334">
      <s:c r="A334" s="0" t="n">
        <s:v>260813</s:v>
      </s:c>
      <s:c r="B334" s="0" t="inlineStr">
        <s:is>
          <s:t>이종훈</s:t>
        </s:is>
      </s:c>
      <s:c r="C334" s="0" t="n">
        <s:v>132639</s:v>
      </s:c>
      <s:c r="D334" s="0" t="n">
        <s:v>1920</s:v>
      </s:c>
      <s:c r="F334" s="24">
        <s:f>'자료구성'!$B$2+TIME(INT($C$3/10000),INT(MOD($C$3,10000)/100),MOD($C$3,100))+(ROW()-ROW($C$3))/86400</s:f>
        <s:v>46247.56400462963</s:v>
      </s:c>
    </s:row>
    <s:row r="335">
      <s:c r="A335" s="0" t="n">
        <s:v>260813</s:v>
      </s:c>
      <s:c r="B335" s="0" t="inlineStr">
        <s:is>
          <s:t>이종훈</s:t>
        </s:is>
      </s:c>
      <s:c r="C335" s="0" t="n">
        <s:v>132639</s:v>
      </s:c>
      <s:c r="D335" s="0" t="n">
        <s:v>1950</s:v>
      </s:c>
      <s:c r="F335" s="24">
        <s:f>'자료구성'!$B$2+TIME(INT($C$3/10000),INT(MOD($C$3,10000)/100),MOD($C$3,100))+(ROW()-ROW($C$3))/86400</s:f>
        <s:v>46247.5640162037</s:v>
      </s:c>
    </s:row>
    <s:row r="336">
      <s:c r="A336" s="0" t="n">
        <s:v>260813</s:v>
      </s:c>
      <s:c r="B336" s="0" t="inlineStr">
        <s:is>
          <s:t>이종훈</s:t>
        </s:is>
      </s:c>
      <s:c r="C336" s="0" t="n">
        <s:v>132639</s:v>
      </s:c>
      <s:c r="D336" s="0" t="n">
        <s:v>1966</s:v>
      </s:c>
      <s:c r="F336" s="24">
        <s:f>'자료구성'!$B$2+TIME(INT($C$3/10000),INT(MOD($C$3,10000)/100),MOD($C$3,100))+(ROW()-ROW($C$3))/86400</s:f>
        <s:v>46247.56402777778</s:v>
      </s:c>
    </s:row>
    <s:row r="337">
      <s:c r="A337" s="0" t="n">
        <s:v>260813</s:v>
      </s:c>
      <s:c r="B337" s="0" t="inlineStr">
        <s:is>
          <s:t>이종훈</s:t>
        </s:is>
      </s:c>
      <s:c r="C337" s="0" t="n">
        <s:v>132639</s:v>
      </s:c>
      <s:c r="D337" s="0" t="n">
        <s:v>1980</s:v>
      </s:c>
      <s:c r="F337" s="24">
        <s:f>'자료구성'!$B$2+TIME(INT($C$3/10000),INT(MOD($C$3,10000)/100),MOD($C$3,100))+(ROW()-ROW($C$3))/86400</s:f>
        <s:v>46247.564039351855</s:v>
      </s:c>
    </s:row>
    <s:row r="338">
      <s:c r="A338" s="0" t="n">
        <s:v>260813</s:v>
      </s:c>
      <s:c r="B338" s="0" t="inlineStr">
        <s:is>
          <s:t>이종훈</s:t>
        </s:is>
      </s:c>
      <s:c r="C338" s="0" t="n">
        <s:v>132639</s:v>
      </s:c>
      <s:c r="D338" s="0" t="n">
        <s:v>2000</s:v>
      </s:c>
      <s:c r="F338" s="24">
        <s:f>'자료구성'!$B$2+TIME(INT($C$3/10000),INT(MOD($C$3,10000)/100),MOD($C$3,100))+(ROW()-ROW($C$3))/86400</s:f>
        <s:v>46247.564050925925</s:v>
      </s:c>
    </s:row>
    <s:row r="339">
      <s:c r="A339" s="0" t="n">
        <s:v>260813</s:v>
      </s:c>
      <s:c r="B339" s="0" t="inlineStr">
        <s:is>
          <s:t>이종훈</s:t>
        </s:is>
      </s:c>
      <s:c r="C339" s="0" t="n">
        <s:v>132639</s:v>
      </s:c>
      <s:c r="D339" s="0" t="n">
        <s:v>2009</s:v>
      </s:c>
      <s:c r="F339" s="24">
        <s:f>'자료구성'!$B$2+TIME(INT($C$3/10000),INT(MOD($C$3,10000)/100),MOD($C$3,100))+(ROW()-ROW($C$3))/86400</s:f>
        <s:v>46247.5640625</s:v>
      </s:c>
    </s:row>
    <s:row r="340">
      <s:c r="A340" s="0" t="n">
        <s:v>260813</s:v>
      </s:c>
      <s:c r="B340" s="0" t="inlineStr">
        <s:is>
          <s:t>이종훈</s:t>
        </s:is>
      </s:c>
      <s:c r="C340" s="0" t="n">
        <s:v>132639</s:v>
      </s:c>
      <s:c r="D340" s="0" t="n">
        <s:v>2019</s:v>
      </s:c>
      <s:c r="F340" s="24">
        <s:f>'자료구성'!$B$2+TIME(INT($C$3/10000),INT(MOD($C$3,10000)/100),MOD($C$3,100))+(ROW()-ROW($C$3))/86400</s:f>
        <s:v>46247.56407407407</s:v>
      </s:c>
    </s:row>
    <s:row r="341">
      <s:c r="A341" s="0" t="n">
        <s:v>260813</s:v>
      </s:c>
      <s:c r="B341" s="0" t="inlineStr">
        <s:is>
          <s:t>이종훈</s:t>
        </s:is>
      </s:c>
      <s:c r="C341" s="0" t="n">
        <s:v>132639</s:v>
      </s:c>
      <s:c r="D341" s="0" t="n">
        <s:v>2010</s:v>
      </s:c>
      <s:c r="F341" s="24">
        <s:f>'자료구성'!$B$2+TIME(INT($C$3/10000),INT(MOD($C$3,10000)/100),MOD($C$3,100))+(ROW()-ROW($C$3))/86400</s:f>
        <s:v>46247.56408564815</s:v>
      </s:c>
    </s:row>
    <s:row r="342">
      <s:c r="A342" s="0" t="n">
        <s:v>260813</s:v>
      </s:c>
      <s:c r="B342" s="0" t="inlineStr">
        <s:is>
          <s:t>이종훈</s:t>
        </s:is>
      </s:c>
      <s:c r="C342" s="0" t="n">
        <s:v>132639</s:v>
      </s:c>
      <s:c r="D342" s="0" t="n">
        <s:v>1968</s:v>
      </s:c>
      <s:c r="F342" s="24">
        <s:f>'자료구성'!$B$2+TIME(INT($C$3/10000),INT(MOD($C$3,10000)/100),MOD($C$3,100))+(ROW()-ROW($C$3))/86400</s:f>
        <s:v>46247.564097222225</s:v>
      </s:c>
    </s:row>
    <s:row r="343">
      <s:c r="A343" s="0" t="n">
        <s:v>260813</s:v>
      </s:c>
      <s:c r="B343" s="0" t="inlineStr">
        <s:is>
          <s:t>이종훈</s:t>
        </s:is>
      </s:c>
      <s:c r="C343" s="0" t="n">
        <s:v>132639</s:v>
      </s:c>
      <s:c r="D343" s="0" t="n">
        <s:v>1920</s:v>
      </s:c>
      <s:c r="F343" s="24">
        <s:f>'자료구성'!$B$2+TIME(INT($C$3/10000),INT(MOD($C$3,10000)/100),MOD($C$3,100))+(ROW()-ROW($C$3))/86400</s:f>
        <s:v>46247.564108796294</s:v>
      </s:c>
    </s:row>
    <s:row r="344">
      <s:c r="A344" s="0" t="n">
        <s:v>260813</s:v>
      </s:c>
      <s:c r="B344" s="0" t="inlineStr">
        <s:is>
          <s:t>이종훈</s:t>
        </s:is>
      </s:c>
      <s:c r="C344" s="0" t="n">
        <s:v>132639</s:v>
      </s:c>
      <s:c r="D344" s="0" t="n">
        <s:v>1854</s:v>
      </s:c>
      <s:c r="F344" s="24">
        <s:f>'자료구성'!$B$2+TIME(INT($C$3/10000),INT(MOD($C$3,10000)/100),MOD($C$3,100))+(ROW()-ROW($C$3))/86400</s:f>
        <s:v>46247.56412037037</s:v>
      </s:c>
    </s:row>
    <s:row r="345">
      <s:c r="A345" s="0" t="n">
        <s:v>260813</s:v>
      </s:c>
      <s:c r="B345" s="0" t="inlineStr">
        <s:is>
          <s:t>이종훈</s:t>
        </s:is>
      </s:c>
      <s:c r="C345" s="0" t="n">
        <s:v>132639</s:v>
      </s:c>
      <s:c r="D345" s="0" t="n">
        <s:v>1809</s:v>
      </s:c>
      <s:c r="F345" s="24">
        <s:f>'자료구성'!$B$2+TIME(INT($C$3/10000),INT(MOD($C$3,10000)/100),MOD($C$3,100))+(ROW()-ROW($C$3))/86400</s:f>
        <s:v>46247.56413194445</s:v>
      </s:c>
    </s:row>
    <s:row r="346">
      <s:c r="A346" s="0" t="n">
        <s:v>260813</s:v>
      </s:c>
      <s:c r="B346" s="0" t="inlineStr">
        <s:is>
          <s:t>이종훈</s:t>
        </s:is>
      </s:c>
      <s:c r="C346" s="0" t="n">
        <s:v>132639</s:v>
      </s:c>
      <s:c r="D346" s="0" t="n">
        <s:v>1795</s:v>
      </s:c>
      <s:c r="F346" s="24">
        <s:f>'자료구성'!$B$2+TIME(INT($C$3/10000),INT(MOD($C$3,10000)/100),MOD($C$3,100))+(ROW()-ROW($C$3))/86400</s:f>
        <s:v>46247.56414351852</s:v>
      </s:c>
    </s:row>
    <s:row r="347">
      <s:c r="A347" s="0" t="n">
        <s:v>260813</s:v>
      </s:c>
      <s:c r="B347" s="0" t="inlineStr">
        <s:is>
          <s:t>이종훈</s:t>
        </s:is>
      </s:c>
      <s:c r="C347" s="0" t="n">
        <s:v>132639</s:v>
      </s:c>
      <s:c r="D347" s="0" t="n">
        <s:v>1788</s:v>
      </s:c>
      <s:c r="F347" s="24">
        <s:f>'자료구성'!$B$2+TIME(INT($C$3/10000),INT(MOD($C$3,10000)/100),MOD($C$3,100))+(ROW()-ROW($C$3))/86400</s:f>
        <s:v>46247.564155092594</s:v>
      </s:c>
    </s:row>
    <s:row r="348">
      <s:c r="A348" s="0" t="n">
        <s:v>260813</s:v>
      </s:c>
      <s:c r="B348" s="0" t="inlineStr">
        <s:is>
          <s:t>이종훈</s:t>
        </s:is>
      </s:c>
      <s:c r="C348" s="0" t="n">
        <s:v>132639</s:v>
      </s:c>
      <s:c r="D348" s="0" t="n">
        <s:v>1780</s:v>
      </s:c>
      <s:c r="F348" s="24">
        <s:f>'자료구성'!$B$2+TIME(INT($C$3/10000),INT(MOD($C$3,10000)/100),MOD($C$3,100))+(ROW()-ROW($C$3))/86400</s:f>
        <s:v>46247.56416666666</s:v>
      </s:c>
    </s:row>
    <s:row r="349">
      <s:c r="A349" s="0" t="n">
        <s:v>260813</s:v>
      </s:c>
      <s:c r="B349" s="0" t="inlineStr">
        <s:is>
          <s:t>이종훈</s:t>
        </s:is>
      </s:c>
      <s:c r="C349" s="0" t="n">
        <s:v>132639</s:v>
      </s:c>
      <s:c r="D349" s="0" t="n">
        <s:v>1796</s:v>
      </s:c>
      <s:c r="F349" s="24">
        <s:f>'자료구성'!$B$2+TIME(INT($C$3/10000),INT(MOD($C$3,10000)/100),MOD($C$3,100))+(ROW()-ROW($C$3))/86400</s:f>
        <s:v>46247.56417824074</s:v>
      </s:c>
    </s:row>
    <s:row r="350">
      <s:c r="A350" s="0" t="n">
        <s:v>260813</s:v>
      </s:c>
      <s:c r="B350" s="0" t="inlineStr">
        <s:is>
          <s:t>이종훈</s:t>
        </s:is>
      </s:c>
      <s:c r="C350" s="0" t="n">
        <s:v>132639</s:v>
      </s:c>
      <s:c r="D350" s="0" t="n">
        <s:v>1858</s:v>
      </s:c>
      <s:c r="F350" s="24">
        <s:f>'자료구성'!$B$2+TIME(INT($C$3/10000),INT(MOD($C$3,10000)/100),MOD($C$3,100))+(ROW()-ROW($C$3))/86400</s:f>
        <s:v>46247.56418981482</s:v>
      </s:c>
    </s:row>
    <s:row r="351">
      <s:c r="A351" s="0" t="n">
        <s:v>260813</s:v>
      </s:c>
      <s:c r="B351" s="0" t="inlineStr">
        <s:is>
          <s:t>이종훈</s:t>
        </s:is>
      </s:c>
      <s:c r="C351" s="0" t="n">
        <s:v>132639</s:v>
      </s:c>
      <s:c r="D351" s="0" t="n">
        <s:v>1899</s:v>
      </s:c>
      <s:c r="F351" s="24">
        <s:f>'자료구성'!$B$2+TIME(INT($C$3/10000),INT(MOD($C$3,10000)/100),MOD($C$3,100))+(ROW()-ROW($C$3))/86400</s:f>
        <s:v>46247.56420138889</s:v>
      </s:c>
    </s:row>
    <s:row r="352">
      <s:c r="A352" s="0" t="n">
        <s:v>260813</s:v>
      </s:c>
      <s:c r="B352" s="0" t="inlineStr">
        <s:is>
          <s:t>이종훈</s:t>
        </s:is>
      </s:c>
      <s:c r="C352" s="0" t="n">
        <s:v>132639</s:v>
      </s:c>
      <s:c r="D352" s="0" t="n">
        <s:v>1903</s:v>
      </s:c>
      <s:c r="F352" s="24">
        <s:f>'자료구성'!$B$2+TIME(INT($C$3/10000),INT(MOD($C$3,10000)/100),MOD($C$3,100))+(ROW()-ROW($C$3))/86400</s:f>
        <s:v>46247.56421296296</s:v>
      </s:c>
    </s:row>
    <s:row r="353">
      <s:c r="A353" s="0" t="n">
        <s:v>260813</s:v>
      </s:c>
      <s:c r="B353" s="0" t="inlineStr">
        <s:is>
          <s:t>이종훈</s:t>
        </s:is>
      </s:c>
      <s:c r="C353" s="0" t="n">
        <s:v>132639</s:v>
      </s:c>
      <s:c r="D353" s="0" t="n">
        <s:v>1885</s:v>
      </s:c>
      <s:c r="F353" s="24">
        <s:f>'자료구성'!$B$2+TIME(INT($C$3/10000),INT(MOD($C$3,10000)/100),MOD($C$3,100))+(ROW()-ROW($C$3))/86400</s:f>
        <s:v>46247.56422453704</s:v>
      </s:c>
    </s:row>
    <s:row r="354">
      <s:c r="A354" s="0" t="n">
        <s:v>260813</s:v>
      </s:c>
      <s:c r="B354" s="0" t="inlineStr">
        <s:is>
          <s:t>이종훈</s:t>
        </s:is>
      </s:c>
      <s:c r="C354" s="0" t="n">
        <s:v>132639</s:v>
      </s:c>
      <s:c r="D354" s="0" t="n">
        <s:v>1881</s:v>
      </s:c>
      <s:c r="F354" s="24">
        <s:f>'자료구성'!$B$2+TIME(INT($C$3/10000),INT(MOD($C$3,10000)/100),MOD($C$3,100))+(ROW()-ROW($C$3))/86400</s:f>
        <s:v>46247.56423611111</s:v>
      </s:c>
    </s:row>
    <s:row r="355">
      <s:c r="A355" s="0" t="n">
        <s:v>260813</s:v>
      </s:c>
      <s:c r="B355" s="0" t="inlineStr">
        <s:is>
          <s:t>이종훈</s:t>
        </s:is>
      </s:c>
      <s:c r="C355" s="0" t="n">
        <s:v>132639</s:v>
      </s:c>
      <s:c r="D355" s="0" t="n">
        <s:v>1867</s:v>
      </s:c>
      <s:c r="F355" s="24">
        <s:f>'자료구성'!$B$2+TIME(INT($C$3/10000),INT(MOD($C$3,10000)/100),MOD($C$3,100))+(ROW()-ROW($C$3))/86400</s:f>
        <s:v>46247.564247685186</s:v>
      </s:c>
    </s:row>
    <s:row r="356">
      <s:c r="A356" s="0" t="n">
        <s:v>260813</s:v>
      </s:c>
      <s:c r="B356" s="0" t="inlineStr">
        <s:is>
          <s:t>이종훈</s:t>
        </s:is>
      </s:c>
      <s:c r="C356" s="0" t="n">
        <s:v>132639</s:v>
      </s:c>
      <s:c r="D356" s="0" t="n">
        <s:v>1858</s:v>
      </s:c>
      <s:c r="F356" s="24">
        <s:f>'자료구성'!$B$2+TIME(INT($C$3/10000),INT(MOD($C$3,10000)/100),MOD($C$3,100))+(ROW()-ROW($C$3))/86400</s:f>
        <s:v>46247.564259259256</s:v>
      </s:c>
    </s:row>
    <s:row r="357">
      <s:c r="A357" s="0" t="n">
        <s:v>260813</s:v>
      </s:c>
      <s:c r="B357" s="0" t="inlineStr">
        <s:is>
          <s:t>이종훈</s:t>
        </s:is>
      </s:c>
      <s:c r="C357" s="0" t="n">
        <s:v>132639</s:v>
      </s:c>
      <s:c r="D357" s="0" t="n">
        <s:v>1817</s:v>
      </s:c>
      <s:c r="F357" s="24">
        <s:f>'자료구성'!$B$2+TIME(INT($C$3/10000),INT(MOD($C$3,10000)/100),MOD($C$3,100))+(ROW()-ROW($C$3))/86400</s:f>
        <s:v>46247.56427083333</s:v>
      </s:c>
    </s:row>
    <s:row r="358">
      <s:c r="A358" s="0" t="n">
        <s:v>260813</s:v>
      </s:c>
      <s:c r="B358" s="0" t="inlineStr">
        <s:is>
          <s:t>이종훈</s:t>
        </s:is>
      </s:c>
      <s:c r="C358" s="0" t="n">
        <s:v>132639</s:v>
      </s:c>
      <s:c r="D358" s="0" t="n">
        <s:v>1801</s:v>
      </s:c>
      <s:c r="F358" s="24">
        <s:f>'자료구성'!$B$2+TIME(INT($C$3/10000),INT(MOD($C$3,10000)/100),MOD($C$3,100))+(ROW()-ROW($C$3))/86400</s:f>
        <s:v>46247.56428240741</s:v>
      </s:c>
    </s:row>
    <s:row r="359">
      <s:c r="A359" s="0" t="n">
        <s:v>260813</s:v>
      </s:c>
      <s:c r="B359" s="0" t="inlineStr">
        <s:is>
          <s:t>이종훈</s:t>
        </s:is>
      </s:c>
      <s:c r="C359" s="0" t="n">
        <s:v>132639</s:v>
      </s:c>
      <s:c r="D359" s="0" t="n">
        <s:v>1777</s:v>
      </s:c>
      <s:c r="F359" s="24">
        <s:f>'자료구성'!$B$2+TIME(INT($C$3/10000),INT(MOD($C$3,10000)/100),MOD($C$3,100))+(ROW()-ROW($C$3))/86400</s:f>
        <s:v>46247.56429398148</s:v>
      </s:c>
    </s:row>
    <s:row r="360">
      <s:c r="A360" s="0" t="n">
        <s:v>260813</s:v>
      </s:c>
      <s:c r="B360" s="0" t="inlineStr">
        <s:is>
          <s:t>이종훈</s:t>
        </s:is>
      </s:c>
      <s:c r="C360" s="0" t="n">
        <s:v>132639</s:v>
      </s:c>
      <s:c r="D360" s="0" t="n">
        <s:v>1786</s:v>
      </s:c>
      <s:c r="F360" s="24">
        <s:f>'자료구성'!$B$2+TIME(INT($C$3/10000),INT(MOD($C$3,10000)/100),MOD($C$3,100))+(ROW()-ROW($C$3))/86400</s:f>
        <s:v>46247.564305555556</s:v>
      </s:c>
    </s:row>
    <s:row r="361">
      <s:c r="A361" s="0" t="n">
        <s:v>260813</s:v>
      </s:c>
      <s:c r="B361" s="0" t="inlineStr">
        <s:is>
          <s:t>이종훈</s:t>
        </s:is>
      </s:c>
      <s:c r="C361" s="0" t="n">
        <s:v>132639</s:v>
      </s:c>
      <s:c r="D361" s="0" t="n">
        <s:v>1774</s:v>
      </s:c>
      <s:c r="F361" s="24">
        <s:f>'자료구성'!$B$2+TIME(INT($C$3/10000),INT(MOD($C$3,10000)/100),MOD($C$3,100))+(ROW()-ROW($C$3))/86400</s:f>
        <s:v>46247.56431712963</s:v>
      </s:c>
    </s:row>
    <s:row r="362">
      <s:c r="A362" s="0" t="n">
        <s:v>260813</s:v>
      </s:c>
      <s:c r="B362" s="0" t="inlineStr">
        <s:is>
          <s:t>이종훈</s:t>
        </s:is>
      </s:c>
      <s:c r="C362" s="0" t="n">
        <s:v>132639</s:v>
      </s:c>
      <s:c r="D362" s="0" t="n">
        <s:v>1773</s:v>
      </s:c>
      <s:c r="F362" s="24">
        <s:f>'자료구성'!$B$2+TIME(INT($C$3/10000),INT(MOD($C$3,10000)/100),MOD($C$3,100))+(ROW()-ROW($C$3))/86400</s:f>
        <s:v>46247.5643287037</s:v>
      </s:c>
    </s:row>
    <s:row r="363">
      <s:c r="A363" s="0" t="n">
        <s:v>260813</s:v>
      </s:c>
      <s:c r="B363" s="0" t="inlineStr">
        <s:is>
          <s:t>이종훈</s:t>
        </s:is>
      </s:c>
      <s:c r="C363" s="0" t="n">
        <s:v>132639</s:v>
      </s:c>
      <s:c r="D363" s="0" t="n">
        <s:v>1754</s:v>
      </s:c>
      <s:c r="F363" s="24">
        <s:f>'자료구성'!$B$2+TIME(INT($C$3/10000),INT(MOD($C$3,10000)/100),MOD($C$3,100))+(ROW()-ROW($C$3))/86400</s:f>
        <s:v>46247.56434027778</s:v>
      </s:c>
    </s:row>
    <s:row r="364">
      <s:c r="A364" s="0" t="n">
        <s:v>260813</s:v>
      </s:c>
      <s:c r="B364" s="0" t="inlineStr">
        <s:is>
          <s:t>이종훈</s:t>
        </s:is>
      </s:c>
      <s:c r="C364" s="0" t="n">
        <s:v>132639</s:v>
      </s:c>
      <s:c r="D364" s="0" t="n">
        <s:v>1766</s:v>
      </s:c>
      <s:c r="F364" s="24">
        <s:f>'자료구성'!$B$2+TIME(INT($C$3/10000),INT(MOD($C$3,10000)/100),MOD($C$3,100))+(ROW()-ROW($C$3))/86400</s:f>
        <s:v>46247.564351851855</s:v>
      </s:c>
    </s:row>
    <s:row r="365">
      <s:c r="A365" s="0" t="n">
        <s:v>260813</s:v>
      </s:c>
      <s:c r="B365" s="0" t="inlineStr">
        <s:is>
          <s:t>이종훈</s:t>
        </s:is>
      </s:c>
      <s:c r="C365" s="0" t="n">
        <s:v>132639</s:v>
      </s:c>
      <s:c r="D365" s="0" t="n">
        <s:v>1780</s:v>
      </s:c>
      <s:c r="F365" s="24">
        <s:f>'자료구성'!$B$2+TIME(INT($C$3/10000),INT(MOD($C$3,10000)/100),MOD($C$3,100))+(ROW()-ROW($C$3))/86400</s:f>
        <s:v>46247.564363425925</s:v>
      </s:c>
    </s:row>
    <s:row r="366">
      <s:c r="A366" s="0" t="n">
        <s:v>260813</s:v>
      </s:c>
      <s:c r="B366" s="0" t="inlineStr">
        <s:is>
          <s:t>이종훈</s:t>
        </s:is>
      </s:c>
      <s:c r="C366" s="0" t="n">
        <s:v>132639</s:v>
      </s:c>
      <s:c r="D366" s="0" t="n">
        <s:v>1815</s:v>
      </s:c>
      <s:c r="F366" s="24">
        <s:f>'자료구성'!$B$2+TIME(INT($C$3/10000),INT(MOD($C$3,10000)/100),MOD($C$3,100))+(ROW()-ROW($C$3))/86400</s:f>
        <s:v>46247.564375</s:v>
      </s:c>
    </s:row>
    <s:row r="367">
      <s:c r="A367" s="0" t="n">
        <s:v>260813</s:v>
      </s:c>
      <s:c r="B367" s="0" t="inlineStr">
        <s:is>
          <s:t>이종훈</s:t>
        </s:is>
      </s:c>
      <s:c r="C367" s="0" t="n">
        <s:v>132639</s:v>
      </s:c>
      <s:c r="D367" s="0" t="n">
        <s:v>1886</s:v>
      </s:c>
      <s:c r="F367" s="24">
        <s:f>'자료구성'!$B$2+TIME(INT($C$3/10000),INT(MOD($C$3,10000)/100),MOD($C$3,100))+(ROW()-ROW($C$3))/86400</s:f>
        <s:v>46247.56438657407</s:v>
      </s:c>
    </s:row>
    <s:row r="368">
      <s:c r="A368" s="0" t="n">
        <s:v>260813</s:v>
      </s:c>
      <s:c r="B368" s="0" t="inlineStr">
        <s:is>
          <s:t>이종훈</s:t>
        </s:is>
      </s:c>
      <s:c r="C368" s="0" t="n">
        <s:v>132639</s:v>
      </s:c>
      <s:c r="D368" s="0" t="n">
        <s:v>1940</s:v>
      </s:c>
      <s:c r="F368" s="24">
        <s:f>'자료구성'!$B$2+TIME(INT($C$3/10000),INT(MOD($C$3,10000)/100),MOD($C$3,100))+(ROW()-ROW($C$3))/86400</s:f>
        <s:v>46247.56439814815</s:v>
      </s:c>
    </s:row>
    <s:row r="369">
      <s:c r="A369" s="0" t="n">
        <s:v>260813</s:v>
      </s:c>
      <s:c r="B369" s="0" t="inlineStr">
        <s:is>
          <s:t>이종훈</s:t>
        </s:is>
      </s:c>
      <s:c r="C369" s="0" t="n">
        <s:v>132639</s:v>
      </s:c>
      <s:c r="D369" s="0" t="n">
        <s:v>1993</s:v>
      </s:c>
      <s:c r="F369" s="24">
        <s:f>'자료구성'!$B$2+TIME(INT($C$3/10000),INT(MOD($C$3,10000)/100),MOD($C$3,100))+(ROW()-ROW($C$3))/86400</s:f>
        <s:v>46247.564409722225</s:v>
      </s:c>
    </s:row>
    <s:row r="370">
      <s:c r="A370" s="0" t="n">
        <s:v>260813</s:v>
      </s:c>
      <s:c r="B370" s="0" t="inlineStr">
        <s:is>
          <s:t>이종훈</s:t>
        </s:is>
      </s:c>
      <s:c r="C370" s="0" t="n">
        <s:v>132639</s:v>
      </s:c>
      <s:c r="D370" s="0" t="n">
        <s:v>2002</s:v>
      </s:c>
      <s:c r="F370" s="24">
        <s:f>'자료구성'!$B$2+TIME(INT($C$3/10000),INT(MOD($C$3,10000)/100),MOD($C$3,100))+(ROW()-ROW($C$3))/86400</s:f>
        <s:v>46247.564421296294</s:v>
      </s:c>
    </s:row>
    <s:row r="371">
      <s:c r="A371" s="0" t="n">
        <s:v>260813</s:v>
      </s:c>
      <s:c r="B371" s="0" t="inlineStr">
        <s:is>
          <s:t>이종훈</s:t>
        </s:is>
      </s:c>
      <s:c r="C371" s="0" t="n">
        <s:v>132639</s:v>
      </s:c>
      <s:c r="D371" s="0" t="n">
        <s:v>2005</s:v>
      </s:c>
      <s:c r="F371" s="24">
        <s:f>'자료구성'!$B$2+TIME(INT($C$3/10000),INT(MOD($C$3,10000)/100),MOD($C$3,100))+(ROW()-ROW($C$3))/86400</s:f>
        <s:v>46247.56443287037</s:v>
      </s:c>
    </s:row>
    <s:row r="372">
      <s:c r="A372" s="0" t="n">
        <s:v>260813</s:v>
      </s:c>
      <s:c r="B372" s="0" t="inlineStr">
        <s:is>
          <s:t>이종훈</s:t>
        </s:is>
      </s:c>
      <s:c r="C372" s="0" t="n">
        <s:v>132639</s:v>
      </s:c>
      <s:c r="D372" s="0" t="n">
        <s:v>1997</s:v>
      </s:c>
      <s:c r="F372" s="24">
        <s:f>'자료구성'!$B$2+TIME(INT($C$3/10000),INT(MOD($C$3,10000)/100),MOD($C$3,100))+(ROW()-ROW($C$3))/86400</s:f>
        <s:v>46247.56444444445</s:v>
      </s:c>
    </s:row>
    <s:row r="373">
      <s:c r="A373" s="0" t="n">
        <s:v>260813</s:v>
      </s:c>
      <s:c r="B373" s="0" t="inlineStr">
        <s:is>
          <s:t>이종훈</s:t>
        </s:is>
      </s:c>
      <s:c r="C373" s="0" t="n">
        <s:v>132639</s:v>
      </s:c>
      <s:c r="D373" s="0" t="n">
        <s:v>1981</s:v>
      </s:c>
      <s:c r="F373" s="24">
        <s:f>'자료구성'!$B$2+TIME(INT($C$3/10000),INT(MOD($C$3,10000)/100),MOD($C$3,100))+(ROW()-ROW($C$3))/86400</s:f>
        <s:v>46247.56445601852</s:v>
      </s:c>
    </s:row>
    <s:row r="374">
      <s:c r="A374" s="0" t="n">
        <s:v>260813</s:v>
      </s:c>
      <s:c r="B374" s="0" t="inlineStr">
        <s:is>
          <s:t>이종훈</s:t>
        </s:is>
      </s:c>
      <s:c r="C374" s="0" t="n">
        <s:v>132639</s:v>
      </s:c>
      <s:c r="D374" s="0" t="n">
        <s:v>1939</s:v>
      </s:c>
      <s:c r="F374" s="24">
        <s:f>'자료구성'!$B$2+TIME(INT($C$3/10000),INT(MOD($C$3,10000)/100),MOD($C$3,100))+(ROW()-ROW($C$3))/86400</s:f>
        <s:v>46247.564467592594</s:v>
      </s:c>
    </s:row>
    <s:row r="375">
      <s:c r="A375" s="0" t="n">
        <s:v>260813</s:v>
      </s:c>
      <s:c r="B375" s="0" t="inlineStr">
        <s:is>
          <s:t>이종훈</s:t>
        </s:is>
      </s:c>
      <s:c r="C375" s="0" t="n">
        <s:v>132639</s:v>
      </s:c>
      <s:c r="D375" s="0" t="n">
        <s:v>1905</s:v>
      </s:c>
      <s:c r="F375" s="24">
        <s:f>'자료구성'!$B$2+TIME(INT($C$3/10000),INT(MOD($C$3,10000)/100),MOD($C$3,100))+(ROW()-ROW($C$3))/86400</s:f>
        <s:v>46247.564479166664</s:v>
      </s:c>
    </s:row>
    <s:row r="376">
      <s:c r="A376" s="0" t="n">
        <s:v>260813</s:v>
      </s:c>
      <s:c r="B376" s="0" t="inlineStr">
        <s:is>
          <s:t>이종훈</s:t>
        </s:is>
      </s:c>
      <s:c r="C376" s="0" t="n">
        <s:v>132639</s:v>
      </s:c>
      <s:c r="D376" s="0" t="n">
        <s:v>1873</s:v>
      </s:c>
      <s:c r="F376" s="24">
        <s:f>'자료구성'!$B$2+TIME(INT($C$3/10000),INT(MOD($C$3,10000)/100),MOD($C$3,100))+(ROW()-ROW($C$3))/86400</s:f>
        <s:v>46247.56449074074</s:v>
      </s:c>
    </s:row>
    <s:row r="377">
      <s:c r="A377" s="0" t="n">
        <s:v>260813</s:v>
      </s:c>
      <s:c r="B377" s="0" t="inlineStr">
        <s:is>
          <s:t>이종훈</s:t>
        </s:is>
      </s:c>
      <s:c r="C377" s="0" t="n">
        <s:v>132639</s:v>
      </s:c>
      <s:c r="D377" s="0" t="n">
        <s:v>1847</s:v>
      </s:c>
      <s:c r="F377" s="24">
        <s:f>'자료구성'!$B$2+TIME(INT($C$3/10000),INT(MOD($C$3,10000)/100),MOD($C$3,100))+(ROW()-ROW($C$3))/86400</s:f>
        <s:v>46247.56450231482</s:v>
      </s:c>
    </s:row>
    <s:row r="378">
      <s:c r="A378" s="0" t="n">
        <s:v>260813</s:v>
      </s:c>
      <s:c r="B378" s="0" t="inlineStr">
        <s:is>
          <s:t>이종훈</s:t>
        </s:is>
      </s:c>
      <s:c r="C378" s="0" t="n">
        <s:v>132639</s:v>
      </s:c>
      <s:c r="D378" s="0" t="n">
        <s:v>1841</s:v>
      </s:c>
      <s:c r="F378" s="24">
        <s:f>'자료구성'!$B$2+TIME(INT($C$3/10000),INT(MOD($C$3,10000)/100),MOD($C$3,100))+(ROW()-ROW($C$3))/86400</s:f>
        <s:v>46247.56451388889</s:v>
      </s:c>
    </s:row>
    <s:row r="379">
      <s:c r="A379" s="0" t="n">
        <s:v>260813</s:v>
      </s:c>
      <s:c r="B379" s="0" t="inlineStr">
        <s:is>
          <s:t>이종훈</s:t>
        </s:is>
      </s:c>
      <s:c r="C379" s="0" t="n">
        <s:v>132639</s:v>
      </s:c>
      <s:c r="D379" s="0" t="n">
        <s:v>1853</s:v>
      </s:c>
      <s:c r="F379" s="24">
        <s:f>'자료구성'!$B$2+TIME(INT($C$3/10000),INT(MOD($C$3,10000)/100),MOD($C$3,100))+(ROW()-ROW($C$3))/86400</s:f>
        <s:v>46247.56452546296</s:v>
      </s:c>
    </s:row>
    <s:row r="380">
      <s:c r="A380" s="0" t="n">
        <s:v>260813</s:v>
      </s:c>
      <s:c r="B380" s="0" t="inlineStr">
        <s:is>
          <s:t>이종훈</s:t>
        </s:is>
      </s:c>
      <s:c r="C380" s="0" t="n">
        <s:v>132639</s:v>
      </s:c>
      <s:c r="D380" s="0" t="n">
        <s:v>1850</s:v>
      </s:c>
      <s:c r="F380" s="24">
        <s:f>'자료구성'!$B$2+TIME(INT($C$3/10000),INT(MOD($C$3,10000)/100),MOD($C$3,100))+(ROW()-ROW($C$3))/86400</s:f>
        <s:v>46247.56453703704</s:v>
      </s:c>
    </s:row>
    <s:row r="381">
      <s:c r="A381" s="0" t="n">
        <s:v>260813</s:v>
      </s:c>
      <s:c r="B381" s="0" t="inlineStr">
        <s:is>
          <s:t>이종훈</s:t>
        </s:is>
      </s:c>
      <s:c r="C381" s="0" t="n">
        <s:v>132639</s:v>
      </s:c>
      <s:c r="D381" s="0" t="n">
        <s:v>1858</s:v>
      </s:c>
      <s:c r="F381" s="24">
        <s:f>'자료구성'!$B$2+TIME(INT($C$3/10000),INT(MOD($C$3,10000)/100),MOD($C$3,100))+(ROW()-ROW($C$3))/86400</s:f>
        <s:v>46247.56454861111</s:v>
      </s:c>
    </s:row>
    <s:row r="382">
      <s:c r="A382" s="0" t="n">
        <s:v>260813</s:v>
      </s:c>
      <s:c r="B382" s="0" t="inlineStr">
        <s:is>
          <s:t>이종훈</s:t>
        </s:is>
      </s:c>
      <s:c r="C382" s="0" t="n">
        <s:v>132639</s:v>
      </s:c>
      <s:c r="D382" s="0" t="n">
        <s:v>1865</s:v>
      </s:c>
      <s:c r="F382" s="24">
        <s:f>'자료구성'!$B$2+TIME(INT($C$3/10000),INT(MOD($C$3,10000)/100),MOD($C$3,100))+(ROW()-ROW($C$3))/86400</s:f>
        <s:v>46247.56456018519</s:v>
      </s:c>
    </s:row>
    <s:row r="383">
      <s:c r="A383" s="0" t="n">
        <s:v>260813</s:v>
      </s:c>
      <s:c r="B383" s="0" t="inlineStr">
        <s:is>
          <s:t>이종훈</s:t>
        </s:is>
      </s:c>
      <s:c r="C383" s="0" t="n">
        <s:v>132639</s:v>
      </s:c>
      <s:c r="D383" s="0" t="n">
        <s:v>1861</s:v>
      </s:c>
      <s:c r="F383" s="24">
        <s:f>'자료구성'!$B$2+TIME(INT($C$3/10000),INT(MOD($C$3,10000)/100),MOD($C$3,100))+(ROW()-ROW($C$3))/86400</s:f>
        <s:v>46247.564571759256</s:v>
      </s:c>
    </s:row>
    <s:row r="384">
      <s:c r="A384" s="0" t="n">
        <s:v>260813</s:v>
      </s:c>
      <s:c r="B384" s="0" t="inlineStr">
        <s:is>
          <s:t>이종훈</s:t>
        </s:is>
      </s:c>
      <s:c r="C384" s="0" t="n">
        <s:v>132639</s:v>
      </s:c>
      <s:c r="D384" s="0" t="n">
        <s:v>1867</s:v>
      </s:c>
      <s:c r="F384" s="24">
        <s:f>'자료구성'!$B$2+TIME(INT($C$3/10000),INT(MOD($C$3,10000)/100),MOD($C$3,100))+(ROW()-ROW($C$3))/86400</s:f>
        <s:v>46247.56458333333</s:v>
      </s:c>
    </s:row>
    <s:row r="385">
      <s:c r="A385" s="0" t="n">
        <s:v>260813</s:v>
      </s:c>
      <s:c r="B385" s="0" t="inlineStr">
        <s:is>
          <s:t>이종훈</s:t>
        </s:is>
      </s:c>
      <s:c r="C385" s="0" t="n">
        <s:v>132639</s:v>
      </s:c>
      <s:c r="D385" s="0" t="n">
        <s:v>1873</s:v>
      </s:c>
      <s:c r="F385" s="24">
        <s:f>'자료구성'!$B$2+TIME(INT($C$3/10000),INT(MOD($C$3,10000)/100),MOD($C$3,100))+(ROW()-ROW($C$3))/86400</s:f>
        <s:v>46247.56459490741</s:v>
      </s:c>
    </s:row>
    <s:row r="386">
      <s:c r="A386" s="0" t="n">
        <s:v>260813</s:v>
      </s:c>
      <s:c r="B386" s="0" t="inlineStr">
        <s:is>
          <s:t>이종훈</s:t>
        </s:is>
      </s:c>
      <s:c r="C386" s="0" t="n">
        <s:v>132639</s:v>
      </s:c>
      <s:c r="D386" s="0" t="n">
        <s:v>1890</s:v>
      </s:c>
      <s:c r="F386" s="24">
        <s:f>'자료구성'!$B$2+TIME(INT($C$3/10000),INT(MOD($C$3,10000)/100),MOD($C$3,100))+(ROW()-ROW($C$3))/86400</s:f>
        <s:v>46247.56460648148</s:v>
      </s:c>
    </s:row>
    <s:row r="387">
      <s:c r="A387" s="0" t="n">
        <s:v>260813</s:v>
      </s:c>
      <s:c r="B387" s="0" t="inlineStr">
        <s:is>
          <s:t>이종훈</s:t>
        </s:is>
      </s:c>
      <s:c r="C387" s="0" t="n">
        <s:v>132639</s:v>
      </s:c>
      <s:c r="D387" s="0" t="n">
        <s:v>1915</s:v>
      </s:c>
      <s:c r="F387" s="24">
        <s:f>'자료구성'!$B$2+TIME(INT($C$3/10000),INT(MOD($C$3,10000)/100),MOD($C$3,100))+(ROW()-ROW($C$3))/86400</s:f>
        <s:v>46247.564618055556</s:v>
      </s:c>
    </s:row>
    <s:row r="388">
      <s:c r="A388" s="0" t="n">
        <s:v>260813</s:v>
      </s:c>
      <s:c r="B388" s="0" t="inlineStr">
        <s:is>
          <s:t>이종훈</s:t>
        </s:is>
      </s:c>
      <s:c r="C388" s="0" t="n">
        <s:v>132639</s:v>
      </s:c>
      <s:c r="D388" s="0" t="n">
        <s:v>1924</s:v>
      </s:c>
      <s:c r="F388" s="24">
        <s:f>'자료구성'!$B$2+TIME(INT($C$3/10000),INT(MOD($C$3,10000)/100),MOD($C$3,100))+(ROW()-ROW($C$3))/86400</s:f>
        <s:v>46247.56462962963</s:v>
      </s:c>
    </s:row>
    <s:row r="389">
      <s:c r="A389" s="0" t="n">
        <s:v>260813</s:v>
      </s:c>
      <s:c r="B389" s="0" t="inlineStr">
        <s:is>
          <s:t>이종훈</s:t>
        </s:is>
      </s:c>
      <s:c r="C389" s="0" t="n">
        <s:v>132639</s:v>
      </s:c>
      <s:c r="D389" s="0" t="n">
        <s:v>1935</s:v>
      </s:c>
      <s:c r="F389" s="24">
        <s:f>'자료구성'!$B$2+TIME(INT($C$3/10000),INT(MOD($C$3,10000)/100),MOD($C$3,100))+(ROW()-ROW($C$3))/86400</s:f>
        <s:v>46247.5646412037</s:v>
      </s:c>
    </s:row>
    <s:row r="390">
      <s:c r="A390" s="0" t="n">
        <s:v>260813</s:v>
      </s:c>
      <s:c r="B390" s="0" t="inlineStr">
        <s:is>
          <s:t>이종훈</s:t>
        </s:is>
      </s:c>
      <s:c r="C390" s="0" t="n">
        <s:v>132639</s:v>
      </s:c>
      <s:c r="D390" s="0" t="n">
        <s:v>1969</s:v>
      </s:c>
      <s:c r="F390" s="24">
        <s:f>'자료구성'!$B$2+TIME(INT($C$3/10000),INT(MOD($C$3,10000)/100),MOD($C$3,100))+(ROW()-ROW($C$3))/86400</s:f>
        <s:v>46247.56465277778</s:v>
      </s:c>
    </s:row>
    <s:row r="391">
      <s:c r="A391" s="0" t="n">
        <s:v>260813</s:v>
      </s:c>
      <s:c r="B391" s="0" t="inlineStr">
        <s:is>
          <s:t>이종훈</s:t>
        </s:is>
      </s:c>
      <s:c r="C391" s="0" t="n">
        <s:v>132639</s:v>
      </s:c>
      <s:c r="D391" s="0" t="n">
        <s:v>1985</s:v>
      </s:c>
      <s:c r="F391" s="24">
        <s:f>'자료구성'!$B$2+TIME(INT($C$3/10000),INT(MOD($C$3,10000)/100),MOD($C$3,100))+(ROW()-ROW($C$3))/86400</s:f>
        <s:v>46247.56466435185</s:v>
      </s:c>
    </s:row>
    <s:row r="392">
      <s:c r="A392" s="0" t="n">
        <s:v>260813</s:v>
      </s:c>
      <s:c r="B392" s="0" t="inlineStr">
        <s:is>
          <s:t>이종훈</s:t>
        </s:is>
      </s:c>
      <s:c r="C392" s="0" t="n">
        <s:v>132639</s:v>
      </s:c>
      <s:c r="D392" s="0" t="n">
        <s:v>2022</s:v>
      </s:c>
      <s:c r="F392" s="24">
        <s:f>'자료구성'!$B$2+TIME(INT($C$3/10000),INT(MOD($C$3,10000)/100),MOD($C$3,100))+(ROW()-ROW($C$3))/86400</s:f>
        <s:v>46247.564675925925</s:v>
      </s:c>
    </s:row>
    <s:row r="393">
      <s:c r="A393" s="0" t="n">
        <s:v>260813</s:v>
      </s:c>
      <s:c r="B393" s="0" t="inlineStr">
        <s:is>
          <s:t>이종훈</s:t>
        </s:is>
      </s:c>
      <s:c r="C393" s="0" t="n">
        <s:v>132639</s:v>
      </s:c>
      <s:c r="D393" s="0" t="n">
        <s:v>2046</s:v>
      </s:c>
      <s:c r="F393" s="24">
        <s:f>'자료구성'!$B$2+TIME(INT($C$3/10000),INT(MOD($C$3,10000)/100),MOD($C$3,100))+(ROW()-ROW($C$3))/86400</s:f>
        <s:v>46247.5646875</s:v>
      </s:c>
    </s:row>
    <s:row r="394">
      <s:c r="A394" s="0" t="n">
        <s:v>260813</s:v>
      </s:c>
      <s:c r="B394" s="0" t="inlineStr">
        <s:is>
          <s:t>이종훈</s:t>
        </s:is>
      </s:c>
      <s:c r="C394" s="0" t="n">
        <s:v>132639</s:v>
      </s:c>
      <s:c r="D394" s="0" t="n">
        <s:v>2063</s:v>
      </s:c>
      <s:c r="F394" s="24">
        <s:f>'자료구성'!$B$2+TIME(INT($C$3/10000),INT(MOD($C$3,10000)/100),MOD($C$3,100))+(ROW()-ROW($C$3))/86400</s:f>
        <s:v>46247.56469907407</s:v>
      </s:c>
    </s:row>
    <s:row r="395">
      <s:c r="A395" s="0" t="n">
        <s:v>260813</s:v>
      </s:c>
      <s:c r="B395" s="0" t="inlineStr">
        <s:is>
          <s:t>이종훈</s:t>
        </s:is>
      </s:c>
      <s:c r="C395" s="0" t="n">
        <s:v>132639</s:v>
      </s:c>
      <s:c r="D395" s="0" t="n">
        <s:v>2055</s:v>
      </s:c>
      <s:c r="F395" s="24">
        <s:f>'자료구성'!$B$2+TIME(INT($C$3/10000),INT(MOD($C$3,10000)/100),MOD($C$3,100))+(ROW()-ROW($C$3))/86400</s:f>
        <s:v>46247.56471064815</s:v>
      </s:c>
    </s:row>
    <s:row r="396">
      <s:c r="A396" s="0" t="n">
        <s:v>260813</s:v>
      </s:c>
      <s:c r="B396" s="0" t="inlineStr">
        <s:is>
          <s:t>이종훈</s:t>
        </s:is>
      </s:c>
      <s:c r="C396" s="0" t="n">
        <s:v>132639</s:v>
      </s:c>
      <s:c r="D396" s="0" t="n">
        <s:v>2049</s:v>
      </s:c>
      <s:c r="F396" s="24">
        <s:f>'자료구성'!$B$2+TIME(INT($C$3/10000),INT(MOD($C$3,10000)/100),MOD($C$3,100))+(ROW()-ROW($C$3))/86400</s:f>
        <s:v>46247.564722222225</s:v>
      </s:c>
    </s:row>
    <s:row r="397">
      <s:c r="A397" s="0" t="n">
        <s:v>260813</s:v>
      </s:c>
      <s:c r="B397" s="0" t="inlineStr">
        <s:is>
          <s:t>이종훈</s:t>
        </s:is>
      </s:c>
      <s:c r="C397" s="0" t="n">
        <s:v>132639</s:v>
      </s:c>
      <s:c r="D397" s="0" t="n">
        <s:v>2039</s:v>
      </s:c>
      <s:c r="F397" s="24">
        <s:f>'자료구성'!$B$2+TIME(INT($C$3/10000),INT(MOD($C$3,10000)/100),MOD($C$3,100))+(ROW()-ROW($C$3))/86400</s:f>
        <s:v>46247.564733796295</s:v>
      </s:c>
    </s:row>
    <s:row r="398">
      <s:c r="A398" s="0" t="n">
        <s:v>260813</s:v>
      </s:c>
      <s:c r="B398" s="0" t="inlineStr">
        <s:is>
          <s:t>이종훈</s:t>
        </s:is>
      </s:c>
      <s:c r="C398" s="0" t="n">
        <s:v>132639</s:v>
      </s:c>
      <s:c r="D398" s="0" t="n">
        <s:v>2037</s:v>
      </s:c>
      <s:c r="F398" s="24">
        <s:f>'자료구성'!$B$2+TIME(INT($C$3/10000),INT(MOD($C$3,10000)/100),MOD($C$3,100))+(ROW()-ROW($C$3))/86400</s:f>
        <s:v>46247.56474537037</s:v>
      </s:c>
    </s:row>
    <s:row r="399">
      <s:c r="A399" s="0" t="n">
        <s:v>260813</s:v>
      </s:c>
      <s:c r="B399" s="0" t="inlineStr">
        <s:is>
          <s:t>이종훈</s:t>
        </s:is>
      </s:c>
      <s:c r="C399" s="0" t="n">
        <s:v>132639</s:v>
      </s:c>
      <s:c r="D399" s="0" t="n">
        <s:v>1983</s:v>
      </s:c>
      <s:c r="F399" s="24">
        <s:f>'자료구성'!$B$2+TIME(INT($C$3/10000),INT(MOD($C$3,10000)/100),MOD($C$3,100))+(ROW()-ROW($C$3))/86400</s:f>
        <s:v>46247.56475694444</s:v>
      </s:c>
    </s:row>
    <s:row r="400">
      <s:c r="A400" s="0" t="n">
        <s:v>260813</s:v>
      </s:c>
      <s:c r="B400" s="0" t="inlineStr">
        <s:is>
          <s:t>이종훈</s:t>
        </s:is>
      </s:c>
      <s:c r="C400" s="0" t="n">
        <s:v>132639</s:v>
      </s:c>
      <s:c r="D400" s="0" t="n">
        <s:v>1927</s:v>
      </s:c>
      <s:c r="F400" s="24">
        <s:f>'자료구성'!$B$2+TIME(INT($C$3/10000),INT(MOD($C$3,10000)/100),MOD($C$3,100))+(ROW()-ROW($C$3))/86400</s:f>
        <s:v>46247.56476851852</s:v>
      </s:c>
    </s:row>
    <s:row r="401">
      <s:c r="A401" s="0" t="n">
        <s:v>260813</s:v>
      </s:c>
      <s:c r="B401" s="0" t="inlineStr">
        <s:is>
          <s:t>이종훈</s:t>
        </s:is>
      </s:c>
      <s:c r="C401" s="0" t="n">
        <s:v>132639</s:v>
      </s:c>
      <s:c r="D401" s="0" t="n">
        <s:v>1876</s:v>
      </s:c>
      <s:c r="F401" s="24">
        <s:f>'자료구성'!$B$2+TIME(INT($C$3/10000),INT(MOD($C$3,10000)/100),MOD($C$3,100))+(ROW()-ROW($C$3))/86400</s:f>
        <s:v>46247.564780092594</s:v>
      </s:c>
    </s:row>
    <s:row r="402">
      <s:c r="A402" s="0" t="n">
        <s:v>260813</s:v>
      </s:c>
      <s:c r="B402" s="0" t="inlineStr">
        <s:is>
          <s:t>이종훈</s:t>
        </s:is>
      </s:c>
      <s:c r="C402" s="0" t="n">
        <s:v>132639</s:v>
      </s:c>
      <s:c r="D402" s="0" t="n">
        <s:v>1841</s:v>
      </s:c>
      <s:c r="F402" s="24">
        <s:f>'자료구성'!$B$2+TIME(INT($C$3/10000),INT(MOD($C$3,10000)/100),MOD($C$3,100))+(ROW()-ROW($C$3))/86400</s:f>
        <s:v>46247.564791666664</s:v>
      </s:c>
    </s:row>
    <s:row r="403">
      <s:c r="A403" s="0" t="n">
        <s:v>260813</s:v>
      </s:c>
      <s:c r="B403" s="0" t="inlineStr">
        <s:is>
          <s:t>이종훈</s:t>
        </s:is>
      </s:c>
      <s:c r="C403" s="0" t="n">
        <s:v>132639</s:v>
      </s:c>
      <s:c r="D403" s="0" t="n">
        <s:v>1830</s:v>
      </s:c>
      <s:c r="F403" s="24">
        <s:f>'자료구성'!$B$2+TIME(INT($C$3/10000),INT(MOD($C$3,10000)/100),MOD($C$3,100))+(ROW()-ROW($C$3))/86400</s:f>
        <s:v>46247.56480324074</s:v>
      </s:c>
    </s:row>
    <s:row r="404">
      <s:c r="A404" s="0" t="n">
        <s:v>260813</s:v>
      </s:c>
      <s:c r="B404" s="0" t="inlineStr">
        <s:is>
          <s:t>이종훈</s:t>
        </s:is>
      </s:c>
      <s:c r="C404" s="0" t="n">
        <s:v>132639</s:v>
      </s:c>
      <s:c r="D404" s="0" t="n">
        <s:v>1766</s:v>
      </s:c>
      <s:c r="F404" s="24">
        <s:f>'자료구성'!$B$2+TIME(INT($C$3/10000),INT(MOD($C$3,10000)/100),MOD($C$3,100))+(ROW()-ROW($C$3))/86400</s:f>
        <s:v>46247.56481481482</s:v>
      </s:c>
    </s:row>
    <s:row r="405">
      <s:c r="A405" s="0" t="n">
        <s:v>260813</s:v>
      </s:c>
      <s:c r="B405" s="0" t="inlineStr">
        <s:is>
          <s:t>이종훈</s:t>
        </s:is>
      </s:c>
      <s:c r="C405" s="0" t="n">
        <s:v>132639</s:v>
      </s:c>
      <s:c r="D405" s="0" t="n">
        <s:v>1777</s:v>
      </s:c>
      <s:c r="F405" s="24">
        <s:f>'자료구성'!$B$2+TIME(INT($C$3/10000),INT(MOD($C$3,10000)/100),MOD($C$3,100))+(ROW()-ROW($C$3))/86400</s:f>
        <s:v>46247.56482638889</s:v>
      </s:c>
    </s:row>
    <s:row r="406">
      <s:c r="A406" s="0" t="n">
        <s:v>260813</s:v>
      </s:c>
      <s:c r="B406" s="0" t="inlineStr">
        <s:is>
          <s:t>이종훈</s:t>
        </s:is>
      </s:c>
      <s:c r="C406" s="0" t="n">
        <s:v>132639</s:v>
      </s:c>
      <s:c r="D406" s="0" t="n">
        <s:v>1790</s:v>
      </s:c>
      <s:c r="F406" s="24">
        <s:f>'자료구성'!$B$2+TIME(INT($C$3/10000),INT(MOD($C$3,10000)/100),MOD($C$3,100))+(ROW()-ROW($C$3))/86400</s:f>
        <s:v>46247.564837962964</s:v>
      </s:c>
    </s:row>
    <s:row r="407">
      <s:c r="A407" s="0" t="n">
        <s:v>260813</s:v>
      </s:c>
      <s:c r="B407" s="0" t="inlineStr">
        <s:is>
          <s:t>이종훈</s:t>
        </s:is>
      </s:c>
      <s:c r="C407" s="0" t="n">
        <s:v>132639</s:v>
      </s:c>
      <s:c r="D407" s="0" t="n">
        <s:v>1787</s:v>
      </s:c>
      <s:c r="F407" s="24">
        <s:f>'자료구성'!$B$2+TIME(INT($C$3/10000),INT(MOD($C$3,10000)/100),MOD($C$3,100))+(ROW()-ROW($C$3))/86400</s:f>
        <s:v>46247.56484953704</s:v>
      </s:c>
    </s:row>
    <s:row r="408">
      <s:c r="A408" s="0" t="n">
        <s:v>260813</s:v>
      </s:c>
      <s:c r="B408" s="0" t="inlineStr">
        <s:is>
          <s:t>이종훈</s:t>
        </s:is>
      </s:c>
      <s:c r="C408" s="0" t="n">
        <s:v>132639</s:v>
      </s:c>
      <s:c r="D408" s="0" t="n">
        <s:v>1798</s:v>
      </s:c>
      <s:c r="F408" s="24">
        <s:f>'자료구성'!$B$2+TIME(INT($C$3/10000),INT(MOD($C$3,10000)/100),MOD($C$3,100))+(ROW()-ROW($C$3))/86400</s:f>
        <s:v>46247.56486111111</s:v>
      </s:c>
    </s:row>
    <s:row r="409">
      <s:c r="A409" s="0" t="n">
        <s:v>260813</s:v>
      </s:c>
      <s:c r="B409" s="0" t="inlineStr">
        <s:is>
          <s:t>이종훈</s:t>
        </s:is>
      </s:c>
      <s:c r="C409" s="0" t="n">
        <s:v>132639</s:v>
      </s:c>
      <s:c r="D409" s="0" t="n">
        <s:v>1803</s:v>
      </s:c>
      <s:c r="F409" s="24">
        <s:f>'자료구성'!$B$2+TIME(INT($C$3/10000),INT(MOD($C$3,10000)/100),MOD($C$3,100))+(ROW()-ROW($C$3))/86400</s:f>
        <s:v>46247.56487268519</s:v>
      </s:c>
    </s:row>
    <s:row r="410">
      <s:c r="A410" s="0" t="n">
        <s:v>260813</s:v>
      </s:c>
      <s:c r="B410" s="0" t="inlineStr">
        <s:is>
          <s:t>이종훈</s:t>
        </s:is>
      </s:c>
      <s:c r="C410" s="0" t="n">
        <s:v>132639</s:v>
      </s:c>
      <s:c r="D410" s="0" t="n">
        <s:v>1762</s:v>
      </s:c>
      <s:c r="F410" s="24">
        <s:f>'자료구성'!$B$2+TIME(INT($C$3/10000),INT(MOD($C$3,10000)/100),MOD($C$3,100))+(ROW()-ROW($C$3))/86400</s:f>
        <s:v>46247.564884259256</s:v>
      </s:c>
    </s:row>
    <s:row r="411">
      <s:c r="A411" s="0" t="n">
        <s:v>260813</s:v>
      </s:c>
      <s:c r="B411" s="0" t="inlineStr">
        <s:is>
          <s:t>이종훈</s:t>
        </s:is>
      </s:c>
      <s:c r="C411" s="0" t="n">
        <s:v>132639</s:v>
      </s:c>
      <s:c r="D411" s="0" t="n">
        <s:v>1692</s:v>
      </s:c>
      <s:c r="F411" s="24">
        <s:f>'자료구성'!$B$2+TIME(INT($C$3/10000),INT(MOD($C$3,10000)/100),MOD($C$3,100))+(ROW()-ROW($C$3))/86400</s:f>
        <s:v>46247.56489583333</s:v>
      </s:c>
    </s:row>
    <s:row r="412">
      <s:c r="A412" s="0" t="n">
        <s:v>260813</s:v>
      </s:c>
      <s:c r="B412" s="0" t="inlineStr">
        <s:is>
          <s:t>이종훈</s:t>
        </s:is>
      </s:c>
      <s:c r="C412" s="0" t="n">
        <s:v>132639</s:v>
      </s:c>
      <s:c r="D412" s="0" t="n">
        <s:v>1641</s:v>
      </s:c>
      <s:c r="F412" s="24">
        <s:f>'자료구성'!$B$2+TIME(INT($C$3/10000),INT(MOD($C$3,10000)/100),MOD($C$3,100))+(ROW()-ROW($C$3))/86400</s:f>
        <s:v>46247.56490740741</s:v>
      </s:c>
    </s:row>
    <s:row r="413">
      <s:c r="A413" s="0" t="n">
        <s:v>260813</s:v>
      </s:c>
      <s:c r="B413" s="0" t="inlineStr">
        <s:is>
          <s:t>이종훈</s:t>
        </s:is>
      </s:c>
      <s:c r="C413" s="0" t="n">
        <s:v>132639</s:v>
      </s:c>
      <s:c r="D413" s="0" t="n">
        <s:v>1592</s:v>
      </s:c>
      <s:c r="F413" s="24">
        <s:f>'자료구성'!$B$2+TIME(INT($C$3/10000),INT(MOD($C$3,10000)/100),MOD($C$3,100))+(ROW()-ROW($C$3))/86400</s:f>
        <s:v>46247.56491898148</s:v>
      </s:c>
    </s:row>
    <s:row r="414">
      <s:c r="A414" s="0" t="n">
        <s:v>260813</s:v>
      </s:c>
      <s:c r="B414" s="0" t="inlineStr">
        <s:is>
          <s:t>이종훈</s:t>
        </s:is>
      </s:c>
      <s:c r="C414" s="0" t="n">
        <s:v>132639</s:v>
      </s:c>
      <s:c r="D414" s="0" t="n">
        <s:v>1549</s:v>
      </s:c>
      <s:c r="F414" s="24">
        <s:f>'자료구성'!$B$2+TIME(INT($C$3/10000),INT(MOD($C$3,10000)/100),MOD($C$3,100))+(ROW()-ROW($C$3))/86400</s:f>
        <s:v>46247.564930555556</s:v>
      </s:c>
    </s:row>
    <s:row r="415">
      <s:c r="A415" s="0" t="n">
        <s:v>260813</s:v>
      </s:c>
      <s:c r="B415" s="0" t="inlineStr">
        <s:is>
          <s:t>이종훈</s:t>
        </s:is>
      </s:c>
      <s:c r="C415" s="0" t="n">
        <s:v>132639</s:v>
      </s:c>
      <s:c r="D415" s="0" t="n">
        <s:v>1538</s:v>
      </s:c>
      <s:c r="F415" s="24">
        <s:f>'자료구성'!$B$2+TIME(INT($C$3/10000),INT(MOD($C$3,10000)/100),MOD($C$3,100))+(ROW()-ROW($C$3))/86400</s:f>
        <s:v>46247.56494212963</s:v>
      </s:c>
    </s:row>
    <s:row r="416">
      <s:c r="A416" s="0" t="n">
        <s:v>260813</s:v>
      </s:c>
      <s:c r="B416" s="0" t="inlineStr">
        <s:is>
          <s:t>이종훈</s:t>
        </s:is>
      </s:c>
      <s:c r="C416" s="0" t="n">
        <s:v>132639</s:v>
      </s:c>
      <s:c r="D416" s="0" t="n">
        <s:v>1510</s:v>
      </s:c>
      <s:c r="F416" s="24">
        <s:f>'자료구성'!$B$2+TIME(INT($C$3/10000),INT(MOD($C$3,10000)/100),MOD($C$3,100))+(ROW()-ROW($C$3))/86400</s:f>
        <s:v>46247.5649537037</s:v>
      </s:c>
    </s:row>
    <s:row r="417">
      <s:c r="A417" s="0" t="n">
        <s:v>260813</s:v>
      </s:c>
      <s:c r="B417" s="0" t="inlineStr">
        <s:is>
          <s:t>이종훈</s:t>
        </s:is>
      </s:c>
      <s:c r="C417" s="0" t="n">
        <s:v>132639</s:v>
      </s:c>
      <s:c r="D417" s="0" t="n">
        <s:v>1472</s:v>
      </s:c>
      <s:c r="F417" s="24">
        <s:f>'자료구성'!$B$2+TIME(INT($C$3/10000),INT(MOD($C$3,10000)/100),MOD($C$3,100))+(ROW()-ROW($C$3))/86400</s:f>
        <s:v>46247.56496527778</s:v>
      </s:c>
    </s:row>
    <s:row r="418">
      <s:c r="A418" s="0" t="n">
        <s:v>260813</s:v>
      </s:c>
      <s:c r="B418" s="0" t="inlineStr">
        <s:is>
          <s:t>이종훈</s:t>
        </s:is>
      </s:c>
      <s:c r="C418" s="0" t="n">
        <s:v>132639</s:v>
      </s:c>
      <s:c r="D418" s="0" t="n">
        <s:v>1435</s:v>
      </s:c>
      <s:c r="F418" s="24">
        <s:f>'자료구성'!$B$2+TIME(INT($C$3/10000),INT(MOD($C$3,10000)/100),MOD($C$3,100))+(ROW()-ROW($C$3))/86400</s:f>
        <s:v>46247.56497685185</s:v>
      </s:c>
    </s:row>
    <s:row r="419">
      <s:c r="A419" s="0" t="n">
        <s:v>260813</s:v>
      </s:c>
      <s:c r="B419" s="0" t="inlineStr">
        <s:is>
          <s:t>이종훈</s:t>
        </s:is>
      </s:c>
      <s:c r="C419" s="0" t="n">
        <s:v>132639</s:v>
      </s:c>
      <s:c r="D419" s="0" t="n">
        <s:v>1418</s:v>
      </s:c>
      <s:c r="F419" s="24">
        <s:f>'자료구성'!$B$2+TIME(INT($C$3/10000),INT(MOD($C$3,10000)/100),MOD($C$3,100))+(ROW()-ROW($C$3))/86400</s:f>
        <s:v>46247.564988425926</s:v>
      </s:c>
    </s:row>
    <s:row r="420">
      <s:c r="A420" s="0" t="n">
        <s:v>260813</s:v>
      </s:c>
      <s:c r="B420" s="0" t="inlineStr">
        <s:is>
          <s:t>이종훈</s:t>
        </s:is>
      </s:c>
      <s:c r="C420" s="0" t="n">
        <s:v>132639</s:v>
      </s:c>
      <s:c r="D420" s="0" t="n">
        <s:v>1408</s:v>
      </s:c>
      <s:c r="F420" s="24">
        <s:f>'자료구성'!$B$2+TIME(INT($C$3/10000),INT(MOD($C$3,10000)/100),MOD($C$3,100))+(ROW()-ROW($C$3))/86400</s:f>
        <s:v>46247.565</s:v>
      </s:c>
    </s:row>
    <s:row r="421">
      <s:c r="A421" s="0" t="n">
        <s:v>260813</s:v>
      </s:c>
      <s:c r="B421" s="0" t="inlineStr">
        <s:is>
          <s:t>이종훈</s:t>
        </s:is>
      </s:c>
      <s:c r="C421" s="0" t="n">
        <s:v>132639</s:v>
      </s:c>
      <s:c r="D421" s="0" t="n">
        <s:v>1408</s:v>
      </s:c>
      <s:c r="F421" s="24">
        <s:f>'자료구성'!$B$2+TIME(INT($C$3/10000),INT(MOD($C$3,10000)/100),MOD($C$3,100))+(ROW()-ROW($C$3))/86400</s:f>
        <s:v>46247.56501157407</s:v>
      </s:c>
    </s:row>
    <s:row r="422">
      <s:c r="A422" s="0" t="n">
        <s:v>260813</s:v>
      </s:c>
      <s:c r="B422" s="0" t="inlineStr">
        <s:is>
          <s:t>이종훈</s:t>
        </s:is>
      </s:c>
      <s:c r="C422" s="0" t="n">
        <s:v>132639</s:v>
      </s:c>
      <s:c r="D422" s="0" t="n">
        <s:v>1423</s:v>
      </s:c>
      <s:c r="F422" s="24">
        <s:f>'자료구성'!$B$2+TIME(INT($C$3/10000),INT(MOD($C$3,10000)/100),MOD($C$3,100))+(ROW()-ROW($C$3))/86400</s:f>
        <s:v>46247.56502314815</s:v>
      </s:c>
    </s:row>
    <s:row r="423">
      <s:c r="A423" s="0" t="n">
        <s:v>260813</s:v>
      </s:c>
      <s:c r="B423" s="0" t="inlineStr">
        <s:is>
          <s:t>이종훈</s:t>
        </s:is>
      </s:c>
      <s:c r="C423" s="0" t="n">
        <s:v>132639</s:v>
      </s:c>
      <s:c r="D423" s="0" t="n">
        <s:v>1438</s:v>
      </s:c>
      <s:c r="F423" s="24">
        <s:f>'자료구성'!$B$2+TIME(INT($C$3/10000),INT(MOD($C$3,10000)/100),MOD($C$3,100))+(ROW()-ROW($C$3))/86400</s:f>
        <s:v>46247.565034722225</s:v>
      </s:c>
    </s:row>
    <s:row r="424">
      <s:c r="A424" s="0" t="n">
        <s:v>260813</s:v>
      </s:c>
      <s:c r="B424" s="0" t="inlineStr">
        <s:is>
          <s:t>이종훈</s:t>
        </s:is>
      </s:c>
      <s:c r="C424" s="0" t="n">
        <s:v>132639</s:v>
      </s:c>
      <s:c r="D424" s="0" t="n">
        <s:v>1461</s:v>
      </s:c>
      <s:c r="F424" s="24">
        <s:f>'자료구성'!$B$2+TIME(INT($C$3/10000),INT(MOD($C$3,10000)/100),MOD($C$3,100))+(ROW()-ROW($C$3))/86400</s:f>
        <s:v>46247.565046296295</s:v>
      </s:c>
    </s:row>
    <s:row r="425">
      <s:c r="A425" s="0" t="n">
        <s:v>260813</s:v>
      </s:c>
      <s:c r="B425" s="0" t="inlineStr">
        <s:is>
          <s:t>이종훈</s:t>
        </s:is>
      </s:c>
      <s:c r="C425" s="0" t="n">
        <s:v>132639</s:v>
      </s:c>
      <s:c r="D425" s="0" t="n">
        <s:v>1462</s:v>
      </s:c>
      <s:c r="F425" s="24">
        <s:f>'자료구성'!$B$2+TIME(INT($C$3/10000),INT(MOD($C$3,10000)/100),MOD($C$3,100))+(ROW()-ROW($C$3))/86400</s:f>
        <s:v>46247.56505787037</s:v>
      </s:c>
    </s:row>
    <s:row r="426">
      <s:c r="A426" s="0" t="n">
        <s:v>260813</s:v>
      </s:c>
      <s:c r="B426" s="0" t="inlineStr">
        <s:is>
          <s:t>이종훈</s:t>
        </s:is>
      </s:c>
      <s:c r="C426" s="0" t="n">
        <s:v>132639</s:v>
      </s:c>
      <s:c r="D426" s="0" t="n">
        <s:v>1446</s:v>
      </s:c>
      <s:c r="F426" s="24">
        <s:f>'자료구성'!$B$2+TIME(INT($C$3/10000),INT(MOD($C$3,10000)/100),MOD($C$3,100))+(ROW()-ROW($C$3))/86400</s:f>
        <s:v>46247.56506944444</s:v>
      </s:c>
    </s:row>
    <s:row r="427">
      <s:c r="A427" s="0" t="n">
        <s:v>260813</s:v>
      </s:c>
      <s:c r="B427" s="0" t="inlineStr">
        <s:is>
          <s:t>이종훈</s:t>
        </s:is>
      </s:c>
      <s:c r="C427" s="0" t="n">
        <s:v>132639</s:v>
      </s:c>
      <s:c r="D427" s="0" t="n">
        <s:v>1434</s:v>
      </s:c>
      <s:c r="F427" s="24">
        <s:f>'자료구성'!$B$2+TIME(INT($C$3/10000),INT(MOD($C$3,10000)/100),MOD($C$3,100))+(ROW()-ROW($C$3))/86400</s:f>
        <s:v>46247.56508101852</s:v>
      </s:c>
    </s:row>
    <s:row r="428">
      <s:c r="A428" s="0" t="n">
        <s:v>260813</s:v>
      </s:c>
      <s:c r="B428" s="0" t="inlineStr">
        <s:is>
          <s:t>이종훈</s:t>
        </s:is>
      </s:c>
      <s:c r="C428" s="0" t="n">
        <s:v>132639</s:v>
      </s:c>
      <s:c r="D428" s="0" t="n">
        <s:v>1408</s:v>
      </s:c>
      <s:c r="F428" s="24">
        <s:f>'자료구성'!$B$2+TIME(INT($C$3/10000),INT(MOD($C$3,10000)/100),MOD($C$3,100))+(ROW()-ROW($C$3))/86400</s:f>
        <s:v>46247.565092592595</s:v>
      </s:c>
    </s:row>
    <s:row r="429">
      <s:c r="A429" s="0" t="n">
        <s:v>260813</s:v>
      </s:c>
      <s:c r="B429" s="0" t="inlineStr">
        <s:is>
          <s:t>이종훈</s:t>
        </s:is>
      </s:c>
      <s:c r="C429" s="0" t="n">
        <s:v>132639</s:v>
      </s:c>
      <s:c r="D429" s="0" t="n">
        <s:v>1406</s:v>
      </s:c>
      <s:c r="F429" s="24">
        <s:f>'자료구성'!$B$2+TIME(INT($C$3/10000),INT(MOD($C$3,10000)/100),MOD($C$3,100))+(ROW()-ROW($C$3))/86400</s:f>
        <s:v>46247.565104166664</s:v>
      </s:c>
    </s:row>
    <s:row r="430">
      <s:c r="A430" s="0" t="n">
        <s:v>260813</s:v>
      </s:c>
      <s:c r="B430" s="0" t="inlineStr">
        <s:is>
          <s:t>이종훈</s:t>
        </s:is>
      </s:c>
      <s:c r="C430" s="0" t="n">
        <s:v>132639</s:v>
      </s:c>
      <s:c r="D430" s="0" t="n">
        <s:v>1415</s:v>
      </s:c>
      <s:c r="F430" s="24">
        <s:f>'자료구성'!$B$2+TIME(INT($C$3/10000),INT(MOD($C$3,10000)/100),MOD($C$3,100))+(ROW()-ROW($C$3))/86400</s:f>
        <s:v>46247.56511574074</s:v>
      </s:c>
    </s:row>
    <s:row r="431">
      <s:c r="A431" s="0" t="n">
        <s:v>260813</s:v>
      </s:c>
      <s:c r="B431" s="0" t="inlineStr">
        <s:is>
          <s:t>이종훈</s:t>
        </s:is>
      </s:c>
      <s:c r="C431" s="0" t="n">
        <s:v>132639</s:v>
      </s:c>
      <s:c r="D431" s="0" t="n">
        <s:v>1438</s:v>
      </s:c>
      <s:c r="F431" s="24">
        <s:f>'자료구성'!$B$2+TIME(INT($C$3/10000),INT(MOD($C$3,10000)/100),MOD($C$3,100))+(ROW()-ROW($C$3))/86400</s:f>
        <s:v>46247.56512731482</s:v>
      </s:c>
    </s:row>
    <s:row r="432">
      <s:c r="A432" s="0" t="n">
        <s:v>260813</s:v>
      </s:c>
      <s:c r="B432" s="0" t="inlineStr">
        <s:is>
          <s:t>이종훈</s:t>
        </s:is>
      </s:c>
      <s:c r="C432" s="0" t="n">
        <s:v>132639</s:v>
      </s:c>
      <s:c r="D432" s="0" t="n">
        <s:v>1460</s:v>
      </s:c>
      <s:c r="F432" s="24">
        <s:f>'자료구성'!$B$2+TIME(INT($C$3/10000),INT(MOD($C$3,10000)/100),MOD($C$3,100))+(ROW()-ROW($C$3))/86400</s:f>
        <s:v>46247.56513888889</s:v>
      </s:c>
    </s:row>
    <s:row r="433">
      <s:c r="A433" s="0" t="n">
        <s:v>260813</s:v>
      </s:c>
      <s:c r="B433" s="0" t="inlineStr">
        <s:is>
          <s:t>이종훈</s:t>
        </s:is>
      </s:c>
      <s:c r="C433" s="0" t="n">
        <s:v>132639</s:v>
      </s:c>
      <s:c r="D433" s="0" t="n">
        <s:v>1487</s:v>
      </s:c>
      <s:c r="F433" s="24">
        <s:f>'자료구성'!$B$2+TIME(INT($C$3/10000),INT(MOD($C$3,10000)/100),MOD($C$3,100))+(ROW()-ROW($C$3))/86400</s:f>
        <s:v>46247.565150462964</s:v>
      </s:c>
    </s:row>
    <s:row r="434">
      <s:c r="A434" s="0" t="n">
        <s:v>260813</s:v>
      </s:c>
      <s:c r="B434" s="0" t="inlineStr">
        <s:is>
          <s:t>이종훈</s:t>
        </s:is>
      </s:c>
      <s:c r="C434" s="0" t="n">
        <s:v>132639</s:v>
      </s:c>
      <s:c r="D434" s="0" t="n">
        <s:v>1538</s:v>
      </s:c>
      <s:c r="F434" s="24">
        <s:f>'자료구성'!$B$2+TIME(INT($C$3/10000),INT(MOD($C$3,10000)/100),MOD($C$3,100))+(ROW()-ROW($C$3))/86400</s:f>
        <s:v>46247.56516203703</s:v>
      </s:c>
    </s:row>
    <s:row r="435">
      <s:c r="A435" s="0" t="n">
        <s:v>260813</s:v>
      </s:c>
      <s:c r="B435" s="0" t="inlineStr">
        <s:is>
          <s:t>이종훈</s:t>
        </s:is>
      </s:c>
      <s:c r="C435" s="0" t="n">
        <s:v>132639</s:v>
      </s:c>
      <s:c r="D435" s="0" t="n">
        <s:v>1578</s:v>
      </s:c>
      <s:c r="F435" s="24">
        <s:f>'자료구성'!$B$2+TIME(INT($C$3/10000),INT(MOD($C$3,10000)/100),MOD($C$3,100))+(ROW()-ROW($C$3))/86400</s:f>
        <s:v>46247.56517361111</s:v>
      </s:c>
    </s:row>
    <s:row r="436">
      <s:c r="A436" s="0" t="n">
        <s:v>260813</s:v>
      </s:c>
      <s:c r="B436" s="0" t="inlineStr">
        <s:is>
          <s:t>이종훈</s:t>
        </s:is>
      </s:c>
      <s:c r="C436" s="0" t="n">
        <s:v>132639</s:v>
      </s:c>
      <s:c r="D436" s="0" t="n">
        <s:v>1617</s:v>
      </s:c>
      <s:c r="F436" s="24">
        <s:f>'자료구성'!$B$2+TIME(INT($C$3/10000),INT(MOD($C$3,10000)/100),MOD($C$3,100))+(ROW()-ROW($C$3))/86400</s:f>
        <s:v>46247.56518518519</s:v>
      </s:c>
    </s:row>
    <s:row r="437">
      <s:c r="A437" s="0" t="n">
        <s:v>260813</s:v>
      </s:c>
      <s:c r="B437" s="0" t="inlineStr">
        <s:is>
          <s:t>이종훈</s:t>
        </s:is>
      </s:c>
      <s:c r="C437" s="0" t="n">
        <s:v>132639</s:v>
      </s:c>
      <s:c r="D437" s="0" t="n">
        <s:v>1611</s:v>
      </s:c>
      <s:c r="F437" s="24">
        <s:f>'자료구성'!$B$2+TIME(INT($C$3/10000),INT(MOD($C$3,10000)/100),MOD($C$3,100))+(ROW()-ROW($C$3))/86400</s:f>
        <s:v>46247.56519675926</s:v>
      </s:c>
    </s:row>
    <s:row r="438">
      <s:c r="A438" s="0" t="n">
        <s:v>260813</s:v>
      </s:c>
      <s:c r="B438" s="0" t="inlineStr">
        <s:is>
          <s:t>이종훈</s:t>
        </s:is>
      </s:c>
      <s:c r="C438" s="0" t="n">
        <s:v>132639</s:v>
      </s:c>
      <s:c r="D438" s="0" t="n">
        <s:v>1583</s:v>
      </s:c>
      <s:c r="F438" s="24">
        <s:f>'자료구성'!$B$2+TIME(INT($C$3/10000),INT(MOD($C$3,10000)/100),MOD($C$3,100))+(ROW()-ROW($C$3))/86400</s:f>
        <s:v>46247.56520833333</s:v>
      </s:c>
    </s:row>
    <s:row r="439">
      <s:c r="A439" s="0" t="n">
        <s:v>260813</s:v>
      </s:c>
      <s:c r="B439" s="0" t="inlineStr">
        <s:is>
          <s:t>이종훈</s:t>
        </s:is>
      </s:c>
      <s:c r="C439" s="0" t="n">
        <s:v>132639</s:v>
      </s:c>
      <s:c r="D439" s="0" t="n">
        <s:v>1611</s:v>
      </s:c>
      <s:c r="F439" s="24">
        <s:f>'자료구성'!$B$2+TIME(INT($C$3/10000),INT(MOD($C$3,10000)/100),MOD($C$3,100))+(ROW()-ROW($C$3))/86400</s:f>
        <s:v>46247.56521990741</s:v>
      </s:c>
    </s:row>
    <s:row r="440">
      <s:c r="A440" s="0" t="n">
        <s:v>260813</s:v>
      </s:c>
      <s:c r="B440" s="0" t="inlineStr">
        <s:is>
          <s:t>이종훈</s:t>
        </s:is>
      </s:c>
      <s:c r="C440" s="0" t="n">
        <s:v>132639</s:v>
      </s:c>
      <s:c r="D440" s="0" t="n">
        <s:v>1705</s:v>
      </s:c>
      <s:c r="F440" s="24">
        <s:f>'자료구성'!$B$2+TIME(INT($C$3/10000),INT(MOD($C$3,10000)/100),MOD($C$3,100))+(ROW()-ROW($C$3))/86400</s:f>
        <s:v>46247.56523148148</s:v>
      </s:c>
    </s:row>
    <s:row r="441">
      <s:c r="A441" s="0" t="n">
        <s:v>260813</s:v>
      </s:c>
      <s:c r="B441" s="0" t="inlineStr">
        <s:is>
          <s:t>이종훈</s:t>
        </s:is>
      </s:c>
      <s:c r="C441" s="0" t="n">
        <s:v>132639</s:v>
      </s:c>
      <s:c r="D441" s="0" t="n">
        <s:v>1770</s:v>
      </s:c>
      <s:c r="F441" s="24">
        <s:f>'자료구성'!$B$2+TIME(INT($C$3/10000),INT(MOD($C$3,10000)/100),MOD($C$3,100))+(ROW()-ROW($C$3))/86400</s:f>
        <s:v>46247.56524305556</s:v>
      </s:c>
    </s:row>
    <s:row r="442">
      <s:c r="A442" s="0" t="n">
        <s:v>260813</s:v>
      </s:c>
      <s:c r="B442" s="0" t="inlineStr">
        <s:is>
          <s:t>이종훈</s:t>
        </s:is>
      </s:c>
      <s:c r="C442" s="0" t="n">
        <s:v>132639</s:v>
      </s:c>
      <s:c r="D442" s="0" t="n">
        <s:v>1818</s:v>
      </s:c>
      <s:c r="F442" s="24">
        <s:f>'자료구성'!$B$2+TIME(INT($C$3/10000),INT(MOD($C$3,10000)/100),MOD($C$3,100))+(ROW()-ROW($C$3))/86400</s:f>
        <s:v>46247.565254629626</s:v>
      </s:c>
    </s:row>
    <s:row r="443">
      <s:c r="A443" s="0" t="n">
        <s:v>260813</s:v>
      </s:c>
      <s:c r="B443" s="0" t="inlineStr">
        <s:is>
          <s:t>이종훈</s:t>
        </s:is>
      </s:c>
      <s:c r="C443" s="0" t="n">
        <s:v>132639</s:v>
      </s:c>
      <s:c r="D443" s="0" t="n">
        <s:v>1865</s:v>
      </s:c>
      <s:c r="F443" s="24">
        <s:f>'자료구성'!$B$2+TIME(INT($C$3/10000),INT(MOD($C$3,10000)/100),MOD($C$3,100))+(ROW()-ROW($C$3))/86400</s:f>
        <s:v>46247.5652662037</s:v>
      </s:c>
    </s:row>
    <s:row r="444">
      <s:c r="A444" s="0" t="n">
        <s:v>260813</s:v>
      </s:c>
      <s:c r="B444" s="0" t="inlineStr">
        <s:is>
          <s:t>이종훈</s:t>
        </s:is>
      </s:c>
      <s:c r="C444" s="0" t="n">
        <s:v>132639</s:v>
      </s:c>
      <s:c r="D444" s="0" t="n">
        <s:v>1852</s:v>
      </s:c>
      <s:c r="F444" s="24">
        <s:f>'자료구성'!$B$2+TIME(INT($C$3/10000),INT(MOD($C$3,10000)/100),MOD($C$3,100))+(ROW()-ROW($C$3))/86400</s:f>
        <s:v>46247.56527777778</s:v>
      </s:c>
    </s:row>
    <s:row r="445">
      <s:c r="A445" s="0" t="n">
        <s:v>260813</s:v>
      </s:c>
      <s:c r="B445" s="0" t="inlineStr">
        <s:is>
          <s:t>이종훈</s:t>
        </s:is>
      </s:c>
      <s:c r="C445" s="0" t="n">
        <s:v>132639</s:v>
      </s:c>
      <s:c r="D445" s="0" t="n">
        <s:v>1800</s:v>
      </s:c>
      <s:c r="F445" s="24">
        <s:f>'자료구성'!$B$2+TIME(INT($C$3/10000),INT(MOD($C$3,10000)/100),MOD($C$3,100))+(ROW()-ROW($C$3))/86400</s:f>
        <s:v>46247.56528935185</s:v>
      </s:c>
    </s:row>
    <s:row r="446">
      <s:c r="A446" s="0" t="n">
        <s:v>260813</s:v>
      </s:c>
      <s:c r="B446" s="0" t="inlineStr">
        <s:is>
          <s:t>이종훈</s:t>
        </s:is>
      </s:c>
      <s:c r="C446" s="0" t="n">
        <s:v>132639</s:v>
      </s:c>
      <s:c r="D446" s="0" t="n">
        <s:v>1741</s:v>
      </s:c>
      <s:c r="F446" s="24">
        <s:f>'자료구성'!$B$2+TIME(INT($C$3/10000),INT(MOD($C$3,10000)/100),MOD($C$3,100))+(ROW()-ROW($C$3))/86400</s:f>
        <s:v>46247.565300925926</s:v>
      </s:c>
    </s:row>
    <s:row r="447">
      <s:c r="A447" s="0" t="n">
        <s:v>260813</s:v>
      </s:c>
      <s:c r="B447" s="0" t="inlineStr">
        <s:is>
          <s:t>이종훈</s:t>
        </s:is>
      </s:c>
      <s:c r="C447" s="0" t="n">
        <s:v>132639</s:v>
      </s:c>
      <s:c r="D447" s="0" t="n">
        <s:v>1682</s:v>
      </s:c>
      <s:c r="F447" s="24">
        <s:f>'자료구성'!$B$2+TIME(INT($C$3/10000),INT(MOD($C$3,10000)/100),MOD($C$3,100))+(ROW()-ROW($C$3))/86400</s:f>
        <s:v>46247.5653125</s:v>
      </s:c>
    </s:row>
    <s:row r="448">
      <s:c r="A448" s="0" t="n">
        <s:v>260813</s:v>
      </s:c>
      <s:c r="B448" s="0" t="inlineStr">
        <s:is>
          <s:t>이종훈</s:t>
        </s:is>
      </s:c>
      <s:c r="C448" s="0" t="n">
        <s:v>132639</s:v>
      </s:c>
      <s:c r="D448" s="0" t="n">
        <s:v>1622</s:v>
      </s:c>
      <s:c r="F448" s="24">
        <s:f>'자료구성'!$B$2+TIME(INT($C$3/10000),INT(MOD($C$3,10000)/100),MOD($C$3,100))+(ROW()-ROW($C$3))/86400</s:f>
        <s:v>46247.56532407407</s:v>
      </s:c>
    </s:row>
    <s:row r="449">
      <s:c r="A449" s="0" t="n">
        <s:v>260813</s:v>
      </s:c>
      <s:c r="B449" s="0" t="inlineStr">
        <s:is>
          <s:t>이종훈</s:t>
        </s:is>
      </s:c>
      <s:c r="C449" s="0" t="n">
        <s:v>132639</s:v>
      </s:c>
      <s:c r="D449" s="0" t="n">
        <s:v>1577</s:v>
      </s:c>
      <s:c r="F449" s="24">
        <s:f>'자료구성'!$B$2+TIME(INT($C$3/10000),INT(MOD($C$3,10000)/100),MOD($C$3,100))+(ROW()-ROW($C$3))/86400</s:f>
        <s:v>46247.56533564815</s:v>
      </s:c>
    </s:row>
    <s:row r="450">
      <s:c r="A450" s="0" t="n">
        <s:v>260813</s:v>
      </s:c>
      <s:c r="B450" s="0" t="inlineStr">
        <s:is>
          <s:t>이종훈</s:t>
        </s:is>
      </s:c>
      <s:c r="C450" s="0" t="n">
        <s:v>132639</s:v>
      </s:c>
      <s:c r="D450" s="0" t="n">
        <s:v>1586</s:v>
      </s:c>
      <s:c r="F450" s="24">
        <s:f>'자료구성'!$B$2+TIME(INT($C$3/10000),INT(MOD($C$3,10000)/100),MOD($C$3,100))+(ROW()-ROW($C$3))/86400</s:f>
        <s:v>46247.565347222226</s:v>
      </s:c>
    </s:row>
    <s:row r="451">
      <s:c r="A451" s="0" t="n">
        <s:v>260813</s:v>
      </s:c>
      <s:c r="B451" s="0" t="inlineStr">
        <s:is>
          <s:t>이종훈</s:t>
        </s:is>
      </s:c>
      <s:c r="C451" s="0" t="n">
        <s:v>132639</s:v>
      </s:c>
      <s:c r="D451" s="0" t="n">
        <s:v>1617</s:v>
      </s:c>
      <s:c r="F451" s="24">
        <s:f>'자료구성'!$B$2+TIME(INT($C$3/10000),INT(MOD($C$3,10000)/100),MOD($C$3,100))+(ROW()-ROW($C$3))/86400</s:f>
        <s:v>46247.565358796295</s:v>
      </s:c>
    </s:row>
    <s:row r="452">
      <s:c r="A452" s="0" t="n">
        <s:v>260813</s:v>
      </s:c>
      <s:c r="B452" s="0" t="inlineStr">
        <s:is>
          <s:t>이종훈</s:t>
        </s:is>
      </s:c>
      <s:c r="C452" s="0" t="n">
        <s:v>132639</s:v>
      </s:c>
      <s:c r="D452" s="0" t="n">
        <s:v>1638</s:v>
      </s:c>
      <s:c r="F452" s="24">
        <s:f>'자료구성'!$B$2+TIME(INT($C$3/10000),INT(MOD($C$3,10000)/100),MOD($C$3,100))+(ROW()-ROW($C$3))/86400</s:f>
        <s:v>46247.56537037037</s:v>
      </s:c>
    </s:row>
    <s:row r="453">
      <s:c r="A453" s="0" t="n">
        <s:v>260813</s:v>
      </s:c>
      <s:c r="B453" s="0" t="inlineStr">
        <s:is>
          <s:t>이종훈</s:t>
        </s:is>
      </s:c>
      <s:c r="C453" s="0" t="n">
        <s:v>132639</s:v>
      </s:c>
      <s:c r="D453" s="0" t="n">
        <s:v>1643</s:v>
      </s:c>
      <s:c r="F453" s="24">
        <s:f>'자료구성'!$B$2+TIME(INT($C$3/10000),INT(MOD($C$3,10000)/100),MOD($C$3,100))+(ROW()-ROW($C$3))/86400</s:f>
        <s:v>46247.56538194444</s:v>
      </s:c>
    </s:row>
    <s:row r="454">
      <s:c r="A454" s="0" t="n">
        <s:v>260813</s:v>
      </s:c>
      <s:c r="B454" s="0" t="inlineStr">
        <s:is>
          <s:t>이종훈</s:t>
        </s:is>
      </s:c>
      <s:c r="C454" s="0" t="n">
        <s:v>132639</s:v>
      </s:c>
      <s:c r="D454" s="0" t="n">
        <s:v>1628</s:v>
      </s:c>
      <s:c r="F454" s="24">
        <s:f>'자료구성'!$B$2+TIME(INT($C$3/10000),INT(MOD($C$3,10000)/100),MOD($C$3,100))+(ROW()-ROW($C$3))/86400</s:f>
        <s:v>46247.56539351852</s:v>
      </s:c>
    </s:row>
    <s:row r="455">
      <s:c r="A455" s="0" t="n">
        <s:v>260813</s:v>
      </s:c>
      <s:c r="B455" s="0" t="inlineStr">
        <s:is>
          <s:t>이종훈</s:t>
        </s:is>
      </s:c>
      <s:c r="C455" s="0" t="n">
        <s:v>132639</s:v>
      </s:c>
      <s:c r="D455" s="0" t="n">
        <s:v>1632</s:v>
      </s:c>
      <s:c r="F455" s="24">
        <s:f>'자료구성'!$B$2+TIME(INT($C$3/10000),INT(MOD($C$3,10000)/100),MOD($C$3,100))+(ROW()-ROW($C$3))/86400</s:f>
        <s:v>46247.565405092595</s:v>
      </s:c>
    </s:row>
    <s:row r="456">
      <s:c r="A456" s="0" t="n">
        <s:v>260813</s:v>
      </s:c>
      <s:c r="B456" s="0" t="inlineStr">
        <s:is>
          <s:t>이종훈</s:t>
        </s:is>
      </s:c>
      <s:c r="C456" s="0" t="n">
        <s:v>132639</s:v>
      </s:c>
      <s:c r="D456" s="0" t="n">
        <s:v>1613</s:v>
      </s:c>
      <s:c r="F456" s="24">
        <s:f>'자료구성'!$B$2+TIME(INT($C$3/10000),INT(MOD($C$3,10000)/100),MOD($C$3,100))+(ROW()-ROW($C$3))/86400</s:f>
        <s:v>46247.565416666665</s:v>
      </s:c>
    </s:row>
    <s:row r="457">
      <s:c r="A457" s="0" t="n">
        <s:v>260813</s:v>
      </s:c>
      <s:c r="B457" s="0" t="inlineStr">
        <s:is>
          <s:t>이종훈</s:t>
        </s:is>
      </s:c>
      <s:c r="C457" s="0" t="n">
        <s:v>132639</s:v>
      </s:c>
      <s:c r="D457" s="0" t="n">
        <s:v>1616</s:v>
      </s:c>
      <s:c r="F457" s="24">
        <s:f>'자료구성'!$B$2+TIME(INT($C$3/10000),INT(MOD($C$3,10000)/100),MOD($C$3,100))+(ROW()-ROW($C$3))/86400</s:f>
        <s:v>46247.56542824074</s:v>
      </s:c>
    </s:row>
    <s:row r="458">
      <s:c r="A458" s="0" t="n">
        <s:v>260813</s:v>
      </s:c>
      <s:c r="B458" s="0" t="inlineStr">
        <s:is>
          <s:t>이종훈</s:t>
        </s:is>
      </s:c>
      <s:c r="C458" s="0" t="n">
        <s:v>132639</s:v>
      </s:c>
      <s:c r="D458" s="0" t="n">
        <s:v>1613</s:v>
      </s:c>
      <s:c r="F458" s="24">
        <s:f>'자료구성'!$B$2+TIME(INT($C$3/10000),INT(MOD($C$3,10000)/100),MOD($C$3,100))+(ROW()-ROW($C$3))/86400</s:f>
        <s:v>46247.56543981482</s:v>
      </s:c>
    </s:row>
    <s:row r="459">
      <s:c r="A459" s="0" t="n">
        <s:v>260813</s:v>
      </s:c>
      <s:c r="B459" s="0" t="inlineStr">
        <s:is>
          <s:t>이종훈</s:t>
        </s:is>
      </s:c>
      <s:c r="C459" s="0" t="n">
        <s:v>132639</s:v>
      </s:c>
      <s:c r="D459" s="0" t="n">
        <s:v>1676</s:v>
      </s:c>
      <s:c r="F459" s="24">
        <s:f>'자료구성'!$B$2+TIME(INT($C$3/10000),INT(MOD($C$3,10000)/100),MOD($C$3,100))+(ROW()-ROW($C$3))/86400</s:f>
        <s:v>46247.56545138889</s:v>
      </s:c>
    </s:row>
    <s:row r="460">
      <s:c r="A460" s="0" t="n">
        <s:v>260813</s:v>
      </s:c>
      <s:c r="B460" s="0" t="inlineStr">
        <s:is>
          <s:t>이종훈</s:t>
        </s:is>
      </s:c>
      <s:c r="C460" s="0" t="n">
        <s:v>132639</s:v>
      </s:c>
      <s:c r="D460" s="0" t="n">
        <s:v>1708</s:v>
      </s:c>
      <s:c r="F460" s="24">
        <s:f>'자료구성'!$B$2+TIME(INT($C$3/10000),INT(MOD($C$3,10000)/100),MOD($C$3,100))+(ROW()-ROW($C$3))/86400</s:f>
        <s:v>46247.565462962964</s:v>
      </s:c>
    </s:row>
    <s:row r="461">
      <s:c r="A461" s="0" t="n">
        <s:v>260813</s:v>
      </s:c>
      <s:c r="B461" s="0" t="inlineStr">
        <s:is>
          <s:t>이종훈</s:t>
        </s:is>
      </s:c>
      <s:c r="C461" s="0" t="n">
        <s:v>132639</s:v>
      </s:c>
      <s:c r="D461" s="0" t="n">
        <s:v>1732</s:v>
      </s:c>
      <s:c r="F461" s="24">
        <s:f>'자료구성'!$B$2+TIME(INT($C$3/10000),INT(MOD($C$3,10000)/100),MOD($C$3,100))+(ROW()-ROW($C$3))/86400</s:f>
        <s:v>46247.565474537034</s:v>
      </s:c>
    </s:row>
    <s:row r="462">
      <s:c r="A462" s="0" t="n">
        <s:v>260813</s:v>
      </s:c>
      <s:c r="B462" s="0" t="inlineStr">
        <s:is>
          <s:t>이종훈</s:t>
        </s:is>
      </s:c>
      <s:c r="C462" s="0" t="n">
        <s:v>132639</s:v>
      </s:c>
      <s:c r="D462" s="0" t="n">
        <s:v>1810</s:v>
      </s:c>
      <s:c r="F462" s="24">
        <s:f>'자료구성'!$B$2+TIME(INT($C$3/10000),INT(MOD($C$3,10000)/100),MOD($C$3,100))+(ROW()-ROW($C$3))/86400</s:f>
        <s:v>46247.56548611111</s:v>
      </s:c>
    </s:row>
    <s:row r="463">
      <s:c r="A463" s="0" t="n">
        <s:v>260813</s:v>
      </s:c>
      <s:c r="B463" s="0" t="inlineStr">
        <s:is>
          <s:t>이종훈</s:t>
        </s:is>
      </s:c>
      <s:c r="C463" s="0" t="n">
        <s:v>132639</s:v>
      </s:c>
      <s:c r="D463" s="0" t="n">
        <s:v>1810</s:v>
      </s:c>
      <s:c r="F463" s="24">
        <s:f>'자료구성'!$B$2+TIME(INT($C$3/10000),INT(MOD($C$3,10000)/100),MOD($C$3,100))+(ROW()-ROW($C$3))/86400</s:f>
        <s:v>46247.56549768519</s:v>
      </s:c>
    </s:row>
    <s:row r="464">
      <s:c r="A464" s="0" t="n">
        <s:v>260813</s:v>
      </s:c>
      <s:c r="B464" s="0" t="inlineStr">
        <s:is>
          <s:t>이종훈</s:t>
        </s:is>
      </s:c>
      <s:c r="C464" s="0" t="n">
        <s:v>132639</s:v>
      </s:c>
      <s:c r="D464" s="0" t="n">
        <s:v>1805</s:v>
      </s:c>
      <s:c r="F464" s="24">
        <s:f>'자료구성'!$B$2+TIME(INT($C$3/10000),INT(MOD($C$3,10000)/100),MOD($C$3,100))+(ROW()-ROW($C$3))/86400</s:f>
        <s:v>46247.56550925926</s:v>
      </s:c>
    </s:row>
    <s:row r="465">
      <s:c r="A465" s="0" t="n">
        <s:v>260813</s:v>
      </s:c>
      <s:c r="B465" s="0" t="inlineStr">
        <s:is>
          <s:t>이종훈</s:t>
        </s:is>
      </s:c>
      <s:c r="C465" s="0" t="n">
        <s:v>132639</s:v>
      </s:c>
      <s:c r="D465" s="0" t="n">
        <s:v>1877</s:v>
      </s:c>
      <s:c r="F465" s="24">
        <s:f>'자료구성'!$B$2+TIME(INT($C$3/10000),INT(MOD($C$3,10000)/100),MOD($C$3,100))+(ROW()-ROW($C$3))/86400</s:f>
        <s:v>46247.565520833334</s:v>
      </s:c>
    </s:row>
    <s:row r="466">
      <s:c r="A466" s="0" t="n">
        <s:v>260813</s:v>
      </s:c>
      <s:c r="B466" s="0" t="inlineStr">
        <s:is>
          <s:t>이종훈</s:t>
        </s:is>
      </s:c>
      <s:c r="C466" s="0" t="n">
        <s:v>132639</s:v>
      </s:c>
      <s:c r="D466" s="0" t="n">
        <s:v>1895</s:v>
      </s:c>
      <s:c r="F466" s="24">
        <s:f>'자료구성'!$B$2+TIME(INT($C$3/10000),INT(MOD($C$3,10000)/100),MOD($C$3,100))+(ROW()-ROW($C$3))/86400</s:f>
        <s:v>46247.56553240741</s:v>
      </s:c>
    </s:row>
    <s:row r="467">
      <s:c r="A467" s="0" t="n">
        <s:v>260813</s:v>
      </s:c>
      <s:c r="B467" s="0" t="inlineStr">
        <s:is>
          <s:t>이종훈</s:t>
        </s:is>
      </s:c>
      <s:c r="C467" s="0" t="n">
        <s:v>132639</s:v>
      </s:c>
      <s:c r="D467" s="0" t="n">
        <s:v>1912</s:v>
      </s:c>
      <s:c r="F467" s="24">
        <s:f>'자료구성'!$B$2+TIME(INT($C$3/10000),INT(MOD($C$3,10000)/100),MOD($C$3,100))+(ROW()-ROW($C$3))/86400</s:f>
        <s:v>46247.56554398148</s:v>
      </s:c>
    </s:row>
    <s:row r="468">
      <s:c r="A468" s="0" t="n">
        <s:v>260813</s:v>
      </s:c>
      <s:c r="B468" s="0" t="inlineStr">
        <s:is>
          <s:t>이종훈</s:t>
        </s:is>
      </s:c>
      <s:c r="C468" s="0" t="n">
        <s:v>132639</s:v>
      </s:c>
      <s:c r="D468" s="0" t="n">
        <s:v>1928</s:v>
      </s:c>
      <s:c r="F468" s="24">
        <s:f>'자료구성'!$B$2+TIME(INT($C$3/10000),INT(MOD($C$3,10000)/100),MOD($C$3,100))+(ROW()-ROW($C$3))/86400</s:f>
        <s:v>46247.56555555556</s:v>
      </s:c>
    </s:row>
    <s:row r="469">
      <s:c r="A469" s="0" t="n">
        <s:v>260813</s:v>
      </s:c>
      <s:c r="B469" s="0" t="inlineStr">
        <s:is>
          <s:t>이종훈</s:t>
        </s:is>
      </s:c>
      <s:c r="C469" s="0" t="n">
        <s:v>132639</s:v>
      </s:c>
      <s:c r="D469" s="0" t="n">
        <s:v>1950</s:v>
      </s:c>
      <s:c r="F469" s="24">
        <s:f>'자료구성'!$B$2+TIME(INT($C$3/10000),INT(MOD($C$3,10000)/100),MOD($C$3,100))+(ROW()-ROW($C$3))/86400</s:f>
        <s:v>46247.565567129626</s:v>
      </s:c>
    </s:row>
    <s:row r="470">
      <s:c r="A470" s="0" t="n">
        <s:v>260813</s:v>
      </s:c>
      <s:c r="B470" s="0" t="inlineStr">
        <s:is>
          <s:t>이종훈</s:t>
        </s:is>
      </s:c>
      <s:c r="C470" s="0" t="n">
        <s:v>132639</s:v>
      </s:c>
      <s:c r="D470" s="0" t="n">
        <s:v>1970</s:v>
      </s:c>
      <s:c r="F470" s="24">
        <s:f>'자료구성'!$B$2+TIME(INT($C$3/10000),INT(MOD($C$3,10000)/100),MOD($C$3,100))+(ROW()-ROW($C$3))/86400</s:f>
        <s:v>46247.5655787037</s:v>
      </s:c>
    </s:row>
    <s:row r="471">
      <s:c r="A471" s="0" t="n">
        <s:v>260813</s:v>
      </s:c>
      <s:c r="B471" s="0" t="inlineStr">
        <s:is>
          <s:t>이종훈</s:t>
        </s:is>
      </s:c>
      <s:c r="C471" s="0" t="n">
        <s:v>132639</s:v>
      </s:c>
      <s:c r="D471" s="0" t="n">
        <s:v>1970</s:v>
      </s:c>
      <s:c r="F471" s="24">
        <s:f>'자료구성'!$B$2+TIME(INT($C$3/10000),INT(MOD($C$3,10000)/100),MOD($C$3,100))+(ROW()-ROW($C$3))/86400</s:f>
        <s:v>46247.56559027778</s:v>
      </s:c>
    </s:row>
    <s:row r="472">
      <s:c r="A472" s="0" t="n">
        <s:v>260813</s:v>
      </s:c>
      <s:c r="B472" s="0" t="inlineStr">
        <s:is>
          <s:t>이종훈</s:t>
        </s:is>
      </s:c>
      <s:c r="C472" s="0" t="n">
        <s:v>132639</s:v>
      </s:c>
      <s:c r="D472" s="0" t="n">
        <s:v>1992</s:v>
      </s:c>
      <s:c r="F472" s="24">
        <s:f>'자료구성'!$B$2+TIME(INT($C$3/10000),INT(MOD($C$3,10000)/100),MOD($C$3,100))+(ROW()-ROW($C$3))/86400</s:f>
        <s:v>46247.56560185185</s:v>
      </s:c>
    </s:row>
    <s:row r="473">
      <s:c r="A473" s="0" t="n">
        <s:v>260813</s:v>
      </s:c>
      <s:c r="B473" s="0" t="inlineStr">
        <s:is>
          <s:t>이종훈</s:t>
        </s:is>
      </s:c>
      <s:c r="C473" s="0" t="n">
        <s:v>132639</s:v>
      </s:c>
      <s:c r="D473" s="0" t="n">
        <s:v>2002</s:v>
      </s:c>
      <s:c r="F473" s="24">
        <s:f>'자료구성'!$B$2+TIME(INT($C$3/10000),INT(MOD($C$3,10000)/100),MOD($C$3,100))+(ROW()-ROW($C$3))/86400</s:f>
        <s:v>46247.565613425926</s:v>
      </s:c>
    </s:row>
    <s:row r="474">
      <s:c r="A474" s="0" t="n">
        <s:v>260813</s:v>
      </s:c>
      <s:c r="B474" s="0" t="inlineStr">
        <s:is>
          <s:t>이종훈</s:t>
        </s:is>
      </s:c>
      <s:c r="C474" s="0" t="n">
        <s:v>132639</s:v>
      </s:c>
      <s:c r="D474" s="0" t="n">
        <s:v>2027</s:v>
      </s:c>
      <s:c r="F474" s="24">
        <s:f>'자료구성'!$B$2+TIME(INT($C$3/10000),INT(MOD($C$3,10000)/100),MOD($C$3,100))+(ROW()-ROW($C$3))/86400</s:f>
        <s:v>46247.565625</s:v>
      </s:c>
    </s:row>
    <s:row r="475">
      <s:c r="A475" s="0" t="n">
        <s:v>260813</s:v>
      </s:c>
      <s:c r="B475" s="0" t="inlineStr">
        <s:is>
          <s:t>이종훈</s:t>
        </s:is>
      </s:c>
      <s:c r="C475" s="0" t="n">
        <s:v>132639</s:v>
      </s:c>
      <s:c r="D475" s="0" t="n">
        <s:v>2058</s:v>
      </s:c>
      <s:c r="F475" s="24">
        <s:f>'자료구성'!$B$2+TIME(INT($C$3/10000),INT(MOD($C$3,10000)/100),MOD($C$3,100))+(ROW()-ROW($C$3))/86400</s:f>
        <s:v>46247.56563657407</s:v>
      </s:c>
    </s:row>
    <s:row r="476">
      <s:c r="A476" s="0" t="n">
        <s:v>260813</s:v>
      </s:c>
      <s:c r="B476" s="0" t="inlineStr">
        <s:is>
          <s:t>이종훈</s:t>
        </s:is>
      </s:c>
      <s:c r="C476" s="0" t="n">
        <s:v>132639</s:v>
      </s:c>
      <s:c r="D476" s="0" t="n">
        <s:v>2006</s:v>
      </s:c>
      <s:c r="F476" s="24">
        <s:f>'자료구성'!$B$2+TIME(INT($C$3/10000),INT(MOD($C$3,10000)/100),MOD($C$3,100))+(ROW()-ROW($C$3))/86400</s:f>
        <s:v>46247.56564814815</s:v>
      </s:c>
    </s:row>
    <s:row r="477">
      <s:c r="A477" s="0" t="n">
        <s:v>260813</s:v>
      </s:c>
      <s:c r="B477" s="0" t="inlineStr">
        <s:is>
          <s:t>이종훈</s:t>
        </s:is>
      </s:c>
      <s:c r="C477" s="0" t="n">
        <s:v>132639</s:v>
      </s:c>
      <s:c r="D477" s="0" t="n">
        <s:v>2011</s:v>
      </s:c>
      <s:c r="F477" s="24">
        <s:f>'자료구성'!$B$2+TIME(INT($C$3/10000),INT(MOD($C$3,10000)/100),MOD($C$3,100))+(ROW()-ROW($C$3))/86400</s:f>
        <s:v>46247.56565972222</s:v>
      </s:c>
    </s:row>
    <s:row r="478">
      <s:c r="A478" s="0" t="n">
        <s:v>260813</s:v>
      </s:c>
      <s:c r="B478" s="0" t="inlineStr">
        <s:is>
          <s:t>이종훈</s:t>
        </s:is>
      </s:c>
      <s:c r="C478" s="0" t="n">
        <s:v>132639</s:v>
      </s:c>
      <s:c r="D478" s="0" t="n">
        <s:v>2032</s:v>
      </s:c>
      <s:c r="F478" s="24">
        <s:f>'자료구성'!$B$2+TIME(INT($C$3/10000),INT(MOD($C$3,10000)/100),MOD($C$3,100))+(ROW()-ROW($C$3))/86400</s:f>
        <s:v>46247.565671296295</s:v>
      </s:c>
    </s:row>
    <s:row r="479">
      <s:c r="A479" s="0" t="n">
        <s:v>260813</s:v>
      </s:c>
      <s:c r="B479" s="0" t="inlineStr">
        <s:is>
          <s:t>이종훈</s:t>
        </s:is>
      </s:c>
      <s:c r="C479" s="0" t="n">
        <s:v>132639</s:v>
      </s:c>
      <s:c r="D479" s="0" t="n">
        <s:v>2062</s:v>
      </s:c>
      <s:c r="F479" s="24">
        <s:f>'자료구성'!$B$2+TIME(INT($C$3/10000),INT(MOD($C$3,10000)/100),MOD($C$3,100))+(ROW()-ROW($C$3))/86400</s:f>
        <s:v>46247.56568287037</s:v>
      </s:c>
    </s:row>
    <s:row r="480">
      <s:c r="A480" s="0" t="n">
        <s:v>260813</s:v>
      </s:c>
      <s:c r="B480" s="0" t="inlineStr">
        <s:is>
          <s:t>이종훈</s:t>
        </s:is>
      </s:c>
      <s:c r="C480" s="0" t="n">
        <s:v>132639</s:v>
      </s:c>
      <s:c r="D480" s="0" t="n">
        <s:v>2091</s:v>
      </s:c>
      <s:c r="F480" s="24">
        <s:f>'자료구성'!$B$2+TIME(INT($C$3/10000),INT(MOD($C$3,10000)/100),MOD($C$3,100))+(ROW()-ROW($C$3))/86400</s:f>
        <s:v>46247.56569444444</s:v>
      </s:c>
    </s:row>
    <s:row r="481">
      <s:c r="A481" s="0" t="n">
        <s:v>260813</s:v>
      </s:c>
      <s:c r="B481" s="0" t="inlineStr">
        <s:is>
          <s:t>이종훈</s:t>
        </s:is>
      </s:c>
      <s:c r="C481" s="0" t="n">
        <s:v>132639</s:v>
      </s:c>
      <s:c r="D481" s="0" t="n">
        <s:v>2102</s:v>
      </s:c>
      <s:c r="F481" s="24">
        <s:f>'자료구성'!$B$2+TIME(INT($C$3/10000),INT(MOD($C$3,10000)/100),MOD($C$3,100))+(ROW()-ROW($C$3))/86400</s:f>
        <s:v>46247.56570601852</s:v>
      </s:c>
    </s:row>
    <s:row r="482">
      <s:c r="A482" s="0" t="n">
        <s:v>260813</s:v>
      </s:c>
      <s:c r="B482" s="0" t="inlineStr">
        <s:is>
          <s:t>이종훈</s:t>
        </s:is>
      </s:c>
      <s:c r="C482" s="0" t="n">
        <s:v>132639</s:v>
      </s:c>
      <s:c r="D482" s="0" t="n">
        <s:v>2115</s:v>
      </s:c>
      <s:c r="F482" s="24">
        <s:f>'자료구성'!$B$2+TIME(INT($C$3/10000),INT(MOD($C$3,10000)/100),MOD($C$3,100))+(ROW()-ROW($C$3))/86400</s:f>
        <s:v>46247.565717592595</s:v>
      </s:c>
    </s:row>
    <s:row r="483">
      <s:c r="A483" s="0" t="n">
        <s:v>260813</s:v>
      </s:c>
      <s:c r="B483" s="0" t="inlineStr">
        <s:is>
          <s:t>이종훈</s:t>
        </s:is>
      </s:c>
      <s:c r="C483" s="0" t="n">
        <s:v>132639</s:v>
      </s:c>
      <s:c r="D483" s="0" t="n">
        <s:v>2126</s:v>
      </s:c>
      <s:c r="F483" s="24">
        <s:f>'자료구성'!$B$2+TIME(INT($C$3/10000),INT(MOD($C$3,10000)/100),MOD($C$3,100))+(ROW()-ROW($C$3))/86400</s:f>
        <s:v>46247.565729166665</s:v>
      </s:c>
    </s:row>
    <s:row r="484">
      <s:c r="A484" s="0" t="n">
        <s:v>260813</s:v>
      </s:c>
      <s:c r="B484" s="0" t="inlineStr">
        <s:is>
          <s:t>이종훈</s:t>
        </s:is>
      </s:c>
      <s:c r="C484" s="0" t="n">
        <s:v>132639</s:v>
      </s:c>
      <s:c r="D484" s="0" t="n">
        <s:v>2110</s:v>
      </s:c>
      <s:c r="F484" s="24">
        <s:f>'자료구성'!$B$2+TIME(INT($C$3/10000),INT(MOD($C$3,10000)/100),MOD($C$3,100))+(ROW()-ROW($C$3))/86400</s:f>
        <s:v>46247.56574074074</s:v>
      </s:c>
    </s:row>
    <s:row r="485">
      <s:c r="A485" s="0" t="n">
        <s:v>260813</s:v>
      </s:c>
      <s:c r="B485" s="0" t="inlineStr">
        <s:is>
          <s:t>이종훈</s:t>
        </s:is>
      </s:c>
      <s:c r="C485" s="0" t="n">
        <s:v>132639</s:v>
      </s:c>
      <s:c r="D485" s="0" t="n">
        <s:v>2118</s:v>
      </s:c>
      <s:c r="F485" s="24">
        <s:f>'자료구성'!$B$2+TIME(INT($C$3/10000),INT(MOD($C$3,10000)/100),MOD($C$3,100))+(ROW()-ROW($C$3))/86400</s:f>
        <s:v>46247.56575231482</s:v>
      </s:c>
    </s:row>
    <s:row r="486">
      <s:c r="A486" s="0" t="n">
        <s:v>260813</s:v>
      </s:c>
      <s:c r="B486" s="0" t="inlineStr">
        <s:is>
          <s:t>이종훈</s:t>
        </s:is>
      </s:c>
      <s:c r="C486" s="0" t="n">
        <s:v>132639</s:v>
      </s:c>
      <s:c r="D486" s="0" t="n">
        <s:v>2108</s:v>
      </s:c>
      <s:c r="F486" s="24">
        <s:f>'자료구성'!$B$2+TIME(INT($C$3/10000),INT(MOD($C$3,10000)/100),MOD($C$3,100))+(ROW()-ROW($C$3))/86400</s:f>
        <s:v>46247.56576388889</s:v>
      </s:c>
    </s:row>
    <s:row r="487">
      <s:c r="A487" s="0" t="n">
        <s:v>260813</s:v>
      </s:c>
      <s:c r="B487" s="0" t="inlineStr">
        <s:is>
          <s:t>이종훈</s:t>
        </s:is>
      </s:c>
      <s:c r="C487" s="0" t="n">
        <s:v>132639</s:v>
      </s:c>
      <s:c r="D487" s="0" t="n">
        <s:v>2067</s:v>
      </s:c>
      <s:c r="F487" s="24">
        <s:f>'자료구성'!$B$2+TIME(INT($C$3/10000),INT(MOD($C$3,10000)/100),MOD($C$3,100))+(ROW()-ROW($C$3))/86400</s:f>
        <s:v>46247.565775462965</s:v>
      </s:c>
    </s:row>
    <s:row r="488">
      <s:c r="A488" s="0" t="n">
        <s:v>260813</s:v>
      </s:c>
      <s:c r="B488" s="0" t="inlineStr">
        <s:is>
          <s:t>이종훈</s:t>
        </s:is>
      </s:c>
      <s:c r="C488" s="0" t="n">
        <s:v>132639</s:v>
      </s:c>
      <s:c r="D488" s="0" t="n">
        <s:v>2023</s:v>
      </s:c>
      <s:c r="F488" s="24">
        <s:f>'자료구성'!$B$2+TIME(INT($C$3/10000),INT(MOD($C$3,10000)/100),MOD($C$3,100))+(ROW()-ROW($C$3))/86400</s:f>
        <s:v>46247.565787037034</s:v>
      </s:c>
    </s:row>
    <s:row r="489">
      <s:c r="A489" s="0" t="n">
        <s:v>260813</s:v>
      </s:c>
      <s:c r="B489" s="0" t="inlineStr">
        <s:is>
          <s:t>이종훈</s:t>
        </s:is>
      </s:c>
      <s:c r="C489" s="0" t="n">
        <s:v>132639</s:v>
      </s:c>
      <s:c r="D489" s="0" t="n">
        <s:v>2009</s:v>
      </s:c>
      <s:c r="F489" s="24">
        <s:f>'자료구성'!$B$2+TIME(INT($C$3/10000),INT(MOD($C$3,10000)/100),MOD($C$3,100))+(ROW()-ROW($C$3))/86400</s:f>
        <s:v>46247.56579861111</s:v>
      </s:c>
    </s:row>
    <s:row r="490">
      <s:c r="A490" s="0" t="n">
        <s:v>260813</s:v>
      </s:c>
      <s:c r="B490" s="0" t="inlineStr">
        <s:is>
          <s:t>이종훈</s:t>
        </s:is>
      </s:c>
      <s:c r="C490" s="0" t="n">
        <s:v>132639</s:v>
      </s:c>
      <s:c r="D490" s="0" t="n">
        <s:v>2012</s:v>
      </s:c>
      <s:c r="F490" s="24">
        <s:f>'자료구성'!$B$2+TIME(INT($C$3/10000),INT(MOD($C$3,10000)/100),MOD($C$3,100))+(ROW()-ROW($C$3))/86400</s:f>
        <s:v>46247.56581018519</s:v>
      </s:c>
    </s:row>
    <s:row r="491">
      <s:c r="A491" s="0" t="n">
        <s:v>260813</s:v>
      </s:c>
      <s:c r="B491" s="0" t="inlineStr">
        <s:is>
          <s:t>이종훈</s:t>
        </s:is>
      </s:c>
      <s:c r="C491" s="0" t="n">
        <s:v>132639</s:v>
      </s:c>
      <s:c r="D491" s="0" t="n">
        <s:v>2055</s:v>
      </s:c>
      <s:c r="F491" s="24">
        <s:f>'자료구성'!$B$2+TIME(INT($C$3/10000),INT(MOD($C$3,10000)/100),MOD($C$3,100))+(ROW()-ROW($C$3))/86400</s:f>
        <s:v>46247.56582175926</s:v>
      </s:c>
    </s:row>
    <s:row r="492">
      <s:c r="A492" s="0" t="n">
        <s:v>260813</s:v>
      </s:c>
      <s:c r="B492" s="0" t="inlineStr">
        <s:is>
          <s:t>이종훈</s:t>
        </s:is>
      </s:c>
      <s:c r="C492" s="0" t="n">
        <s:v>132639</s:v>
      </s:c>
      <s:c r="D492" s="0" t="n">
        <s:v>2085</s:v>
      </s:c>
      <s:c r="F492" s="24">
        <s:f>'자료구성'!$B$2+TIME(INT($C$3/10000),INT(MOD($C$3,10000)/100),MOD($C$3,100))+(ROW()-ROW($C$3))/86400</s:f>
        <s:v>46247.565833333334</s:v>
      </s:c>
    </s:row>
    <s:row r="493">
      <s:c r="A493" s="0" t="n">
        <s:v>260813</s:v>
      </s:c>
      <s:c r="B493" s="0" t="inlineStr">
        <s:is>
          <s:t>이종훈</s:t>
        </s:is>
      </s:c>
      <s:c r="C493" s="0" t="n">
        <s:v>132639</s:v>
      </s:c>
      <s:c r="D493" s="0" t="n">
        <s:v>2094</s:v>
      </s:c>
      <s:c r="F493" s="24">
        <s:f>'자료구성'!$B$2+TIME(INT($C$3/10000),INT(MOD($C$3,10000)/100),MOD($C$3,100))+(ROW()-ROW($C$3))/86400</s:f>
        <s:v>46247.56584490741</s:v>
      </s:c>
    </s:row>
    <s:row r="494">
      <s:c r="A494" s="0" t="n">
        <s:v>260813</s:v>
      </s:c>
      <s:c r="B494" s="0" t="inlineStr">
        <s:is>
          <s:t>이종훈</s:t>
        </s:is>
      </s:c>
      <s:c r="C494" s="0" t="n">
        <s:v>132639</s:v>
      </s:c>
      <s:c r="D494" s="0" t="n">
        <s:v>2096</s:v>
      </s:c>
      <s:c r="F494" s="24">
        <s:f>'자료구성'!$B$2+TIME(INT($C$3/10000),INT(MOD($C$3,10000)/100),MOD($C$3,100))+(ROW()-ROW($C$3))/86400</s:f>
        <s:v>46247.56585648148</s:v>
      </s:c>
    </s:row>
    <s:row r="495">
      <s:c r="A495" s="0" t="n">
        <s:v>260813</s:v>
      </s:c>
      <s:c r="B495" s="0" t="inlineStr">
        <s:is>
          <s:t>이종훈</s:t>
        </s:is>
      </s:c>
      <s:c r="C495" s="0" t="n">
        <s:v>132639</s:v>
      </s:c>
      <s:c r="D495" s="0" t="n">
        <s:v>2073</s:v>
      </s:c>
      <s:c r="F495" s="24">
        <s:f>'자료구성'!$B$2+TIME(INT($C$3/10000),INT(MOD($C$3,10000)/100),MOD($C$3,100))+(ROW()-ROW($C$3))/86400</s:f>
        <s:v>46247.56586805556</s:v>
      </s:c>
    </s:row>
    <s:row r="496">
      <s:c r="A496" s="0" t="n">
        <s:v>260813</s:v>
      </s:c>
      <s:c r="B496" s="0" t="inlineStr">
        <s:is>
          <s:t>이종훈</s:t>
        </s:is>
      </s:c>
      <s:c r="C496" s="0" t="n">
        <s:v>132639</s:v>
      </s:c>
      <s:c r="D496" s="0" t="n">
        <s:v>2063</s:v>
      </s:c>
      <s:c r="F496" s="24">
        <s:f>'자료구성'!$B$2+TIME(INT($C$3/10000),INT(MOD($C$3,10000)/100),MOD($C$3,100))+(ROW()-ROW($C$3))/86400</s:f>
        <s:v>46247.56587962963</s:v>
      </s:c>
    </s:row>
    <s:row r="497">
      <s:c r="A497" s="0" t="n">
        <s:v>260813</s:v>
      </s:c>
      <s:c r="B497" s="0" t="inlineStr">
        <s:is>
          <s:t>이종훈</s:t>
        </s:is>
      </s:c>
      <s:c r="C497" s="0" t="n">
        <s:v>132639</s:v>
      </s:c>
      <s:c r="D497" s="0" t="n">
        <s:v>2066</s:v>
      </s:c>
      <s:c r="F497" s="24">
        <s:f>'자료구성'!$B$2+TIME(INT($C$3/10000),INT(MOD($C$3,10000)/100),MOD($C$3,100))+(ROW()-ROW($C$3))/86400</s:f>
        <s:v>46247.5658912037</s:v>
      </s:c>
    </s:row>
    <s:row r="498">
      <s:c r="A498" s="0" t="n">
        <s:v>260813</s:v>
      </s:c>
      <s:c r="B498" s="0" t="inlineStr">
        <s:is>
          <s:t>이종훈</s:t>
        </s:is>
      </s:c>
      <s:c r="C498" s="0" t="n">
        <s:v>132639</s:v>
      </s:c>
      <s:c r="D498" s="0" t="n">
        <s:v>2094</s:v>
      </s:c>
      <s:c r="F498" s="24">
        <s:f>'자료구성'!$B$2+TIME(INT($C$3/10000),INT(MOD($C$3,10000)/100),MOD($C$3,100))+(ROW()-ROW($C$3))/86400</s:f>
        <s:v>46247.56590277778</s:v>
      </s:c>
    </s:row>
    <s:row r="499">
      <s:c r="A499" s="0" t="n">
        <s:v>260813</s:v>
      </s:c>
      <s:c r="B499" s="0" t="inlineStr">
        <s:is>
          <s:t>이종훈</s:t>
        </s:is>
      </s:c>
      <s:c r="C499" s="0" t="n">
        <s:v>132639</s:v>
      </s:c>
      <s:c r="D499" s="0" t="n">
        <s:v>2098</s:v>
      </s:c>
      <s:c r="F499" s="24">
        <s:f>'자료구성'!$B$2+TIME(INT($C$3/10000),INT(MOD($C$3,10000)/100),MOD($C$3,100))+(ROW()-ROW($C$3))/86400</s:f>
        <s:v>46247.56591435185</s:v>
      </s:c>
    </s:row>
    <s:row r="500">
      <s:c r="A500" s="0" t="n">
        <s:v>260813</s:v>
      </s:c>
      <s:c r="B500" s="0" t="inlineStr">
        <s:is>
          <s:t>이종훈</s:t>
        </s:is>
      </s:c>
      <s:c r="C500" s="0" t="n">
        <s:v>132639</s:v>
      </s:c>
      <s:c r="D500" s="0" t="n">
        <s:v>2073</s:v>
      </s:c>
      <s:c r="F500" s="24">
        <s:f>'자료구성'!$B$2+TIME(INT($C$3/10000),INT(MOD($C$3,10000)/100),MOD($C$3,100))+(ROW()-ROW($C$3))/86400</s:f>
        <s:v>46247.56592592593</s:v>
      </s:c>
    </s:row>
    <s:row r="501">
      <s:c r="A501" s="0" t="n">
        <s:v>260813</s:v>
      </s:c>
      <s:c r="B501" s="0" t="inlineStr">
        <s:is>
          <s:t>이종훈</s:t>
        </s:is>
      </s:c>
      <s:c r="C501" s="0" t="n">
        <s:v>132639</s:v>
      </s:c>
      <s:c r="D501" s="0" t="n">
        <s:v>2047</s:v>
      </s:c>
      <s:c r="F501" s="24">
        <s:f>'자료구성'!$B$2+TIME(INT($C$3/10000),INT(MOD($C$3,10000)/100),MOD($C$3,100))+(ROW()-ROW($C$3))/86400</s:f>
        <s:v>46247.5659375</s:v>
      </s:c>
    </s:row>
    <s:row r="502">
      <s:c r="A502" s="0" t="n">
        <s:v>260813</s:v>
      </s:c>
      <s:c r="B502" s="0" t="inlineStr">
        <s:is>
          <s:t>이종훈</s:t>
        </s:is>
      </s:c>
      <s:c r="C502" s="0" t="n">
        <s:v>132639</s:v>
      </s:c>
      <s:c r="D502" s="0" t="n">
        <s:v>2048</s:v>
      </s:c>
      <s:c r="F502" s="24">
        <s:f>'자료구성'!$B$2+TIME(INT($C$3/10000),INT(MOD($C$3,10000)/100),MOD($C$3,100))+(ROW()-ROW($C$3))/86400</s:f>
        <s:v>46247.56594907407</s:v>
      </s:c>
    </s:row>
    <s:row r="503">
      <s:c r="A503" s="0" t="n">
        <s:v>260813</s:v>
      </s:c>
      <s:c r="B503" s="0" t="inlineStr">
        <s:is>
          <s:t>이종훈</s:t>
        </s:is>
      </s:c>
      <s:c r="C503" s="0" t="n">
        <s:v>132639</s:v>
      </s:c>
      <s:c r="D503" s="0" t="n">
        <s:v>2052</s:v>
      </s:c>
      <s:c r="F503" s="24">
        <s:f>'자료구성'!$B$2+TIME(INT($C$3/10000),INT(MOD($C$3,10000)/100),MOD($C$3,100))+(ROW()-ROW($C$3))/86400</s:f>
        <s:v>46247.56596064815</s:v>
      </s:c>
    </s:row>
    <s:row r="504">
      <s:c r="A504" s="0" t="n">
        <s:v>260813</s:v>
      </s:c>
      <s:c r="B504" s="0" t="inlineStr">
        <s:is>
          <s:t>이종훈</s:t>
        </s:is>
      </s:c>
      <s:c r="C504" s="0" t="n">
        <s:v>132639</s:v>
      </s:c>
      <s:c r="D504" s="0" t="n">
        <s:v>2068</s:v>
      </s:c>
      <s:c r="F504" s="24">
        <s:f>'자료구성'!$B$2+TIME(INT($C$3/10000),INT(MOD($C$3,10000)/100),MOD($C$3,100))+(ROW()-ROW($C$3))/86400</s:f>
        <s:v>46247.56597222222</s:v>
      </s:c>
    </s:row>
    <s:row r="505">
      <s:c r="A505" s="0" t="n">
        <s:v>260813</s:v>
      </s:c>
      <s:c r="B505" s="0" t="inlineStr">
        <s:is>
          <s:t>이종훈</s:t>
        </s:is>
      </s:c>
      <s:c r="C505" s="0" t="n">
        <s:v>132639</s:v>
      </s:c>
      <s:c r="D505" s="0" t="n">
        <s:v>2076</s:v>
      </s:c>
      <s:c r="F505" s="24">
        <s:f>'자료구성'!$B$2+TIME(INT($C$3/10000),INT(MOD($C$3,10000)/100),MOD($C$3,100))+(ROW()-ROW($C$3))/86400</s:f>
        <s:v>46247.565983796296</s:v>
      </s:c>
    </s:row>
    <s:row r="506">
      <s:c r="A506" s="0" t="n">
        <s:v>260813</s:v>
      </s:c>
      <s:c r="B506" s="0" t="inlineStr">
        <s:is>
          <s:t>이종훈</s:t>
        </s:is>
      </s:c>
      <s:c r="C506" s="0" t="n">
        <s:v>132639</s:v>
      </s:c>
      <s:c r="D506" s="0" t="n">
        <s:v>2095</s:v>
      </s:c>
      <s:c r="F506" s="24">
        <s:f>'자료구성'!$B$2+TIME(INT($C$3/10000),INT(MOD($C$3,10000)/100),MOD($C$3,100))+(ROW()-ROW($C$3))/86400</s:f>
        <s:v>46247.56599537037</s:v>
      </s:c>
    </s:row>
    <s:row r="507">
      <s:c r="A507" s="0" t="n">
        <s:v>260813</s:v>
      </s:c>
      <s:c r="B507" s="0" t="inlineStr">
        <s:is>
          <s:t>이종훈</s:t>
        </s:is>
      </s:c>
      <s:c r="C507" s="0" t="n">
        <s:v>132639</s:v>
      </s:c>
      <s:c r="D507" s="0" t="n">
        <s:v>2118</s:v>
      </s:c>
      <s:c r="F507" s="24">
        <s:f>'자료구성'!$B$2+TIME(INT($C$3/10000),INT(MOD($C$3,10000)/100),MOD($C$3,100))+(ROW()-ROW($C$3))/86400</s:f>
        <s:v>46247.56600694444</s:v>
      </s:c>
    </s:row>
    <s:row r="508">
      <s:c r="A508" s="0" t="n">
        <s:v>260813</s:v>
      </s:c>
      <s:c r="B508" s="0" t="inlineStr">
        <s:is>
          <s:t>이종훈</s:t>
        </s:is>
      </s:c>
      <s:c r="C508" s="0" t="n">
        <s:v>132639</s:v>
      </s:c>
      <s:c r="D508" s="0" t="n">
        <s:v>2136</s:v>
      </s:c>
      <s:c r="F508" s="24">
        <s:f>'자료구성'!$B$2+TIME(INT($C$3/10000),INT(MOD($C$3,10000)/100),MOD($C$3,100))+(ROW()-ROW($C$3))/86400</s:f>
        <s:v>46247.56601851852</s:v>
      </s:c>
    </s:row>
    <s:row r="509">
      <s:c r="A509" s="0" t="n">
        <s:v>260813</s:v>
      </s:c>
      <s:c r="B509" s="0" t="inlineStr">
        <s:is>
          <s:t>이종훈</s:t>
        </s:is>
      </s:c>
      <s:c r="C509" s="0" t="n">
        <s:v>132639</s:v>
      </s:c>
      <s:c r="D509" s="0" t="n">
        <s:v>2125</s:v>
      </s:c>
      <s:c r="F509" s="24">
        <s:f>'자료구성'!$B$2+TIME(INT($C$3/10000),INT(MOD($C$3,10000)/100),MOD($C$3,100))+(ROW()-ROW($C$3))/86400</s:f>
        <s:v>46247.566030092596</s:v>
      </s:c>
    </s:row>
    <s:row r="510">
      <s:c r="A510" s="0" t="n">
        <s:v>260813</s:v>
      </s:c>
      <s:c r="B510" s="0" t="inlineStr">
        <s:is>
          <s:t>이종훈</s:t>
        </s:is>
      </s:c>
      <s:c r="C510" s="0" t="n">
        <s:v>132639</s:v>
      </s:c>
      <s:c r="D510" s="0" t="n">
        <s:v>2100</s:v>
      </s:c>
      <s:c r="F510" s="24">
        <s:f>'자료구성'!$B$2+TIME(INT($C$3/10000),INT(MOD($C$3,10000)/100),MOD($C$3,100))+(ROW()-ROW($C$3))/86400</s:f>
        <s:v>46247.566041666665</s:v>
      </s:c>
    </s:row>
    <s:row r="511">
      <s:c r="A511" s="0" t="n">
        <s:v>260813</s:v>
      </s:c>
      <s:c r="B511" s="0" t="inlineStr">
        <s:is>
          <s:t>이종훈</s:t>
        </s:is>
      </s:c>
      <s:c r="C511" s="0" t="n">
        <s:v>132639</s:v>
      </s:c>
      <s:c r="D511" s="0" t="n">
        <s:v>2101</s:v>
      </s:c>
      <s:c r="F511" s="24">
        <s:f>'자료구성'!$B$2+TIME(INT($C$3/10000),INT(MOD($C$3,10000)/100),MOD($C$3,100))+(ROW()-ROW($C$3))/86400</s:f>
        <s:v>46247.56605324074</s:v>
      </s:c>
    </s:row>
    <s:row r="512">
      <s:c r="A512" s="0" t="n">
        <s:v>260813</s:v>
      </s:c>
      <s:c r="B512" s="0" t="inlineStr">
        <s:is>
          <s:t>이종훈</s:t>
        </s:is>
      </s:c>
      <s:c r="C512" s="0" t="n">
        <s:v>132639</s:v>
      </s:c>
      <s:c r="D512" s="0" t="n">
        <s:v>2086</s:v>
      </s:c>
      <s:c r="F512" s="24">
        <s:f>'자료구성'!$B$2+TIME(INT($C$3/10000),INT(MOD($C$3,10000)/100),MOD($C$3,100))+(ROW()-ROW($C$3))/86400</s:f>
        <s:v>46247.56606481481</s:v>
      </s:c>
    </s:row>
    <s:row r="513">
      <s:c r="A513" s="0" t="n">
        <s:v>260813</s:v>
      </s:c>
      <s:c r="B513" s="0" t="inlineStr">
        <s:is>
          <s:t>이종훈</s:t>
        </s:is>
      </s:c>
      <s:c r="C513" s="0" t="n">
        <s:v>132639</s:v>
      </s:c>
      <s:c r="D513" s="0" t="n">
        <s:v>1996</s:v>
      </s:c>
      <s:c r="F513" s="24">
        <s:f>'자료구성'!$B$2+TIME(INT($C$3/10000),INT(MOD($C$3,10000)/100),MOD($C$3,100))+(ROW()-ROW($C$3))/86400</s:f>
        <s:v>46247.56607638889</s:v>
      </s:c>
    </s:row>
    <s:row r="514">
      <s:c r="A514" s="0" t="n">
        <s:v>260813</s:v>
      </s:c>
      <s:c r="B514" s="0" t="inlineStr">
        <s:is>
          <s:t>이종훈</s:t>
        </s:is>
      </s:c>
      <s:c r="C514" s="0" t="n">
        <s:v>132639</s:v>
      </s:c>
      <s:c r="D514" s="0" t="n">
        <s:v>1879</s:v>
      </s:c>
      <s:c r="F514" s="24">
        <s:f>'자료구성'!$B$2+TIME(INT($C$3/10000),INT(MOD($C$3,10000)/100),MOD($C$3,100))+(ROW()-ROW($C$3))/86400</s:f>
        <s:v>46247.566087962965</s:v>
      </s:c>
    </s:row>
    <s:row r="515">
      <s:c r="A515" s="0" t="n">
        <s:v>260813</s:v>
      </s:c>
      <s:c r="B515" s="0" t="inlineStr">
        <s:is>
          <s:t>이종훈</s:t>
        </s:is>
      </s:c>
      <s:c r="C515" s="0" t="n">
        <s:v>132639</s:v>
      </s:c>
      <s:c r="D515" s="0" t="n">
        <s:v>1772</s:v>
      </s:c>
      <s:c r="F515" s="24">
        <s:f>'자료구성'!$B$2+TIME(INT($C$3/10000),INT(MOD($C$3,10000)/100),MOD($C$3,100))+(ROW()-ROW($C$3))/86400</s:f>
        <s:v>46247.566099537034</s:v>
      </s:c>
    </s:row>
    <s:row r="516">
      <s:c r="A516" s="0" t="n">
        <s:v>260813</s:v>
      </s:c>
      <s:c r="B516" s="0" t="inlineStr">
        <s:is>
          <s:t>이종훈</s:t>
        </s:is>
      </s:c>
      <s:c r="C516" s="0" t="n">
        <s:v>132639</s:v>
      </s:c>
      <s:c r="D516" s="0" t="n">
        <s:v>1694</s:v>
      </s:c>
      <s:c r="F516" s="24">
        <s:f>'자료구성'!$B$2+TIME(INT($C$3/10000),INT(MOD($C$3,10000)/100),MOD($C$3,100))+(ROW()-ROW($C$3))/86400</s:f>
        <s:v>46247.56611111111</s:v>
      </s:c>
    </s:row>
    <s:row r="517">
      <s:c r="A517" s="0" t="n">
        <s:v>260813</s:v>
      </s:c>
      <s:c r="B517" s="0" t="inlineStr">
        <s:is>
          <s:t>이종훈</s:t>
        </s:is>
      </s:c>
      <s:c r="C517" s="0" t="n">
        <s:v>132639</s:v>
      </s:c>
      <s:c r="D517" s="0" t="n">
        <s:v>1632</s:v>
      </s:c>
      <s:c r="F517" s="24">
        <s:f>'자료구성'!$B$2+TIME(INT($C$3/10000),INT(MOD($C$3,10000)/100),MOD($C$3,100))+(ROW()-ROW($C$3))/86400</s:f>
        <s:v>46247.56612268519</s:v>
      </s:c>
    </s:row>
    <s:row r="518">
      <s:c r="A518" s="0" t="n">
        <s:v>260813</s:v>
      </s:c>
      <s:c r="B518" s="0" t="inlineStr">
        <s:is>
          <s:t>이종훈</s:t>
        </s:is>
      </s:c>
      <s:c r="C518" s="0" t="n">
        <s:v>132639</s:v>
      </s:c>
      <s:c r="D518" s="0" t="n">
        <s:v>1571</s:v>
      </s:c>
      <s:c r="F518" s="24">
        <s:f>'자료구성'!$B$2+TIME(INT($C$3/10000),INT(MOD($C$3,10000)/100),MOD($C$3,100))+(ROW()-ROW($C$3))/86400</s:f>
        <s:v>46247.56613425926</s:v>
      </s:c>
    </s:row>
    <s:row r="519">
      <s:c r="A519" s="0" t="n">
        <s:v>260813</s:v>
      </s:c>
      <s:c r="B519" s="0" t="inlineStr">
        <s:is>
          <s:t>이종훈</s:t>
        </s:is>
      </s:c>
      <s:c r="C519" s="0" t="n">
        <s:v>132639</s:v>
      </s:c>
      <s:c r="D519" s="0" t="n">
        <s:v>1490</s:v>
      </s:c>
      <s:c r="F519" s="24">
        <s:f>'자료구성'!$B$2+TIME(INT($C$3/10000),INT(MOD($C$3,10000)/100),MOD($C$3,100))+(ROW()-ROW($C$3))/86400</s:f>
        <s:v>46247.566145833334</s:v>
      </s:c>
    </s:row>
    <s:row r="520">
      <s:c r="A520" s="0" t="n">
        <s:v>260813</s:v>
      </s:c>
      <s:c r="B520" s="0" t="inlineStr">
        <s:is>
          <s:t>이종훈</s:t>
        </s:is>
      </s:c>
      <s:c r="C520" s="0" t="n">
        <s:v>132639</s:v>
      </s:c>
      <s:c r="D520" s="0" t="n">
        <s:v>1434</s:v>
      </s:c>
      <s:c r="F520" s="24">
        <s:f>'자료구성'!$B$2+TIME(INT($C$3/10000),INT(MOD($C$3,10000)/100),MOD($C$3,100))+(ROW()-ROW($C$3))/86400</s:f>
        <s:v>46247.566157407404</s:v>
      </s:c>
    </s:row>
    <s:row r="521">
      <s:c r="A521" s="0" t="n">
        <s:v>260813</s:v>
      </s:c>
      <s:c r="B521" s="0" t="inlineStr">
        <s:is>
          <s:t>이종훈</s:t>
        </s:is>
      </s:c>
      <s:c r="C521" s="0" t="n">
        <s:v>132639</s:v>
      </s:c>
      <s:c r="D521" s="0" t="n">
        <s:v>1390</s:v>
      </s:c>
      <s:c r="F521" s="24">
        <s:f>'자료구성'!$B$2+TIME(INT($C$3/10000),INT(MOD($C$3,10000)/100),MOD($C$3,100))+(ROW()-ROW($C$3))/86400</s:f>
        <s:v>46247.56616898148</s:v>
      </s:c>
    </s:row>
    <s:row r="522">
      <s:c r="A522" s="0" t="n">
        <s:v>260813</s:v>
      </s:c>
      <s:c r="B522" s="0" t="inlineStr">
        <s:is>
          <s:t>이종훈</s:t>
        </s:is>
      </s:c>
      <s:c r="C522" s="0" t="n">
        <s:v>132639</s:v>
      </s:c>
      <s:c r="D522" s="0" t="n">
        <s:v>1383</s:v>
      </s:c>
      <s:c r="F522" s="24">
        <s:f>'자료구성'!$B$2+TIME(INT($C$3/10000),INT(MOD($C$3,10000)/100),MOD($C$3,100))+(ROW()-ROW($C$3))/86400</s:f>
        <s:v>46247.56618055556</s:v>
      </s:c>
    </s:row>
    <s:row r="523">
      <s:c r="A523" s="0" t="n">
        <s:v>260813</s:v>
      </s:c>
      <s:c r="B523" s="0" t="inlineStr">
        <s:is>
          <s:t>이종훈</s:t>
        </s:is>
      </s:c>
      <s:c r="C523" s="0" t="n">
        <s:v>132639</s:v>
      </s:c>
      <s:c r="D523" s="0" t="n">
        <s:v>1403</s:v>
      </s:c>
      <s:c r="F523" s="24">
        <s:f>'자료구성'!$B$2+TIME(INT($C$3/10000),INT(MOD($C$3,10000)/100),MOD($C$3,100))+(ROW()-ROW($C$3))/86400</s:f>
        <s:v>46247.56619212963</s:v>
      </s:c>
    </s:row>
    <s:row r="524">
      <s:c r="A524" s="0" t="n">
        <s:v>260813</s:v>
      </s:c>
      <s:c r="B524" s="0" t="inlineStr">
        <s:is>
          <s:t>이종훈</s:t>
        </s:is>
      </s:c>
      <s:c r="C524" s="0" t="n">
        <s:v>132639</s:v>
      </s:c>
      <s:c r="D524" s="0" t="n">
        <s:v>1445</s:v>
      </s:c>
      <s:c r="F524" s="24">
        <s:f>'자료구성'!$B$2+TIME(INT($C$3/10000),INT(MOD($C$3,10000)/100),MOD($C$3,100))+(ROW()-ROW($C$3))/86400</s:f>
        <s:v>46247.566203703704</s:v>
      </s:c>
    </s:row>
    <s:row r="525">
      <s:c r="A525" s="0" t="n">
        <s:v>260813</s:v>
      </s:c>
      <s:c r="B525" s="0" t="inlineStr">
        <s:is>
          <s:t>이종훈</s:t>
        </s:is>
      </s:c>
      <s:c r="C525" s="0" t="n">
        <s:v>132639</s:v>
      </s:c>
      <s:c r="D525" s="0" t="n">
        <s:v>1465</s:v>
      </s:c>
      <s:c r="F525" s="24">
        <s:f>'자료구성'!$B$2+TIME(INT($C$3/10000),INT(MOD($C$3,10000)/100),MOD($C$3,100))+(ROW()-ROW($C$3))/86400</s:f>
        <s:v>46247.56621527778</s:v>
      </s:c>
    </s:row>
    <s:row r="526">
      <s:c r="A526" s="0" t="n">
        <s:v>260813</s:v>
      </s:c>
      <s:c r="B526" s="0" t="inlineStr">
        <s:is>
          <s:t>이종훈</s:t>
        </s:is>
      </s:c>
      <s:c r="C526" s="0" t="n">
        <s:v>132639</s:v>
      </s:c>
      <s:c r="D526" s="0" t="n">
        <s:v>1437</s:v>
      </s:c>
      <s:c r="F526" s="24">
        <s:f>'자료구성'!$B$2+TIME(INT($C$3/10000),INT(MOD($C$3,10000)/100),MOD($C$3,100))+(ROW()-ROW($C$3))/86400</s:f>
        <s:v>46247.56622685185</s:v>
      </s:c>
    </s:row>
    <s:row r="527">
      <s:c r="A527" s="0" t="n">
        <s:v>260813</s:v>
      </s:c>
      <s:c r="B527" s="0" t="inlineStr">
        <s:is>
          <s:t>이종훈</s:t>
        </s:is>
      </s:c>
      <s:c r="C527" s="0" t="n">
        <s:v>132639</s:v>
      </s:c>
      <s:c r="D527" s="0" t="n">
        <s:v>1386</s:v>
      </s:c>
      <s:c r="F527" s="24">
        <s:f>'자료구성'!$B$2+TIME(INT($C$3/10000),INT(MOD($C$3,10000)/100),MOD($C$3,100))+(ROW()-ROW($C$3))/86400</s:f>
        <s:v>46247.56623842593</s:v>
      </s:c>
    </s:row>
    <s:row r="528">
      <s:c r="A528" s="0" t="n">
        <s:v>260813</s:v>
      </s:c>
      <s:c r="B528" s="0" t="inlineStr">
        <s:is>
          <s:t>이종훈</s:t>
        </s:is>
      </s:c>
      <s:c r="C528" s="0" t="n">
        <s:v>132639</s:v>
      </s:c>
      <s:c r="D528" s="0" t="n">
        <s:v>1387</s:v>
      </s:c>
      <s:c r="F528" s="24">
        <s:f>'자료구성'!$B$2+TIME(INT($C$3/10000),INT(MOD($C$3,10000)/100),MOD($C$3,100))+(ROW()-ROW($C$3))/86400</s:f>
        <s:v>46247.56625</s:v>
      </s:c>
    </s:row>
    <s:row r="529">
      <s:c r="A529" s="0" t="n">
        <s:v>260813</s:v>
      </s:c>
      <s:c r="B529" s="0" t="inlineStr">
        <s:is>
          <s:t>이종훈</s:t>
        </s:is>
      </s:c>
      <s:c r="C529" s="0" t="n">
        <s:v>132639</s:v>
      </s:c>
      <s:c r="D529" s="0" t="n">
        <s:v>1379</s:v>
      </s:c>
      <s:c r="F529" s="24">
        <s:f>'자료구성'!$B$2+TIME(INT($C$3/10000),INT(MOD($C$3,10000)/100),MOD($C$3,100))+(ROW()-ROW($C$3))/86400</s:f>
        <s:v>46247.56626157407</s:v>
      </s:c>
    </s:row>
    <s:row r="530">
      <s:c r="A530" s="0" t="n">
        <s:v>260813</s:v>
      </s:c>
      <s:c r="B530" s="0" t="inlineStr">
        <s:is>
          <s:t>이종훈</s:t>
        </s:is>
      </s:c>
      <s:c r="C530" s="0" t="n">
        <s:v>132639</s:v>
      </s:c>
      <s:c r="D530" s="0" t="n">
        <s:v>1363</s:v>
      </s:c>
      <s:c r="F530" s="24">
        <s:f>'자료구성'!$B$2+TIME(INT($C$3/10000),INT(MOD($C$3,10000)/100),MOD($C$3,100))+(ROW()-ROW($C$3))/86400</s:f>
        <s:v>46247.56627314815</s:v>
      </s:c>
    </s:row>
    <s:row r="531">
      <s:c r="A531" s="0" t="n">
        <s:v>260813</s:v>
      </s:c>
      <s:c r="B531" s="0" t="inlineStr">
        <s:is>
          <s:t>이종훈</s:t>
        </s:is>
      </s:c>
      <s:c r="C531" s="0" t="n">
        <s:v>132639</s:v>
      </s:c>
      <s:c r="D531" s="0" t="n">
        <s:v>1388</s:v>
      </s:c>
      <s:c r="F531" s="24">
        <s:f>'자료구성'!$B$2+TIME(INT($C$3/10000),INT(MOD($C$3,10000)/100),MOD($C$3,100))+(ROW()-ROW($C$3))/86400</s:f>
        <s:v>46247.56628472222</s:v>
      </s:c>
    </s:row>
    <s:row r="532">
      <s:c r="A532" s="0" t="n">
        <s:v>260813</s:v>
      </s:c>
      <s:c r="B532" s="0" t="inlineStr">
        <s:is>
          <s:t>이종훈</s:t>
        </s:is>
      </s:c>
      <s:c r="C532" s="0" t="n">
        <s:v>132639</s:v>
      </s:c>
      <s:c r="D532" s="0" t="n">
        <s:v>1372</s:v>
      </s:c>
      <s:c r="F532" s="24">
        <s:f>'자료구성'!$B$2+TIME(INT($C$3/10000),INT(MOD($C$3,10000)/100),MOD($C$3,100))+(ROW()-ROW($C$3))/86400</s:f>
        <s:v>46247.566296296296</s:v>
      </s:c>
    </s:row>
    <s:row r="533">
      <s:c r="A533" s="0" t="n">
        <s:v>260813</s:v>
      </s:c>
      <s:c r="B533" s="0" t="inlineStr">
        <s:is>
          <s:t>이종훈</s:t>
        </s:is>
      </s:c>
      <s:c r="C533" s="0" t="n">
        <s:v>132639</s:v>
      </s:c>
      <s:c r="D533" s="0" t="n">
        <s:v>1349</s:v>
      </s:c>
      <s:c r="F533" s="24">
        <s:f>'자료구성'!$B$2+TIME(INT($C$3/10000),INT(MOD($C$3,10000)/100),MOD($C$3,100))+(ROW()-ROW($C$3))/86400</s:f>
        <s:v>46247.56630787037</s:v>
      </s:c>
    </s:row>
    <s:row r="534">
      <s:c r="A534" s="0" t="n">
        <s:v>260813</s:v>
      </s:c>
      <s:c r="B534" s="0" t="inlineStr">
        <s:is>
          <s:t>이종훈</s:t>
        </s:is>
      </s:c>
      <s:c r="C534" s="0" t="n">
        <s:v>132639</s:v>
      </s:c>
      <s:c r="D534" s="0" t="n">
        <s:v>1325</s:v>
      </s:c>
      <s:c r="F534" s="24">
        <s:f>'자료구성'!$B$2+TIME(INT($C$3/10000),INT(MOD($C$3,10000)/100),MOD($C$3,100))+(ROW()-ROW($C$3))/86400</s:f>
        <s:v>46247.56631944444</s:v>
      </s:c>
    </s:row>
    <s:row r="535">
      <s:c r="A535" s="0" t="n">
        <s:v>260813</s:v>
      </s:c>
      <s:c r="B535" s="0" t="inlineStr">
        <s:is>
          <s:t>이종훈</s:t>
        </s:is>
      </s:c>
      <s:c r="C535" s="0" t="n">
        <s:v>132639</s:v>
      </s:c>
      <s:c r="D535" s="0" t="n">
        <s:v>1324</s:v>
      </s:c>
      <s:c r="F535" s="24">
        <s:f>'자료구성'!$B$2+TIME(INT($C$3/10000),INT(MOD($C$3,10000)/100),MOD($C$3,100))+(ROW()-ROW($C$3))/86400</s:f>
        <s:v>46247.56633101852</s:v>
      </s:c>
    </s:row>
    <s:row r="536">
      <s:c r="A536" s="0" t="n">
        <s:v>260813</s:v>
      </s:c>
      <s:c r="B536" s="0" t="inlineStr">
        <s:is>
          <s:t>이종훈</s:t>
        </s:is>
      </s:c>
      <s:c r="C536" s="0" t="n">
        <s:v>132639</s:v>
      </s:c>
      <s:c r="D536" s="0" t="n">
        <s:v>1328</s:v>
      </s:c>
      <s:c r="F536" s="24">
        <s:f>'자료구성'!$B$2+TIME(INT($C$3/10000),INT(MOD($C$3,10000)/100),MOD($C$3,100))+(ROW()-ROW($C$3))/86400</s:f>
        <s:v>46247.566342592596</s:v>
      </s:c>
    </s:row>
    <s:row r="537">
      <s:c r="A537" s="0" t="n">
        <s:v>260813</s:v>
      </s:c>
      <s:c r="B537" s="0" t="inlineStr">
        <s:is>
          <s:t>이종훈</s:t>
        </s:is>
      </s:c>
      <s:c r="C537" s="0" t="n">
        <s:v>132639</s:v>
      </s:c>
      <s:c r="D537" s="0" t="n">
        <s:v>1348</s:v>
      </s:c>
      <s:c r="F537" s="24">
        <s:f>'자료구성'!$B$2+TIME(INT($C$3/10000),INT(MOD($C$3,10000)/100),MOD($C$3,100))+(ROW()-ROW($C$3))/86400</s:f>
        <s:v>46247.566354166665</s:v>
      </s:c>
    </s:row>
    <s:row r="538">
      <s:c r="A538" s="0" t="n">
        <s:v>260813</s:v>
      </s:c>
      <s:c r="B538" s="0" t="inlineStr">
        <s:is>
          <s:t>이종훈</s:t>
        </s:is>
      </s:c>
      <s:c r="C538" s="0" t="n">
        <s:v>132639</s:v>
      </s:c>
      <s:c r="D538" s="0" t="n">
        <s:v>1375</s:v>
      </s:c>
      <s:c r="F538" s="24">
        <s:f>'자료구성'!$B$2+TIME(INT($C$3/10000),INT(MOD($C$3,10000)/100),MOD($C$3,100))+(ROW()-ROW($C$3))/86400</s:f>
        <s:v>46247.56636574074</s:v>
      </s:c>
    </s:row>
    <s:row r="539">
      <s:c r="A539" s="0" t="n">
        <s:v>260813</s:v>
      </s:c>
      <s:c r="B539" s="0" t="inlineStr">
        <s:is>
          <s:t>이종훈</s:t>
        </s:is>
      </s:c>
      <s:c r="C539" s="0" t="n">
        <s:v>132639</s:v>
      </s:c>
      <s:c r="D539" s="0" t="n">
        <s:v>1375</s:v>
      </s:c>
      <s:c r="F539" s="24">
        <s:f>'자료구성'!$B$2+TIME(INT($C$3/10000),INT(MOD($C$3,10000)/100),MOD($C$3,100))+(ROW()-ROW($C$3))/86400</s:f>
        <s:v>46247.56637731481</s:v>
      </s:c>
    </s:row>
    <s:row r="540">
      <s:c r="A540" s="0" t="n">
        <s:v>260813</s:v>
      </s:c>
      <s:c r="B540" s="0" t="inlineStr">
        <s:is>
          <s:t>이종훈</s:t>
        </s:is>
      </s:c>
      <s:c r="C540" s="0" t="n">
        <s:v>132639</s:v>
      </s:c>
      <s:c r="D540" s="0" t="n">
        <s:v>1380</s:v>
      </s:c>
      <s:c r="F540" s="24">
        <s:f>'자료구성'!$B$2+TIME(INT($C$3/10000),INT(MOD($C$3,10000)/100),MOD($C$3,100))+(ROW()-ROW($C$3))/86400</s:f>
        <s:v>46247.56638888889</s:v>
      </s:c>
    </s:row>
    <s:row r="541">
      <s:c r="A541" s="0" t="n">
        <s:v>260813</s:v>
      </s:c>
      <s:c r="B541" s="0" t="inlineStr">
        <s:is>
          <s:t>이종훈</s:t>
        </s:is>
      </s:c>
      <s:c r="C541" s="0" t="n">
        <s:v>132639</s:v>
      </s:c>
      <s:c r="D541" s="0" t="n">
        <s:v>1352</s:v>
      </s:c>
      <s:c r="F541" s="24">
        <s:f>'자료구성'!$B$2+TIME(INT($C$3/10000),INT(MOD($C$3,10000)/100),MOD($C$3,100))+(ROW()-ROW($C$3))/86400</s:f>
        <s:v>46247.566400462965</s:v>
      </s:c>
    </s:row>
    <s:row r="542">
      <s:c r="A542" s="0" t="n">
        <s:v>260813</s:v>
      </s:c>
      <s:c r="B542" s="0" t="inlineStr">
        <s:is>
          <s:t>이종훈</s:t>
        </s:is>
      </s:c>
      <s:c r="C542" s="0" t="n">
        <s:v>132639</s:v>
      </s:c>
      <s:c r="D542" s="0" t="n">
        <s:v>1358</s:v>
      </s:c>
      <s:c r="F542" s="24">
        <s:f>'자료구성'!$B$2+TIME(INT($C$3/10000),INT(MOD($C$3,10000)/100),MOD($C$3,100))+(ROW()-ROW($C$3))/86400</s:f>
        <s:v>46247.566412037035</s:v>
      </s:c>
    </s:row>
    <s:row r="543">
      <s:c r="A543" s="0" t="n">
        <s:v>260813</s:v>
      </s:c>
      <s:c r="B543" s="0" t="inlineStr">
        <s:is>
          <s:t>이종훈</s:t>
        </s:is>
      </s:c>
      <s:c r="C543" s="0" t="n">
        <s:v>132639</s:v>
      </s:c>
      <s:c r="D543" s="0" t="n">
        <s:v>1401</s:v>
      </s:c>
      <s:c r="F543" s="24">
        <s:f>'자료구성'!$B$2+TIME(INT($C$3/10000),INT(MOD($C$3,10000)/100),MOD($C$3,100))+(ROW()-ROW($C$3))/86400</s:f>
        <s:v>46247.56642361111</s:v>
      </s:c>
    </s:row>
    <s:row r="544">
      <s:c r="A544" s="0" t="n">
        <s:v>260813</s:v>
      </s:c>
      <s:c r="B544" s="0" t="inlineStr">
        <s:is>
          <s:t>이종훈</s:t>
        </s:is>
      </s:c>
      <s:c r="C544" s="0" t="n">
        <s:v>132639</s:v>
      </s:c>
      <s:c r="D544" s="0" t="n">
        <s:v>1444</s:v>
      </s:c>
      <s:c r="F544" s="24">
        <s:f>'자료구성'!$B$2+TIME(INT($C$3/10000),INT(MOD($C$3,10000)/100),MOD($C$3,100))+(ROW()-ROW($C$3))/86400</s:f>
        <s:v>46247.56643518519</s:v>
      </s:c>
    </s:row>
    <s:row r="545">
      <s:c r="A545" s="0" t="n">
        <s:v>260813</s:v>
      </s:c>
      <s:c r="B545" s="0" t="inlineStr">
        <s:is>
          <s:t>이종훈</s:t>
        </s:is>
      </s:c>
      <s:c r="C545" s="0" t="n">
        <s:v>132639</s:v>
      </s:c>
      <s:c r="D545" s="0" t="n">
        <s:v>1456</s:v>
      </s:c>
      <s:c r="F545" s="24">
        <s:f>'자료구성'!$B$2+TIME(INT($C$3/10000),INT(MOD($C$3,10000)/100),MOD($C$3,100))+(ROW()-ROW($C$3))/86400</s:f>
        <s:v>46247.56644675926</s:v>
      </s:c>
    </s:row>
    <s:row r="546">
      <s:c r="A546" s="0" t="n">
        <s:v>260813</s:v>
      </s:c>
      <s:c r="B546" s="0" t="inlineStr">
        <s:is>
          <s:t>이종훈</s:t>
        </s:is>
      </s:c>
      <s:c r="C546" s="0" t="n">
        <s:v>132639</s:v>
      </s:c>
      <s:c r="D546" s="0" t="n">
        <s:v>1483</s:v>
      </s:c>
      <s:c r="F546" s="24">
        <s:f>'자료구성'!$B$2+TIME(INT($C$3/10000),INT(MOD($C$3,10000)/100),MOD($C$3,100))+(ROW()-ROW($C$3))/86400</s:f>
        <s:v>46247.566458333335</s:v>
      </s:c>
    </s:row>
    <s:row r="547">
      <s:c r="A547" s="0" t="n">
        <s:v>260813</s:v>
      </s:c>
      <s:c r="B547" s="0" t="inlineStr">
        <s:is>
          <s:t>이종훈</s:t>
        </s:is>
      </s:c>
      <s:c r="C547" s="0" t="n">
        <s:v>132639</s:v>
      </s:c>
      <s:c r="D547" s="0" t="n">
        <s:v>1509</s:v>
      </s:c>
      <s:c r="F547" s="24">
        <s:f>'자료구성'!$B$2+TIME(INT($C$3/10000),INT(MOD($C$3,10000)/100),MOD($C$3,100))+(ROW()-ROW($C$3))/86400</s:f>
        <s:v>46247.566469907404</s:v>
      </s:c>
    </s:row>
    <s:row r="548">
      <s:c r="A548" s="0" t="n">
        <s:v>260813</s:v>
      </s:c>
      <s:c r="B548" s="0" t="inlineStr">
        <s:is>
          <s:t>이종훈</s:t>
        </s:is>
      </s:c>
      <s:c r="C548" s="0" t="n">
        <s:v>132639</s:v>
      </s:c>
      <s:c r="D548" s="0" t="n">
        <s:v>1499</s:v>
      </s:c>
      <s:c r="F548" s="24">
        <s:f>'자료구성'!$B$2+TIME(INT($C$3/10000),INT(MOD($C$3,10000)/100),MOD($C$3,100))+(ROW()-ROW($C$3))/86400</s:f>
        <s:v>46247.56648148148</s:v>
      </s:c>
    </s:row>
    <s:row r="549">
      <s:c r="A549" s="0" t="n">
        <s:v>260813</s:v>
      </s:c>
      <s:c r="B549" s="0" t="inlineStr">
        <s:is>
          <s:t>이종훈</s:t>
        </s:is>
      </s:c>
      <s:c r="C549" s="0" t="n">
        <s:v>132639</s:v>
      </s:c>
      <s:c r="D549" s="0" t="n">
        <s:v>1468</s:v>
      </s:c>
      <s:c r="F549" s="24">
        <s:f>'자료구성'!$B$2+TIME(INT($C$3/10000),INT(MOD($C$3,10000)/100),MOD($C$3,100))+(ROW()-ROW($C$3))/86400</s:f>
        <s:v>46247.56649305556</s:v>
      </s:c>
    </s:row>
    <s:row r="550">
      <s:c r="A550" s="0" t="n">
        <s:v>260813</s:v>
      </s:c>
      <s:c r="B550" s="0" t="inlineStr">
        <s:is>
          <s:t>이종훈</s:t>
        </s:is>
      </s:c>
      <s:c r="C550" s="0" t="n">
        <s:v>132639</s:v>
      </s:c>
      <s:c r="D550" s="0" t="n">
        <s:v>1452</s:v>
      </s:c>
      <s:c r="F550" s="24">
        <s:f>'자료구성'!$B$2+TIME(INT($C$3/10000),INT(MOD($C$3,10000)/100),MOD($C$3,100))+(ROW()-ROW($C$3))/86400</s:f>
        <s:v>46247.56650462963</s:v>
      </s:c>
    </s:row>
    <s:row r="551">
      <s:c r="A551" s="0" t="n">
        <s:v>260813</s:v>
      </s:c>
      <s:c r="B551" s="0" t="inlineStr">
        <s:is>
          <s:t>이종훈</s:t>
        </s:is>
      </s:c>
      <s:c r="C551" s="0" t="n">
        <s:v>132639</s:v>
      </s:c>
      <s:c r="D551" s="0" t="n">
        <s:v>1449</s:v>
      </s:c>
      <s:c r="F551" s="24">
        <s:f>'자료구성'!$B$2+TIME(INT($C$3/10000),INT(MOD($C$3,10000)/100),MOD($C$3,100))+(ROW()-ROW($C$3))/86400</s:f>
        <s:v>46247.566516203704</s:v>
      </s:c>
    </s:row>
    <s:row r="552">
      <s:c r="A552" s="0" t="n">
        <s:v>260813</s:v>
      </s:c>
      <s:c r="B552" s="0" t="inlineStr">
        <s:is>
          <s:t>이종훈</s:t>
        </s:is>
      </s:c>
      <s:c r="C552" s="0" t="n">
        <s:v>132639</s:v>
      </s:c>
      <s:c r="D552" s="0" t="n">
        <s:v>1442</s:v>
      </s:c>
      <s:c r="F552" s="24">
        <s:f>'자료구성'!$B$2+TIME(INT($C$3/10000),INT(MOD($C$3,10000)/100),MOD($C$3,100))+(ROW()-ROW($C$3))/86400</s:f>
        <s:v>46247.56652777778</s:v>
      </s:c>
    </s:row>
    <s:row r="553">
      <s:c r="A553" s="0" t="n">
        <s:v>260813</s:v>
      </s:c>
      <s:c r="B553" s="0" t="inlineStr">
        <s:is>
          <s:t>이종훈</s:t>
        </s:is>
      </s:c>
      <s:c r="C553" s="0" t="n">
        <s:v>132639</s:v>
      </s:c>
      <s:c r="D553" s="0" t="n">
        <s:v>1436</s:v>
      </s:c>
      <s:c r="F553" s="24">
        <s:f>'자료구성'!$B$2+TIME(INT($C$3/10000),INT(MOD($C$3,10000)/100),MOD($C$3,100))+(ROW()-ROW($C$3))/86400</s:f>
        <s:v>46247.56653935185</s:v>
      </s:c>
    </s:row>
    <s:row r="554">
      <s:c r="A554" s="0" t="n">
        <s:v>260813</s:v>
      </s:c>
      <s:c r="B554" s="0" t="inlineStr">
        <s:is>
          <s:t>이종훈</s:t>
        </s:is>
      </s:c>
      <s:c r="C554" s="0" t="n">
        <s:v>132639</s:v>
      </s:c>
      <s:c r="D554" s="0" t="n">
        <s:v>1427</s:v>
      </s:c>
      <s:c r="F554" s="24">
        <s:f>'자료구성'!$B$2+TIME(INT($C$3/10000),INT(MOD($C$3,10000)/100),MOD($C$3,100))+(ROW()-ROW($C$3))/86400</s:f>
        <s:v>46247.56655092593</s:v>
      </s:c>
    </s:row>
    <s:row r="555">
      <s:c r="A555" s="0" t="n">
        <s:v>260813</s:v>
      </s:c>
      <s:c r="B555" s="0" t="inlineStr">
        <s:is>
          <s:t>이종훈</s:t>
        </s:is>
      </s:c>
      <s:c r="C555" s="0" t="n">
        <s:v>132639</s:v>
      </s:c>
      <s:c r="D555" s="0" t="n">
        <s:v>1420</s:v>
      </s:c>
      <s:c r="F555" s="24">
        <s:f>'자료구성'!$B$2+TIME(INT($C$3/10000),INT(MOD($C$3,10000)/100),MOD($C$3,100))+(ROW()-ROW($C$3))/86400</s:f>
        <s:v>46247.5665625</s:v>
      </s:c>
    </s:row>
    <s:row r="556">
      <s:c r="A556" s="0" t="n">
        <s:v>260813</s:v>
      </s:c>
      <s:c r="B556" s="0" t="inlineStr">
        <s:is>
          <s:t>이종훈</s:t>
        </s:is>
      </s:c>
      <s:c r="C556" s="0" t="n">
        <s:v>132639</s:v>
      </s:c>
      <s:c r="D556" s="0" t="n">
        <s:v>1400</s:v>
      </s:c>
      <s:c r="F556" s="24">
        <s:f>'자료구성'!$B$2+TIME(INT($C$3/10000),INT(MOD($C$3,10000)/100),MOD($C$3,100))+(ROW()-ROW($C$3))/86400</s:f>
        <s:v>46247.56657407407</s:v>
      </s:c>
    </s:row>
    <s:row r="557">
      <s:c r="A557" s="0" t="n">
        <s:v>260813</s:v>
      </s:c>
      <s:c r="B557" s="0" t="inlineStr">
        <s:is>
          <s:t>이종훈</s:t>
        </s:is>
      </s:c>
      <s:c r="C557" s="0" t="n">
        <s:v>132639</s:v>
      </s:c>
      <s:c r="D557" s="0" t="n">
        <s:v>1381</s:v>
      </s:c>
      <s:c r="F557" s="24">
        <s:f>'자료구성'!$B$2+TIME(INT($C$3/10000),INT(MOD($C$3,10000)/100),MOD($C$3,100))+(ROW()-ROW($C$3))/86400</s:f>
        <s:v>46247.56658564815</s:v>
      </s:c>
    </s:row>
    <s:row r="558">
      <s:c r="A558" s="0" t="n">
        <s:v>260813</s:v>
      </s:c>
      <s:c r="B558" s="0" t="inlineStr">
        <s:is>
          <s:t>이종훈</s:t>
        </s:is>
      </s:c>
      <s:c r="C558" s="0" t="n">
        <s:v>132639</s:v>
      </s:c>
      <s:c r="D558" s="0" t="n">
        <s:v>1362</s:v>
      </s:c>
      <s:c r="F558" s="24">
        <s:f>'자료구성'!$B$2+TIME(INT($C$3/10000),INT(MOD($C$3,10000)/100),MOD($C$3,100))+(ROW()-ROW($C$3))/86400</s:f>
        <s:v>46247.56659722222</s:v>
      </s:c>
    </s:row>
    <s:row r="559">
      <s:c r="A559" s="0" t="n">
        <s:v>260813</s:v>
      </s:c>
      <s:c r="B559" s="0" t="inlineStr">
        <s:is>
          <s:t>이종훈</s:t>
        </s:is>
      </s:c>
      <s:c r="C559" s="0" t="n">
        <s:v>132639</s:v>
      </s:c>
      <s:c r="D559" s="0" t="n">
        <s:v>1363</s:v>
      </s:c>
      <s:c r="F559" s="24">
        <s:f>'자료구성'!$B$2+TIME(INT($C$3/10000),INT(MOD($C$3,10000)/100),MOD($C$3,100))+(ROW()-ROW($C$3))/86400</s:f>
        <s:v>46247.566608796296</s:v>
      </s:c>
    </s:row>
    <s:row r="560">
      <s:c r="A560" s="0" t="n">
        <s:v>260813</s:v>
      </s:c>
      <s:c r="B560" s="0" t="inlineStr">
        <s:is>
          <s:t>이종훈</s:t>
        </s:is>
      </s:c>
      <s:c r="C560" s="0" t="n">
        <s:v>132639</s:v>
      </s:c>
      <s:c r="D560" s="0" t="n">
        <s:v>1365</s:v>
      </s:c>
      <s:c r="F560" s="24">
        <s:f>'자료구성'!$B$2+TIME(INT($C$3/10000),INT(MOD($C$3,10000)/100),MOD($C$3,100))+(ROW()-ROW($C$3))/86400</s:f>
        <s:v>46247.56662037037</s:v>
      </s:c>
    </s:row>
    <s:row r="561">
      <s:c r="A561" s="0" t="n">
        <s:v>260813</s:v>
      </s:c>
      <s:c r="B561" s="0" t="inlineStr">
        <s:is>
          <s:t>이종훈</s:t>
        </s:is>
      </s:c>
      <s:c r="C561" s="0" t="n">
        <s:v>132639</s:v>
      </s:c>
      <s:c r="D561" s="0" t="n">
        <s:v>1367</s:v>
      </s:c>
      <s:c r="F561" s="24">
        <s:f>'자료구성'!$B$2+TIME(INT($C$3/10000),INT(MOD($C$3,10000)/100),MOD($C$3,100))+(ROW()-ROW($C$3))/86400</s:f>
        <s:v>46247.56663194444</s:v>
      </s:c>
    </s:row>
    <s:row r="562">
      <s:c r="A562" s="0" t="n">
        <s:v>260813</s:v>
      </s:c>
      <s:c r="B562" s="0" t="inlineStr">
        <s:is>
          <s:t>이종훈</s:t>
        </s:is>
      </s:c>
      <s:c r="C562" s="0" t="n">
        <s:v>132639</s:v>
      </s:c>
      <s:c r="D562" s="0" t="n">
        <s:v>1387</s:v>
      </s:c>
      <s:c r="F562" s="24">
        <s:f>'자료구성'!$B$2+TIME(INT($C$3/10000),INT(MOD($C$3,10000)/100),MOD($C$3,100))+(ROW()-ROW($C$3))/86400</s:f>
        <s:v>46247.56664351852</s:v>
      </s:c>
    </s:row>
    <s:row r="563">
      <s:c r="A563" s="0" t="n">
        <s:v>260813</s:v>
      </s:c>
      <s:c r="B563" s="0" t="inlineStr">
        <s:is>
          <s:t>이종훈</s:t>
        </s:is>
      </s:c>
      <s:c r="C563" s="0" t="n">
        <s:v>132639</s:v>
      </s:c>
      <s:c r="D563" s="0" t="n">
        <s:v>1419</s:v>
      </s:c>
      <s:c r="F563" s="24">
        <s:f>'자료구성'!$B$2+TIME(INT($C$3/10000),INT(MOD($C$3,10000)/100),MOD($C$3,100))+(ROW()-ROW($C$3))/86400</s:f>
        <s:v>46247.566655092596</s:v>
      </s:c>
    </s:row>
    <s:row r="564">
      <s:c r="A564" s="0" t="n">
        <s:v>260813</s:v>
      </s:c>
      <s:c r="B564" s="0" t="inlineStr">
        <s:is>
          <s:t>이종훈</s:t>
        </s:is>
      </s:c>
      <s:c r="C564" s="0" t="n">
        <s:v>132639</s:v>
      </s:c>
      <s:c r="D564" s="0" t="n">
        <s:v>1422</s:v>
      </s:c>
      <s:c r="F564" s="24">
        <s:f>'자료구성'!$B$2+TIME(INT($C$3/10000),INT(MOD($C$3,10000)/100),MOD($C$3,100))+(ROW()-ROW($C$3))/86400</s:f>
        <s:v>46247.566666666666</s:v>
      </s:c>
    </s:row>
    <s:row r="565">
      <s:c r="A565" s="0" t="n">
        <s:v>260813</s:v>
      </s:c>
      <s:c r="B565" s="0" t="inlineStr">
        <s:is>
          <s:t>이종훈</s:t>
        </s:is>
      </s:c>
      <s:c r="C565" s="0" t="n">
        <s:v>132639</s:v>
      </s:c>
      <s:c r="D565" s="0" t="n">
        <s:v>1396</s:v>
      </s:c>
      <s:c r="F565" s="24">
        <s:f>'자료구성'!$B$2+TIME(INT($C$3/10000),INT(MOD($C$3,10000)/100),MOD($C$3,100))+(ROW()-ROW($C$3))/86400</s:f>
        <s:v>46247.56667824074</s:v>
      </s:c>
    </s:row>
    <s:row r="566">
      <s:c r="A566" s="0" t="n">
        <s:v>260813</s:v>
      </s:c>
      <s:c r="B566" s="0" t="inlineStr">
        <s:is>
          <s:t>이종훈</s:t>
        </s:is>
      </s:c>
      <s:c r="C566" s="0" t="n">
        <s:v>132639</s:v>
      </s:c>
      <s:c r="D566" s="0" t="n">
        <s:v>1366</s:v>
      </s:c>
      <s:c r="F566" s="24">
        <s:f>'자료구성'!$B$2+TIME(INT($C$3/10000),INT(MOD($C$3,10000)/100),MOD($C$3,100))+(ROW()-ROW($C$3))/86400</s:f>
        <s:v>46247.56668981481</s:v>
      </s:c>
    </s:row>
    <s:row r="567">
      <s:c r="A567" s="0" t="n">
        <s:v>260813</s:v>
      </s:c>
      <s:c r="B567" s="0" t="inlineStr">
        <s:is>
          <s:t>이종훈</s:t>
        </s:is>
      </s:c>
      <s:c r="C567" s="0" t="n">
        <s:v>132639</s:v>
      </s:c>
      <s:c r="D567" s="0" t="n">
        <s:v>1366</s:v>
      </s:c>
      <s:c r="F567" s="24">
        <s:f>'자료구성'!$B$2+TIME(INT($C$3/10000),INT(MOD($C$3,10000)/100),MOD($C$3,100))+(ROW()-ROW($C$3))/86400</s:f>
        <s:v>46247.56670138889</s:v>
      </s:c>
    </s:row>
    <s:row r="568">
      <s:c r="A568" s="0" t="n">
        <s:v>260813</s:v>
      </s:c>
      <s:c r="B568" s="0" t="inlineStr">
        <s:is>
          <s:t>이종훈</s:t>
        </s:is>
      </s:c>
      <s:c r="C568" s="0" t="n">
        <s:v>132639</s:v>
      </s:c>
      <s:c r="D568" s="0" t="n">
        <s:v>1360</s:v>
      </s:c>
      <s:c r="F568" s="24">
        <s:f>'자료구성'!$B$2+TIME(INT($C$3/10000),INT(MOD($C$3,10000)/100),MOD($C$3,100))+(ROW()-ROW($C$3))/86400</s:f>
        <s:v>46247.566712962966</s:v>
      </s:c>
    </s:row>
    <s:row r="569">
      <s:c r="A569" s="0" t="n">
        <s:v>260813</s:v>
      </s:c>
      <s:c r="B569" s="0" t="inlineStr">
        <s:is>
          <s:t>이종훈</s:t>
        </s:is>
      </s:c>
      <s:c r="C569" s="0" t="n">
        <s:v>132639</s:v>
      </s:c>
      <s:c r="D569" s="0" t="n">
        <s:v>1364</s:v>
      </s:c>
      <s:c r="F569" s="24">
        <s:f>'자료구성'!$B$2+TIME(INT($C$3/10000),INT(MOD($C$3,10000)/100),MOD($C$3,100))+(ROW()-ROW($C$3))/86400</s:f>
        <s:v>46247.566724537035</s:v>
      </s:c>
    </s:row>
    <s:row r="570">
      <s:c r="A570" s="0" t="n">
        <s:v>260813</s:v>
      </s:c>
      <s:c r="B570" s="0" t="inlineStr">
        <s:is>
          <s:t>이종훈</s:t>
        </s:is>
      </s:c>
      <s:c r="C570" s="0" t="n">
        <s:v>132639</s:v>
      </s:c>
      <s:c r="D570" s="0" t="n">
        <s:v>1364</s:v>
      </s:c>
      <s:c r="F570" s="24">
        <s:f>'자료구성'!$B$2+TIME(INT($C$3/10000),INT(MOD($C$3,10000)/100),MOD($C$3,100))+(ROW()-ROW($C$3))/86400</s:f>
        <s:v>46247.56673611111</s:v>
      </s:c>
    </s:row>
    <s:row r="571">
      <s:c r="A571" s="0" t="n">
        <s:v>260813</s:v>
      </s:c>
      <s:c r="B571" s="0" t="inlineStr">
        <s:is>
          <s:t>이종훈</s:t>
        </s:is>
      </s:c>
      <s:c r="C571" s="0" t="n">
        <s:v>132639</s:v>
      </s:c>
      <s:c r="D571" s="0" t="n">
        <s:v>1368</s:v>
      </s:c>
      <s:c r="F571" s="24">
        <s:f>'자료구성'!$B$2+TIME(INT($C$3/10000),INT(MOD($C$3,10000)/100),MOD($C$3,100))+(ROW()-ROW($C$3))/86400</s:f>
        <s:v>46247.56674768519</s:v>
      </s:c>
    </s:row>
    <s:row r="572">
      <s:c r="A572" s="0" t="n">
        <s:v>260813</s:v>
      </s:c>
      <s:c r="B572" s="0" t="inlineStr">
        <s:is>
          <s:t>이종훈</s:t>
        </s:is>
      </s:c>
      <s:c r="C572" s="0" t="n">
        <s:v>132639</s:v>
      </s:c>
      <s:c r="D572" s="0" t="n">
        <s:v>1385</s:v>
      </s:c>
      <s:c r="F572" s="24">
        <s:f>'자료구성'!$B$2+TIME(INT($C$3/10000),INT(MOD($C$3,10000)/100),MOD($C$3,100))+(ROW()-ROW($C$3))/86400</s:f>
        <s:v>46247.56675925926</s:v>
      </s:c>
    </s:row>
    <s:row r="573">
      <s:c r="A573" s="0" t="n">
        <s:v>260813</s:v>
      </s:c>
      <s:c r="B573" s="0" t="inlineStr">
        <s:is>
          <s:t>이종훈</s:t>
        </s:is>
      </s:c>
      <s:c r="C573" s="0" t="n">
        <s:v>132639</s:v>
      </s:c>
      <s:c r="D573" s="0" t="n">
        <s:v>1405</s:v>
      </s:c>
      <s:c r="F573" s="24">
        <s:f>'자료구성'!$B$2+TIME(INT($C$3/10000),INT(MOD($C$3,10000)/100),MOD($C$3,100))+(ROW()-ROW($C$3))/86400</s:f>
        <s:v>46247.566770833335</s:v>
      </s:c>
    </s:row>
    <s:row r="574">
      <s:c r="A574" s="0" t="n">
        <s:v>260813</s:v>
      </s:c>
      <s:c r="B574" s="0" t="inlineStr">
        <s:is>
          <s:t>이종훈</s:t>
        </s:is>
      </s:c>
      <s:c r="C574" s="0" t="n">
        <s:v>132639</s:v>
      </s:c>
      <s:c r="D574" s="0" t="n">
        <s:v>1427</s:v>
      </s:c>
      <s:c r="F574" s="24">
        <s:f>'자료구성'!$B$2+TIME(INT($C$3/10000),INT(MOD($C$3,10000)/100),MOD($C$3,100))+(ROW()-ROW($C$3))/86400</s:f>
        <s:v>46247.566782407404</s:v>
      </s:c>
    </s:row>
    <s:row r="575">
      <s:c r="A575" s="0" t="n">
        <s:v>260813</s:v>
      </s:c>
      <s:c r="B575" s="0" t="inlineStr">
        <s:is>
          <s:t>이종훈</s:t>
        </s:is>
      </s:c>
      <s:c r="C575" s="0" t="n">
        <s:v>132639</s:v>
      </s:c>
      <s:c r="D575" s="0" t="n">
        <s:v>1425</s:v>
      </s:c>
      <s:c r="F575" s="24">
        <s:f>'자료구성'!$B$2+TIME(INT($C$3/10000),INT(MOD($C$3,10000)/100),MOD($C$3,100))+(ROW()-ROW($C$3))/86400</s:f>
        <s:v>46247.56679398148</s:v>
      </s:c>
    </s:row>
    <s:row r="576">
      <s:c r="A576" s="0" t="n">
        <s:v>260813</s:v>
      </s:c>
      <s:c r="B576" s="0" t="inlineStr">
        <s:is>
          <s:t>이종훈</s:t>
        </s:is>
      </s:c>
      <s:c r="C576" s="0" t="n">
        <s:v>132639</s:v>
      </s:c>
      <s:c r="D576" s="0" t="n">
        <s:v>1415</s:v>
      </s:c>
      <s:c r="F576" s="24">
        <s:f>'자료구성'!$B$2+TIME(INT($C$3/10000),INT(MOD($C$3,10000)/100),MOD($C$3,100))+(ROW()-ROW($C$3))/86400</s:f>
        <s:v>46247.56680555556</s:v>
      </s:c>
    </s:row>
    <s:row r="577">
      <s:c r="A577" s="0" t="n">
        <s:v>260813</s:v>
      </s:c>
      <s:c r="B577" s="0" t="inlineStr">
        <s:is>
          <s:t>이종훈</s:t>
        </s:is>
      </s:c>
      <s:c r="C577" s="0" t="n">
        <s:v>132639</s:v>
      </s:c>
      <s:c r="D577" s="0" t="n">
        <s:v>1372</s:v>
      </s:c>
      <s:c r="F577" s="24">
        <s:f>'자료구성'!$B$2+TIME(INT($C$3/10000),INT(MOD($C$3,10000)/100),MOD($C$3,100))+(ROW()-ROW($C$3))/86400</s:f>
        <s:v>46247.56681712963</s:v>
      </s:c>
    </s:row>
    <s:row r="578">
      <s:c r="A578" s="0" t="n">
        <s:v>260813</s:v>
      </s:c>
      <s:c r="B578" s="0" t="inlineStr">
        <s:is>
          <s:t>이종훈</s:t>
        </s:is>
      </s:c>
      <s:c r="C578" s="0" t="n">
        <s:v>132639</s:v>
      </s:c>
      <s:c r="D578" s="0" t="n">
        <s:v>1351</s:v>
      </s:c>
      <s:c r="F578" s="24">
        <s:f>'자료구성'!$B$2+TIME(INT($C$3/10000),INT(MOD($C$3,10000)/100),MOD($C$3,100))+(ROW()-ROW($C$3))/86400</s:f>
        <s:v>46247.566828703704</s:v>
      </s:c>
    </s:row>
    <s:row r="579">
      <s:c r="A579" s="0" t="n">
        <s:v>260813</s:v>
      </s:c>
      <s:c r="B579" s="0" t="inlineStr">
        <s:is>
          <s:t>이종훈</s:t>
        </s:is>
      </s:c>
      <s:c r="C579" s="0" t="n">
        <s:v>132639</s:v>
      </s:c>
      <s:c r="D579" s="0" t="n">
        <s:v>1401</s:v>
      </s:c>
      <s:c r="F579" s="24">
        <s:f>'자료구성'!$B$2+TIME(INT($C$3/10000),INT(MOD($C$3,10000)/100),MOD($C$3,100))+(ROW()-ROW($C$3))/86400</s:f>
        <s:v>46247.56684027778</s:v>
      </s:c>
    </s:row>
    <s:row r="580">
      <s:c r="A580" s="0" t="n">
        <s:v>260813</s:v>
      </s:c>
      <s:c r="B580" s="0" t="inlineStr">
        <s:is>
          <s:t>이종훈</s:t>
        </s:is>
      </s:c>
      <s:c r="C580" s="0" t="n">
        <s:v>132639</s:v>
      </s:c>
      <s:c r="D580" s="0" t="n">
        <s:v>1540</s:v>
      </s:c>
      <s:c r="F580" s="24">
        <s:f>'자료구성'!$B$2+TIME(INT($C$3/10000),INT(MOD($C$3,10000)/100),MOD($C$3,100))+(ROW()-ROW($C$3))/86400</s:f>
        <s:v>46247.56685185185</s:v>
      </s:c>
    </s:row>
    <s:row r="581">
      <s:c r="A581" s="0" t="n">
        <s:v>260813</s:v>
      </s:c>
      <s:c r="B581" s="0" t="inlineStr">
        <s:is>
          <s:t>이종훈</s:t>
        </s:is>
      </s:c>
      <s:c r="C581" s="0" t="n">
        <s:v>132639</s:v>
      </s:c>
      <s:c r="D581" s="0" t="n">
        <s:v>1688</s:v>
      </s:c>
      <s:c r="F581" s="24">
        <s:f>'자료구성'!$B$2+TIME(INT($C$3/10000),INT(MOD($C$3,10000)/100),MOD($C$3,100))+(ROW()-ROW($C$3))/86400</s:f>
        <s:v>46247.56686342593</s:v>
      </s:c>
    </s:row>
    <s:row r="582">
      <s:c r="A582" s="0" t="n">
        <s:v>260813</s:v>
      </s:c>
      <s:c r="B582" s="0" t="inlineStr">
        <s:is>
          <s:t>이종훈</s:t>
        </s:is>
      </s:c>
      <s:c r="C582" s="0" t="n">
        <s:v>132639</s:v>
      </s:c>
      <s:c r="D582" s="0" t="n">
        <s:v>1806</s:v>
      </s:c>
      <s:c r="F582" s="24">
        <s:f>'자료구성'!$B$2+TIME(INT($C$3/10000),INT(MOD($C$3,10000)/100),MOD($C$3,100))+(ROW()-ROW($C$3))/86400</s:f>
        <s:v>46247.566875</s:v>
      </s:c>
    </s:row>
    <s:row r="583">
      <s:c r="A583" s="0" t="n">
        <s:v>260813</s:v>
      </s:c>
      <s:c r="B583" s="0" t="inlineStr">
        <s:is>
          <s:t>이종훈</s:t>
        </s:is>
      </s:c>
      <s:c r="C583" s="0" t="n">
        <s:v>132639</s:v>
      </s:c>
      <s:c r="D583" s="0" t="n">
        <s:v>1863</s:v>
      </s:c>
      <s:c r="F583" s="24">
        <s:f>'자료구성'!$B$2+TIME(INT($C$3/10000),INT(MOD($C$3,10000)/100),MOD($C$3,100))+(ROW()-ROW($C$3))/86400</s:f>
        <s:v>46247.56688657407</s:v>
      </s:c>
    </s:row>
    <s:row r="584">
      <s:c r="A584" s="0" t="n">
        <s:v>260813</s:v>
      </s:c>
      <s:c r="B584" s="0" t="inlineStr">
        <s:is>
          <s:t>이종훈</s:t>
        </s:is>
      </s:c>
      <s:c r="C584" s="0" t="n">
        <s:v>132639</s:v>
      </s:c>
      <s:c r="D584" s="0" t="n">
        <s:v>1979</s:v>
      </s:c>
      <s:c r="F584" s="24">
        <s:f>'자료구성'!$B$2+TIME(INT($C$3/10000),INT(MOD($C$3,10000)/100),MOD($C$3,100))+(ROW()-ROW($C$3))/86400</s:f>
        <s:v>46247.56689814815</s:v>
      </s:c>
    </s:row>
    <s:row r="585">
      <s:c r="A585" s="0" t="n">
        <s:v>260813</s:v>
      </s:c>
      <s:c r="B585" s="0" t="inlineStr">
        <s:is>
          <s:t>이종훈</s:t>
        </s:is>
      </s:c>
      <s:c r="C585" s="0" t="n">
        <s:v>132639</s:v>
      </s:c>
      <s:c r="D585" s="0" t="n">
        <s:v>2108</s:v>
      </s:c>
      <s:c r="F585" s="24">
        <s:f>'자료구성'!$B$2+TIME(INT($C$3/10000),INT(MOD($C$3,10000)/100),MOD($C$3,100))+(ROW()-ROW($C$3))/86400</s:f>
        <s:v>46247.56690972222</s:v>
      </s:c>
    </s:row>
    <s:row r="586">
      <s:c r="A586" s="0" t="n">
        <s:v>260813</s:v>
      </s:c>
      <s:c r="B586" s="0" t="inlineStr">
        <s:is>
          <s:t>이종훈</s:t>
        </s:is>
      </s:c>
      <s:c r="C586" s="0" t="n">
        <s:v>132639</s:v>
      </s:c>
      <s:c r="D586" s="0" t="n">
        <s:v>2138</s:v>
      </s:c>
      <s:c r="F586" s="24">
        <s:f>'자료구성'!$B$2+TIME(INT($C$3/10000),INT(MOD($C$3,10000)/100),MOD($C$3,100))+(ROW()-ROW($C$3))/86400</s:f>
        <s:v>46247.5669212963</s:v>
      </s:c>
    </s:row>
    <s:row r="587">
      <s:c r="A587" s="0" t="n">
        <s:v>260813</s:v>
      </s:c>
      <s:c r="B587" s="0" t="inlineStr">
        <s:is>
          <s:t>이종훈</s:t>
        </s:is>
      </s:c>
      <s:c r="C587" s="0" t="n">
        <s:v>132639</s:v>
      </s:c>
      <s:c r="D587" s="0" t="n">
        <s:v>2148</s:v>
      </s:c>
      <s:c r="F587" s="24">
        <s:f>'자료구성'!$B$2+TIME(INT($C$3/10000),INT(MOD($C$3,10000)/100),MOD($C$3,100))+(ROW()-ROW($C$3))/86400</s:f>
        <s:v>46247.56693287037</s:v>
      </s:c>
    </s:row>
    <s:row r="588">
      <s:c r="A588" s="0" t="n">
        <s:v>260813</s:v>
      </s:c>
      <s:c r="B588" s="0" t="inlineStr">
        <s:is>
          <s:t>이종훈</s:t>
        </s:is>
      </s:c>
      <s:c r="C588" s="0" t="n">
        <s:v>132639</s:v>
      </s:c>
      <s:c r="D588" s="0" t="n">
        <s:v>2161</s:v>
      </s:c>
      <s:c r="F588" s="24">
        <s:f>'자료구성'!$B$2+TIME(INT($C$3/10000),INT(MOD($C$3,10000)/100),MOD($C$3,100))+(ROW()-ROW($C$3))/86400</s:f>
        <s:v>46247.56694444444</s:v>
      </s:c>
    </s:row>
    <s:row r="589">
      <s:c r="A589" s="0" t="n">
        <s:v>260813</s:v>
      </s:c>
      <s:c r="B589" s="0" t="inlineStr">
        <s:is>
          <s:t>이종훈</s:t>
        </s:is>
      </s:c>
      <s:c r="C589" s="0" t="n">
        <s:v>132639</s:v>
      </s:c>
      <s:c r="D589" s="0" t="n">
        <s:v>2137</s:v>
      </s:c>
      <s:c r="F589" s="24">
        <s:f>'자료구성'!$B$2+TIME(INT($C$3/10000),INT(MOD($C$3,10000)/100),MOD($C$3,100))+(ROW()-ROW($C$3))/86400</s:f>
        <s:v>46247.56695601852</s:v>
      </s:c>
    </s:row>
    <s:row r="590">
      <s:c r="A590" s="0" t="n">
        <s:v>260813</s:v>
      </s:c>
      <s:c r="B590" s="0" t="inlineStr">
        <s:is>
          <s:t>이종훈</s:t>
        </s:is>
      </s:c>
      <s:c r="C590" s="0" t="n">
        <s:v>132639</s:v>
      </s:c>
      <s:c r="D590" s="0" t="n">
        <s:v>2119</s:v>
      </s:c>
      <s:c r="F590" s="24">
        <s:f>'자료구성'!$B$2+TIME(INT($C$3/10000),INT(MOD($C$3,10000)/100),MOD($C$3,100))+(ROW()-ROW($C$3))/86400</s:f>
        <s:v>46247.56696759259</s:v>
      </s:c>
    </s:row>
    <s:row r="591">
      <s:c r="A591" s="0" t="n">
        <s:v>260813</s:v>
      </s:c>
      <s:c r="B591" s="0" t="inlineStr">
        <s:is>
          <s:t>이종훈</s:t>
        </s:is>
      </s:c>
      <s:c r="C591" s="0" t="n">
        <s:v>132639</s:v>
      </s:c>
      <s:c r="D591" s="0" t="n">
        <s:v>2105</s:v>
      </s:c>
      <s:c r="F591" s="24">
        <s:f>'자료구성'!$B$2+TIME(INT($C$3/10000),INT(MOD($C$3,10000)/100),MOD($C$3,100))+(ROW()-ROW($C$3))/86400</s:f>
        <s:v>46247.566979166666</s:v>
      </s:c>
    </s:row>
    <s:row r="592">
      <s:c r="A592" s="0" t="n">
        <s:v>260813</s:v>
      </s:c>
      <s:c r="B592" s="0" t="inlineStr">
        <s:is>
          <s:t>이종훈</s:t>
        </s:is>
      </s:c>
      <s:c r="C592" s="0" t="n">
        <s:v>132639</s:v>
      </s:c>
      <s:c r="D592" s="0" t="n">
        <s:v>2093</s:v>
      </s:c>
      <s:c r="F592" s="24">
        <s:f>'자료구성'!$B$2+TIME(INT($C$3/10000),INT(MOD($C$3,10000)/100),MOD($C$3,100))+(ROW()-ROW($C$3))/86400</s:f>
        <s:v>46247.56699074074</s:v>
      </s:c>
    </s:row>
    <s:row r="593">
      <s:c r="A593" s="0" t="n">
        <s:v>260813</s:v>
      </s:c>
      <s:c r="B593" s="0" t="inlineStr">
        <s:is>
          <s:t>이종훈</s:t>
        </s:is>
      </s:c>
      <s:c r="C593" s="0" t="n">
        <s:v>132639</s:v>
      </s:c>
      <s:c r="D593" s="0" t="n">
        <s:v>2058</s:v>
      </s:c>
      <s:c r="F593" s="24">
        <s:f>'자료구성'!$B$2+TIME(INT($C$3/10000),INT(MOD($C$3,10000)/100),MOD($C$3,100))+(ROW()-ROW($C$3))/86400</s:f>
        <s:v>46247.56700231481</s:v>
      </s:c>
    </s:row>
    <s:row r="594">
      <s:c r="A594" s="0" t="n">
        <s:v>260813</s:v>
      </s:c>
      <s:c r="B594" s="0" t="inlineStr">
        <s:is>
          <s:t>이종훈</s:t>
        </s:is>
      </s:c>
      <s:c r="C594" s="0" t="n">
        <s:v>132639</s:v>
      </s:c>
      <s:c r="D594" s="0" t="n">
        <s:v>2052</s:v>
      </s:c>
      <s:c r="F594" s="24">
        <s:f>'자료구성'!$B$2+TIME(INT($C$3/10000),INT(MOD($C$3,10000)/100),MOD($C$3,100))+(ROW()-ROW($C$3))/86400</s:f>
        <s:v>46247.56701388889</s:v>
      </s:c>
    </s:row>
    <s:row r="595">
      <s:c r="A595" s="0" t="n">
        <s:v>260813</s:v>
      </s:c>
      <s:c r="B595" s="0" t="inlineStr">
        <s:is>
          <s:t>이종훈</s:t>
        </s:is>
      </s:c>
      <s:c r="C595" s="0" t="n">
        <s:v>132639</s:v>
      </s:c>
      <s:c r="D595" s="0" t="n">
        <s:v>2039</s:v>
      </s:c>
      <s:c r="F595" s="24">
        <s:f>'자료구성'!$B$2+TIME(INT($C$3/10000),INT(MOD($C$3,10000)/100),MOD($C$3,100))+(ROW()-ROW($C$3))/86400</s:f>
        <s:v>46247.567025462966</s:v>
      </s:c>
    </s:row>
    <s:row r="596">
      <s:c r="A596" s="0" t="n">
        <s:v>260813</s:v>
      </s:c>
      <s:c r="B596" s="0" t="inlineStr">
        <s:is>
          <s:t>이종훈</s:t>
        </s:is>
      </s:c>
      <s:c r="C596" s="0" t="n">
        <s:v>132639</s:v>
      </s:c>
      <s:c r="D596" s="0" t="n">
        <s:v>2027</s:v>
      </s:c>
      <s:c r="F596" s="24">
        <s:f>'자료구성'!$B$2+TIME(INT($C$3/10000),INT(MOD($C$3,10000)/100),MOD($C$3,100))+(ROW()-ROW($C$3))/86400</s:f>
        <s:v>46247.567037037035</s:v>
      </s:c>
    </s:row>
    <s:row r="597">
      <s:c r="A597" s="0" t="n">
        <s:v>260813</s:v>
      </s:c>
      <s:c r="B597" s="0" t="inlineStr">
        <s:is>
          <s:t>이종훈</s:t>
        </s:is>
      </s:c>
      <s:c r="C597" s="0" t="n">
        <s:v>132639</s:v>
      </s:c>
      <s:c r="D597" s="0" t="n">
        <s:v>2013</s:v>
      </s:c>
      <s:c r="F597" s="24">
        <s:f>'자료구성'!$B$2+TIME(INT($C$3/10000),INT(MOD($C$3,10000)/100),MOD($C$3,100))+(ROW()-ROW($C$3))/86400</s:f>
        <s:v>46247.56704861111</s:v>
      </s:c>
    </s:row>
    <s:row r="598">
      <s:c r="A598" s="0" t="n">
        <s:v>260813</s:v>
      </s:c>
      <s:c r="B598" s="0" t="inlineStr">
        <s:is>
          <s:t>이종훈</s:t>
        </s:is>
      </s:c>
      <s:c r="C598" s="0" t="n">
        <s:v>132639</s:v>
      </s:c>
      <s:c r="D598" s="0" t="n">
        <s:v>1978</s:v>
      </s:c>
      <s:c r="F598" s="24">
        <s:f>'자료구성'!$B$2+TIME(INT($C$3/10000),INT(MOD($C$3,10000)/100),MOD($C$3,100))+(ROW()-ROW($C$3))/86400</s:f>
        <s:v>46247.56706018518</s:v>
      </s:c>
    </s:row>
    <s:row r="599">
      <s:c r="A599" s="0" t="n">
        <s:v>260813</s:v>
      </s:c>
      <s:c r="B599" s="0" t="inlineStr">
        <s:is>
          <s:t>이종훈</s:t>
        </s:is>
      </s:c>
      <s:c r="C599" s="0" t="n">
        <s:v>132639</s:v>
      </s:c>
      <s:c r="D599" s="0" t="n">
        <s:v>1921</s:v>
      </s:c>
      <s:c r="F599" s="24">
        <s:f>'자료구성'!$B$2+TIME(INT($C$3/10000),INT(MOD($C$3,10000)/100),MOD($C$3,100))+(ROW()-ROW($C$3))/86400</s:f>
        <s:v>46247.56707175926</s:v>
      </s:c>
    </s:row>
    <s:row r="600">
      <s:c r="A600" s="0" t="n">
        <s:v>260813</s:v>
      </s:c>
      <s:c r="B600" s="0" t="inlineStr">
        <s:is>
          <s:t>이종훈</s:t>
        </s:is>
      </s:c>
      <s:c r="C600" s="0" t="n">
        <s:v>132639</s:v>
      </s:c>
      <s:c r="D600" s="0" t="n">
        <s:v>1856</s:v>
      </s:c>
      <s:c r="F600" s="24">
        <s:f>'자료구성'!$B$2+TIME(INT($C$3/10000),INT(MOD($C$3,10000)/100),MOD($C$3,100))+(ROW()-ROW($C$3))/86400</s:f>
        <s:v>46247.567083333335</s:v>
      </s:c>
    </s:row>
    <s:row r="601">
      <s:c r="A601" s="0" t="n">
        <s:v>260813</s:v>
      </s:c>
      <s:c r="B601" s="0" t="inlineStr">
        <s:is>
          <s:t>이종훈</s:t>
        </s:is>
      </s:c>
      <s:c r="C601" s="0" t="n">
        <s:v>132639</s:v>
      </s:c>
      <s:c r="D601" s="0" t="n">
        <s:v>1836</s:v>
      </s:c>
      <s:c r="F601" s="24">
        <s:f>'자료구성'!$B$2+TIME(INT($C$3/10000),INT(MOD($C$3,10000)/100),MOD($C$3,100))+(ROW()-ROW($C$3))/86400</s:f>
        <s:v>46247.567094907405</s:v>
      </s:c>
    </s:row>
    <s:row r="602">
      <s:c r="A602" s="0" t="n">
        <s:v>260813</s:v>
      </s:c>
      <s:c r="B602" s="0" t="inlineStr">
        <s:is>
          <s:t>이종훈</s:t>
        </s:is>
      </s:c>
      <s:c r="C602" s="0" t="n">
        <s:v>132639</s:v>
      </s:c>
      <s:c r="D602" s="0" t="n">
        <s:v>1826</s:v>
      </s:c>
      <s:c r="F602" s="24">
        <s:f>'자료구성'!$B$2+TIME(INT($C$3/10000),INT(MOD($C$3,10000)/100),MOD($C$3,100))+(ROW()-ROW($C$3))/86400</s:f>
        <s:v>46247.56710648148</s:v>
      </s:c>
    </s:row>
    <s:row r="603">
      <s:c r="A603" s="0" t="n">
        <s:v>260813</s:v>
      </s:c>
      <s:c r="B603" s="0" t="inlineStr">
        <s:is>
          <s:t>이종훈</s:t>
        </s:is>
      </s:c>
      <s:c r="C603" s="0" t="n">
        <s:v>132639</s:v>
      </s:c>
      <s:c r="D603" s="0" t="n">
        <s:v>1882</s:v>
      </s:c>
      <s:c r="F603" s="24">
        <s:f>'자료구성'!$B$2+TIME(INT($C$3/10000),INT(MOD($C$3,10000)/100),MOD($C$3,100))+(ROW()-ROW($C$3))/86400</s:f>
        <s:v>46247.56711805556</s:v>
      </s:c>
    </s:row>
    <s:row r="604">
      <s:c r="A604" s="0" t="n">
        <s:v>260813</s:v>
      </s:c>
      <s:c r="B604" s="0" t="inlineStr">
        <s:is>
          <s:t>이종훈</s:t>
        </s:is>
      </s:c>
      <s:c r="C604" s="0" t="n">
        <s:v>132639</s:v>
      </s:c>
      <s:c r="D604" s="0" t="n">
        <s:v>1960</s:v>
      </s:c>
      <s:c r="F604" s="24">
        <s:f>'자료구성'!$B$2+TIME(INT($C$3/10000),INT(MOD($C$3,10000)/100),MOD($C$3,100))+(ROW()-ROW($C$3))/86400</s:f>
        <s:v>46247.56712962963</s:v>
      </s:c>
    </s:row>
    <s:row r="605">
      <s:c r="A605" s="0" t="n">
        <s:v>260813</s:v>
      </s:c>
      <s:c r="B605" s="0" t="inlineStr">
        <s:is>
          <s:t>이종훈</s:t>
        </s:is>
      </s:c>
      <s:c r="C605" s="0" t="n">
        <s:v>132639</s:v>
      </s:c>
      <s:c r="D605" s="0" t="n">
        <s:v>1959</s:v>
      </s:c>
      <s:c r="F605" s="24">
        <s:f>'자료구성'!$B$2+TIME(INT($C$3/10000),INT(MOD($C$3,10000)/100),MOD($C$3,100))+(ROW()-ROW($C$3))/86400</s:f>
        <s:v>46247.567141203705</s:v>
      </s:c>
    </s:row>
    <s:row r="606">
      <s:c r="A606" s="0" t="n">
        <s:v>260813</s:v>
      </s:c>
      <s:c r="B606" s="0" t="inlineStr">
        <s:is>
          <s:t>이종훈</s:t>
        </s:is>
      </s:c>
      <s:c r="C606" s="0" t="n">
        <s:v>132639</s:v>
      </s:c>
      <s:c r="D606" s="0" t="n">
        <s:v>1941</s:v>
      </s:c>
      <s:c r="F606" s="24">
        <s:f>'자료구성'!$B$2+TIME(INT($C$3/10000),INT(MOD($C$3,10000)/100),MOD($C$3,100))+(ROW()-ROW($C$3))/86400</s:f>
        <s:v>46247.56715277778</s:v>
      </s:c>
    </s:row>
    <s:row r="607">
      <s:c r="A607" s="0" t="n">
        <s:v>260813</s:v>
      </s:c>
      <s:c r="B607" s="0" t="inlineStr">
        <s:is>
          <s:t>이종훈</s:t>
        </s:is>
      </s:c>
      <s:c r="C607" s="0" t="n">
        <s:v>132639</s:v>
      </s:c>
      <s:c r="D607" s="0" t="n">
        <s:v>2016</s:v>
      </s:c>
      <s:c r="F607" s="24">
        <s:f>'자료구성'!$B$2+TIME(INT($C$3/10000),INT(MOD($C$3,10000)/100),MOD($C$3,100))+(ROW()-ROW($C$3))/86400</s:f>
        <s:v>46247.56716435185</s:v>
      </s:c>
    </s:row>
    <s:row r="608">
      <s:c r="A608" s="0" t="n">
        <s:v>260813</s:v>
      </s:c>
      <s:c r="B608" s="0" t="inlineStr">
        <s:is>
          <s:t>이종훈</s:t>
        </s:is>
      </s:c>
      <s:c r="C608" s="0" t="n">
        <s:v>132639</s:v>
      </s:c>
      <s:c r="D608" s="0" t="n">
        <s:v>2123</s:v>
      </s:c>
      <s:c r="F608" s="24">
        <s:f>'자료구성'!$B$2+TIME(INT($C$3/10000),INT(MOD($C$3,10000)/100),MOD($C$3,100))+(ROW()-ROW($C$3))/86400</s:f>
        <s:v>46247.56717592593</s:v>
      </s:c>
    </s:row>
    <s:row r="609">
      <s:c r="A609" s="0" t="n">
        <s:v>260813</s:v>
      </s:c>
      <s:c r="B609" s="0" t="inlineStr">
        <s:is>
          <s:t>이종훈</s:t>
        </s:is>
      </s:c>
      <s:c r="C609" s="0" t="n">
        <s:v>132639</s:v>
      </s:c>
      <s:c r="D609" s="0" t="n">
        <s:v>2192</s:v>
      </s:c>
      <s:c r="F609" s="24">
        <s:f>'자료구성'!$B$2+TIME(INT($C$3/10000),INT(MOD($C$3,10000)/100),MOD($C$3,100))+(ROW()-ROW($C$3))/86400</s:f>
        <s:v>46247.5671875</s:v>
      </s:c>
    </s:row>
    <s:row r="610">
      <s:c r="A610" s="0" t="n">
        <s:v>260813</s:v>
      </s:c>
      <s:c r="B610" s="0" t="inlineStr">
        <s:is>
          <s:t>이종훈</s:t>
        </s:is>
      </s:c>
      <s:c r="C610" s="0" t="n">
        <s:v>132639</s:v>
      </s:c>
      <s:c r="D610" s="0" t="n">
        <s:v>2252</s:v>
      </s:c>
      <s:c r="F610" s="24">
        <s:f>'자료구성'!$B$2+TIME(INT($C$3/10000),INT(MOD($C$3,10000)/100),MOD($C$3,100))+(ROW()-ROW($C$3))/86400</s:f>
        <s:v>46247.567199074074</s:v>
      </s:c>
    </s:row>
    <s:row r="611">
      <s:c r="A611" s="0" t="n">
        <s:v>260813</s:v>
      </s:c>
      <s:c r="B611" s="0" t="inlineStr">
        <s:is>
          <s:t>이종훈</s:t>
        </s:is>
      </s:c>
      <s:c r="C611" s="0" t="n">
        <s:v>132639</s:v>
      </s:c>
      <s:c r="D611" s="0" t="n">
        <s:v>2304</s:v>
      </s:c>
      <s:c r="F611" s="24">
        <s:f>'자료구성'!$B$2+TIME(INT($C$3/10000),INT(MOD($C$3,10000)/100),MOD($C$3,100))+(ROW()-ROW($C$3))/86400</s:f>
        <s:v>46247.56721064815</s:v>
      </s:c>
    </s:row>
    <s:row r="612">
      <s:c r="A612" s="0" t="n">
        <s:v>260813</s:v>
      </s:c>
      <s:c r="B612" s="0" t="inlineStr">
        <s:is>
          <s:t>이종훈</s:t>
        </s:is>
      </s:c>
      <s:c r="C612" s="0" t="n">
        <s:v>132639</s:v>
      </s:c>
      <s:c r="D612" s="0" t="n">
        <s:v>2269</s:v>
      </s:c>
      <s:c r="F612" s="24">
        <s:f>'자료구성'!$B$2+TIME(INT($C$3/10000),INT(MOD($C$3,10000)/100),MOD($C$3,100))+(ROW()-ROW($C$3))/86400</s:f>
        <s:v>46247.56722222222</s:v>
      </s:c>
    </s:row>
    <s:row r="613">
      <s:c r="A613" s="0" t="n">
        <s:v>260813</s:v>
      </s:c>
      <s:c r="B613" s="0" t="inlineStr">
        <s:is>
          <s:t>이종훈</s:t>
        </s:is>
      </s:c>
      <s:c r="C613" s="0" t="n">
        <s:v>132639</s:v>
      </s:c>
      <s:c r="D613" s="0" t="n">
        <s:v>2212</s:v>
      </s:c>
      <s:c r="F613" s="24">
        <s:f>'자료구성'!$B$2+TIME(INT($C$3/10000),INT(MOD($C$3,10000)/100),MOD($C$3,100))+(ROW()-ROW($C$3))/86400</s:f>
        <s:v>46247.5672337963</s:v>
      </s:c>
    </s:row>
    <s:row r="614">
      <s:c r="A614" s="0" t="n">
        <s:v>260813</s:v>
      </s:c>
      <s:c r="B614" s="0" t="inlineStr">
        <s:is>
          <s:t>이종훈</s:t>
        </s:is>
      </s:c>
      <s:c r="C614" s="0" t="n">
        <s:v>132639</s:v>
      </s:c>
      <s:c r="D614" s="0" t="n">
        <s:v>2186</s:v>
      </s:c>
      <s:c r="F614" s="24">
        <s:f>'자료구성'!$B$2+TIME(INT($C$3/10000),INT(MOD($C$3,10000)/100),MOD($C$3,100))+(ROW()-ROW($C$3))/86400</s:f>
        <s:v>46247.567245370374</s:v>
      </s:c>
    </s:row>
    <s:row r="615">
      <s:c r="A615" s="0" t="n">
        <s:v>260813</s:v>
      </s:c>
      <s:c r="B615" s="0" t="inlineStr">
        <s:is>
          <s:t>이종훈</s:t>
        </s:is>
      </s:c>
      <s:c r="C615" s="0" t="n">
        <s:v>132639</s:v>
      </s:c>
      <s:c r="D615" s="0" t="n">
        <s:v>2185</s:v>
      </s:c>
      <s:c r="F615" s="24">
        <s:f>'자료구성'!$B$2+TIME(INT($C$3/10000),INT(MOD($C$3,10000)/100),MOD($C$3,100))+(ROW()-ROW($C$3))/86400</s:f>
        <s:v>46247.56725694444</s:v>
      </s:c>
    </s:row>
    <s:row r="616">
      <s:c r="A616" s="0" t="n">
        <s:v>260813</s:v>
      </s:c>
      <s:c r="B616" s="0" t="inlineStr">
        <s:is>
          <s:t>이종훈</s:t>
        </s:is>
      </s:c>
      <s:c r="C616" s="0" t="n">
        <s:v>132639</s:v>
      </s:c>
      <s:c r="D616" s="0" t="n">
        <s:v>2200</s:v>
      </s:c>
      <s:c r="F616" s="24">
        <s:f>'자료구성'!$B$2+TIME(INT($C$3/10000),INT(MOD($C$3,10000)/100),MOD($C$3,100))+(ROW()-ROW($C$3))/86400</s:f>
        <s:v>46247.56726851852</s:v>
      </s:c>
    </s:row>
    <s:row r="617">
      <s:c r="A617" s="0" t="n">
        <s:v>260813</s:v>
      </s:c>
      <s:c r="B617" s="0" t="inlineStr">
        <s:is>
          <s:t>이종훈</s:t>
        </s:is>
      </s:c>
      <s:c r="C617" s="0" t="n">
        <s:v>132639</s:v>
      </s:c>
      <s:c r="D617" s="0" t="n">
        <s:v>2290</s:v>
      </s:c>
      <s:c r="F617" s="24">
        <s:f>'자료구성'!$B$2+TIME(INT($C$3/10000),INT(MOD($C$3,10000)/100),MOD($C$3,100))+(ROW()-ROW($C$3))/86400</s:f>
        <s:v>46247.56728009259</s:v>
      </s:c>
    </s:row>
    <s:row r="618">
      <s:c r="A618" s="0" t="n">
        <s:v>260813</s:v>
      </s:c>
      <s:c r="B618" s="0" t="inlineStr">
        <s:is>
          <s:t>이종훈</s:t>
        </s:is>
      </s:c>
      <s:c r="C618" s="0" t="n">
        <s:v>132639</s:v>
      </s:c>
      <s:c r="D618" s="0" t="n">
        <s:v>2313</s:v>
      </s:c>
      <s:c r="F618" s="24">
        <s:f>'자료구성'!$B$2+TIME(INT($C$3/10000),INT(MOD($C$3,10000)/100),MOD($C$3,100))+(ROW()-ROW($C$3))/86400</s:f>
        <s:v>46247.567291666666</s:v>
      </s:c>
    </s:row>
    <s:row r="619">
      <s:c r="A619" s="0" t="n">
        <s:v>260813</s:v>
      </s:c>
      <s:c r="B619" s="0" t="inlineStr">
        <s:is>
          <s:t>이종훈</s:t>
        </s:is>
      </s:c>
      <s:c r="C619" s="0" t="n">
        <s:v>132639</s:v>
      </s:c>
      <s:c r="D619" s="0" t="n">
        <s:v>2331</s:v>
      </s:c>
      <s:c r="F619" s="24">
        <s:f>'자료구성'!$B$2+TIME(INT($C$3/10000),INT(MOD($C$3,10000)/100),MOD($C$3,100))+(ROW()-ROW($C$3))/86400</s:f>
        <s:v>46247.56730324074</s:v>
      </s:c>
    </s:row>
    <s:row r="620">
      <s:c r="A620" s="0" t="n">
        <s:v>260813</s:v>
      </s:c>
      <s:c r="B620" s="0" t="inlineStr">
        <s:is>
          <s:t>이종훈</s:t>
        </s:is>
      </s:c>
      <s:c r="C620" s="0" t="n">
        <s:v>132639</s:v>
      </s:c>
      <s:c r="D620" s="0" t="n">
        <s:v>2317</s:v>
      </s:c>
      <s:c r="F620" s="24">
        <s:f>'자료구성'!$B$2+TIME(INT($C$3/10000),INT(MOD($C$3,10000)/100),MOD($C$3,100))+(ROW()-ROW($C$3))/86400</s:f>
        <s:v>46247.56731481481</s:v>
      </s:c>
    </s:row>
    <s:row r="621">
      <s:c r="A621" s="0" t="n">
        <s:v>260813</s:v>
      </s:c>
      <s:c r="B621" s="0" t="inlineStr">
        <s:is>
          <s:t>이종훈</s:t>
        </s:is>
      </s:c>
      <s:c r="C621" s="0" t="n">
        <s:v>132639</s:v>
      </s:c>
      <s:c r="D621" s="0" t="n">
        <s:v>2277</s:v>
      </s:c>
      <s:c r="F621" s="24">
        <s:f>'자료구성'!$B$2+TIME(INT($C$3/10000),INT(MOD($C$3,10000)/100),MOD($C$3,100))+(ROW()-ROW($C$3))/86400</s:f>
        <s:v>46247.56732638889</s:v>
      </s:c>
    </s:row>
    <s:row r="622">
      <s:c r="A622" s="0" t="n">
        <s:v>260813</s:v>
      </s:c>
      <s:c r="B622" s="0" t="inlineStr">
        <s:is>
          <s:t>이종훈</s:t>
        </s:is>
      </s:c>
      <s:c r="C622" s="0" t="n">
        <s:v>132639</s:v>
      </s:c>
      <s:c r="D622" s="0" t="n">
        <s:v>2236</s:v>
      </s:c>
      <s:c r="F622" s="24">
        <s:f>'자료구성'!$B$2+TIME(INT($C$3/10000),INT(MOD($C$3,10000)/100),MOD($C$3,100))+(ROW()-ROW($C$3))/86400</s:f>
        <s:v>46247.567337962966</s:v>
      </s:c>
    </s:row>
    <s:row r="623">
      <s:c r="A623" s="0" t="n">
        <s:v>260813</s:v>
      </s:c>
      <s:c r="B623" s="0" t="inlineStr">
        <s:is>
          <s:t>이종훈</s:t>
        </s:is>
      </s:c>
      <s:c r="C623" s="0" t="n">
        <s:v>132639</s:v>
      </s:c>
      <s:c r="D623" s="0" t="n">
        <s:v>2183</s:v>
      </s:c>
      <s:c r="F623" s="24">
        <s:f>'자료구성'!$B$2+TIME(INT($C$3/10000),INT(MOD($C$3,10000)/100),MOD($C$3,100))+(ROW()-ROW($C$3))/86400</s:f>
        <s:v>46247.567349537036</s:v>
      </s:c>
    </s:row>
    <s:row r="624">
      <s:c r="A624" s="0" t="n">
        <s:v>260813</s:v>
      </s:c>
      <s:c r="B624" s="0" t="inlineStr">
        <s:is>
          <s:t>이종훈</s:t>
        </s:is>
      </s:c>
      <s:c r="C624" s="0" t="n">
        <s:v>132639</s:v>
      </s:c>
      <s:c r="D624" s="0" t="n">
        <s:v>2121</s:v>
      </s:c>
      <s:c r="F624" s="24">
        <s:f>'자료구성'!$B$2+TIME(INT($C$3/10000),INT(MOD($C$3,10000)/100),MOD($C$3,100))+(ROW()-ROW($C$3))/86400</s:f>
        <s:v>46247.56736111111</s:v>
      </s:c>
    </s:row>
    <s:row r="625">
      <s:c r="A625" s="0" t="n">
        <s:v>260813</s:v>
      </s:c>
      <s:c r="B625" s="0" t="inlineStr">
        <s:is>
          <s:t>이종훈</s:t>
        </s:is>
      </s:c>
      <s:c r="C625" s="0" t="n">
        <s:v>132639</s:v>
      </s:c>
      <s:c r="D625" s="0" t="n">
        <s:v>2092</s:v>
      </s:c>
      <s:c r="F625" s="24">
        <s:f>'자료구성'!$B$2+TIME(INT($C$3/10000),INT(MOD($C$3,10000)/100),MOD($C$3,100))+(ROW()-ROW($C$3))/86400</s:f>
        <s:v>46247.56737268518</s:v>
      </s:c>
    </s:row>
    <s:row r="626">
      <s:c r="A626" s="0" t="n">
        <s:v>260813</s:v>
      </s:c>
      <s:c r="B626" s="0" t="inlineStr">
        <s:is>
          <s:t>이종훈</s:t>
        </s:is>
      </s:c>
      <s:c r="C626" s="0" t="n">
        <s:v>132639</s:v>
      </s:c>
      <s:c r="D626" s="0" t="n">
        <s:v>2048</s:v>
      </s:c>
      <s:c r="F626" s="24">
        <s:f>'자료구성'!$B$2+TIME(INT($C$3/10000),INT(MOD($C$3,10000)/100),MOD($C$3,100))+(ROW()-ROW($C$3))/86400</s:f>
        <s:v>46247.56738425926</s:v>
      </s:c>
    </s:row>
    <s:row r="627">
      <s:c r="A627" s="0" t="n">
        <s:v>260813</s:v>
      </s:c>
      <s:c r="B627" s="0" t="inlineStr">
        <s:is>
          <s:t>이종훈</s:t>
        </s:is>
      </s:c>
      <s:c r="C627" s="0" t="n">
        <s:v>132639</s:v>
      </s:c>
      <s:c r="D627" s="0" t="n">
        <s:v>2054</s:v>
      </s:c>
      <s:c r="F627" s="24">
        <s:f>'자료구성'!$B$2+TIME(INT($C$3/10000),INT(MOD($C$3,10000)/100),MOD($C$3,100))+(ROW()-ROW($C$3))/86400</s:f>
        <s:v>46247.567395833335</s:v>
      </s:c>
    </s:row>
    <s:row r="628">
      <s:c r="A628" s="0" t="n">
        <s:v>260813</s:v>
      </s:c>
      <s:c r="B628" s="0" t="inlineStr">
        <s:is>
          <s:t>이종훈</s:t>
        </s:is>
      </s:c>
      <s:c r="C628" s="0" t="n">
        <s:v>132639</s:v>
      </s:c>
      <s:c r="D628" s="0" t="n">
        <s:v>2048</s:v>
      </s:c>
      <s:c r="F628" s="24">
        <s:f>'자료구성'!$B$2+TIME(INT($C$3/10000),INT(MOD($C$3,10000)/100),MOD($C$3,100))+(ROW()-ROW($C$3))/86400</s:f>
        <s:v>46247.567407407405</s:v>
      </s:c>
    </s:row>
    <s:row r="629">
      <s:c r="A629" s="0" t="n">
        <s:v>260813</s:v>
      </s:c>
      <s:c r="B629" s="0" t="inlineStr">
        <s:is>
          <s:t>이종훈</s:t>
        </s:is>
      </s:c>
      <s:c r="C629" s="0" t="n">
        <s:v>132639</s:v>
      </s:c>
      <s:c r="D629" s="0" t="n">
        <s:v>2029</s:v>
      </s:c>
      <s:c r="F629" s="24">
        <s:f>'자료구성'!$B$2+TIME(INT($C$3/10000),INT(MOD($C$3,10000)/100),MOD($C$3,100))+(ROW()-ROW($C$3))/86400</s:f>
        <s:v>46247.56741898148</s:v>
      </s:c>
    </s:row>
    <s:row r="630">
      <s:c r="A630" s="0" t="n">
        <s:v>260813</s:v>
      </s:c>
      <s:c r="B630" s="0" t="inlineStr">
        <s:is>
          <s:t>이종훈</s:t>
        </s:is>
      </s:c>
      <s:c r="C630" s="0" t="n">
        <s:v>132639</s:v>
      </s:c>
      <s:c r="D630" s="0" t="n">
        <s:v>2006</s:v>
      </s:c>
      <s:c r="F630" s="24">
        <s:f>'자료구성'!$B$2+TIME(INT($C$3/10000),INT(MOD($C$3,10000)/100),MOD($C$3,100))+(ROW()-ROW($C$3))/86400</s:f>
        <s:v>46247.56743055556</s:v>
      </s:c>
    </s:row>
    <s:row r="631">
      <s:c r="A631" s="0" t="n">
        <s:v>260813</s:v>
      </s:c>
      <s:c r="B631" s="0" t="inlineStr">
        <s:is>
          <s:t>이종훈</s:t>
        </s:is>
      </s:c>
      <s:c r="C631" s="0" t="n">
        <s:v>132639</s:v>
      </s:c>
      <s:c r="D631" s="0" t="n">
        <s:v>2004</s:v>
      </s:c>
      <s:c r="F631" s="24">
        <s:f>'자료구성'!$B$2+TIME(INT($C$3/10000),INT(MOD($C$3,10000)/100),MOD($C$3,100))+(ROW()-ROW($C$3))/86400</s:f>
        <s:v>46247.56744212963</s:v>
      </s:c>
    </s:row>
    <s:row r="632">
      <s:c r="A632" s="0" t="n">
        <s:v>260813</s:v>
      </s:c>
      <s:c r="B632" s="0" t="inlineStr">
        <s:is>
          <s:t>이종훈</s:t>
        </s:is>
      </s:c>
      <s:c r="C632" s="0" t="n">
        <s:v>132639</s:v>
      </s:c>
      <s:c r="D632" s="0" t="n">
        <s:v>1998</s:v>
      </s:c>
      <s:c r="F632" s="24">
        <s:f>'자료구성'!$B$2+TIME(INT($C$3/10000),INT(MOD($C$3,10000)/100),MOD($C$3,100))+(ROW()-ROW($C$3))/86400</s:f>
        <s:v>46247.567453703705</s:v>
      </s:c>
    </s:row>
    <s:row r="633">
      <s:c r="A633" s="0" t="n">
        <s:v>260813</s:v>
      </s:c>
      <s:c r="B633" s="0" t="inlineStr">
        <s:is>
          <s:t>이종훈</s:t>
        </s:is>
      </s:c>
      <s:c r="C633" s="0" t="n">
        <s:v>132639</s:v>
      </s:c>
      <s:c r="D633" s="0" t="n">
        <s:v>1998</s:v>
      </s:c>
      <s:c r="F633" s="24">
        <s:f>'자료구성'!$B$2+TIME(INT($C$3/10000),INT(MOD($C$3,10000)/100),MOD($C$3,100))+(ROW()-ROW($C$3))/86400</s:f>
        <s:v>46247.567465277774</s:v>
      </s:c>
    </s:row>
    <s:row r="634">
      <s:c r="A634" s="0" t="n">
        <s:v>260813</s:v>
      </s:c>
      <s:c r="B634" s="0" t="inlineStr">
        <s:is>
          <s:t>이종훈</s:t>
        </s:is>
      </s:c>
      <s:c r="C634" s="0" t="n">
        <s:v>132639</s:v>
      </s:c>
      <s:c r="D634" s="0" t="n">
        <s:v>1973</s:v>
      </s:c>
      <s:c r="F634" s="24">
        <s:f>'자료구성'!$B$2+TIME(INT($C$3/10000),INT(MOD($C$3,10000)/100),MOD($C$3,100))+(ROW()-ROW($C$3))/86400</s:f>
        <s:v>46247.56747685185</s:v>
      </s:c>
    </s:row>
    <s:row r="635">
      <s:c r="A635" s="0" t="n">
        <s:v>260813</s:v>
      </s:c>
      <s:c r="B635" s="0" t="inlineStr">
        <s:is>
          <s:t>이종훈</s:t>
        </s:is>
      </s:c>
      <s:c r="C635" s="0" t="n">
        <s:v>132639</s:v>
      </s:c>
      <s:c r="D635" s="0" t="n">
        <s:v>1956</s:v>
      </s:c>
      <s:c r="F635" s="24">
        <s:f>'자료구성'!$B$2+TIME(INT($C$3/10000),INT(MOD($C$3,10000)/100),MOD($C$3,100))+(ROW()-ROW($C$3))/86400</s:f>
        <s:v>46247.56748842593</s:v>
      </s:c>
    </s:row>
    <s:row r="636">
      <s:c r="A636" s="0" t="n">
        <s:v>260813</s:v>
      </s:c>
      <s:c r="B636" s="0" t="inlineStr">
        <s:is>
          <s:t>이종훈</s:t>
        </s:is>
      </s:c>
      <s:c r="C636" s="0" t="n">
        <s:v>132639</s:v>
      </s:c>
      <s:c r="D636" s="0" t="n">
        <s:v>1951</s:v>
      </s:c>
      <s:c r="F636" s="24">
        <s:f>'자료구성'!$B$2+TIME(INT($C$3/10000),INT(MOD($C$3,10000)/100),MOD($C$3,100))+(ROW()-ROW($C$3))/86400</s:f>
        <s:v>46247.5675</s:v>
      </s:c>
    </s:row>
    <s:row r="637">
      <s:c r="A637" s="0" t="n">
        <s:v>260813</s:v>
      </s:c>
      <s:c r="B637" s="0" t="inlineStr">
        <s:is>
          <s:t>이종훈</s:t>
        </s:is>
      </s:c>
      <s:c r="C637" s="0" t="n">
        <s:v>132639</s:v>
      </s:c>
      <s:c r="D637" s="0" t="n">
        <s:v>1927</s:v>
      </s:c>
      <s:c r="F637" s="24">
        <s:f>'자료구성'!$B$2+TIME(INT($C$3/10000),INT(MOD($C$3,10000)/100),MOD($C$3,100))+(ROW()-ROW($C$3))/86400</s:f>
        <s:v>46247.567511574074</s:v>
      </s:c>
    </s:row>
    <s:row r="638">
      <s:c r="A638" s="0" t="n">
        <s:v>260813</s:v>
      </s:c>
      <s:c r="B638" s="0" t="inlineStr">
        <s:is>
          <s:t>이종훈</s:t>
        </s:is>
      </s:c>
      <s:c r="C638" s="0" t="n">
        <s:v>132639</s:v>
      </s:c>
      <s:c r="D638" s="0" t="n">
        <s:v>1895</s:v>
      </s:c>
      <s:c r="F638" s="24">
        <s:f>'자료구성'!$B$2+TIME(INT($C$3/10000),INT(MOD($C$3,10000)/100),MOD($C$3,100))+(ROW()-ROW($C$3))/86400</s:f>
        <s:v>46247.56752314815</s:v>
      </s:c>
    </s:row>
    <s:row r="639">
      <s:c r="A639" s="0" t="n">
        <s:v>260813</s:v>
      </s:c>
      <s:c r="B639" s="0" t="inlineStr">
        <s:is>
          <s:t>이종훈</s:t>
        </s:is>
      </s:c>
      <s:c r="C639" s="0" t="n">
        <s:v>132639</s:v>
      </s:c>
      <s:c r="D639" s="0" t="n">
        <s:v>1850</s:v>
      </s:c>
      <s:c r="F639" s="24">
        <s:f>'자료구성'!$B$2+TIME(INT($C$3/10000),INT(MOD($C$3,10000)/100),MOD($C$3,100))+(ROW()-ROW($C$3))/86400</s:f>
        <s:v>46247.56753472222</s:v>
      </s:c>
    </s:row>
    <s:row r="640">
      <s:c r="A640" s="0" t="n">
        <s:v>260813</s:v>
      </s:c>
      <s:c r="B640" s="0" t="inlineStr">
        <s:is>
          <s:t>이종훈</s:t>
        </s:is>
      </s:c>
      <s:c r="C640" s="0" t="n">
        <s:v>132639</s:v>
      </s:c>
      <s:c r="D640" s="0" t="n">
        <s:v>1823</s:v>
      </s:c>
      <s:c r="F640" s="24">
        <s:f>'자료구성'!$B$2+TIME(INT($C$3/10000),INT(MOD($C$3,10000)/100),MOD($C$3,100))+(ROW()-ROW($C$3))/86400</s:f>
        <s:v>46247.5675462963</s:v>
      </s:c>
    </s:row>
    <s:row r="641">
      <s:c r="A641" s="0" t="n">
        <s:v>260813</s:v>
      </s:c>
      <s:c r="B641" s="0" t="inlineStr">
        <s:is>
          <s:t>이종훈</s:t>
        </s:is>
      </s:c>
      <s:c r="C641" s="0" t="n">
        <s:v>132639</s:v>
      </s:c>
      <s:c r="D641" s="0" t="n">
        <s:v>1819</s:v>
      </s:c>
      <s:c r="F641" s="24">
        <s:f>'자료구성'!$B$2+TIME(INT($C$3/10000),INT(MOD($C$3,10000)/100),MOD($C$3,100))+(ROW()-ROW($C$3))/86400</s:f>
        <s:v>46247.567557870374</s:v>
      </s:c>
    </s:row>
    <s:row r="642">
      <s:c r="A642" s="0" t="n">
        <s:v>260813</s:v>
      </s:c>
      <s:c r="B642" s="0" t="inlineStr">
        <s:is>
          <s:t>이종훈</s:t>
        </s:is>
      </s:c>
      <s:c r="C642" s="0" t="n">
        <s:v>132639</s:v>
      </s:c>
      <s:c r="D642" s="0" t="n">
        <s:v>1811</s:v>
      </s:c>
      <s:c r="F642" s="24">
        <s:f>'자료구성'!$B$2+TIME(INT($C$3/10000),INT(MOD($C$3,10000)/100),MOD($C$3,100))+(ROW()-ROW($C$3))/86400</s:f>
        <s:v>46247.56756944444</s:v>
      </s:c>
    </s:row>
    <s:row r="643">
      <s:c r="A643" s="0" t="n">
        <s:v>260813</s:v>
      </s:c>
      <s:c r="B643" s="0" t="inlineStr">
        <s:is>
          <s:t>이종훈</s:t>
        </s:is>
      </s:c>
      <s:c r="C643" s="0" t="n">
        <s:v>132639</s:v>
      </s:c>
      <s:c r="D643" s="0" t="n">
        <s:v>1772</s:v>
      </s:c>
      <s:c r="F643" s="24">
        <s:f>'자료구성'!$B$2+TIME(INT($C$3/10000),INT(MOD($C$3,10000)/100),MOD($C$3,100))+(ROW()-ROW($C$3))/86400</s:f>
        <s:v>46247.56758101852</s:v>
      </s:c>
    </s:row>
    <s:row r="644">
      <s:c r="A644" s="0" t="n">
        <s:v>260813</s:v>
      </s:c>
      <s:c r="B644" s="0" t="inlineStr">
        <s:is>
          <s:t>이종훈</s:t>
        </s:is>
      </s:c>
      <s:c r="C644" s="0" t="n">
        <s:v>132639</s:v>
      </s:c>
      <s:c r="D644" s="0" t="n">
        <s:v>1782</s:v>
      </s:c>
      <s:c r="F644" s="24">
        <s:f>'자료구성'!$B$2+TIME(INT($C$3/10000),INT(MOD($C$3,10000)/100),MOD($C$3,100))+(ROW()-ROW($C$3))/86400</s:f>
        <s:v>46247.56759259259</s:v>
      </s:c>
    </s:row>
    <s:row r="645">
      <s:c r="A645" s="0" t="n">
        <s:v>260813</s:v>
      </s:c>
      <s:c r="B645" s="0" t="inlineStr">
        <s:is>
          <s:t>이종훈</s:t>
        </s:is>
      </s:c>
      <s:c r="C645" s="0" t="n">
        <s:v>132639</s:v>
      </s:c>
      <s:c r="D645" s="0" t="n">
        <s:v>1746</s:v>
      </s:c>
      <s:c r="F645" s="24">
        <s:f>'자료구성'!$B$2+TIME(INT($C$3/10000),INT(MOD($C$3,10000)/100),MOD($C$3,100))+(ROW()-ROW($C$3))/86400</s:f>
        <s:v>46247.56760416667</s:v>
      </s:c>
    </s:row>
    <s:row r="646">
      <s:c r="A646" s="0" t="n">
        <s:v>260813</s:v>
      </s:c>
      <s:c r="B646" s="0" t="inlineStr">
        <s:is>
          <s:t>이종훈</s:t>
        </s:is>
      </s:c>
      <s:c r="C646" s="0" t="n">
        <s:v>132639</s:v>
      </s:c>
      <s:c r="D646" s="0" t="n">
        <s:v>1704</s:v>
      </s:c>
      <s:c r="F646" s="24">
        <s:f>'자료구성'!$B$2+TIME(INT($C$3/10000),INT(MOD($C$3,10000)/100),MOD($C$3,100))+(ROW()-ROW($C$3))/86400</s:f>
        <s:v>46247.56761574074</s:v>
      </s:c>
    </s:row>
    <s:row r="647">
      <s:c r="A647" s="0" t="n">
        <s:v>260813</s:v>
      </s:c>
      <s:c r="B647" s="0" t="inlineStr">
        <s:is>
          <s:t>이종훈</s:t>
        </s:is>
      </s:c>
      <s:c r="C647" s="0" t="n">
        <s:v>132639</s:v>
      </s:c>
      <s:c r="D647" s="0" t="n">
        <s:v>1664</s:v>
      </s:c>
      <s:c r="F647" s="24">
        <s:f>'자료구성'!$B$2+TIME(INT($C$3/10000),INT(MOD($C$3,10000)/100),MOD($C$3,100))+(ROW()-ROW($C$3))/86400</s:f>
        <s:v>46247.56762731481</s:v>
      </s:c>
    </s:row>
    <s:row r="648">
      <s:c r="A648" s="0" t="n">
        <s:v>260813</s:v>
      </s:c>
      <s:c r="B648" s="0" t="inlineStr">
        <s:is>
          <s:t>이종훈</s:t>
        </s:is>
      </s:c>
      <s:c r="C648" s="0" t="n">
        <s:v>132639</s:v>
      </s:c>
      <s:c r="D648" s="0" t="n">
        <s:v>1668</s:v>
      </s:c>
      <s:c r="F648" s="24">
        <s:f>'자료구성'!$B$2+TIME(INT($C$3/10000),INT(MOD($C$3,10000)/100),MOD($C$3,100))+(ROW()-ROW($C$3))/86400</s:f>
        <s:v>46247.56763888889</s:v>
      </s:c>
    </s:row>
    <s:row r="649">
      <s:c r="A649" s="0" t="n">
        <s:v>260813</s:v>
      </s:c>
      <s:c r="B649" s="0" t="inlineStr">
        <s:is>
          <s:t>이종훈</s:t>
        </s:is>
      </s:c>
      <s:c r="C649" s="0" t="n">
        <s:v>132639</s:v>
      </s:c>
      <s:c r="D649" s="0" t="n">
        <s:v>1628</s:v>
      </s:c>
      <s:c r="F649" s="24">
        <s:f>'자료구성'!$B$2+TIME(INT($C$3/10000),INT(MOD($C$3,10000)/100),MOD($C$3,100))+(ROW()-ROW($C$3))/86400</s:f>
        <s:v>46247.56765046297</s:v>
      </s:c>
    </s:row>
    <s:row r="650">
      <s:c r="A650" s="0" t="n">
        <s:v>260813</s:v>
      </s:c>
      <s:c r="B650" s="0" t="inlineStr">
        <s:is>
          <s:t>이종훈</s:t>
        </s:is>
      </s:c>
      <s:c r="C650" s="0" t="n">
        <s:v>132639</s:v>
      </s:c>
      <s:c r="D650" s="0" t="n">
        <s:v>1547</s:v>
      </s:c>
      <s:c r="F650" s="24">
        <s:f>'자료구성'!$B$2+TIME(INT($C$3/10000),INT(MOD($C$3,10000)/100),MOD($C$3,100))+(ROW()-ROW($C$3))/86400</s:f>
        <s:v>46247.567662037036</s:v>
      </s:c>
    </s:row>
    <s:row r="651">
      <s:c r="A651" s="0" t="n">
        <s:v>260813</s:v>
      </s:c>
      <s:c r="B651" s="0" t="inlineStr">
        <s:is>
          <s:t>이종훈</s:t>
        </s:is>
      </s:c>
      <s:c r="C651" s="0" t="n">
        <s:v>132639</s:v>
      </s:c>
      <s:c r="D651" s="0" t="n">
        <s:v>1487</s:v>
      </s:c>
      <s:c r="F651" s="24">
        <s:f>'자료구성'!$B$2+TIME(INT($C$3/10000),INT(MOD($C$3,10000)/100),MOD($C$3,100))+(ROW()-ROW($C$3))/86400</s:f>
        <s:v>46247.56767361111</s:v>
      </s:c>
    </s:row>
    <s:row r="652">
      <s:c r="A652" s="0" t="n">
        <s:v>260813</s:v>
      </s:c>
      <s:c r="B652" s="0" t="inlineStr">
        <s:is>
          <s:t>이종훈</s:t>
        </s:is>
      </s:c>
      <s:c r="C652" s="0" t="n">
        <s:v>132639</s:v>
      </s:c>
      <s:c r="D652" s="0" t="n">
        <s:v>1454</s:v>
      </s:c>
      <s:c r="F652" s="24">
        <s:f>'자료구성'!$B$2+TIME(INT($C$3/10000),INT(MOD($C$3,10000)/100),MOD($C$3,100))+(ROW()-ROW($C$3))/86400</s:f>
        <s:v>46247.56768518518</s:v>
      </s:c>
    </s:row>
    <s:row r="653">
      <s:c r="A653" s="0" t="n">
        <s:v>260813</s:v>
      </s:c>
      <s:c r="B653" s="0" t="inlineStr">
        <s:is>
          <s:t>이종훈</s:t>
        </s:is>
      </s:c>
      <s:c r="C653" s="0" t="n">
        <s:v>132639</s:v>
      </s:c>
      <s:c r="D653" s="0" t="n">
        <s:v>1429</s:v>
      </s:c>
      <s:c r="F653" s="24">
        <s:f>'자료구성'!$B$2+TIME(INT($C$3/10000),INT(MOD($C$3,10000)/100),MOD($C$3,100))+(ROW()-ROW($C$3))/86400</s:f>
        <s:v>46247.56769675926</s:v>
      </s:c>
    </s:row>
    <s:row r="654">
      <s:c r="A654" s="0" t="n">
        <s:v>260813</s:v>
      </s:c>
      <s:c r="B654" s="0" t="inlineStr">
        <s:is>
          <s:t>이종훈</s:t>
        </s:is>
      </s:c>
      <s:c r="C654" s="0" t="n">
        <s:v>132639</s:v>
      </s:c>
      <s:c r="D654" s="0" t="n">
        <s:v>1416</s:v>
      </s:c>
      <s:c r="F654" s="24">
        <s:f>'자료구성'!$B$2+TIME(INT($C$3/10000),INT(MOD($C$3,10000)/100),MOD($C$3,100))+(ROW()-ROW($C$3))/86400</s:f>
        <s:v>46247.567708333336</s:v>
      </s:c>
    </s:row>
    <s:row r="655">
      <s:c r="A655" s="0" t="n">
        <s:v>260813</s:v>
      </s:c>
      <s:c r="B655" s="0" t="inlineStr">
        <s:is>
          <s:t>이종훈</s:t>
        </s:is>
      </s:c>
      <s:c r="C655" s="0" t="n">
        <s:v>132639</s:v>
      </s:c>
      <s:c r="D655" s="0" t="n">
        <s:v>1412</s:v>
      </s:c>
      <s:c r="F655" s="24">
        <s:f>'자료구성'!$B$2+TIME(INT($C$3/10000),INT(MOD($C$3,10000)/100),MOD($C$3,100))+(ROW()-ROW($C$3))/86400</s:f>
        <s:v>46247.567719907405</s:v>
      </s:c>
    </s:row>
    <s:row r="656">
      <s:c r="A656" s="0" t="n">
        <s:v>260813</s:v>
      </s:c>
      <s:c r="B656" s="0" t="inlineStr">
        <s:is>
          <s:t>이종훈</s:t>
        </s:is>
      </s:c>
      <s:c r="C656" s="0" t="n">
        <s:v>132639</s:v>
      </s:c>
      <s:c r="D656" s="0" t="n">
        <s:v>1413</s:v>
      </s:c>
      <s:c r="F656" s="24">
        <s:f>'자료구성'!$B$2+TIME(INT($C$3/10000),INT(MOD($C$3,10000)/100),MOD($C$3,100))+(ROW()-ROW($C$3))/86400</s:f>
        <s:v>46247.56773148148</s:v>
      </s:c>
    </s:row>
    <s:row r="657">
      <s:c r="A657" s="0" t="n">
        <s:v>260813</s:v>
      </s:c>
      <s:c r="B657" s="0" t="inlineStr">
        <s:is>
          <s:t>이종훈</s:t>
        </s:is>
      </s:c>
      <s:c r="C657" s="0" t="n">
        <s:v>132639</s:v>
      </s:c>
      <s:c r="D657" s="0" t="n">
        <s:v>1421</s:v>
      </s:c>
      <s:c r="F657" s="24">
        <s:f>'자료구성'!$B$2+TIME(INT($C$3/10000),INT(MOD($C$3,10000)/100),MOD($C$3,100))+(ROW()-ROW($C$3))/86400</s:f>
        <s:v>46247.56774305556</s:v>
      </s:c>
    </s:row>
    <s:row r="658">
      <s:c r="A658" s="0" t="n">
        <s:v>260813</s:v>
      </s:c>
      <s:c r="B658" s="0" t="inlineStr">
        <s:is>
          <s:t>이종훈</s:t>
        </s:is>
      </s:c>
      <s:c r="C658" s="0" t="n">
        <s:v>132639</s:v>
      </s:c>
      <s:c r="D658" s="0" t="n">
        <s:v>1409</s:v>
      </s:c>
      <s:c r="F658" s="24">
        <s:f>'자료구성'!$B$2+TIME(INT($C$3/10000),INT(MOD($C$3,10000)/100),MOD($C$3,100))+(ROW()-ROW($C$3))/86400</s:f>
        <s:v>46247.56775462963</s:v>
      </s:c>
    </s:row>
    <s:row r="659">
      <s:c r="A659" s="0" t="n">
        <s:v>260813</s:v>
      </s:c>
      <s:c r="B659" s="0" t="inlineStr">
        <s:is>
          <s:t>이종훈</s:t>
        </s:is>
      </s:c>
      <s:c r="C659" s="0" t="n">
        <s:v>132639</s:v>
      </s:c>
      <s:c r="D659" s="0" t="n">
        <s:v>1387</s:v>
      </s:c>
      <s:c r="F659" s="24">
        <s:f>'자료구성'!$B$2+TIME(INT($C$3/10000),INT(MOD($C$3,10000)/100),MOD($C$3,100))+(ROW()-ROW($C$3))/86400</s:f>
        <s:v>46247.567766203705</s:v>
      </s:c>
    </s:row>
    <s:row r="660">
      <s:c r="A660" s="0" t="n">
        <s:v>260813</s:v>
      </s:c>
      <s:c r="B660" s="0" t="inlineStr">
        <s:is>
          <s:t>이종훈</s:t>
        </s:is>
      </s:c>
      <s:c r="C660" s="0" t="n">
        <s:v>132639</s:v>
      </s:c>
      <s:c r="D660" s="0" t="n">
        <s:v>1378</s:v>
      </s:c>
      <s:c r="F660" s="24">
        <s:f>'자료구성'!$B$2+TIME(INT($C$3/10000),INT(MOD($C$3,10000)/100),MOD($C$3,100))+(ROW()-ROW($C$3))/86400</s:f>
        <s:v>46247.567777777775</s:v>
      </s:c>
    </s:row>
    <s:row r="661">
      <s:c r="A661" s="0" t="n">
        <s:v>260813</s:v>
      </s:c>
      <s:c r="B661" s="0" t="inlineStr">
        <s:is>
          <s:t>이종훈</s:t>
        </s:is>
      </s:c>
      <s:c r="C661" s="0" t="n">
        <s:v>132639</s:v>
      </s:c>
      <s:c r="D661" s="0" t="n">
        <s:v>1385</s:v>
      </s:c>
      <s:c r="F661" s="24">
        <s:f>'자료구성'!$B$2+TIME(INT($C$3/10000),INT(MOD($C$3,10000)/100),MOD($C$3,100))+(ROW()-ROW($C$3))/86400</s:f>
        <s:v>46247.56778935185</s:v>
      </s:c>
    </s:row>
    <s:row r="662">
      <s:c r="A662" s="0" t="n">
        <s:v>260813</s:v>
      </s:c>
      <s:c r="B662" s="0" t="inlineStr">
        <s:is>
          <s:t>이종훈</s:t>
        </s:is>
      </s:c>
      <s:c r="C662" s="0" t="n">
        <s:v>132639</s:v>
      </s:c>
      <s:c r="D662" s="0" t="n">
        <s:v>1387</s:v>
      </s:c>
      <s:c r="F662" s="24">
        <s:f>'자료구성'!$B$2+TIME(INT($C$3/10000),INT(MOD($C$3,10000)/100),MOD($C$3,100))+(ROW()-ROW($C$3))/86400</s:f>
        <s:v>46247.56780092593</s:v>
      </s:c>
    </s:row>
    <s:row r="663">
      <s:c r="A663" s="0" t="n">
        <s:v>260813</s:v>
      </s:c>
      <s:c r="B663" s="0" t="inlineStr">
        <s:is>
          <s:t>이종훈</s:t>
        </s:is>
      </s:c>
      <s:c r="C663" s="0" t="n">
        <s:v>132639</s:v>
      </s:c>
      <s:c r="D663" s="0" t="n">
        <s:v>1376</s:v>
      </s:c>
      <s:c r="F663" s="24">
        <s:f>'자료구성'!$B$2+TIME(INT($C$3/10000),INT(MOD($C$3,10000)/100),MOD($C$3,100))+(ROW()-ROW($C$3))/86400</s:f>
        <s:v>46247.5678125</s:v>
      </s:c>
    </s:row>
    <s:row r="664">
      <s:c r="A664" s="0" t="n">
        <s:v>260813</s:v>
      </s:c>
      <s:c r="B664" s="0" t="inlineStr">
        <s:is>
          <s:t>이종훈</s:t>
        </s:is>
      </s:c>
      <s:c r="C664" s="0" t="n">
        <s:v>132639</s:v>
      </s:c>
      <s:c r="D664" s="0" t="n">
        <s:v>1355</s:v>
      </s:c>
      <s:c r="F664" s="24">
        <s:f>'자료구성'!$B$2+TIME(INT($C$3/10000),INT(MOD($C$3,10000)/100),MOD($C$3,100))+(ROW()-ROW($C$3))/86400</s:f>
        <s:v>46247.567824074074</s:v>
      </s:c>
    </s:row>
    <s:row r="665">
      <s:c r="A665" s="0" t="n">
        <s:v>260813</s:v>
      </s:c>
      <s:c r="B665" s="0" t="inlineStr">
        <s:is>
          <s:t>이종훈</s:t>
        </s:is>
      </s:c>
      <s:c r="C665" s="0" t="n">
        <s:v>132639</s:v>
      </s:c>
      <s:c r="D665" s="0" t="n">
        <s:v>1353</s:v>
      </s:c>
      <s:c r="F665" s="24">
        <s:f>'자료구성'!$B$2+TIME(INT($C$3/10000),INT(MOD($C$3,10000)/100),MOD($C$3,100))+(ROW()-ROW($C$3))/86400</s:f>
        <s:v>46247.56783564815</s:v>
      </s:c>
    </s:row>
    <s:row r="666">
      <s:c r="A666" s="0" t="n">
        <s:v>260813</s:v>
      </s:c>
      <s:c r="B666" s="0" t="inlineStr">
        <s:is>
          <s:t>이종훈</s:t>
        </s:is>
      </s:c>
      <s:c r="C666" s="0" t="n">
        <s:v>132639</s:v>
      </s:c>
      <s:c r="D666" s="0" t="n">
        <s:v>1365</s:v>
      </s:c>
      <s:c r="F666" s="24">
        <s:f>'자료구성'!$B$2+TIME(INT($C$3/10000),INT(MOD($C$3,10000)/100),MOD($C$3,100))+(ROW()-ROW($C$3))/86400</s:f>
        <s:v>46247.56784722222</s:v>
      </s:c>
    </s:row>
    <s:row r="667">
      <s:c r="A667" s="0" t="n">
        <s:v>260813</s:v>
      </s:c>
      <s:c r="B667" s="0" t="inlineStr">
        <s:is>
          <s:t>이종훈</s:t>
        </s:is>
      </s:c>
      <s:c r="C667" s="0" t="n">
        <s:v>132639</s:v>
      </s:c>
      <s:c r="D667" s="0" t="n">
        <s:v>1388</s:v>
      </s:c>
      <s:c r="F667" s="24">
        <s:f>'자료구성'!$B$2+TIME(INT($C$3/10000),INT(MOD($C$3,10000)/100),MOD($C$3,100))+(ROW()-ROW($C$3))/86400</s:f>
        <s:v>46247.5678587963</s:v>
      </s:c>
    </s:row>
    <s:row r="668">
      <s:c r="A668" s="0" t="n">
        <s:v>260813</s:v>
      </s:c>
      <s:c r="B668" s="0" t="inlineStr">
        <s:is>
          <s:t>이종훈</s:t>
        </s:is>
      </s:c>
      <s:c r="C668" s="0" t="n">
        <s:v>132639</s:v>
      </s:c>
      <s:c r="D668" s="0" t="n">
        <s:v>1385</s:v>
      </s:c>
      <s:c r="F668" s="24">
        <s:f>'자료구성'!$B$2+TIME(INT($C$3/10000),INT(MOD($C$3,10000)/100),MOD($C$3,100))+(ROW()-ROW($C$3))/86400</s:f>
        <s:v>46247.56787037037</s:v>
      </s:c>
    </s:row>
    <s:row r="669">
      <s:c r="A669" s="0" t="n">
        <s:v>260813</s:v>
      </s:c>
      <s:c r="B669" s="0" t="inlineStr">
        <s:is>
          <s:t>이종훈</s:t>
        </s:is>
      </s:c>
      <s:c r="C669" s="0" t="n">
        <s:v>132639</s:v>
      </s:c>
      <s:c r="D669" s="0" t="n">
        <s:v>1365</s:v>
      </s:c>
      <s:c r="F669" s="24">
        <s:f>'자료구성'!$B$2+TIME(INT($C$3/10000),INT(MOD($C$3,10000)/100),MOD($C$3,100))+(ROW()-ROW($C$3))/86400</s:f>
        <s:v>46247.567881944444</s:v>
      </s:c>
    </s:row>
    <s:row r="670">
      <s:c r="A670" s="0" t="n">
        <s:v>260813</s:v>
      </s:c>
      <s:c r="B670" s="0" t="inlineStr">
        <s:is>
          <s:t>이종훈</s:t>
        </s:is>
      </s:c>
      <s:c r="C670" s="0" t="n">
        <s:v>132639</s:v>
      </s:c>
      <s:c r="D670" s="0" t="n">
        <s:v>1333</s:v>
      </s:c>
      <s:c r="F670" s="24">
        <s:f>'자료구성'!$B$2+TIME(INT($C$3/10000),INT(MOD($C$3,10000)/100),MOD($C$3,100))+(ROW()-ROW($C$3))/86400</s:f>
        <s:v>46247.56789351852</s:v>
      </s:c>
    </s:row>
    <s:row r="671">
      <s:c r="A671" s="0" t="n">
        <s:v>260813</s:v>
      </s:c>
      <s:c r="B671" s="0" t="inlineStr">
        <s:is>
          <s:t>이종훈</s:t>
        </s:is>
      </s:c>
      <s:c r="C671" s="0" t="n">
        <s:v>132639</s:v>
      </s:c>
      <s:c r="D671" s="0" t="n">
        <s:v>1312</s:v>
      </s:c>
      <s:c r="F671" s="24">
        <s:f>'자료구성'!$B$2+TIME(INT($C$3/10000),INT(MOD($C$3,10000)/100),MOD($C$3,100))+(ROW()-ROW($C$3))/86400</s:f>
        <s:v>46247.56790509259</s:v>
      </s:c>
    </s:row>
    <s:row r="672">
      <s:c r="A672" s="0" t="n">
        <s:v>260813</s:v>
      </s:c>
      <s:c r="B672" s="0" t="inlineStr">
        <s:is>
          <s:t>이종훈</s:t>
        </s:is>
      </s:c>
      <s:c r="C672" s="0" t="n">
        <s:v>132639</s:v>
      </s:c>
      <s:c r="D672" s="0" t="n">
        <s:v>1297</s:v>
      </s:c>
      <s:c r="F672" s="24">
        <s:f>'자료구성'!$B$2+TIME(INT($C$3/10000),INT(MOD($C$3,10000)/100),MOD($C$3,100))+(ROW()-ROW($C$3))/86400</s:f>
        <s:v>46247.56791666667</s:v>
      </s:c>
    </s:row>
    <s:row r="673">
      <s:c r="A673" s="0" t="n">
        <s:v>260813</s:v>
      </s:c>
      <s:c r="B673" s="0" t="inlineStr">
        <s:is>
          <s:t>이종훈</s:t>
        </s:is>
      </s:c>
      <s:c r="C673" s="0" t="n">
        <s:v>132639</s:v>
      </s:c>
      <s:c r="D673" s="0" t="n">
        <s:v>1279</s:v>
      </s:c>
      <s:c r="F673" s="24">
        <s:f>'자료구성'!$B$2+TIME(INT($C$3/10000),INT(MOD($C$3,10000)/100),MOD($C$3,100))+(ROW()-ROW($C$3))/86400</s:f>
        <s:v>46247.567928240744</s:v>
      </s:c>
    </s:row>
    <s:row r="674">
      <s:c r="A674" s="0" t="n">
        <s:v>260813</s:v>
      </s:c>
      <s:c r="B674" s="0" t="inlineStr">
        <s:is>
          <s:t>이종훈</s:t>
        </s:is>
      </s:c>
      <s:c r="C674" s="0" t="n">
        <s:v>132639</s:v>
      </s:c>
      <s:c r="D674" s="0" t="n">
        <s:v>1272</s:v>
      </s:c>
      <s:c r="F674" s="24">
        <s:f>'자료구성'!$B$2+TIME(INT($C$3/10000),INT(MOD($C$3,10000)/100),MOD($C$3,100))+(ROW()-ROW($C$3))/86400</s:f>
        <s:v>46247.56793981481</s:v>
      </s:c>
    </s:row>
    <s:row r="675">
      <s:c r="A675" s="0" t="n">
        <s:v>260813</s:v>
      </s:c>
      <s:c r="B675" s="0" t="inlineStr">
        <s:is>
          <s:t>이종훈</s:t>
        </s:is>
      </s:c>
      <s:c r="C675" s="0" t="n">
        <s:v>132639</s:v>
      </s:c>
      <s:c r="D675" s="0" t="n">
        <s:v>1266</s:v>
      </s:c>
      <s:c r="F675" s="24">
        <s:f>'자료구성'!$B$2+TIME(INT($C$3/10000),INT(MOD($C$3,10000)/100),MOD($C$3,100))+(ROW()-ROW($C$3))/86400</s:f>
        <s:v>46247.56795138889</s:v>
      </s:c>
    </s:row>
    <s:row r="676">
      <s:c r="A676" s="0" t="n">
        <s:v>260813</s:v>
      </s:c>
      <s:c r="B676" s="0" t="inlineStr">
        <s:is>
          <s:t>이종훈</s:t>
        </s:is>
      </s:c>
      <s:c r="C676" s="0" t="n">
        <s:v>132639</s:v>
      </s:c>
      <s:c r="D676" s="0" t="n">
        <s:v>1266</s:v>
      </s:c>
      <s:c r="F676" s="24">
        <s:f>'자료구성'!$B$2+TIME(INT($C$3/10000),INT(MOD($C$3,10000)/100),MOD($C$3,100))+(ROW()-ROW($C$3))/86400</s:f>
        <s:v>46247.56796296296</s:v>
      </s:c>
    </s:row>
    <s:row r="677">
      <s:c r="A677" s="0" t="n">
        <s:v>260813</s:v>
      </s:c>
      <s:c r="B677" s="0" t="inlineStr">
        <s:is>
          <s:t>이종훈</s:t>
        </s:is>
      </s:c>
      <s:c r="C677" s="0" t="n">
        <s:v>132639</s:v>
      </s:c>
      <s:c r="D677" s="0" t="n">
        <s:v>1295</s:v>
      </s:c>
      <s:c r="F677" s="24">
        <s:f>'자료구성'!$B$2+TIME(INT($C$3/10000),INT(MOD($C$3,10000)/100),MOD($C$3,100))+(ROW()-ROW($C$3))/86400</s:f>
        <s:v>46247.567974537036</s:v>
      </s:c>
    </s:row>
    <s:row r="678">
      <s:c r="A678" s="0" t="n">
        <s:v>260813</s:v>
      </s:c>
      <s:c r="B678" s="0" t="inlineStr">
        <s:is>
          <s:t>이종훈</s:t>
        </s:is>
      </s:c>
      <s:c r="C678" s="0" t="n">
        <s:v>132639</s:v>
      </s:c>
      <s:c r="D678" s="0" t="n">
        <s:v>1333</s:v>
      </s:c>
      <s:c r="F678" s="24">
        <s:f>'자료구성'!$B$2+TIME(INT($C$3/10000),INT(MOD($C$3,10000)/100),MOD($C$3,100))+(ROW()-ROW($C$3))/86400</s:f>
        <s:v>46247.56798611111</s:v>
      </s:c>
    </s:row>
    <s:row r="679">
      <s:c r="A679" s="0" t="n">
        <s:v>260813</s:v>
      </s:c>
      <s:c r="B679" s="0" t="inlineStr">
        <s:is>
          <s:t>이종훈</s:t>
        </s:is>
      </s:c>
      <s:c r="C679" s="0" t="n">
        <s:v>132639</s:v>
      </s:c>
      <s:c r="D679" s="0" t="n">
        <s:v>1334</s:v>
      </s:c>
      <s:c r="F679" s="24">
        <s:f>'자료구성'!$B$2+TIME(INT($C$3/10000),INT(MOD($C$3,10000)/100),MOD($C$3,100))+(ROW()-ROW($C$3))/86400</s:f>
        <s:v>46247.56799768518</s:v>
      </s:c>
    </s:row>
    <s:row r="680">
      <s:c r="A680" s="0" t="n">
        <s:v>260813</s:v>
      </s:c>
      <s:c r="B680" s="0" t="inlineStr">
        <s:is>
          <s:t>이종훈</s:t>
        </s:is>
      </s:c>
      <s:c r="C680" s="0" t="n">
        <s:v>132639</s:v>
      </s:c>
      <s:c r="D680" s="0" t="n">
        <s:v>1363</s:v>
      </s:c>
      <s:c r="F680" s="24">
        <s:f>'자료구성'!$B$2+TIME(INT($C$3/10000),INT(MOD($C$3,10000)/100),MOD($C$3,100))+(ROW()-ROW($C$3))/86400</s:f>
        <s:v>46247.56800925926</s:v>
      </s:c>
    </s:row>
    <s:row r="681">
      <s:c r="A681" s="0" t="n">
        <s:v>260813</s:v>
      </s:c>
      <s:c r="B681" s="0" t="inlineStr">
        <s:is>
          <s:t>이종훈</s:t>
        </s:is>
      </s:c>
      <s:c r="C681" s="0" t="n">
        <s:v>132639</s:v>
      </s:c>
      <s:c r="D681" s="0" t="n">
        <s:v>1400</s:v>
      </s:c>
      <s:c r="F681" s="24">
        <s:f>'자료구성'!$B$2+TIME(INT($C$3/10000),INT(MOD($C$3,10000)/100),MOD($C$3,100))+(ROW()-ROW($C$3))/86400</s:f>
        <s:v>46247.568020833336</s:v>
      </s:c>
    </s:row>
    <s:row r="682">
      <s:c r="A682" s="0" t="n">
        <s:v>260813</s:v>
      </s:c>
      <s:c r="B682" s="0" t="inlineStr">
        <s:is>
          <s:t>이종훈</s:t>
        </s:is>
      </s:c>
      <s:c r="C682" s="0" t="n">
        <s:v>132639</s:v>
      </s:c>
      <s:c r="D682" s="0" t="n">
        <s:v>1420</s:v>
      </s:c>
      <s:c r="F682" s="24">
        <s:f>'자료구성'!$B$2+TIME(INT($C$3/10000),INT(MOD($C$3,10000)/100),MOD($C$3,100))+(ROW()-ROW($C$3))/86400</s:f>
        <s:v>46247.568032407406</s:v>
      </s:c>
    </s:row>
    <s:row r="683">
      <s:c r="A683" s="0" t="n">
        <s:v>260813</s:v>
      </s:c>
      <s:c r="B683" s="0" t="inlineStr">
        <s:is>
          <s:t>이종훈</s:t>
        </s:is>
      </s:c>
      <s:c r="C683" s="0" t="n">
        <s:v>132639</s:v>
      </s:c>
      <s:c r="D683" s="0" t="n">
        <s:v>1428</s:v>
      </s:c>
      <s:c r="F683" s="24">
        <s:f>'자료구성'!$B$2+TIME(INT($C$3/10000),INT(MOD($C$3,10000)/100),MOD($C$3,100))+(ROW()-ROW($C$3))/86400</s:f>
        <s:v>46247.56804398148</s:v>
      </s:c>
    </s:row>
    <s:row r="684">
      <s:c r="A684" s="0" t="n">
        <s:v>260813</s:v>
      </s:c>
      <s:c r="B684" s="0" t="inlineStr">
        <s:is>
          <s:t>이종훈</s:t>
        </s:is>
      </s:c>
      <s:c r="C684" s="0" t="n">
        <s:v>132639</s:v>
      </s:c>
      <s:c r="D684" s="0" t="n">
        <s:v>1439</s:v>
      </s:c>
      <s:c r="F684" s="24">
        <s:f>'자료구성'!$B$2+TIME(INT($C$3/10000),INT(MOD($C$3,10000)/100),MOD($C$3,100))+(ROW()-ROW($C$3))/86400</s:f>
        <s:v>46247.56805555556</s:v>
      </s:c>
    </s:row>
    <s:row r="685">
      <s:c r="A685" s="0" t="n">
        <s:v>260813</s:v>
      </s:c>
      <s:c r="B685" s="0" t="inlineStr">
        <s:is>
          <s:t>이종훈</s:t>
        </s:is>
      </s:c>
      <s:c r="C685" s="0" t="n">
        <s:v>132639</s:v>
      </s:c>
      <s:c r="D685" s="0" t="n">
        <s:v>1464</s:v>
      </s:c>
      <s:c r="F685" s="24">
        <s:f>'자료구성'!$B$2+TIME(INT($C$3/10000),INT(MOD($C$3,10000)/100),MOD($C$3,100))+(ROW()-ROW($C$3))/86400</s:f>
        <s:v>46247.56806712963</s:v>
      </s:c>
    </s:row>
    <s:row r="686">
      <s:c r="A686" s="0" t="n">
        <s:v>260813</s:v>
      </s:c>
      <s:c r="B686" s="0" t="inlineStr">
        <s:is>
          <s:t>이종훈</s:t>
        </s:is>
      </s:c>
      <s:c r="C686" s="0" t="n">
        <s:v>132639</s:v>
      </s:c>
      <s:c r="D686" s="0" t="n">
        <s:v>1455</s:v>
      </s:c>
      <s:c r="F686" s="24">
        <s:f>'자료구성'!$B$2+TIME(INT($C$3/10000),INT(MOD($C$3,10000)/100),MOD($C$3,100))+(ROW()-ROW($C$3))/86400</s:f>
        <s:v>46247.568078703705</s:v>
      </s:c>
    </s:row>
    <s:row r="687">
      <s:c r="A687" s="0" t="n">
        <s:v>260813</s:v>
      </s:c>
      <s:c r="B687" s="0" t="inlineStr">
        <s:is>
          <s:t>이종훈</s:t>
        </s:is>
      </s:c>
      <s:c r="C687" s="0" t="n">
        <s:v>132639</s:v>
      </s:c>
      <s:c r="D687" s="0" t="n">
        <s:v>1445</s:v>
      </s:c>
      <s:c r="F687" s="24">
        <s:f>'자료구성'!$B$2+TIME(INT($C$3/10000),INT(MOD($C$3,10000)/100),MOD($C$3,100))+(ROW()-ROW($C$3))/86400</s:f>
        <s:v>46247.568090277775</s:v>
      </s:c>
    </s:row>
    <s:row r="688">
      <s:c r="A688" s="0" t="n">
        <s:v>260813</s:v>
      </s:c>
      <s:c r="B688" s="0" t="inlineStr">
        <s:is>
          <s:t>이종훈</s:t>
        </s:is>
      </s:c>
      <s:c r="C688" s="0" t="n">
        <s:v>132639</s:v>
      </s:c>
      <s:c r="D688" s="0" t="n">
        <s:v>1419</s:v>
      </s:c>
      <s:c r="F688" s="24">
        <s:f>'자료구성'!$B$2+TIME(INT($C$3/10000),INT(MOD($C$3,10000)/100),MOD($C$3,100))+(ROW()-ROW($C$3))/86400</s:f>
        <s:v>46247.56810185185</s:v>
      </s:c>
    </s:row>
    <s:row r="689">
      <s:c r="A689" s="0" t="n">
        <s:v>260813</s:v>
      </s:c>
      <s:c r="B689" s="0" t="inlineStr">
        <s:is>
          <s:t>이종훈</s:t>
        </s:is>
      </s:c>
      <s:c r="C689" s="0" t="n">
        <s:v>132639</s:v>
      </s:c>
      <s:c r="D689" s="0" t="n">
        <s:v>1402</s:v>
      </s:c>
      <s:c r="F689" s="24">
        <s:f>'자료구성'!$B$2+TIME(INT($C$3/10000),INT(MOD($C$3,10000)/100),MOD($C$3,100))+(ROW()-ROW($C$3))/86400</s:f>
        <s:v>46247.56811342593</s:v>
      </s:c>
    </s:row>
    <s:row r="690">
      <s:c r="A690" s="0" t="n">
        <s:v>260813</s:v>
      </s:c>
      <s:c r="B690" s="0" t="inlineStr">
        <s:is>
          <s:t>이종훈</s:t>
        </s:is>
      </s:c>
      <s:c r="C690" s="0" t="n">
        <s:v>132639</s:v>
      </s:c>
      <s:c r="D690" s="0" t="n">
        <s:v>1402</s:v>
      </s:c>
      <s:c r="F690" s="24">
        <s:f>'자료구성'!$B$2+TIME(INT($C$3/10000),INT(MOD($C$3,10000)/100),MOD($C$3,100))+(ROW()-ROW($C$3))/86400</s:f>
        <s:v>46247.568125</s:v>
      </s:c>
    </s:row>
    <s:row r="691">
      <s:c r="A691" s="0" t="n">
        <s:v>260813</s:v>
      </s:c>
      <s:c r="B691" s="0" t="inlineStr">
        <s:is>
          <s:t>이종훈</s:t>
        </s:is>
      </s:c>
      <s:c r="C691" s="0" t="n">
        <s:v>132639</s:v>
      </s:c>
      <s:c r="D691" s="0" t="n">
        <s:v>1369</s:v>
      </s:c>
      <s:c r="F691" s="24">
        <s:f>'자료구성'!$B$2+TIME(INT($C$3/10000),INT(MOD($C$3,10000)/100),MOD($C$3,100))+(ROW()-ROW($C$3))/86400</s:f>
        <s:v>46247.568136574075</s:v>
      </s:c>
    </s:row>
    <s:row r="692">
      <s:c r="A692" s="0" t="n">
        <s:v>260813</s:v>
      </s:c>
      <s:c r="B692" s="0" t="inlineStr">
        <s:is>
          <s:t>이종훈</s:t>
        </s:is>
      </s:c>
      <s:c r="C692" s="0" t="n">
        <s:v>132639</s:v>
      </s:c>
      <s:c r="D692" s="0" t="n">
        <s:v>1329</s:v>
      </s:c>
      <s:c r="F692" s="24">
        <s:f>'자료구성'!$B$2+TIME(INT($C$3/10000),INT(MOD($C$3,10000)/100),MOD($C$3,100))+(ROW()-ROW($C$3))/86400</s:f>
        <s:v>46247.56814814815</s:v>
      </s:c>
    </s:row>
    <s:row r="693">
      <s:c r="A693" s="0" t="n">
        <s:v>260813</s:v>
      </s:c>
      <s:c r="B693" s="0" t="inlineStr">
        <s:is>
          <s:t>이종훈</s:t>
        </s:is>
      </s:c>
      <s:c r="C693" s="0" t="n">
        <s:v>132639</s:v>
      </s:c>
      <s:c r="D693" s="0" t="n">
        <s:v>1320</s:v>
      </s:c>
      <s:c r="F693" s="24">
        <s:f>'자료구성'!$B$2+TIME(INT($C$3/10000),INT(MOD($C$3,10000)/100),MOD($C$3,100))+(ROW()-ROW($C$3))/86400</s:f>
        <s:v>46247.56815972222</s:v>
      </s:c>
    </s:row>
    <s:row r="694">
      <s:c r="A694" s="0" t="n">
        <s:v>260813</s:v>
      </s:c>
      <s:c r="B694" s="0" t="inlineStr">
        <s:is>
          <s:t>이종훈</s:t>
        </s:is>
      </s:c>
      <s:c r="C694" s="0" t="n">
        <s:v>132639</s:v>
      </s:c>
      <s:c r="D694" s="0" t="n">
        <s:v>1309</s:v>
      </s:c>
      <s:c r="F694" s="24">
        <s:f>'자료구성'!$B$2+TIME(INT($C$3/10000),INT(MOD($C$3,10000)/100),MOD($C$3,100))+(ROW()-ROW($C$3))/86400</s:f>
        <s:v>46247.5681712963</s:v>
      </s:c>
    </s:row>
    <s:row r="695">
      <s:c r="A695" s="0" t="n">
        <s:v>260813</s:v>
      </s:c>
      <s:c r="B695" s="0" t="inlineStr">
        <s:is>
          <s:t>이종훈</s:t>
        </s:is>
      </s:c>
      <s:c r="C695" s="0" t="n">
        <s:v>132639</s:v>
      </s:c>
      <s:c r="D695" s="0" t="n">
        <s:v>1291</s:v>
      </s:c>
      <s:c r="F695" s="24">
        <s:f>'자료구성'!$B$2+TIME(INT($C$3/10000),INT(MOD($C$3,10000)/100),MOD($C$3,100))+(ROW()-ROW($C$3))/86400</s:f>
        <s:v>46247.56818287037</s:v>
      </s:c>
    </s:row>
    <s:row r="696">
      <s:c r="A696" s="0" t="n">
        <s:v>260813</s:v>
      </s:c>
      <s:c r="B696" s="0" t="inlineStr">
        <s:is>
          <s:t>이종훈</s:t>
        </s:is>
      </s:c>
      <s:c r="C696" s="0" t="n">
        <s:v>132639</s:v>
      </s:c>
      <s:c r="D696" s="0" t="n">
        <s:v>1323</s:v>
      </s:c>
      <s:c r="F696" s="24">
        <s:f>'자료구성'!$B$2+TIME(INT($C$3/10000),INT(MOD($C$3,10000)/100),MOD($C$3,100))+(ROW()-ROW($C$3))/86400</s:f>
        <s:v>46247.568194444444</s:v>
      </s:c>
    </s:row>
    <s:row r="697">
      <s:c r="A697" s="0" t="n">
        <s:v>260813</s:v>
      </s:c>
      <s:c r="B697" s="0" t="inlineStr">
        <s:is>
          <s:t>이종훈</s:t>
        </s:is>
      </s:c>
      <s:c r="C697" s="0" t="n">
        <s:v>132639</s:v>
      </s:c>
      <s:c r="D697" s="0" t="n">
        <s:v>1371</s:v>
      </s:c>
      <s:c r="F697" s="24">
        <s:f>'자료구성'!$B$2+TIME(INT($C$3/10000),INT(MOD($C$3,10000)/100),MOD($C$3,100))+(ROW()-ROW($C$3))/86400</s:f>
        <s:v>46247.56820601852</s:v>
      </s:c>
    </s:row>
    <s:row r="698">
      <s:c r="A698" s="0" t="n">
        <s:v>260813</s:v>
      </s:c>
      <s:c r="B698" s="0" t="inlineStr">
        <s:is>
          <s:t>이종훈</s:t>
        </s:is>
      </s:c>
      <s:c r="C698" s="0" t="n">
        <s:v>132639</s:v>
      </s:c>
      <s:c r="D698" s="0" t="n">
        <s:v>1391</s:v>
      </s:c>
      <s:c r="F698" s="24">
        <s:f>'자료구성'!$B$2+TIME(INT($C$3/10000),INT(MOD($C$3,10000)/100),MOD($C$3,100))+(ROW()-ROW($C$3))/86400</s:f>
        <s:v>46247.56821759259</s:v>
      </s:c>
    </s:row>
    <s:row r="699">
      <s:c r="A699" s="0" t="n">
        <s:v>260813</s:v>
      </s:c>
      <s:c r="B699" s="0" t="inlineStr">
        <s:is>
          <s:t>이종훈</s:t>
        </s:is>
      </s:c>
      <s:c r="C699" s="0" t="n">
        <s:v>132639</s:v>
      </s:c>
      <s:c r="D699" s="0" t="n">
        <s:v>1381</s:v>
      </s:c>
      <s:c r="F699" s="24">
        <s:f>'자료구성'!$B$2+TIME(INT($C$3/10000),INT(MOD($C$3,10000)/100),MOD($C$3,100))+(ROW()-ROW($C$3))/86400</s:f>
        <s:v>46247.56822916667</s:v>
      </s:c>
    </s:row>
    <s:row r="700">
      <s:c r="A700" s="0" t="n">
        <s:v>260813</s:v>
      </s:c>
      <s:c r="B700" s="0" t="inlineStr">
        <s:is>
          <s:t>이종훈</s:t>
        </s:is>
      </s:c>
      <s:c r="C700" s="0" t="n">
        <s:v>132639</s:v>
      </s:c>
      <s:c r="D700" s="0" t="n">
        <s:v>1410</s:v>
      </s:c>
      <s:c r="F700" s="24">
        <s:f>'자료구성'!$B$2+TIME(INT($C$3/10000),INT(MOD($C$3,10000)/100),MOD($C$3,100))+(ROW()-ROW($C$3))/86400</s:f>
        <s:v>46247.568240740744</s:v>
      </s:c>
    </s:row>
    <s:row r="701">
      <s:c r="A701" s="0" t="n">
        <s:v>260813</s:v>
      </s:c>
      <s:c r="B701" s="0" t="inlineStr">
        <s:is>
          <s:t>이종훈</s:t>
        </s:is>
      </s:c>
      <s:c r="C701" s="0" t="n">
        <s:v>132639</s:v>
      </s:c>
      <s:c r="D701" s="0" t="n">
        <s:v>1430</s:v>
      </s:c>
      <s:c r="F701" s="24">
        <s:f>'자료구성'!$B$2+TIME(INT($C$3/10000),INT(MOD($C$3,10000)/100),MOD($C$3,100))+(ROW()-ROW($C$3))/86400</s:f>
        <s:v>46247.56825231481</s:v>
      </s:c>
    </s:row>
    <s:row r="702">
      <s:c r="A702" s="0" t="n">
        <s:v>260813</s:v>
      </s:c>
      <s:c r="B702" s="0" t="inlineStr">
        <s:is>
          <s:t>이종훈</s:t>
        </s:is>
      </s:c>
      <s:c r="C702" s="0" t="n">
        <s:v>132639</s:v>
      </s:c>
      <s:c r="D702" s="0" t="n">
        <s:v>1452</s:v>
      </s:c>
      <s:c r="F702" s="24">
        <s:f>'자료구성'!$B$2+TIME(INT($C$3/10000),INT(MOD($C$3,10000)/100),MOD($C$3,100))+(ROW()-ROW($C$3))/86400</s:f>
        <s:v>46247.56826388889</s:v>
      </s:c>
    </s:row>
    <s:row r="703">
      <s:c r="A703" s="0" t="n">
        <s:v>260813</s:v>
      </s:c>
      <s:c r="B703" s="0" t="inlineStr">
        <s:is>
          <s:t>이종훈</s:t>
        </s:is>
      </s:c>
      <s:c r="C703" s="0" t="n">
        <s:v>132639</s:v>
      </s:c>
      <s:c r="D703" s="0" t="n">
        <s:v>1479</s:v>
      </s:c>
      <s:c r="F703" s="24">
        <s:f>'자료구성'!$B$2+TIME(INT($C$3/10000),INT(MOD($C$3,10000)/100),MOD($C$3,100))+(ROW()-ROW($C$3))/86400</s:f>
        <s:v>46247.56827546296</s:v>
      </s:c>
    </s:row>
    <s:row r="704">
      <s:c r="A704" s="0" t="n">
        <s:v>260813</s:v>
      </s:c>
      <s:c r="B704" s="0" t="inlineStr">
        <s:is>
          <s:t>이종훈</s:t>
        </s:is>
      </s:c>
      <s:c r="C704" s="0" t="n">
        <s:v>132639</s:v>
      </s:c>
      <s:c r="D704" s="0" t="n">
        <s:v>1482</s:v>
      </s:c>
      <s:c r="F704" s="24">
        <s:f>'자료구성'!$B$2+TIME(INT($C$3/10000),INT(MOD($C$3,10000)/100),MOD($C$3,100))+(ROW()-ROW($C$3))/86400</s:f>
        <s:v>46247.56828703704</s:v>
      </s:c>
    </s:row>
    <s:row r="705">
      <s:c r="A705" s="0" t="n">
        <s:v>260813</s:v>
      </s:c>
      <s:c r="B705" s="0" t="inlineStr">
        <s:is>
          <s:t>이종훈</s:t>
        </s:is>
      </s:c>
      <s:c r="C705" s="0" t="n">
        <s:v>132639</s:v>
      </s:c>
      <s:c r="D705" s="0" t="n">
        <s:v>1488</s:v>
      </s:c>
      <s:c r="F705" s="24">
        <s:f>'자료구성'!$B$2+TIME(INT($C$3/10000),INT(MOD($C$3,10000)/100),MOD($C$3,100))+(ROW()-ROW($C$3))/86400</s:f>
        <s:v>46247.56829861111</s:v>
      </s:c>
    </s:row>
    <s:row r="706">
      <s:c r="A706" s="0" t="n">
        <s:v>260813</s:v>
      </s:c>
      <s:c r="B706" s="0" t="inlineStr">
        <s:is>
          <s:t>이종훈</s:t>
        </s:is>
      </s:c>
      <s:c r="C706" s="0" t="n">
        <s:v>132639</s:v>
      </s:c>
      <s:c r="D706" s="0" t="n">
        <s:v>1498</s:v>
      </s:c>
      <s:c r="F706" s="24">
        <s:f>'자료구성'!$B$2+TIME(INT($C$3/10000),INT(MOD($C$3,10000)/100),MOD($C$3,100))+(ROW()-ROW($C$3))/86400</s:f>
        <s:v>46247.56831018518</s:v>
      </s:c>
    </s:row>
    <s:row r="707">
      <s:c r="A707" s="0" t="n">
        <s:v>260813</s:v>
      </s:c>
      <s:c r="B707" s="0" t="inlineStr">
        <s:is>
          <s:t>이종훈</s:t>
        </s:is>
      </s:c>
      <s:c r="C707" s="0" t="n">
        <s:v>132639</s:v>
      </s:c>
      <s:c r="D707" s="0" t="n">
        <s:v>1529</s:v>
      </s:c>
      <s:c r="F707" s="24">
        <s:f>'자료구성'!$B$2+TIME(INT($C$3/10000),INT(MOD($C$3,10000)/100),MOD($C$3,100))+(ROW()-ROW($C$3))/86400</s:f>
        <s:v>46247.56832175926</s:v>
      </s:c>
    </s:row>
    <s:row r="708">
      <s:c r="A708" s="0" t="n">
        <s:v>260813</s:v>
      </s:c>
      <s:c r="B708" s="0" t="inlineStr">
        <s:is>
          <s:t>이종훈</s:t>
        </s:is>
      </s:c>
      <s:c r="C708" s="0" t="n">
        <s:v>132639</s:v>
      </s:c>
      <s:c r="D708" s="0" t="n">
        <s:v>1553</s:v>
      </s:c>
      <s:c r="F708" s="24">
        <s:f>'자료구성'!$B$2+TIME(INT($C$3/10000),INT(MOD($C$3,10000)/100),MOD($C$3,100))+(ROW()-ROW($C$3))/86400</s:f>
        <s:v>46247.568333333336</s:v>
      </s:c>
    </s:row>
    <s:row r="709">
      <s:c r="A709" s="0" t="n">
        <s:v>260813</s:v>
      </s:c>
      <s:c r="B709" s="0" t="inlineStr">
        <s:is>
          <s:t>이종훈</s:t>
        </s:is>
      </s:c>
      <s:c r="C709" s="0" t="n">
        <s:v>132639</s:v>
      </s:c>
      <s:c r="D709" s="0" t="n">
        <s:v>1584</s:v>
      </s:c>
      <s:c r="F709" s="24">
        <s:f>'자료구성'!$B$2+TIME(INT($C$3/10000),INT(MOD($C$3,10000)/100),MOD($C$3,100))+(ROW()-ROW($C$3))/86400</s:f>
        <s:v>46247.568344907406</s:v>
      </s:c>
    </s:row>
    <s:row r="710">
      <s:c r="A710" s="0" t="n">
        <s:v>260813</s:v>
      </s:c>
      <s:c r="B710" s="0" t="inlineStr">
        <s:is>
          <s:t>이종훈</s:t>
        </s:is>
      </s:c>
      <s:c r="C710" s="0" t="n">
        <s:v>132639</s:v>
      </s:c>
      <s:c r="D710" s="0" t="n">
        <s:v>1624</s:v>
      </s:c>
      <s:c r="F710" s="24">
        <s:f>'자료구성'!$B$2+TIME(INT($C$3/10000),INT(MOD($C$3,10000)/100),MOD($C$3,100))+(ROW()-ROW($C$3))/86400</s:f>
        <s:v>46247.56835648148</s:v>
      </s:c>
    </s:row>
    <s:row r="711">
      <s:c r="A711" s="0" t="n">
        <s:v>260813</s:v>
      </s:c>
      <s:c r="B711" s="0" t="inlineStr">
        <s:is>
          <s:t>이종훈</s:t>
        </s:is>
      </s:c>
      <s:c r="C711" s="0" t="n">
        <s:v>132639</s:v>
      </s:c>
      <s:c r="D711" s="0" t="n">
        <s:v>1664</s:v>
      </s:c>
      <s:c r="F711" s="24">
        <s:f>'자료구성'!$B$2+TIME(INT($C$3/10000),INT(MOD($C$3,10000)/100),MOD($C$3,100))+(ROW()-ROW($C$3))/86400</s:f>
        <s:v>46247.56836805555</s:v>
      </s:c>
    </s:row>
    <s:row r="712">
      <s:c r="A712" s="0" t="n">
        <s:v>260813</s:v>
      </s:c>
      <s:c r="B712" s="0" t="inlineStr">
        <s:is>
          <s:t>이종훈</s:t>
        </s:is>
      </s:c>
      <s:c r="C712" s="0" t="n">
        <s:v>132639</s:v>
      </s:c>
      <s:c r="D712" s="0" t="n">
        <s:v>1701</s:v>
      </s:c>
      <s:c r="F712" s="24">
        <s:f>'자료구성'!$B$2+TIME(INT($C$3/10000),INT(MOD($C$3,10000)/100),MOD($C$3,100))+(ROW()-ROW($C$3))/86400</s:f>
        <s:v>46247.56837962963</s:v>
      </s:c>
    </s:row>
    <s:row r="713">
      <s:c r="A713" s="0" t="n">
        <s:v>260813</s:v>
      </s:c>
      <s:c r="B713" s="0" t="inlineStr">
        <s:is>
          <s:t>이종훈</s:t>
        </s:is>
      </s:c>
      <s:c r="C713" s="0" t="n">
        <s:v>132639</s:v>
      </s:c>
      <s:c r="D713" s="0" t="n">
        <s:v>1724</s:v>
      </s:c>
      <s:c r="F713" s="24">
        <s:f>'자료구성'!$B$2+TIME(INT($C$3/10000),INT(MOD($C$3,10000)/100),MOD($C$3,100))+(ROW()-ROW($C$3))/86400</s:f>
        <s:v>46247.568391203706</s:v>
      </s:c>
    </s:row>
    <s:row r="714">
      <s:c r="A714" s="0" t="n">
        <s:v>260813</s:v>
      </s:c>
      <s:c r="B714" s="0" t="inlineStr">
        <s:is>
          <s:t>이종훈</s:t>
        </s:is>
      </s:c>
      <s:c r="C714" s="0" t="n">
        <s:v>132639</s:v>
      </s:c>
      <s:c r="D714" s="0" t="n">
        <s:v>1733</s:v>
      </s:c>
      <s:c r="F714" s="24">
        <s:f>'자료구성'!$B$2+TIME(INT($C$3/10000),INT(MOD($C$3,10000)/100),MOD($C$3,100))+(ROW()-ROW($C$3))/86400</s:f>
        <s:v>46247.568402777775</s:v>
      </s:c>
    </s:row>
    <s:row r="715">
      <s:c r="A715" s="0" t="n">
        <s:v>260813</s:v>
      </s:c>
      <s:c r="B715" s="0" t="inlineStr">
        <s:is>
          <s:t>이종훈</s:t>
        </s:is>
      </s:c>
      <s:c r="C715" s="0" t="n">
        <s:v>132639</s:v>
      </s:c>
      <s:c r="D715" s="0" t="n">
        <s:v>1735</s:v>
      </s:c>
      <s:c r="F715" s="24">
        <s:f>'자료구성'!$B$2+TIME(INT($C$3/10000),INT(MOD($C$3,10000)/100),MOD($C$3,100))+(ROW()-ROW($C$3))/86400</s:f>
        <s:v>46247.56841435185</s:v>
      </s:c>
    </s:row>
    <s:row r="716">
      <s:c r="A716" s="0" t="n">
        <s:v>260813</s:v>
      </s:c>
      <s:c r="B716" s="0" t="inlineStr">
        <s:is>
          <s:t>이종훈</s:t>
        </s:is>
      </s:c>
      <s:c r="C716" s="0" t="n">
        <s:v>132639</s:v>
      </s:c>
      <s:c r="D716" s="0" t="n">
        <s:v>1752</s:v>
      </s:c>
      <s:c r="F716" s="24">
        <s:f>'자료구성'!$B$2+TIME(INT($C$3/10000),INT(MOD($C$3,10000)/100),MOD($C$3,100))+(ROW()-ROW($C$3))/86400</s:f>
        <s:v>46247.56842592593</s:v>
      </s:c>
    </s:row>
    <s:row r="717">
      <s:c r="A717" s="0" t="n">
        <s:v>260813</s:v>
      </s:c>
      <s:c r="B717" s="0" t="inlineStr">
        <s:is>
          <s:t>이종훈</s:t>
        </s:is>
      </s:c>
      <s:c r="C717" s="0" t="n">
        <s:v>132639</s:v>
      </s:c>
      <s:c r="D717" s="0" t="n">
        <s:v>1788</s:v>
      </s:c>
      <s:c r="F717" s="24">
        <s:f>'자료구성'!$B$2+TIME(INT($C$3/10000),INT(MOD($C$3,10000)/100),MOD($C$3,100))+(ROW()-ROW($C$3))/86400</s:f>
        <s:v>46247.5684375</s:v>
      </s:c>
    </s:row>
    <s:row r="718">
      <s:c r="A718" s="0" t="n">
        <s:v>260813</s:v>
      </s:c>
      <s:c r="B718" s="0" t="inlineStr">
        <s:is>
          <s:t>이종훈</s:t>
        </s:is>
      </s:c>
      <s:c r="C718" s="0" t="n">
        <s:v>132639</s:v>
      </s:c>
      <s:c r="D718" s="0" t="n">
        <s:v>1802</s:v>
      </s:c>
      <s:c r="F718" s="24">
        <s:f>'자료구성'!$B$2+TIME(INT($C$3/10000),INT(MOD($C$3,10000)/100),MOD($C$3,100))+(ROW()-ROW($C$3))/86400</s:f>
        <s:v>46247.568449074075</s:v>
      </s:c>
    </s:row>
    <s:row r="719">
      <s:c r="A719" s="0" t="n">
        <s:v>260813</s:v>
      </s:c>
      <s:c r="B719" s="0" t="inlineStr">
        <s:is>
          <s:t>이종훈</s:t>
        </s:is>
      </s:c>
      <s:c r="C719" s="0" t="n">
        <s:v>132639</s:v>
      </s:c>
      <s:c r="D719" s="0" t="n">
        <s:v>1830</s:v>
      </s:c>
      <s:c r="F719" s="24">
        <s:f>'자료구성'!$B$2+TIME(INT($C$3/10000),INT(MOD($C$3,10000)/100),MOD($C$3,100))+(ROW()-ROW($C$3))/86400</s:f>
        <s:v>46247.568460648145</s:v>
      </s:c>
    </s:row>
    <s:row r="720">
      <s:c r="A720" s="0" t="n">
        <s:v>260813</s:v>
      </s:c>
      <s:c r="B720" s="0" t="inlineStr">
        <s:is>
          <s:t>이종훈</s:t>
        </s:is>
      </s:c>
      <s:c r="C720" s="0" t="n">
        <s:v>132639</s:v>
      </s:c>
      <s:c r="D720" s="0" t="n">
        <s:v>1863</s:v>
      </s:c>
      <s:c r="F720" s="24">
        <s:f>'자료구성'!$B$2+TIME(INT($C$3/10000),INT(MOD($C$3,10000)/100),MOD($C$3,100))+(ROW()-ROW($C$3))/86400</s:f>
        <s:v>46247.56847222222</s:v>
      </s:c>
    </s:row>
    <s:row r="721">
      <s:c r="A721" s="0" t="n">
        <s:v>260813</s:v>
      </s:c>
      <s:c r="B721" s="0" t="inlineStr">
        <s:is>
          <s:t>이종훈</s:t>
        </s:is>
      </s:c>
      <s:c r="C721" s="0" t="n">
        <s:v>132639</s:v>
      </s:c>
      <s:c r="D721" s="0" t="n">
        <s:v>1910</s:v>
      </s:c>
      <s:c r="F721" s="24">
        <s:f>'자료구성'!$B$2+TIME(INT($C$3/10000),INT(MOD($C$3,10000)/100),MOD($C$3,100))+(ROW()-ROW($C$3))/86400</s:f>
        <s:v>46247.5684837963</s:v>
      </s:c>
    </s:row>
    <s:row r="722">
      <s:c r="A722" s="0" t="n">
        <s:v>260813</s:v>
      </s:c>
      <s:c r="B722" s="0" t="inlineStr">
        <s:is>
          <s:t>이종훈</s:t>
        </s:is>
      </s:c>
      <s:c r="C722" s="0" t="n">
        <s:v>132639</s:v>
      </s:c>
      <s:c r="D722" s="0" t="n">
        <s:v>1919</s:v>
      </s:c>
      <s:c r="F722" s="24">
        <s:f>'자료구성'!$B$2+TIME(INT($C$3/10000),INT(MOD($C$3,10000)/100),MOD($C$3,100))+(ROW()-ROW($C$3))/86400</s:f>
        <s:v>46247.56849537037</s:v>
      </s:c>
    </s:row>
    <s:row r="723">
      <s:c r="A723" s="0" t="n">
        <s:v>260813</s:v>
      </s:c>
      <s:c r="B723" s="0" t="inlineStr">
        <s:is>
          <s:t>이종훈</s:t>
        </s:is>
      </s:c>
      <s:c r="C723" s="0" t="n">
        <s:v>132639</s:v>
      </s:c>
      <s:c r="D723" s="0" t="n">
        <s:v>1923</s:v>
      </s:c>
      <s:c r="F723" s="24">
        <s:f>'자료구성'!$B$2+TIME(INT($C$3/10000),INT(MOD($C$3,10000)/100),MOD($C$3,100))+(ROW()-ROW($C$3))/86400</s:f>
        <s:v>46247.568506944444</s:v>
      </s:c>
    </s:row>
    <s:row r="724">
      <s:c r="A724" s="0" t="n">
        <s:v>260813</s:v>
      </s:c>
      <s:c r="B724" s="0" t="inlineStr">
        <s:is>
          <s:t>이종훈</s:t>
        </s:is>
      </s:c>
      <s:c r="C724" s="0" t="n">
        <s:v>132639</s:v>
      </s:c>
      <s:c r="D724" s="0" t="n">
        <s:v>1913</s:v>
      </s:c>
      <s:c r="F724" s="24">
        <s:f>'자료구성'!$B$2+TIME(INT($C$3/10000),INT(MOD($C$3,10000)/100),MOD($C$3,100))+(ROW()-ROW($C$3))/86400</s:f>
        <s:v>46247.56851851852</s:v>
      </s:c>
    </s:row>
    <s:row r="725">
      <s:c r="A725" s="0" t="n">
        <s:v>260813</s:v>
      </s:c>
      <s:c r="B725" s="0" t="inlineStr">
        <s:is>
          <s:t>이종훈</s:t>
        </s:is>
      </s:c>
      <s:c r="C725" s="0" t="n">
        <s:v>132639</s:v>
      </s:c>
      <s:c r="D725" s="0" t="n">
        <s:v>1918</s:v>
      </s:c>
      <s:c r="F725" s="24">
        <s:f>'자료구성'!$B$2+TIME(INT($C$3/10000),INT(MOD($C$3,10000)/100),MOD($C$3,100))+(ROW()-ROW($C$3))/86400</s:f>
        <s:v>46247.56853009259</s:v>
      </s:c>
    </s:row>
    <s:row r="726">
      <s:c r="A726" s="0" t="n">
        <s:v>260813</s:v>
      </s:c>
      <s:c r="B726" s="0" t="inlineStr">
        <s:is>
          <s:t>이종훈</s:t>
        </s:is>
      </s:c>
      <s:c r="C726" s="0" t="n">
        <s:v>132639</s:v>
      </s:c>
      <s:c r="D726" s="0" t="n">
        <s:v>1916</s:v>
      </s:c>
      <s:c r="F726" s="24">
        <s:f>'자료구성'!$B$2+TIME(INT($C$3/10000),INT(MOD($C$3,10000)/100),MOD($C$3,100))+(ROW()-ROW($C$3))/86400</s:f>
        <s:v>46247.56854166667</s:v>
      </s:c>
    </s:row>
    <s:row r="727">
      <s:c r="A727" s="0" t="n">
        <s:v>260813</s:v>
      </s:c>
      <s:c r="B727" s="0" t="inlineStr">
        <s:is>
          <s:t>이종훈</s:t>
        </s:is>
      </s:c>
      <s:c r="C727" s="0" t="n">
        <s:v>132639</s:v>
      </s:c>
      <s:c r="D727" s="0" t="n">
        <s:v>1923</s:v>
      </s:c>
      <s:c r="F727" s="24">
        <s:f>'자료구성'!$B$2+TIME(INT($C$3/10000),INT(MOD($C$3,10000)/100),MOD($C$3,100))+(ROW()-ROW($C$3))/86400</s:f>
        <s:v>46247.568553240744</s:v>
      </s:c>
    </s:row>
    <s:row r="728">
      <s:c r="A728" s="0" t="n">
        <s:v>260813</s:v>
      </s:c>
      <s:c r="B728" s="0" t="inlineStr">
        <s:is>
          <s:t>이종훈</s:t>
        </s:is>
      </s:c>
      <s:c r="C728" s="0" t="n">
        <s:v>132639</s:v>
      </s:c>
      <s:c r="D728" s="0" t="n">
        <s:v>1919</s:v>
      </s:c>
      <s:c r="F728" s="24">
        <s:f>'자료구성'!$B$2+TIME(INT($C$3/10000),INT(MOD($C$3,10000)/100),MOD($C$3,100))+(ROW()-ROW($C$3))/86400</s:f>
        <s:v>46247.568564814814</s:v>
      </s:c>
    </s:row>
    <s:row r="729">
      <s:c r="A729" s="0" t="n">
        <s:v>260813</s:v>
      </s:c>
      <s:c r="B729" s="0" t="inlineStr">
        <s:is>
          <s:t>이종훈</s:t>
        </s:is>
      </s:c>
      <s:c r="C729" s="0" t="n">
        <s:v>132639</s:v>
      </s:c>
      <s:c r="D729" s="0" t="n">
        <s:v>1903</s:v>
      </s:c>
      <s:c r="F729" s="24">
        <s:f>'자료구성'!$B$2+TIME(INT($C$3/10000),INT(MOD($C$3,10000)/100),MOD($C$3,100))+(ROW()-ROW($C$3))/86400</s:f>
        <s:v>46247.56857638889</s:v>
      </s:c>
    </s:row>
    <s:row r="730">
      <s:c r="A730" s="0" t="n">
        <s:v>260813</s:v>
      </s:c>
      <s:c r="B730" s="0" t="inlineStr">
        <s:is>
          <s:t>이종훈</s:t>
        </s:is>
      </s:c>
      <s:c r="C730" s="0" t="n">
        <s:v>132639</s:v>
      </s:c>
      <s:c r="D730" s="0" t="n">
        <s:v>1889</s:v>
      </s:c>
      <s:c r="F730" s="24">
        <s:f>'자료구성'!$B$2+TIME(INT($C$3/10000),INT(MOD($C$3,10000)/100),MOD($C$3,100))+(ROW()-ROW($C$3))/86400</s:f>
        <s:v>46247.56858796296</s:v>
      </s:c>
    </s:row>
    <s:row r="731">
      <s:c r="A731" s="0" t="n">
        <s:v>260813</s:v>
      </s:c>
      <s:c r="B731" s="0" t="inlineStr">
        <s:is>
          <s:t>이종훈</s:t>
        </s:is>
      </s:c>
      <s:c r="C731" s="0" t="n">
        <s:v>132639</s:v>
      </s:c>
      <s:c r="D731" s="0" t="n">
        <s:v>1872</s:v>
      </s:c>
      <s:c r="F731" s="24">
        <s:f>'자료구성'!$B$2+TIME(INT($C$3/10000),INT(MOD($C$3,10000)/100),MOD($C$3,100))+(ROW()-ROW($C$3))/86400</s:f>
        <s:v>46247.56859953704</s:v>
      </s:c>
    </s:row>
    <s:row r="732">
      <s:c r="A732" s="0" t="n">
        <s:v>260813</s:v>
      </s:c>
      <s:c r="B732" s="0" t="inlineStr">
        <s:is>
          <s:t>이종훈</s:t>
        </s:is>
      </s:c>
      <s:c r="C732" s="0" t="n">
        <s:v>132639</s:v>
      </s:c>
      <s:c r="D732" s="0" t="n">
        <s:v>1852</s:v>
      </s:c>
      <s:c r="F732" s="24">
        <s:f>'자료구성'!$B$2+TIME(INT($C$3/10000),INT(MOD($C$3,10000)/100),MOD($C$3,100))+(ROW()-ROW($C$3))/86400</s:f>
        <s:v>46247.56861111111</s:v>
      </s:c>
    </s:row>
    <s:row r="733">
      <s:c r="A733" s="0" t="n">
        <s:v>260813</s:v>
      </s:c>
      <s:c r="B733" s="0" t="inlineStr">
        <s:is>
          <s:t>이종훈</s:t>
        </s:is>
      </s:c>
      <s:c r="C733" s="0" t="n">
        <s:v>132639</s:v>
      </s:c>
      <s:c r="D733" s="0" t="n">
        <s:v>1879</s:v>
      </s:c>
      <s:c r="F733" s="24">
        <s:f>'자료구성'!$B$2+TIME(INT($C$3/10000),INT(MOD($C$3,10000)/100),MOD($C$3,100))+(ROW()-ROW($C$3))/86400</s:f>
        <s:v>46247.56862268518</s:v>
      </s:c>
    </s:row>
    <s:row r="734">
      <s:c r="A734" s="0" t="n">
        <s:v>260813</s:v>
      </s:c>
      <s:c r="B734" s="0" t="inlineStr">
        <s:is>
          <s:t>이종훈</s:t>
        </s:is>
      </s:c>
      <s:c r="C734" s="0" t="n">
        <s:v>132639</s:v>
      </s:c>
      <s:c r="D734" s="0" t="n">
        <s:v>1903</s:v>
      </s:c>
      <s:c r="F734" s="24">
        <s:f>'자료구성'!$B$2+TIME(INT($C$3/10000),INT(MOD($C$3,10000)/100),MOD($C$3,100))+(ROW()-ROW($C$3))/86400</s:f>
        <s:v>46247.56863425926</s:v>
      </s:c>
    </s:row>
    <s:row r="735">
      <s:c r="A735" s="0" t="n">
        <s:v>260813</s:v>
      </s:c>
      <s:c r="B735" s="0" t="inlineStr">
        <s:is>
          <s:t>이종훈</s:t>
        </s:is>
      </s:c>
      <s:c r="C735" s="0" t="n">
        <s:v>132639</s:v>
      </s:c>
      <s:c r="D735" s="0" t="n">
        <s:v>1934</s:v>
      </s:c>
      <s:c r="F735" s="24">
        <s:f>'자료구성'!$B$2+TIME(INT($C$3/10000),INT(MOD($C$3,10000)/100),MOD($C$3,100))+(ROW()-ROW($C$3))/86400</s:f>
        <s:v>46247.56864583334</s:v>
      </s:c>
    </s:row>
    <s:row r="736">
      <s:c r="A736" s="0" t="n">
        <s:v>260813</s:v>
      </s:c>
      <s:c r="B736" s="0" t="inlineStr">
        <s:is>
          <s:t>이종훈</s:t>
        </s:is>
      </s:c>
      <s:c r="C736" s="0" t="n">
        <s:v>132639</s:v>
      </s:c>
      <s:c r="D736" s="0" t="n">
        <s:v>1930</s:v>
      </s:c>
      <s:c r="F736" s="24">
        <s:f>'자료구성'!$B$2+TIME(INT($C$3/10000),INT(MOD($C$3,10000)/100),MOD($C$3,100))+(ROW()-ROW($C$3))/86400</s:f>
        <s:v>46247.568657407406</s:v>
      </s:c>
    </s:row>
    <s:row r="737">
      <s:c r="A737" s="0" t="n">
        <s:v>260813</s:v>
      </s:c>
      <s:c r="B737" s="0" t="inlineStr">
        <s:is>
          <s:t>이종훈</s:t>
        </s:is>
      </s:c>
      <s:c r="C737" s="0" t="n">
        <s:v>132639</s:v>
      </s:c>
      <s:c r="D737" s="0" t="n">
        <s:v>1914</s:v>
      </s:c>
      <s:c r="F737" s="24">
        <s:f>'자료구성'!$B$2+TIME(INT($C$3/10000),INT(MOD($C$3,10000)/100),MOD($C$3,100))+(ROW()-ROW($C$3))/86400</s:f>
        <s:v>46247.56866898148</s:v>
      </s:c>
    </s:row>
    <s:row r="738">
      <s:c r="A738" s="0" t="n">
        <s:v>260813</s:v>
      </s:c>
      <s:c r="B738" s="0" t="inlineStr">
        <s:is>
          <s:t>이종훈</s:t>
        </s:is>
      </s:c>
      <s:c r="C738" s="0" t="n">
        <s:v>132639</s:v>
      </s:c>
      <s:c r="D738" s="0" t="n">
        <s:v>1911</s:v>
      </s:c>
      <s:c r="F738" s="24">
        <s:f>'자료구성'!$B$2+TIME(INT($C$3/10000),INT(MOD($C$3,10000)/100),MOD($C$3,100))+(ROW()-ROW($C$3))/86400</s:f>
        <s:v>46247.56868055555</s:v>
      </s:c>
    </s:row>
    <s:row r="739">
      <s:c r="A739" s="0" t="n">
        <s:v>260813</s:v>
      </s:c>
      <s:c r="B739" s="0" t="inlineStr">
        <s:is>
          <s:t>이종훈</s:t>
        </s:is>
      </s:c>
      <s:c r="C739" s="0" t="n">
        <s:v>132639</s:v>
      </s:c>
      <s:c r="D739" s="0" t="n">
        <s:v>1910</s:v>
      </s:c>
      <s:c r="F739" s="24">
        <s:f>'자료구성'!$B$2+TIME(INT($C$3/10000),INT(MOD($C$3,10000)/100),MOD($C$3,100))+(ROW()-ROW($C$3))/86400</s:f>
        <s:v>46247.56869212963</s:v>
      </s:c>
    </s:row>
    <s:row r="740">
      <s:c r="A740" s="0" t="n">
        <s:v>260813</s:v>
      </s:c>
      <s:c r="B740" s="0" t="inlineStr">
        <s:is>
          <s:t>이종훈</s:t>
        </s:is>
      </s:c>
      <s:c r="C740" s="0" t="n">
        <s:v>132639</s:v>
      </s:c>
      <s:c r="D740" s="0" t="n">
        <s:v>1900</s:v>
      </s:c>
      <s:c r="F740" s="24">
        <s:f>'자료구성'!$B$2+TIME(INT($C$3/10000),INT(MOD($C$3,10000)/100),MOD($C$3,100))+(ROW()-ROW($C$3))/86400</s:f>
        <s:v>46247.568703703706</s:v>
      </s:c>
    </s:row>
    <s:row r="741">
      <s:c r="A741" s="0" t="n">
        <s:v>260813</s:v>
      </s:c>
      <s:c r="B741" s="0" t="inlineStr">
        <s:is>
          <s:t>이종훈</s:t>
        </s:is>
      </s:c>
      <s:c r="C741" s="0" t="n">
        <s:v>132639</s:v>
      </s:c>
      <s:c r="D741" s="0" t="n">
        <s:v>1892</s:v>
      </s:c>
      <s:c r="F741" s="24">
        <s:f>'자료구성'!$B$2+TIME(INT($C$3/10000),INT(MOD($C$3,10000)/100),MOD($C$3,100))+(ROW()-ROW($C$3))/86400</s:f>
        <s:v>46247.568715277775</s:v>
      </s:c>
    </s:row>
    <s:row r="742">
      <s:c r="A742" s="0" t="n">
        <s:v>260813</s:v>
      </s:c>
      <s:c r="B742" s="0" t="inlineStr">
        <s:is>
          <s:t>이종훈</s:t>
        </s:is>
      </s:c>
      <s:c r="C742" s="0" t="n">
        <s:v>132639</s:v>
      </s:c>
      <s:c r="D742" s="0" t="n">
        <s:v>1912</s:v>
      </s:c>
      <s:c r="F742" s="24">
        <s:f>'자료구성'!$B$2+TIME(INT($C$3/10000),INT(MOD($C$3,10000)/100),MOD($C$3,100))+(ROW()-ROW($C$3))/86400</s:f>
        <s:v>46247.56872685185</s:v>
      </s:c>
    </s:row>
    <s:row r="743">
      <s:c r="A743" s="0" t="n">
        <s:v>260813</s:v>
      </s:c>
      <s:c r="B743" s="0" t="inlineStr">
        <s:is>
          <s:t>이종훈</s:t>
        </s:is>
      </s:c>
      <s:c r="C743" s="0" t="n">
        <s:v>132639</s:v>
      </s:c>
      <s:c r="D743" s="0" t="n">
        <s:v>1977</s:v>
      </s:c>
      <s:c r="F743" s="24">
        <s:f>'자료구성'!$B$2+TIME(INT($C$3/10000),INT(MOD($C$3,10000)/100),MOD($C$3,100))+(ROW()-ROW($C$3))/86400</s:f>
        <s:v>46247.56873842593</s:v>
      </s:c>
    </s:row>
    <s:row r="744">
      <s:c r="A744" s="0" t="n">
        <s:v>260813</s:v>
      </s:c>
      <s:c r="B744" s="0" t="inlineStr">
        <s:is>
          <s:t>이종훈</s:t>
        </s:is>
      </s:c>
      <s:c r="C744" s="0" t="n">
        <s:v>132639</s:v>
      </s:c>
      <s:c r="D744" s="0" t="n">
        <s:v>2003</s:v>
      </s:c>
      <s:c r="F744" s="24">
        <s:f>'자료구성'!$B$2+TIME(INT($C$3/10000),INT(MOD($C$3,10000)/100),MOD($C$3,100))+(ROW()-ROW($C$3))/86400</s:f>
        <s:v>46247.56875</s:v>
      </s:c>
    </s:row>
    <s:row r="745">
      <s:c r="A745" s="0" t="n">
        <s:v>260813</s:v>
      </s:c>
      <s:c r="B745" s="0" t="inlineStr">
        <s:is>
          <s:t>이종훈</s:t>
        </s:is>
      </s:c>
      <s:c r="C745" s="0" t="n">
        <s:v>132639</s:v>
      </s:c>
      <s:c r="D745" s="0" t="n">
        <s:v>2015</s:v>
      </s:c>
      <s:c r="F745" s="24">
        <s:f>'자료구성'!$B$2+TIME(INT($C$3/10000),INT(MOD($C$3,10000)/100),MOD($C$3,100))+(ROW()-ROW($C$3))/86400</s:f>
        <s:v>46247.568761574075</s:v>
      </s:c>
    </s:row>
    <s:row r="746">
      <s:c r="A746" s="0" t="n">
        <s:v>260813</s:v>
      </s:c>
      <s:c r="B746" s="0" t="inlineStr">
        <s:is>
          <s:t>이종훈</s:t>
        </s:is>
      </s:c>
      <s:c r="C746" s="0" t="n">
        <s:v>132639</s:v>
      </s:c>
      <s:c r="D746" s="0" t="n">
        <s:v>2056</s:v>
      </s:c>
      <s:c r="F746" s="24">
        <s:f>'자료구성'!$B$2+TIME(INT($C$3/10000),INT(MOD($C$3,10000)/100),MOD($C$3,100))+(ROW()-ROW($C$3))/86400</s:f>
        <s:v>46247.568773148145</s:v>
      </s:c>
    </s:row>
    <s:row r="747">
      <s:c r="A747" s="0" t="n">
        <s:v>260813</s:v>
      </s:c>
      <s:c r="B747" s="0" t="inlineStr">
        <s:is>
          <s:t>이종훈</s:t>
        </s:is>
      </s:c>
      <s:c r="C747" s="0" t="n">
        <s:v>132639</s:v>
      </s:c>
      <s:c r="D747" s="0" t="n">
        <s:v>2110</s:v>
      </s:c>
      <s:c r="F747" s="24">
        <s:f>'자료구성'!$B$2+TIME(INT($C$3/10000),INT(MOD($C$3,10000)/100),MOD($C$3,100))+(ROW()-ROW($C$3))/86400</s:f>
        <s:v>46247.56878472222</s:v>
      </s:c>
    </s:row>
    <s:row r="748">
      <s:c r="A748" s="0" t="n">
        <s:v>260813</s:v>
      </s:c>
      <s:c r="B748" s="0" t="inlineStr">
        <s:is>
          <s:t>이종훈</s:t>
        </s:is>
      </s:c>
      <s:c r="C748" s="0" t="n">
        <s:v>132639</s:v>
      </s:c>
      <s:c r="D748" s="0" t="n">
        <s:v>2106</s:v>
      </s:c>
      <s:c r="F748" s="24">
        <s:f>'자료구성'!$B$2+TIME(INT($C$3/10000),INT(MOD($C$3,10000)/100),MOD($C$3,100))+(ROW()-ROW($C$3))/86400</s:f>
        <s:v>46247.5687962963</s:v>
      </s:c>
    </s:row>
    <s:row r="749">
      <s:c r="A749" s="0" t="n">
        <s:v>260813</s:v>
      </s:c>
      <s:c r="B749" s="0" t="inlineStr">
        <s:is>
          <s:t>이종훈</s:t>
        </s:is>
      </s:c>
      <s:c r="C749" s="0" t="n">
        <s:v>132639</s:v>
      </s:c>
      <s:c r="D749" s="0" t="n">
        <s:v>2110</s:v>
      </s:c>
      <s:c r="F749" s="24">
        <s:f>'자료구성'!$B$2+TIME(INT($C$3/10000),INT(MOD($C$3,10000)/100),MOD($C$3,100))+(ROW()-ROW($C$3))/86400</s:f>
        <s:v>46247.56880787037</s:v>
      </s:c>
    </s:row>
    <s:row r="750">
      <s:c r="A750" s="0" t="n">
        <s:v>260813</s:v>
      </s:c>
      <s:c r="B750" s="0" t="inlineStr">
        <s:is>
          <s:t>이종훈</s:t>
        </s:is>
      </s:c>
      <s:c r="C750" s="0" t="n">
        <s:v>132639</s:v>
      </s:c>
      <s:c r="D750" s="0" t="n">
        <s:v>2126</s:v>
      </s:c>
      <s:c r="F750" s="24">
        <s:f>'자료구성'!$B$2+TIME(INT($C$3/10000),INT(MOD($C$3,10000)/100),MOD($C$3,100))+(ROW()-ROW($C$3))/86400</s:f>
        <s:v>46247.568819444445</s:v>
      </s:c>
    </s:row>
    <s:row r="751">
      <s:c r="A751" s="0" t="n">
        <s:v>260813</s:v>
      </s:c>
      <s:c r="B751" s="0" t="inlineStr">
        <s:is>
          <s:t>이종훈</s:t>
        </s:is>
      </s:c>
      <s:c r="C751" s="0" t="n">
        <s:v>132639</s:v>
      </s:c>
      <s:c r="D751" s="0" t="n">
        <s:v>2174</s:v>
      </s:c>
      <s:c r="F751" s="24">
        <s:f>'자료구성'!$B$2+TIME(INT($C$3/10000),INT(MOD($C$3,10000)/100),MOD($C$3,100))+(ROW()-ROW($C$3))/86400</s:f>
        <s:v>46247.56883101852</s:v>
      </s:c>
    </s:row>
    <s:row r="752">
      <s:c r="A752" s="0" t="n">
        <s:v>260813</s:v>
      </s:c>
      <s:c r="B752" s="0" t="inlineStr">
        <s:is>
          <s:t>이종훈</s:t>
        </s:is>
      </s:c>
      <s:c r="C752" s="0" t="n">
        <s:v>132639</s:v>
      </s:c>
      <s:c r="D752" s="0" t="n">
        <s:v>2173</s:v>
      </s:c>
      <s:c r="F752" s="24">
        <s:f>'자료구성'!$B$2+TIME(INT($C$3/10000),INT(MOD($C$3,10000)/100),MOD($C$3,100))+(ROW()-ROW($C$3))/86400</s:f>
        <s:v>46247.56884259259</s:v>
      </s:c>
    </s:row>
    <s:row r="753">
      <s:c r="A753" s="0" t="n">
        <s:v>260813</s:v>
      </s:c>
      <s:c r="B753" s="0" t="inlineStr">
        <s:is>
          <s:t>이종훈</s:t>
        </s:is>
      </s:c>
      <s:c r="C753" s="0" t="n">
        <s:v>132639</s:v>
      </s:c>
      <s:c r="D753" s="0" t="n">
        <s:v>2175</s:v>
      </s:c>
      <s:c r="F753" s="24">
        <s:f>'자료구성'!$B$2+TIME(INT($C$3/10000),INT(MOD($C$3,10000)/100),MOD($C$3,100))+(ROW()-ROW($C$3))/86400</s:f>
        <s:v>46247.56885416667</s:v>
      </s:c>
    </s:row>
    <s:row r="754">
      <s:c r="A754" s="0" t="n">
        <s:v>260813</s:v>
      </s:c>
      <s:c r="B754" s="0" t="inlineStr">
        <s:is>
          <s:t>이종훈</s:t>
        </s:is>
      </s:c>
      <s:c r="C754" s="0" t="n">
        <s:v>132639</s:v>
      </s:c>
      <s:c r="D754" s="0" t="n">
        <s:v>2197</s:v>
      </s:c>
      <s:c r="F754" s="24">
        <s:f>'자료구성'!$B$2+TIME(INT($C$3/10000),INT(MOD($C$3,10000)/100),MOD($C$3,100))+(ROW()-ROW($C$3))/86400</s:f>
        <s:v>46247.56886574074</s:v>
      </s:c>
    </s:row>
    <s:row r="755">
      <s:c r="A755" s="0" t="n">
        <s:v>260813</s:v>
      </s:c>
      <s:c r="B755" s="0" t="inlineStr">
        <s:is>
          <s:t>이종훈</s:t>
        </s:is>
      </s:c>
      <s:c r="C755" s="0" t="n">
        <s:v>132639</s:v>
      </s:c>
      <s:c r="D755" s="0" t="n">
        <s:v>2171</s:v>
      </s:c>
      <s:c r="F755" s="24">
        <s:f>'자료구성'!$B$2+TIME(INT($C$3/10000),INT(MOD($C$3,10000)/100),MOD($C$3,100))+(ROW()-ROW($C$3))/86400</s:f>
        <s:v>46247.568877314814</s:v>
      </s:c>
    </s:row>
    <s:row r="756">
      <s:c r="A756" s="0" t="n">
        <s:v>260813</s:v>
      </s:c>
      <s:c r="B756" s="0" t="inlineStr">
        <s:is>
          <s:t>이종훈</s:t>
        </s:is>
      </s:c>
      <s:c r="C756" s="0" t="n">
        <s:v>132639</s:v>
      </s:c>
      <s:c r="D756" s="0" t="n">
        <s:v>2138</s:v>
      </s:c>
      <s:c r="F756" s="24">
        <s:f>'자료구성'!$B$2+TIME(INT($C$3/10000),INT(MOD($C$3,10000)/100),MOD($C$3,100))+(ROW()-ROW($C$3))/86400</s:f>
        <s:v>46247.56888888889</s:v>
      </s:c>
    </s:row>
    <s:row r="757">
      <s:c r="A757" s="0" t="n">
        <s:v>260813</s:v>
      </s:c>
      <s:c r="B757" s="0" t="inlineStr">
        <s:is>
          <s:t>이종훈</s:t>
        </s:is>
      </s:c>
      <s:c r="C757" s="0" t="n">
        <s:v>132639</s:v>
      </s:c>
      <s:c r="D757" s="0" t="n">
        <s:v>2160</s:v>
      </s:c>
      <s:c r="F757" s="24">
        <s:f>'자료구성'!$B$2+TIME(INT($C$3/10000),INT(MOD($C$3,10000)/100),MOD($C$3,100))+(ROW()-ROW($C$3))/86400</s:f>
        <s:v>46247.56890046296</s:v>
      </s:c>
    </s:row>
    <s:row r="758">
      <s:c r="A758" s="0" t="n">
        <s:v>260813</s:v>
      </s:c>
      <s:c r="B758" s="0" t="inlineStr">
        <s:is>
          <s:t>이종훈</s:t>
        </s:is>
      </s:c>
      <s:c r="C758" s="0" t="n">
        <s:v>132639</s:v>
      </s:c>
      <s:c r="D758" s="0" t="n">
        <s:v>2153</s:v>
      </s:c>
      <s:c r="F758" s="24">
        <s:f>'자료구성'!$B$2+TIME(INT($C$3/10000),INT(MOD($C$3,10000)/100),MOD($C$3,100))+(ROW()-ROW($C$3))/86400</s:f>
        <s:v>46247.56891203704</s:v>
      </s:c>
    </s:row>
    <s:row r="759">
      <s:c r="A759" s="0" t="n">
        <s:v>260813</s:v>
      </s:c>
      <s:c r="B759" s="0" t="inlineStr">
        <s:is>
          <s:t>이종훈</s:t>
        </s:is>
      </s:c>
      <s:c r="C759" s="0" t="n">
        <s:v>132639</s:v>
      </s:c>
      <s:c r="D759" s="0" t="n">
        <s:v>2117</s:v>
      </s:c>
      <s:c r="F759" s="24">
        <s:f>'자료구성'!$B$2+TIME(INT($C$3/10000),INT(MOD($C$3,10000)/100),MOD($C$3,100))+(ROW()-ROW($C$3))/86400</s:f>
        <s:v>46247.568923611114</s:v>
      </s:c>
    </s:row>
    <s:row r="760">
      <s:c r="A760" s="0" t="n">
        <s:v>260813</s:v>
      </s:c>
      <s:c r="B760" s="0" t="inlineStr">
        <s:is>
          <s:t>이종훈</s:t>
        </s:is>
      </s:c>
      <s:c r="C760" s="0" t="n">
        <s:v>132639</s:v>
      </s:c>
      <s:c r="D760" s="0" t="n">
        <s:v>2099</s:v>
      </s:c>
      <s:c r="F760" s="24">
        <s:f>'자료구성'!$B$2+TIME(INT($C$3/10000),INT(MOD($C$3,10000)/100),MOD($C$3,100))+(ROW()-ROW($C$3))/86400</s:f>
        <s:v>46247.56893518518</s:v>
      </s:c>
    </s:row>
    <s:row r="761">
      <s:c r="A761" s="0" t="n">
        <s:v>260813</s:v>
      </s:c>
      <s:c r="B761" s="0" t="inlineStr">
        <s:is>
          <s:t>이종훈</s:t>
        </s:is>
      </s:c>
      <s:c r="C761" s="0" t="n">
        <s:v>132639</s:v>
      </s:c>
      <s:c r="D761" s="0" t="n">
        <s:v>2109</s:v>
      </s:c>
      <s:c r="F761" s="24">
        <s:f>'자료구성'!$B$2+TIME(INT($C$3/10000),INT(MOD($C$3,10000)/100),MOD($C$3,100))+(ROW()-ROW($C$3))/86400</s:f>
        <s:v>46247.56894675926</s:v>
      </s:c>
    </s:row>
    <s:row r="762">
      <s:c r="A762" s="0" t="n">
        <s:v>260813</s:v>
      </s:c>
      <s:c r="B762" s="0" t="inlineStr">
        <s:is>
          <s:t>이종훈</s:t>
        </s:is>
      </s:c>
      <s:c r="C762" s="0" t="n">
        <s:v>132639</s:v>
      </s:c>
      <s:c r="D762" s="0" t="n">
        <s:v>2114</s:v>
      </s:c>
      <s:c r="F762" s="24">
        <s:f>'자료구성'!$B$2+TIME(INT($C$3/10000),INT(MOD($C$3,10000)/100),MOD($C$3,100))+(ROW()-ROW($C$3))/86400</s:f>
        <s:v>46247.56895833334</s:v>
      </s:c>
    </s:row>
    <s:row r="763">
      <s:c r="A763" s="0" t="n">
        <s:v>260813</s:v>
      </s:c>
      <s:c r="B763" s="0" t="inlineStr">
        <s:is>
          <s:t>이종훈</s:t>
        </s:is>
      </s:c>
      <s:c r="C763" s="0" t="n">
        <s:v>132639</s:v>
      </s:c>
      <s:c r="D763" s="0" t="n">
        <s:v>2142</s:v>
      </s:c>
      <s:c r="F763" s="24">
        <s:f>'자료구성'!$B$2+TIME(INT($C$3/10000),INT(MOD($C$3,10000)/100),MOD($C$3,100))+(ROW()-ROW($C$3))/86400</s:f>
        <s:v>46247.56896990741</s:v>
      </s:c>
    </s:row>
    <s:row r="764">
      <s:c r="A764" s="0" t="n">
        <s:v>260813</s:v>
      </s:c>
      <s:c r="B764" s="0" t="inlineStr">
        <s:is>
          <s:t>이종훈</s:t>
        </s:is>
      </s:c>
      <s:c r="C764" s="0" t="n">
        <s:v>132639</s:v>
      </s:c>
      <s:c r="D764" s="0" t="n">
        <s:v>2165</s:v>
      </s:c>
      <s:c r="F764" s="24">
        <s:f>'자료구성'!$B$2+TIME(INT($C$3/10000),INT(MOD($C$3,10000)/100),MOD($C$3,100))+(ROW()-ROW($C$3))/86400</s:f>
        <s:v>46247.56898148148</s:v>
      </s:c>
    </s:row>
    <s:row r="765">
      <s:c r="A765" s="0" t="n">
        <s:v>260813</s:v>
      </s:c>
      <s:c r="B765" s="0" t="inlineStr">
        <s:is>
          <s:t>이종훈</s:t>
        </s:is>
      </s:c>
      <s:c r="C765" s="0" t="n">
        <s:v>132639</s:v>
      </s:c>
      <s:c r="D765" s="0" t="n">
        <s:v>2186</s:v>
      </s:c>
      <s:c r="F765" s="24">
        <s:f>'자료구성'!$B$2+TIME(INT($C$3/10000),INT(MOD($C$3,10000)/100),MOD($C$3,100))+(ROW()-ROW($C$3))/86400</s:f>
        <s:v>46247.56899305555</s:v>
      </s:c>
    </s:row>
    <s:row r="766">
      <s:c r="A766" s="0" t="n">
        <s:v>260813</s:v>
      </s:c>
      <s:c r="B766" s="0" t="inlineStr">
        <s:is>
          <s:t>이종훈</s:t>
        </s:is>
      </s:c>
      <s:c r="C766" s="0" t="n">
        <s:v>132639</s:v>
      </s:c>
      <s:c r="D766" s="0" t="n">
        <s:v>2205</s:v>
      </s:c>
      <s:c r="F766" s="24">
        <s:f>'자료구성'!$B$2+TIME(INT($C$3/10000),INT(MOD($C$3,10000)/100),MOD($C$3,100))+(ROW()-ROW($C$3))/86400</s:f>
        <s:v>46247.56900462963</s:v>
      </s:c>
    </s:row>
    <s:row r="767">
      <s:c r="A767" s="0" t="n">
        <s:v>260813</s:v>
      </s:c>
      <s:c r="B767" s="0" t="inlineStr">
        <s:is>
          <s:t>이종훈</s:t>
        </s:is>
      </s:c>
      <s:c r="C767" s="0" t="n">
        <s:v>132639</s:v>
      </s:c>
      <s:c r="D767" s="0" t="n">
        <s:v>2197</s:v>
      </s:c>
      <s:c r="F767" s="24">
        <s:f>'자료구성'!$B$2+TIME(INT($C$3/10000),INT(MOD($C$3,10000)/100),MOD($C$3,100))+(ROW()-ROW($C$3))/86400</s:f>
        <s:v>46247.569016203706</s:v>
      </s:c>
    </s:row>
    <s:row r="768">
      <s:c r="A768" s="0" t="n">
        <s:v>260813</s:v>
      </s:c>
      <s:c r="B768" s="0" t="inlineStr">
        <s:is>
          <s:t>이종훈</s:t>
        </s:is>
      </s:c>
      <s:c r="C768" s="0" t="n">
        <s:v>132639</s:v>
      </s:c>
      <s:c r="D768" s="0" t="n">
        <s:v>2217</s:v>
      </s:c>
      <s:c r="F768" s="24">
        <s:f>'자료구성'!$B$2+TIME(INT($C$3/10000),INT(MOD($C$3,10000)/100),MOD($C$3,100))+(ROW()-ROW($C$3))/86400</s:f>
        <s:v>46247.569027777776</s:v>
      </s:c>
    </s:row>
    <s:row r="769">
      <s:c r="A769" s="0" t="n">
        <s:v>260813</s:v>
      </s:c>
      <s:c r="B769" s="0" t="inlineStr">
        <s:is>
          <s:t>이종훈</s:t>
        </s:is>
      </s:c>
      <s:c r="C769" s="0" t="n">
        <s:v>132639</s:v>
      </s:c>
      <s:c r="D769" s="0" t="n">
        <s:v>2184</s:v>
      </s:c>
      <s:c r="F769" s="24">
        <s:f>'자료구성'!$B$2+TIME(INT($C$3/10000),INT(MOD($C$3,10000)/100),MOD($C$3,100))+(ROW()-ROW($C$3))/86400</s:f>
        <s:v>46247.56903935185</s:v>
      </s:c>
    </s:row>
    <s:row r="770">
      <s:c r="A770" s="0" t="n">
        <s:v>260813</s:v>
      </s:c>
      <s:c r="B770" s="0" t="inlineStr">
        <s:is>
          <s:t>이종훈</s:t>
        </s:is>
      </s:c>
      <s:c r="C770" s="0" t="n">
        <s:v>132639</s:v>
      </s:c>
      <s:c r="D770" s="0" t="n">
        <s:v>2178</s:v>
      </s:c>
      <s:c r="F770" s="24">
        <s:f>'자료구성'!$B$2+TIME(INT($C$3/10000),INT(MOD($C$3,10000)/100),MOD($C$3,100))+(ROW()-ROW($C$3))/86400</s:f>
        <s:v>46247.56905092593</s:v>
      </s:c>
    </s:row>
    <s:row r="771">
      <s:c r="A771" s="0" t="n">
        <s:v>260813</s:v>
      </s:c>
      <s:c r="B771" s="0" t="inlineStr">
        <s:is>
          <s:t>이종훈</s:t>
        </s:is>
      </s:c>
      <s:c r="C771" s="0" t="n">
        <s:v>132639</s:v>
      </s:c>
      <s:c r="D771" s="0" t="n">
        <s:v>2207</s:v>
      </s:c>
      <s:c r="F771" s="24">
        <s:f>'자료구성'!$B$2+TIME(INT($C$3/10000),INT(MOD($C$3,10000)/100),MOD($C$3,100))+(ROW()-ROW($C$3))/86400</s:f>
        <s:v>46247.5690625</s:v>
      </s:c>
    </s:row>
    <s:row r="772">
      <s:c r="A772" s="0" t="n">
        <s:v>260813</s:v>
      </s:c>
      <s:c r="B772" s="0" t="inlineStr">
        <s:is>
          <s:t>이종훈</s:t>
        </s:is>
      </s:c>
      <s:c r="C772" s="0" t="n">
        <s:v>132639</s:v>
      </s:c>
      <s:c r="D772" s="0" t="n">
        <s:v>2198</s:v>
      </s:c>
      <s:c r="F772" s="24">
        <s:f>'자료구성'!$B$2+TIME(INT($C$3/10000),INT(MOD($C$3,10000)/100),MOD($C$3,100))+(ROW()-ROW($C$3))/86400</s:f>
        <s:v>46247.569074074076</s:v>
      </s:c>
    </s:row>
    <s:row r="773">
      <s:c r="A773" s="0" t="n">
        <s:v>260813</s:v>
      </s:c>
      <s:c r="B773" s="0" t="inlineStr">
        <s:is>
          <s:t>이종훈</s:t>
        </s:is>
      </s:c>
      <s:c r="C773" s="0" t="n">
        <s:v>132639</s:v>
      </s:c>
      <s:c r="D773" s="0" t="n">
        <s:v>2198</s:v>
      </s:c>
      <s:c r="F773" s="24">
        <s:f>'자료구성'!$B$2+TIME(INT($C$3/10000),INT(MOD($C$3,10000)/100),MOD($C$3,100))+(ROW()-ROW($C$3))/86400</s:f>
        <s:v>46247.569085648145</s:v>
      </s:c>
    </s:row>
    <s:row r="774">
      <s:c r="A774" s="0" t="n">
        <s:v>260813</s:v>
      </s:c>
      <s:c r="B774" s="0" t="inlineStr">
        <s:is>
          <s:t>이종훈</s:t>
        </s:is>
      </s:c>
      <s:c r="C774" s="0" t="n">
        <s:v>132639</s:v>
      </s:c>
      <s:c r="D774" s="0" t="n">
        <s:v>2152</s:v>
      </s:c>
      <s:c r="F774" s="24">
        <s:f>'자료구성'!$B$2+TIME(INT($C$3/10000),INT(MOD($C$3,10000)/100),MOD($C$3,100))+(ROW()-ROW($C$3))/86400</s:f>
        <s:v>46247.56909722222</s:v>
      </s:c>
    </s:row>
    <s:row r="775">
      <s:c r="A775" s="0" t="n">
        <s:v>260813</s:v>
      </s:c>
      <s:c r="B775" s="0" t="inlineStr">
        <s:is>
          <s:t>이종훈</s:t>
        </s:is>
      </s:c>
      <s:c r="C775" s="0" t="n">
        <s:v>132639</s:v>
      </s:c>
      <s:c r="D775" s="0" t="n">
        <s:v>2105</s:v>
      </s:c>
      <s:c r="F775" s="24">
        <s:f>'자료구성'!$B$2+TIME(INT($C$3/10000),INT(MOD($C$3,10000)/100),MOD($C$3,100))+(ROW()-ROW($C$3))/86400</s:f>
        <s:v>46247.5691087963</s:v>
      </s:c>
    </s:row>
    <s:row r="776">
      <s:c r="A776" s="0" t="n">
        <s:v>260813</s:v>
      </s:c>
      <s:c r="B776" s="0" t="inlineStr">
        <s:is>
          <s:t>이종훈</s:t>
        </s:is>
      </s:c>
      <s:c r="C776" s="0" t="n">
        <s:v>132639</s:v>
      </s:c>
      <s:c r="D776" s="0" t="n">
        <s:v>2055</s:v>
      </s:c>
      <s:c r="F776" s="24">
        <s:f>'자료구성'!$B$2+TIME(INT($C$3/10000),INT(MOD($C$3,10000)/100),MOD($C$3,100))+(ROW()-ROW($C$3))/86400</s:f>
        <s:v>46247.56912037037</s:v>
      </s:c>
    </s:row>
    <s:row r="777">
      <s:c r="A777" s="0" t="n">
        <s:v>260813</s:v>
      </s:c>
      <s:c r="B777" s="0" t="inlineStr">
        <s:is>
          <s:t>이종훈</s:t>
        </s:is>
      </s:c>
      <s:c r="C777" s="0" t="n">
        <s:v>132639</s:v>
      </s:c>
      <s:c r="D777" s="0" t="n">
        <s:v>2055</s:v>
      </s:c>
      <s:c r="F777" s="24">
        <s:f>'자료구성'!$B$2+TIME(INT($C$3/10000),INT(MOD($C$3,10000)/100),MOD($C$3,100))+(ROW()-ROW($C$3))/86400</s:f>
        <s:v>46247.569131944445</s:v>
      </s:c>
    </s:row>
    <s:row r="778">
      <s:c r="A778" s="0" t="n">
        <s:v>260813</s:v>
      </s:c>
      <s:c r="B778" s="0" t="inlineStr">
        <s:is>
          <s:t>이종훈</s:t>
        </s:is>
      </s:c>
      <s:c r="C778" s="0" t="n">
        <s:v>132639</s:v>
      </s:c>
      <s:c r="D778" s="0" t="n">
        <s:v>2052</s:v>
      </s:c>
      <s:c r="F778" s="24">
        <s:f>'자료구성'!$B$2+TIME(INT($C$3/10000),INT(MOD($C$3,10000)/100),MOD($C$3,100))+(ROW()-ROW($C$3))/86400</s:f>
        <s:v>46247.56914351852</s:v>
      </s:c>
    </s:row>
    <s:row r="779">
      <s:c r="A779" s="0" t="n">
        <s:v>260813</s:v>
      </s:c>
      <s:c r="B779" s="0" t="inlineStr">
        <s:is>
          <s:t>이종훈</s:t>
        </s:is>
      </s:c>
      <s:c r="C779" s="0" t="n">
        <s:v>132639</s:v>
      </s:c>
      <s:c r="D779" s="0" t="n">
        <s:v>2010</s:v>
      </s:c>
      <s:c r="F779" s="24">
        <s:f>'자료구성'!$B$2+TIME(INT($C$3/10000),INT(MOD($C$3,10000)/100),MOD($C$3,100))+(ROW()-ROW($C$3))/86400</s:f>
        <s:v>46247.56915509259</s:v>
      </s:c>
    </s:row>
    <s:row r="780">
      <s:c r="A780" s="0" t="n">
        <s:v>260813</s:v>
      </s:c>
      <s:c r="B780" s="0" t="inlineStr">
        <s:is>
          <s:t>이종훈</s:t>
        </s:is>
      </s:c>
      <s:c r="C780" s="0" t="n">
        <s:v>132639</s:v>
      </s:c>
      <s:c r="D780" s="0" t="n">
        <s:v>1973</s:v>
      </s:c>
      <s:c r="F780" s="24">
        <s:f>'자료구성'!$B$2+TIME(INT($C$3/10000),INT(MOD($C$3,10000)/100),MOD($C$3,100))+(ROW()-ROW($C$3))/86400</s:f>
        <s:v>46247.56916666667</s:v>
      </s:c>
    </s:row>
    <s:row r="781">
      <s:c r="A781" s="0" t="n">
        <s:v>260813</s:v>
      </s:c>
      <s:c r="B781" s="0" t="inlineStr">
        <s:is>
          <s:t>이종훈</s:t>
        </s:is>
      </s:c>
      <s:c r="C781" s="0" t="n">
        <s:v>132639</s:v>
      </s:c>
      <s:c r="D781" s="0" t="n">
        <s:v>1919</s:v>
      </s:c>
      <s:c r="F781" s="24">
        <s:f>'자료구성'!$B$2+TIME(INT($C$3/10000),INT(MOD($C$3,10000)/100),MOD($C$3,100))+(ROW()-ROW($C$3))/86400</s:f>
        <s:v>46247.56917824074</s:v>
      </s:c>
    </s:row>
    <s:row r="782">
      <s:c r="A782" s="0" t="n">
        <s:v>260813</s:v>
      </s:c>
      <s:c r="B782" s="0" t="inlineStr">
        <s:is>
          <s:t>이종훈</s:t>
        </s:is>
      </s:c>
      <s:c r="C782" s="0" t="n">
        <s:v>132639</s:v>
      </s:c>
      <s:c r="D782" s="0" t="n">
        <s:v>1876</s:v>
      </s:c>
      <s:c r="F782" s="24">
        <s:f>'자료구성'!$B$2+TIME(INT($C$3/10000),INT(MOD($C$3,10000)/100),MOD($C$3,100))+(ROW()-ROW($C$3))/86400</s:f>
        <s:v>46247.569189814814</s:v>
      </s:c>
    </s:row>
    <s:row r="783">
      <s:c r="A783" s="0" t="n">
        <s:v>260813</s:v>
      </s:c>
      <s:c r="B783" s="0" t="inlineStr">
        <s:is>
          <s:t>이종훈</s:t>
        </s:is>
      </s:c>
      <s:c r="C783" s="0" t="n">
        <s:v>132639</s:v>
      </s:c>
      <s:c r="D783" s="0" t="n">
        <s:v>1854</s:v>
      </s:c>
      <s:c r="F783" s="24">
        <s:f>'자료구성'!$B$2+TIME(INT($C$3/10000),INT(MOD($C$3,10000)/100),MOD($C$3,100))+(ROW()-ROW($C$3))/86400</s:f>
        <s:v>46247.56920138889</s:v>
      </s:c>
    </s:row>
    <s:row r="784">
      <s:c r="A784" s="0" t="n">
        <s:v>260813</s:v>
      </s:c>
      <s:c r="B784" s="0" t="inlineStr">
        <s:is>
          <s:t>이종훈</s:t>
        </s:is>
      </s:c>
      <s:c r="C784" s="0" t="n">
        <s:v>132639</s:v>
      </s:c>
      <s:c r="D784" s="0" t="n">
        <s:v>1849</s:v>
      </s:c>
      <s:c r="F784" s="24">
        <s:f>'자료구성'!$B$2+TIME(INT($C$3/10000),INT(MOD($C$3,10000)/100),MOD($C$3,100))+(ROW()-ROW($C$3))/86400</s:f>
        <s:v>46247.56921296296</s:v>
      </s:c>
    </s:row>
    <s:row r="785">
      <s:c r="A785" s="0" t="n">
        <s:v>260813</s:v>
      </s:c>
      <s:c r="B785" s="0" t="inlineStr">
        <s:is>
          <s:t>이종훈</s:t>
        </s:is>
      </s:c>
      <s:c r="C785" s="0" t="n">
        <s:v>132639</s:v>
      </s:c>
      <s:c r="D785" s="0" t="n">
        <s:v>1840</s:v>
      </s:c>
      <s:c r="F785" s="24">
        <s:f>'자료구성'!$B$2+TIME(INT($C$3/10000),INT(MOD($C$3,10000)/100),MOD($C$3,100))+(ROW()-ROW($C$3))/86400</s:f>
        <s:v>46247.56922453704</s:v>
      </s:c>
    </s:row>
    <s:row r="786">
      <s:c r="A786" s="0" t="n">
        <s:v>260813</s:v>
      </s:c>
      <s:c r="B786" s="0" t="inlineStr">
        <s:is>
          <s:t>이종훈</s:t>
        </s:is>
      </s:c>
      <s:c r="C786" s="0" t="n">
        <s:v>132639</s:v>
      </s:c>
      <s:c r="D786" s="0" t="n">
        <s:v>1821</s:v>
      </s:c>
      <s:c r="F786" s="24">
        <s:f>'자료구성'!$B$2+TIME(INT($C$3/10000),INT(MOD($C$3,10000)/100),MOD($C$3,100))+(ROW()-ROW($C$3))/86400</s:f>
        <s:v>46247.569236111114</s:v>
      </s:c>
    </s:row>
    <s:row r="787">
      <s:c r="A787" s="0" t="n">
        <s:v>260813</s:v>
      </s:c>
      <s:c r="B787" s="0" t="inlineStr">
        <s:is>
          <s:t>이종훈</s:t>
        </s:is>
      </s:c>
      <s:c r="C787" s="0" t="n">
        <s:v>132639</s:v>
      </s:c>
      <s:c r="D787" s="0" t="n">
        <s:v>1805</s:v>
      </s:c>
      <s:c r="F787" s="24">
        <s:f>'자료구성'!$B$2+TIME(INT($C$3/10000),INT(MOD($C$3,10000)/100),MOD($C$3,100))+(ROW()-ROW($C$3))/86400</s:f>
        <s:v>46247.569247685184</s:v>
      </s:c>
    </s:row>
    <s:row r="788">
      <s:c r="A788" s="0" t="n">
        <s:v>260813</s:v>
      </s:c>
      <s:c r="B788" s="0" t="inlineStr">
        <s:is>
          <s:t>이종훈</s:t>
        </s:is>
      </s:c>
      <s:c r="C788" s="0" t="n">
        <s:v>132639</s:v>
      </s:c>
      <s:c r="D788" s="0" t="n">
        <s:v>1796</s:v>
      </s:c>
      <s:c r="F788" s="24">
        <s:f>'자료구성'!$B$2+TIME(INT($C$3/10000),INT(MOD($C$3,10000)/100),MOD($C$3,100))+(ROW()-ROW($C$3))/86400</s:f>
        <s:v>46247.56925925926</s:v>
      </s:c>
    </s:row>
    <s:row r="789">
      <s:c r="A789" s="0" t="n">
        <s:v>260813</s:v>
      </s:c>
      <s:c r="B789" s="0" t="inlineStr">
        <s:is>
          <s:t>이종훈</s:t>
        </s:is>
      </s:c>
      <s:c r="C789" s="0" t="n">
        <s:v>132639</s:v>
      </s:c>
      <s:c r="D789" s="0" t="n">
        <s:v>1797</s:v>
      </s:c>
      <s:c r="F789" s="24">
        <s:f>'자료구성'!$B$2+TIME(INT($C$3/10000),INT(MOD($C$3,10000)/100),MOD($C$3,100))+(ROW()-ROW($C$3))/86400</s:f>
        <s:v>46247.56927083333</s:v>
      </s:c>
    </s:row>
    <s:row r="790">
      <s:c r="A790" s="0" t="n">
        <s:v>260813</s:v>
      </s:c>
      <s:c r="B790" s="0" t="inlineStr">
        <s:is>
          <s:t>이종훈</s:t>
        </s:is>
      </s:c>
      <s:c r="C790" s="0" t="n">
        <s:v>132639</s:v>
      </s:c>
      <s:c r="D790" s="0" t="n">
        <s:v>1793</s:v>
      </s:c>
      <s:c r="F790" s="24">
        <s:f>'자료구성'!$B$2+TIME(INT($C$3/10000),INT(MOD($C$3,10000)/100),MOD($C$3,100))+(ROW()-ROW($C$3))/86400</s:f>
        <s:v>46247.56928240741</s:v>
      </s:c>
    </s:row>
    <s:row r="791">
      <s:c r="A791" s="0" t="n">
        <s:v>260813</s:v>
      </s:c>
      <s:c r="B791" s="0" t="inlineStr">
        <s:is>
          <s:t>이종훈</s:t>
        </s:is>
      </s:c>
      <s:c r="C791" s="0" t="n">
        <s:v>132639</s:v>
      </s:c>
      <s:c r="D791" s="0" t="n">
        <s:v>1808</s:v>
      </s:c>
      <s:c r="F791" s="24">
        <s:f>'자료구성'!$B$2+TIME(INT($C$3/10000),INT(MOD($C$3,10000)/100),MOD($C$3,100))+(ROW()-ROW($C$3))/86400</s:f>
        <s:v>46247.56929398148</s:v>
      </s:c>
    </s:row>
    <s:row r="792">
      <s:c r="A792" s="0" t="n">
        <s:v>260813</s:v>
      </s:c>
      <s:c r="B792" s="0" t="inlineStr">
        <s:is>
          <s:t>이종훈</s:t>
        </s:is>
      </s:c>
      <s:c r="C792" s="0" t="n">
        <s:v>132639</s:v>
      </s:c>
      <s:c r="D792" s="0" t="n">
        <s:v>1815</s:v>
      </s:c>
      <s:c r="F792" s="24">
        <s:f>'자료구성'!$B$2+TIME(INT($C$3/10000),INT(MOD($C$3,10000)/100),MOD($C$3,100))+(ROW()-ROW($C$3))/86400</s:f>
        <s:v>46247.56930555555</s:v>
      </s:c>
    </s:row>
    <s:row r="793">
      <s:c r="A793" s="0" t="n">
        <s:v>260813</s:v>
      </s:c>
      <s:c r="B793" s="0" t="inlineStr">
        <s:is>
          <s:t>이종훈</s:t>
        </s:is>
      </s:c>
      <s:c r="C793" s="0" t="n">
        <s:v>132639</s:v>
      </s:c>
      <s:c r="D793" s="0" t="n">
        <s:v>1815</s:v>
      </s:c>
      <s:c r="F793" s="24">
        <s:f>'자료구성'!$B$2+TIME(INT($C$3/10000),INT(MOD($C$3,10000)/100),MOD($C$3,100))+(ROW()-ROW($C$3))/86400</s:f>
        <s:v>46247.56931712963</s:v>
      </s:c>
    </s:row>
    <s:row r="794">
      <s:c r="A794" s="0" t="n">
        <s:v>260813</s:v>
      </s:c>
      <s:c r="B794" s="0" t="inlineStr">
        <s:is>
          <s:t>이종훈</s:t>
        </s:is>
      </s:c>
      <s:c r="C794" s="0" t="n">
        <s:v>132639</s:v>
      </s:c>
      <s:c r="D794" s="0" t="n">
        <s:v>1822</s:v>
      </s:c>
      <s:c r="F794" s="24">
        <s:f>'자료구성'!$B$2+TIME(INT($C$3/10000),INT(MOD($C$3,10000)/100),MOD($C$3,100))+(ROW()-ROW($C$3))/86400</s:f>
        <s:v>46247.56932870371</s:v>
      </s:c>
    </s:row>
    <s:row r="795">
      <s:c r="A795" s="0" t="n">
        <s:v>260813</s:v>
      </s:c>
      <s:c r="B795" s="0" t="inlineStr">
        <s:is>
          <s:t>이종훈</s:t>
        </s:is>
      </s:c>
      <s:c r="C795" s="0" t="n">
        <s:v>132639</s:v>
      </s:c>
      <s:c r="D795" s="0" t="n">
        <s:v>1826</s:v>
      </s:c>
      <s:c r="F795" s="24">
        <s:f>'자료구성'!$B$2+TIME(INT($C$3/10000),INT(MOD($C$3,10000)/100),MOD($C$3,100))+(ROW()-ROW($C$3))/86400</s:f>
        <s:v>46247.569340277776</s:v>
      </s:c>
    </s:row>
    <s:row r="796">
      <s:c r="A796" s="0" t="n">
        <s:v>260813</s:v>
      </s:c>
      <s:c r="B796" s="0" t="inlineStr">
        <s:is>
          <s:t>이종훈</s:t>
        </s:is>
      </s:c>
      <s:c r="C796" s="0" t="n">
        <s:v>132639</s:v>
      </s:c>
      <s:c r="D796" s="0" t="n">
        <s:v>1820</s:v>
      </s:c>
      <s:c r="F796" s="24">
        <s:f>'자료구성'!$B$2+TIME(INT($C$3/10000),INT(MOD($C$3,10000)/100),MOD($C$3,100))+(ROW()-ROW($C$3))/86400</s:f>
        <s:v>46247.56935185185</s:v>
      </s:c>
    </s:row>
    <s:row r="797">
      <s:c r="A797" s="0" t="n">
        <s:v>260813</s:v>
      </s:c>
      <s:c r="B797" s="0" t="inlineStr">
        <s:is>
          <s:t>이종훈</s:t>
        </s:is>
      </s:c>
      <s:c r="C797" s="0" t="n">
        <s:v>132639</s:v>
      </s:c>
      <s:c r="D797" s="0" t="n">
        <s:v>1829</s:v>
      </s:c>
      <s:c r="F797" s="24">
        <s:f>'자료구성'!$B$2+TIME(INT($C$3/10000),INT(MOD($C$3,10000)/100),MOD($C$3,100))+(ROW()-ROW($C$3))/86400</s:f>
        <s:v>46247.56936342592</s:v>
      </s:c>
    </s:row>
    <s:row r="798">
      <s:c r="A798" s="0" t="n">
        <s:v>260813</s:v>
      </s:c>
      <s:c r="B798" s="0" t="inlineStr">
        <s:is>
          <s:t>이종훈</s:t>
        </s:is>
      </s:c>
      <s:c r="C798" s="0" t="n">
        <s:v>132639</s:v>
      </s:c>
      <s:c r="D798" s="0" t="n">
        <s:v>1818</s:v>
      </s:c>
      <s:c r="F798" s="24">
        <s:f>'자료구성'!$B$2+TIME(INT($C$3/10000),INT(MOD($C$3,10000)/100),MOD($C$3,100))+(ROW()-ROW($C$3))/86400</s:f>
        <s:v>46247.569375</s:v>
      </s:c>
    </s:row>
    <s:row r="799">
      <s:c r="A799" s="0" t="n">
        <s:v>260813</s:v>
      </s:c>
      <s:c r="B799" s="0" t="inlineStr">
        <s:is>
          <s:t>이종훈</s:t>
        </s:is>
      </s:c>
      <s:c r="C799" s="0" t="n">
        <s:v>132639</s:v>
      </s:c>
      <s:c r="D799" s="0" t="n">
        <s:v>1824</s:v>
      </s:c>
      <s:c r="F799" s="24">
        <s:f>'자료구성'!$B$2+TIME(INT($C$3/10000),INT(MOD($C$3,10000)/100),MOD($C$3,100))+(ROW()-ROW($C$3))/86400</s:f>
        <s:v>46247.569386574076</s:v>
      </s:c>
    </s:row>
    <s:row r="800">
      <s:c r="A800" s="0" t="n">
        <s:v>260813</s:v>
      </s:c>
      <s:c r="B800" s="0" t="inlineStr">
        <s:is>
          <s:t>이종훈</s:t>
        </s:is>
      </s:c>
      <s:c r="C800" s="0" t="n">
        <s:v>132639</s:v>
      </s:c>
      <s:c r="D800" s="0" t="n">
        <s:v>1780</s:v>
      </s:c>
      <s:c r="F800" s="24">
        <s:f>'자료구성'!$B$2+TIME(INT($C$3/10000),INT(MOD($C$3,10000)/100),MOD($C$3,100))+(ROW()-ROW($C$3))/86400</s:f>
        <s:v>46247.569398148145</s:v>
      </s:c>
    </s:row>
    <s:row r="801">
      <s:c r="A801" s="0" t="n">
        <s:v>260813</s:v>
      </s:c>
      <s:c r="B801" s="0" t="inlineStr">
        <s:is>
          <s:t>이종훈</s:t>
        </s:is>
      </s:c>
      <s:c r="C801" s="0" t="n">
        <s:v>132639</s:v>
      </s:c>
      <s:c r="D801" s="0" t="n">
        <s:v>1724</s:v>
      </s:c>
      <s:c r="F801" s="24">
        <s:f>'자료구성'!$B$2+TIME(INT($C$3/10000),INT(MOD($C$3,10000)/100),MOD($C$3,100))+(ROW()-ROW($C$3))/86400</s:f>
        <s:v>46247.56940972222</s:v>
      </s:c>
    </s:row>
    <s:row r="802">
      <s:c r="A802" s="0" t="n">
        <s:v>260813</s:v>
      </s:c>
      <s:c r="B802" s="0" t="inlineStr">
        <s:is>
          <s:t>이종훈</s:t>
        </s:is>
      </s:c>
      <s:c r="C802" s="0" t="n">
        <s:v>132639</s:v>
      </s:c>
      <s:c r="D802" s="0" t="n">
        <s:v>1691</s:v>
      </s:c>
      <s:c r="F802" s="24">
        <s:f>'자료구성'!$B$2+TIME(INT($C$3/10000),INT(MOD($C$3,10000)/100),MOD($C$3,100))+(ROW()-ROW($C$3))/86400</s:f>
        <s:v>46247.5694212963</s:v>
      </s:c>
    </s:row>
    <s:row r="803">
      <s:c r="A803" s="0" t="n">
        <s:v>260813</s:v>
      </s:c>
      <s:c r="B803" s="0" t="inlineStr">
        <s:is>
          <s:t>이종훈</s:t>
        </s:is>
      </s:c>
      <s:c r="C803" s="0" t="n">
        <s:v>132639</s:v>
      </s:c>
      <s:c r="D803" s="0" t="n">
        <s:v>1673</s:v>
      </s:c>
      <s:c r="F803" s="24">
        <s:f>'자료구성'!$B$2+TIME(INT($C$3/10000),INT(MOD($C$3,10000)/100),MOD($C$3,100))+(ROW()-ROW($C$3))/86400</s:f>
        <s:v>46247.56943287037</s:v>
      </s:c>
    </s:row>
    <s:row r="804">
      <s:c r="A804" s="0" t="n">
        <s:v>260813</s:v>
      </s:c>
      <s:c r="B804" s="0" t="inlineStr">
        <s:is>
          <s:t>이종훈</s:t>
        </s:is>
      </s:c>
      <s:c r="C804" s="0" t="n">
        <s:v>132639</s:v>
      </s:c>
      <s:c r="D804" s="0" t="n">
        <s:v>1608</s:v>
      </s:c>
      <s:c r="F804" s="24">
        <s:f>'자료구성'!$B$2+TIME(INT($C$3/10000),INT(MOD($C$3,10000)/100),MOD($C$3,100))+(ROW()-ROW($C$3))/86400</s:f>
        <s:v>46247.569444444445</s:v>
      </s:c>
    </s:row>
    <s:row r="805">
      <s:c r="A805" s="0" t="n">
        <s:v>260813</s:v>
      </s:c>
      <s:c r="B805" s="0" t="inlineStr">
        <s:is>
          <s:t>이종훈</s:t>
        </s:is>
      </s:c>
      <s:c r="C805" s="0" t="n">
        <s:v>132639</s:v>
      </s:c>
      <s:c r="D805" s="0" t="n">
        <s:v>1564</s:v>
      </s:c>
      <s:c r="F805" s="24">
        <s:f>'자료구성'!$B$2+TIME(INT($C$3/10000),INT(MOD($C$3,10000)/100),MOD($C$3,100))+(ROW()-ROW($C$3))/86400</s:f>
        <s:v>46247.56945601852</s:v>
      </s:c>
    </s:row>
    <s:row r="806">
      <s:c r="A806" s="0" t="n">
        <s:v>260813</s:v>
      </s:c>
      <s:c r="B806" s="0" t="inlineStr">
        <s:is>
          <s:t>이종훈</s:t>
        </s:is>
      </s:c>
      <s:c r="C806" s="0" t="n">
        <s:v>132639</s:v>
      </s:c>
      <s:c r="D806" s="0" t="n">
        <s:v>1555</s:v>
      </s:c>
      <s:c r="F806" s="24">
        <s:f>'자료구성'!$B$2+TIME(INT($C$3/10000),INT(MOD($C$3,10000)/100),MOD($C$3,100))+(ROW()-ROW($C$3))/86400</s:f>
        <s:v>46247.56946759259</s:v>
      </s:c>
    </s:row>
    <s:row r="807">
      <s:c r="A807" s="0" t="n">
        <s:v>260813</s:v>
      </s:c>
      <s:c r="B807" s="0" t="inlineStr">
        <s:is>
          <s:t>이종훈</s:t>
        </s:is>
      </s:c>
      <s:c r="C807" s="0" t="n">
        <s:v>132639</s:v>
      </s:c>
      <s:c r="D807" s="0" t="n">
        <s:v>1520</s:v>
      </s:c>
      <s:c r="F807" s="24">
        <s:f>'자료구성'!$B$2+TIME(INT($C$3/10000),INT(MOD($C$3,10000)/100),MOD($C$3,100))+(ROW()-ROW($C$3))/86400</s:f>
        <s:v>46247.56947916667</s:v>
      </s:c>
    </s:row>
    <s:row r="808">
      <s:c r="A808" s="0" t="n">
        <s:v>260813</s:v>
      </s:c>
      <s:c r="B808" s="0" t="inlineStr">
        <s:is>
          <s:t>이종훈</s:t>
        </s:is>
      </s:c>
      <s:c r="C808" s="0" t="n">
        <s:v>132639</s:v>
      </s:c>
      <s:c r="D808" s="0" t="n">
        <s:v>1484</s:v>
      </s:c>
      <s:c r="F808" s="24">
        <s:f>'자료구성'!$B$2+TIME(INT($C$3/10000),INT(MOD($C$3,10000)/100),MOD($C$3,100))+(ROW()-ROW($C$3))/86400</s:f>
        <s:v>46247.56949074074</s:v>
      </s:c>
    </s:row>
    <s:row r="809">
      <s:c r="A809" s="0" t="n">
        <s:v>260813</s:v>
      </s:c>
      <s:c r="B809" s="0" t="inlineStr">
        <s:is>
          <s:t>이종훈</s:t>
        </s:is>
      </s:c>
      <s:c r="C809" s="0" t="n">
        <s:v>132639</s:v>
      </s:c>
      <s:c r="D809" s="0" t="n">
        <s:v>1433</s:v>
      </s:c>
      <s:c r="F809" s="24">
        <s:f>'자료구성'!$B$2+TIME(INT($C$3/10000),INT(MOD($C$3,10000)/100),MOD($C$3,100))+(ROW()-ROW($C$3))/86400</s:f>
        <s:v>46247.569502314815</s:v>
      </s:c>
    </s:row>
    <s:row r="810">
      <s:c r="A810" s="0" t="n">
        <s:v>260813</s:v>
      </s:c>
      <s:c r="B810" s="0" t="inlineStr">
        <s:is>
          <s:t>이종훈</s:t>
        </s:is>
      </s:c>
      <s:c r="C810" s="0" t="n">
        <s:v>132639</s:v>
      </s:c>
      <s:c r="D810" s="0" t="n">
        <s:v>1408</s:v>
      </s:c>
      <s:c r="F810" s="24">
        <s:f>'자료구성'!$B$2+TIME(INT($C$3/10000),INT(MOD($C$3,10000)/100),MOD($C$3,100))+(ROW()-ROW($C$3))/86400</s:f>
        <s:v>46247.56951388889</s:v>
      </s:c>
    </s:row>
    <s:row r="811">
      <s:c r="A811" s="0" t="n">
        <s:v>260813</s:v>
      </s:c>
      <s:c r="B811" s="0" t="inlineStr">
        <s:is>
          <s:t>이종훈</s:t>
        </s:is>
      </s:c>
      <s:c r="C811" s="0" t="n">
        <s:v>132639</s:v>
      </s:c>
      <s:c r="D811" s="0" t="n">
        <s:v>1398</s:v>
      </s:c>
      <s:c r="F811" s="24">
        <s:f>'자료구성'!$B$2+TIME(INT($C$3/10000),INT(MOD($C$3,10000)/100),MOD($C$3,100))+(ROW()-ROW($C$3))/86400</s:f>
        <s:v>46247.56952546296</s:v>
      </s:c>
    </s:row>
    <s:row r="812">
      <s:c r="A812" s="0" t="n">
        <s:v>260813</s:v>
      </s:c>
      <s:c r="B812" s="0" t="inlineStr">
        <s:is>
          <s:t>이종훈</s:t>
        </s:is>
      </s:c>
      <s:c r="C812" s="0" t="n">
        <s:v>132639</s:v>
      </s:c>
      <s:c r="D812" s="0" t="n">
        <s:v>1400</s:v>
      </s:c>
      <s:c r="F812" s="24">
        <s:f>'자료구성'!$B$2+TIME(INT($C$3/10000),INT(MOD($C$3,10000)/100),MOD($C$3,100))+(ROW()-ROW($C$3))/86400</s:f>
        <s:v>46247.56953703704</s:v>
      </s:c>
    </s:row>
    <s:row r="813">
      <s:c r="A813" s="0" t="n">
        <s:v>260813</s:v>
      </s:c>
      <s:c r="B813" s="0" t="inlineStr">
        <s:is>
          <s:t>이종훈</s:t>
        </s:is>
      </s:c>
      <s:c r="C813" s="0" t="n">
        <s:v>132639</s:v>
      </s:c>
      <s:c r="D813" s="0" t="n">
        <s:v>1379</s:v>
      </s:c>
      <s:c r="F813" s="24">
        <s:f>'자료구성'!$B$2+TIME(INT($C$3/10000),INT(MOD($C$3,10000)/100),MOD($C$3,100))+(ROW()-ROW($C$3))/86400</s:f>
        <s:v>46247.569548611114</s:v>
      </s:c>
    </s:row>
    <s:row r="814">
      <s:c r="A814" s="0" t="n">
        <s:v>260813</s:v>
      </s:c>
      <s:c r="B814" s="0" t="inlineStr">
        <s:is>
          <s:t>이종훈</s:t>
        </s:is>
      </s:c>
      <s:c r="C814" s="0" t="n">
        <s:v>132639</s:v>
      </s:c>
      <s:c r="D814" s="0" t="n">
        <s:v>1380</s:v>
      </s:c>
      <s:c r="F814" s="24">
        <s:f>'자료구성'!$B$2+TIME(INT($C$3/10000),INT(MOD($C$3,10000)/100),MOD($C$3,100))+(ROW()-ROW($C$3))/86400</s:f>
        <s:v>46247.569560185184</s:v>
      </s:c>
    </s:row>
    <s:row r="815">
      <s:c r="A815" s="0" t="n">
        <s:v>260813</s:v>
      </s:c>
      <s:c r="B815" s="0" t="inlineStr">
        <s:is>
          <s:t>이종훈</s:t>
        </s:is>
      </s:c>
      <s:c r="C815" s="0" t="n">
        <s:v>132639</s:v>
      </s:c>
      <s:c r="D815" s="0" t="n">
        <s:v>1374</s:v>
      </s:c>
      <s:c r="F815" s="24">
        <s:f>'자료구성'!$B$2+TIME(INT($C$3/10000),INT(MOD($C$3,10000)/100),MOD($C$3,100))+(ROW()-ROW($C$3))/86400</s:f>
        <s:v>46247.56957175926</s:v>
      </s:c>
    </s:row>
    <s:row r="816">
      <s:c r="A816" s="0" t="n">
        <s:v>260813</s:v>
      </s:c>
      <s:c r="B816" s="0" t="inlineStr">
        <s:is>
          <s:t>이종훈</s:t>
        </s:is>
      </s:c>
      <s:c r="C816" s="0" t="n">
        <s:v>132639</s:v>
      </s:c>
      <s:c r="D816" s="0" t="n">
        <s:v>1371</s:v>
      </s:c>
      <s:c r="F816" s="24">
        <s:f>'자료구성'!$B$2+TIME(INT($C$3/10000),INT(MOD($C$3,10000)/100),MOD($C$3,100))+(ROW()-ROW($C$3))/86400</s:f>
        <s:v>46247.56958333333</s:v>
      </s:c>
    </s:row>
    <s:row r="817">
      <s:c r="A817" s="0" t="n">
        <s:v>260813</s:v>
      </s:c>
      <s:c r="B817" s="0" t="inlineStr">
        <s:is>
          <s:t>이종훈</s:t>
        </s:is>
      </s:c>
      <s:c r="C817" s="0" t="n">
        <s:v>132639</s:v>
      </s:c>
      <s:c r="D817" s="0" t="n">
        <s:v>1381</s:v>
      </s:c>
      <s:c r="F817" s="24">
        <s:f>'자료구성'!$B$2+TIME(INT($C$3/10000),INT(MOD($C$3,10000)/100),MOD($C$3,100))+(ROW()-ROW($C$3))/86400</s:f>
        <s:v>46247.56959490741</s:v>
      </s:c>
    </s:row>
    <s:row r="818">
      <s:c r="A818" s="0" t="n">
        <s:v>260813</s:v>
      </s:c>
      <s:c r="B818" s="0" t="inlineStr">
        <s:is>
          <s:t>이종훈</s:t>
        </s:is>
      </s:c>
      <s:c r="C818" s="0" t="n">
        <s:v>132639</s:v>
      </s:c>
      <s:c r="D818" s="0" t="n">
        <s:v>1416</s:v>
      </s:c>
      <s:c r="F818" s="24">
        <s:f>'자료구성'!$B$2+TIME(INT($C$3/10000),INT(MOD($C$3,10000)/100),MOD($C$3,100))+(ROW()-ROW($C$3))/86400</s:f>
        <s:v>46247.569606481484</s:v>
      </s:c>
    </s:row>
    <s:row r="819">
      <s:c r="A819" s="0" t="n">
        <s:v>260813</s:v>
      </s:c>
      <s:c r="B819" s="0" t="inlineStr">
        <s:is>
          <s:t>이종훈</s:t>
        </s:is>
      </s:c>
      <s:c r="C819" s="0" t="n">
        <s:v>132639</s:v>
      </s:c>
      <s:c r="D819" s="0" t="n">
        <s:v>1448</s:v>
      </s:c>
      <s:c r="F819" s="24">
        <s:f>'자료구성'!$B$2+TIME(INT($C$3/10000),INT(MOD($C$3,10000)/100),MOD($C$3,100))+(ROW()-ROW($C$3))/86400</s:f>
        <s:v>46247.56961805555</s:v>
      </s:c>
    </s:row>
    <s:row r="820">
      <s:c r="A820" s="0" t="n">
        <s:v>260813</s:v>
      </s:c>
      <s:c r="B820" s="0" t="inlineStr">
        <s:is>
          <s:t>이종훈</s:t>
        </s:is>
      </s:c>
      <s:c r="C820" s="0" t="n">
        <s:v>132639</s:v>
      </s:c>
      <s:c r="D820" s="0" t="n">
        <s:v>1505</s:v>
      </s:c>
      <s:c r="F820" s="24">
        <s:f>'자료구성'!$B$2+TIME(INT($C$3/10000),INT(MOD($C$3,10000)/100),MOD($C$3,100))+(ROW()-ROW($C$3))/86400</s:f>
        <s:v>46247.56962962963</s:v>
      </s:c>
    </s:row>
    <s:row r="821">
      <s:c r="A821" s="0" t="n">
        <s:v>260813</s:v>
      </s:c>
      <s:c r="B821" s="0" t="inlineStr">
        <s:is>
          <s:t>이종훈</s:t>
        </s:is>
      </s:c>
      <s:c r="C821" s="0" t="n">
        <s:v>132639</s:v>
      </s:c>
      <s:c r="D821" s="0" t="n">
        <s:v>1526</s:v>
      </s:c>
      <s:c r="F821" s="24">
        <s:f>'자료구성'!$B$2+TIME(INT($C$3/10000),INT(MOD($C$3,10000)/100),MOD($C$3,100))+(ROW()-ROW($C$3))/86400</s:f>
        <s:v>46247.56964120371</s:v>
      </s:c>
    </s:row>
    <s:row r="822">
      <s:c r="A822" s="0" t="n">
        <s:v>260813</s:v>
      </s:c>
      <s:c r="B822" s="0" t="inlineStr">
        <s:is>
          <s:t>이종훈</s:t>
        </s:is>
      </s:c>
      <s:c r="C822" s="0" t="n">
        <s:v>132639</s:v>
      </s:c>
      <s:c r="D822" s="0" t="n">
        <s:v>1564</s:v>
      </s:c>
      <s:c r="F822" s="24">
        <s:f>'자료구성'!$B$2+TIME(INT($C$3/10000),INT(MOD($C$3,10000)/100),MOD($C$3,100))+(ROW()-ROW($C$3))/86400</s:f>
        <s:v>46247.569652777776</s:v>
      </s:c>
    </s:row>
    <s:row r="823">
      <s:c r="A823" s="0" t="n">
        <s:v>260813</s:v>
      </s:c>
      <s:c r="B823" s="0" t="inlineStr">
        <s:is>
          <s:t>이종훈</s:t>
        </s:is>
      </s:c>
      <s:c r="C823" s="0" t="n">
        <s:v>132639</s:v>
      </s:c>
      <s:c r="D823" s="0" t="n">
        <s:v>1563</s:v>
      </s:c>
      <s:c r="F823" s="24">
        <s:f>'자료구성'!$B$2+TIME(INT($C$3/10000),INT(MOD($C$3,10000)/100),MOD($C$3,100))+(ROW()-ROW($C$3))/86400</s:f>
        <s:v>46247.56966435185</s:v>
      </s:c>
    </s:row>
    <s:row r="824">
      <s:c r="A824" s="0" t="n">
        <s:v>260813</s:v>
      </s:c>
      <s:c r="B824" s="0" t="inlineStr">
        <s:is>
          <s:t>이종훈</s:t>
        </s:is>
      </s:c>
      <s:c r="C824" s="0" t="n">
        <s:v>132639</s:v>
      </s:c>
      <s:c r="D824" s="0" t="n">
        <s:v>1600</s:v>
      </s:c>
      <s:c r="F824" s="24">
        <s:f>'자료구성'!$B$2+TIME(INT($C$3/10000),INT(MOD($C$3,10000)/100),MOD($C$3,100))+(ROW()-ROW($C$3))/86400</s:f>
        <s:v>46247.56967592592</s:v>
      </s:c>
    </s:row>
    <s:row r="825">
      <s:c r="A825" s="0" t="n">
        <s:v>260813</s:v>
      </s:c>
      <s:c r="B825" s="0" t="inlineStr">
        <s:is>
          <s:t>이종훈</s:t>
        </s:is>
      </s:c>
      <s:c r="C825" s="0" t="n">
        <s:v>132639</s:v>
      </s:c>
      <s:c r="D825" s="0" t="n">
        <s:v>1687</s:v>
      </s:c>
      <s:c r="F825" s="24">
        <s:f>'자료구성'!$B$2+TIME(INT($C$3/10000),INT(MOD($C$3,10000)/100),MOD($C$3,100))+(ROW()-ROW($C$3))/86400</s:f>
        <s:v>46247.5696875</s:v>
      </s:c>
    </s:row>
    <s:row r="826">
      <s:c r="A826" s="0" t="n">
        <s:v>260813</s:v>
      </s:c>
      <s:c r="B826" s="0" t="inlineStr">
        <s:is>
          <s:t>이종훈</s:t>
        </s:is>
      </s:c>
      <s:c r="C826" s="0" t="n">
        <s:v>132639</s:v>
      </s:c>
      <s:c r="D826" s="0" t="n">
        <s:v>1777</s:v>
      </s:c>
      <s:c r="F826" s="24">
        <s:f>'자료구성'!$B$2+TIME(INT($C$3/10000),INT(MOD($C$3,10000)/100),MOD($C$3,100))+(ROW()-ROW($C$3))/86400</s:f>
        <s:v>46247.569699074076</s:v>
      </s:c>
    </s:row>
    <s:row r="827">
      <s:c r="A827" s="0" t="n">
        <s:v>260813</s:v>
      </s:c>
      <s:c r="B827" s="0" t="inlineStr">
        <s:is>
          <s:t>이종훈</s:t>
        </s:is>
      </s:c>
      <s:c r="C827" s="0" t="n">
        <s:v>132639</s:v>
      </s:c>
      <s:c r="D827" s="0" t="n">
        <s:v>1830</s:v>
      </s:c>
      <s:c r="F827" s="24">
        <s:f>'자료구성'!$B$2+TIME(INT($C$3/10000),INT(MOD($C$3,10000)/100),MOD($C$3,100))+(ROW()-ROW($C$3))/86400</s:f>
        <s:v>46247.569710648146</s:v>
      </s:c>
    </s:row>
    <s:row r="828">
      <s:c r="A828" s="0" t="n">
        <s:v>260813</s:v>
      </s:c>
      <s:c r="B828" s="0" t="inlineStr">
        <s:is>
          <s:t>이종훈</s:t>
        </s:is>
      </s:c>
      <s:c r="C828" s="0" t="n">
        <s:v>132639</s:v>
      </s:c>
      <s:c r="D828" s="0" t="n">
        <s:v>1872</s:v>
      </s:c>
      <s:c r="F828" s="24">
        <s:f>'자료구성'!$B$2+TIME(INT($C$3/10000),INT(MOD($C$3,10000)/100),MOD($C$3,100))+(ROW()-ROW($C$3))/86400</s:f>
        <s:v>46247.56972222222</s:v>
      </s:c>
    </s:row>
    <s:row r="829">
      <s:c r="A829" s="0" t="n">
        <s:v>260813</s:v>
      </s:c>
      <s:c r="B829" s="0" t="inlineStr">
        <s:is>
          <s:t>이종훈</s:t>
        </s:is>
      </s:c>
      <s:c r="C829" s="0" t="n">
        <s:v>132639</s:v>
      </s:c>
      <s:c r="D829" s="0" t="n">
        <s:v>1894</s:v>
      </s:c>
      <s:c r="F829" s="24">
        <s:f>'자료구성'!$B$2+TIME(INT($C$3/10000),INT(MOD($C$3,10000)/100),MOD($C$3,100))+(ROW()-ROW($C$3))/86400</s:f>
        <s:v>46247.5697337963</s:v>
      </s:c>
    </s:row>
    <s:row r="830">
      <s:c r="A830" s="0" t="n">
        <s:v>260813</s:v>
      </s:c>
      <s:c r="B830" s="0" t="inlineStr">
        <s:is>
          <s:t>이종훈</s:t>
        </s:is>
      </s:c>
      <s:c r="C830" s="0" t="n">
        <s:v>132639</s:v>
      </s:c>
      <s:c r="D830" s="0" t="n">
        <s:v>1935</s:v>
      </s:c>
      <s:c r="F830" s="24">
        <s:f>'자료구성'!$B$2+TIME(INT($C$3/10000),INT(MOD($C$3,10000)/100),MOD($C$3,100))+(ROW()-ROW($C$3))/86400</s:f>
        <s:v>46247.56974537037</s:v>
      </s:c>
    </s:row>
    <s:row r="831">
      <s:c r="A831" s="0" t="n">
        <s:v>260813</s:v>
      </s:c>
      <s:c r="B831" s="0" t="inlineStr">
        <s:is>
          <s:t>이종훈</s:t>
        </s:is>
      </s:c>
      <s:c r="C831" s="0" t="n">
        <s:v>132639</s:v>
      </s:c>
      <s:c r="D831" s="0" t="n">
        <s:v>1934</s:v>
      </s:c>
      <s:c r="F831" s="24">
        <s:f>'자료구성'!$B$2+TIME(INT($C$3/10000),INT(MOD($C$3,10000)/100),MOD($C$3,100))+(ROW()-ROW($C$3))/86400</s:f>
        <s:v>46247.569756944446</s:v>
      </s:c>
    </s:row>
    <s:row r="832">
      <s:c r="A832" s="0" t="n">
        <s:v>260813</s:v>
      </s:c>
      <s:c r="B832" s="0" t="inlineStr">
        <s:is>
          <s:t>이종훈</s:t>
        </s:is>
      </s:c>
      <s:c r="C832" s="0" t="n">
        <s:v>132639</s:v>
      </s:c>
      <s:c r="D832" s="0" t="n">
        <s:v>1966</s:v>
      </s:c>
      <s:c r="F832" s="24">
        <s:f>'자료구성'!$B$2+TIME(INT($C$3/10000),INT(MOD($C$3,10000)/100),MOD($C$3,100))+(ROW()-ROW($C$3))/86400</s:f>
        <s:v>46247.569768518515</s:v>
      </s:c>
    </s:row>
    <s:row r="833">
      <s:c r="A833" s="0" t="n">
        <s:v>260813</s:v>
      </s:c>
      <s:c r="B833" s="0" t="inlineStr">
        <s:is>
          <s:t>이종훈</s:t>
        </s:is>
      </s:c>
      <s:c r="C833" s="0" t="n">
        <s:v>132639</s:v>
      </s:c>
      <s:c r="D833" s="0" t="n">
        <s:v>1998</s:v>
      </s:c>
      <s:c r="F833" s="24">
        <s:f>'자료구성'!$B$2+TIME(INT($C$3/10000),INT(MOD($C$3,10000)/100),MOD($C$3,100))+(ROW()-ROW($C$3))/86400</s:f>
        <s:v>46247.56978009259</s:v>
      </s:c>
    </s:row>
    <s:row r="834">
      <s:c r="A834" s="0" t="n">
        <s:v>260813</s:v>
      </s:c>
      <s:c r="B834" s="0" t="inlineStr">
        <s:is>
          <s:t>이종훈</s:t>
        </s:is>
      </s:c>
      <s:c r="C834" s="0" t="n">
        <s:v>132639</s:v>
      </s:c>
      <s:c r="D834" s="0" t="n">
        <s:v>2040</s:v>
      </s:c>
      <s:c r="F834" s="24">
        <s:f>'자료구성'!$B$2+TIME(INT($C$3/10000),INT(MOD($C$3,10000)/100),MOD($C$3,100))+(ROW()-ROW($C$3))/86400</s:f>
        <s:v>46247.56979166667</s:v>
      </s:c>
    </s:row>
    <s:row r="835">
      <s:c r="A835" s="0" t="n">
        <s:v>260813</s:v>
      </s:c>
      <s:c r="B835" s="0" t="inlineStr">
        <s:is>
          <s:t>이종훈</s:t>
        </s:is>
      </s:c>
      <s:c r="C835" s="0" t="n">
        <s:v>132639</s:v>
      </s:c>
      <s:c r="D835" s="0" t="n">
        <s:v>2058</s:v>
      </s:c>
      <s:c r="F835" s="24">
        <s:f>'자료구성'!$B$2+TIME(INT($C$3/10000),INT(MOD($C$3,10000)/100),MOD($C$3,100))+(ROW()-ROW($C$3))/86400</s:f>
        <s:v>46247.56980324074</s:v>
      </s:c>
    </s:row>
    <s:row r="836">
      <s:c r="A836" s="0" t="n">
        <s:v>260813</s:v>
      </s:c>
      <s:c r="B836" s="0" t="inlineStr">
        <s:is>
          <s:t>이종훈</s:t>
        </s:is>
      </s:c>
      <s:c r="C836" s="0" t="n">
        <s:v>132639</s:v>
      </s:c>
      <s:c r="D836" s="0" t="n">
        <s:v>2036</s:v>
      </s:c>
      <s:c r="F836" s="24">
        <s:f>'자료구성'!$B$2+TIME(INT($C$3/10000),INT(MOD($C$3,10000)/100),MOD($C$3,100))+(ROW()-ROW($C$3))/86400</s:f>
        <s:v>46247.569814814815</s:v>
      </s:c>
    </s:row>
    <s:row r="837">
      <s:c r="A837" s="0" t="n">
        <s:v>260813</s:v>
      </s:c>
      <s:c r="B837" s="0" t="inlineStr">
        <s:is>
          <s:t>이종훈</s:t>
        </s:is>
      </s:c>
      <s:c r="C837" s="0" t="n">
        <s:v>132639</s:v>
      </s:c>
      <s:c r="D837" s="0" t="n">
        <s:v>2019</s:v>
      </s:c>
      <s:c r="F837" s="24">
        <s:f>'자료구성'!$B$2+TIME(INT($C$3/10000),INT(MOD($C$3,10000)/100),MOD($C$3,100))+(ROW()-ROW($C$3))/86400</s:f>
        <s:v>46247.56982638889</s:v>
      </s:c>
    </s:row>
    <s:row r="838">
      <s:c r="A838" s="0" t="n">
        <s:v>260813</s:v>
      </s:c>
      <s:c r="B838" s="0" t="inlineStr">
        <s:is>
          <s:t>이종훈</s:t>
        </s:is>
      </s:c>
      <s:c r="C838" s="0" t="n">
        <s:v>132639</s:v>
      </s:c>
      <s:c r="D838" s="0" t="n">
        <s:v>2023</s:v>
      </s:c>
      <s:c r="F838" s="24">
        <s:f>'자료구성'!$B$2+TIME(INT($C$3/10000),INT(MOD($C$3,10000)/100),MOD($C$3,100))+(ROW()-ROW($C$3))/86400</s:f>
        <s:v>46247.56983796296</s:v>
      </s:c>
    </s:row>
    <s:row r="839">
      <s:c r="A839" s="0" t="n">
        <s:v>260813</s:v>
      </s:c>
      <s:c r="B839" s="0" t="inlineStr">
        <s:is>
          <s:t>이종훈</s:t>
        </s:is>
      </s:c>
      <s:c r="C839" s="0" t="n">
        <s:v>132639</s:v>
      </s:c>
      <s:c r="D839" s="0" t="n">
        <s:v>2017</s:v>
      </s:c>
      <s:c r="F839" s="24">
        <s:f>'자료구성'!$B$2+TIME(INT($C$3/10000),INT(MOD($C$3,10000)/100),MOD($C$3,100))+(ROW()-ROW($C$3))/86400</s:f>
        <s:v>46247.56984953704</s:v>
      </s:c>
    </s:row>
    <s:row r="840">
      <s:c r="A840" s="0" t="n">
        <s:v>260813</s:v>
      </s:c>
      <s:c r="B840" s="0" t="inlineStr">
        <s:is>
          <s:t>이종훈</s:t>
        </s:is>
      </s:c>
      <s:c r="C840" s="0" t="n">
        <s:v>132639</s:v>
      </s:c>
      <s:c r="D840" s="0" t="n">
        <s:v>2071</s:v>
      </s:c>
      <s:c r="F840" s="24">
        <s:f>'자료구성'!$B$2+TIME(INT($C$3/10000),INT(MOD($C$3,10000)/100),MOD($C$3,100))+(ROW()-ROW($C$3))/86400</s:f>
        <s:v>46247.569861111115</s:v>
      </s:c>
    </s:row>
    <s:row r="841">
      <s:c r="A841" s="0" t="n">
        <s:v>260813</s:v>
      </s:c>
      <s:c r="B841" s="0" t="inlineStr">
        <s:is>
          <s:t>이종훈</s:t>
        </s:is>
      </s:c>
      <s:c r="C841" s="0" t="n">
        <s:v>132639</s:v>
      </s:c>
      <s:c r="D841" s="0" t="n">
        <s:v>2108</s:v>
      </s:c>
      <s:c r="F841" s="24">
        <s:f>'자료구성'!$B$2+TIME(INT($C$3/10000),INT(MOD($C$3,10000)/100),MOD($C$3,100))+(ROW()-ROW($C$3))/86400</s:f>
        <s:v>46247.569872685184</s:v>
      </s:c>
    </s:row>
    <s:row r="842">
      <s:c r="A842" s="0" t="n">
        <s:v>260813</s:v>
      </s:c>
      <s:c r="B842" s="0" t="inlineStr">
        <s:is>
          <s:t>이종훈</s:t>
        </s:is>
      </s:c>
      <s:c r="C842" s="0" t="n">
        <s:v>132639</s:v>
      </s:c>
      <s:c r="D842" s="0" t="n">
        <s:v>2156</s:v>
      </s:c>
      <s:c r="F842" s="24">
        <s:f>'자료구성'!$B$2+TIME(INT($C$3/10000),INT(MOD($C$3,10000)/100),MOD($C$3,100))+(ROW()-ROW($C$3))/86400</s:f>
        <s:v>46247.56988425926</s:v>
      </s:c>
    </s:row>
    <s:row r="843">
      <s:c r="A843" s="0" t="n">
        <s:v>260813</s:v>
      </s:c>
      <s:c r="B843" s="0" t="inlineStr">
        <s:is>
          <s:t>이종훈</s:t>
        </s:is>
      </s:c>
      <s:c r="C843" s="0" t="n">
        <s:v>132639</s:v>
      </s:c>
      <s:c r="D843" s="0" t="n">
        <s:v>2160</s:v>
      </s:c>
      <s:c r="F843" s="24">
        <s:f>'자료구성'!$B$2+TIME(INT($C$3/10000),INT(MOD($C$3,10000)/100),MOD($C$3,100))+(ROW()-ROW($C$3))/86400</s:f>
        <s:v>46247.56989583333</s:v>
      </s:c>
    </s:row>
    <s:row r="844">
      <s:c r="A844" s="0" t="n">
        <s:v>260813</s:v>
      </s:c>
      <s:c r="B844" s="0" t="inlineStr">
        <s:is>
          <s:t>이종훈</s:t>
        </s:is>
      </s:c>
      <s:c r="C844" s="0" t="n">
        <s:v>132639</s:v>
      </s:c>
      <s:c r="D844" s="0" t="n">
        <s:v>2162</s:v>
      </s:c>
      <s:c r="F844" s="24">
        <s:f>'자료구성'!$B$2+TIME(INT($C$3/10000),INT(MOD($C$3,10000)/100),MOD($C$3,100))+(ROW()-ROW($C$3))/86400</s:f>
        <s:v>46247.56990740741</s:v>
      </s:c>
    </s:row>
    <s:row r="845">
      <s:c r="A845" s="0" t="n">
        <s:v>260813</s:v>
      </s:c>
      <s:c r="B845" s="0" t="inlineStr">
        <s:is>
          <s:t>이종훈</s:t>
        </s:is>
      </s:c>
      <s:c r="C845" s="0" t="n">
        <s:v>132639</s:v>
      </s:c>
      <s:c r="D845" s="0" t="n">
        <s:v>2143</s:v>
      </s:c>
      <s:c r="F845" s="24">
        <s:f>'자료구성'!$B$2+TIME(INT($C$3/10000),INT(MOD($C$3,10000)/100),MOD($C$3,100))+(ROW()-ROW($C$3))/86400</s:f>
        <s:v>46247.569918981484</s:v>
      </s:c>
    </s:row>
    <s:row r="846">
      <s:c r="A846" s="0" t="n">
        <s:v>260813</s:v>
      </s:c>
      <s:c r="B846" s="0" t="inlineStr">
        <s:is>
          <s:t>이종훈</s:t>
        </s:is>
      </s:c>
      <s:c r="C846" s="0" t="n">
        <s:v>132639</s:v>
      </s:c>
      <s:c r="D846" s="0" t="n">
        <s:v>2125</s:v>
      </s:c>
      <s:c r="F846" s="24">
        <s:f>'자료구성'!$B$2+TIME(INT($C$3/10000),INT(MOD($C$3,10000)/100),MOD($C$3,100))+(ROW()-ROW($C$3))/86400</s:f>
        <s:v>46247.56993055555</s:v>
      </s:c>
    </s:row>
    <s:row r="847">
      <s:c r="A847" s="0" t="n">
        <s:v>260813</s:v>
      </s:c>
      <s:c r="B847" s="0" t="inlineStr">
        <s:is>
          <s:t>이종훈</s:t>
        </s:is>
      </s:c>
      <s:c r="C847" s="0" t="n">
        <s:v>132639</s:v>
      </s:c>
      <s:c r="D847" s="0" t="n">
        <s:v>2121</s:v>
      </s:c>
      <s:c r="F847" s="24">
        <s:f>'자료구성'!$B$2+TIME(INT($C$3/10000),INT(MOD($C$3,10000)/100),MOD($C$3,100))+(ROW()-ROW($C$3))/86400</s:f>
        <s:v>46247.56994212963</s:v>
      </s:c>
    </s:row>
    <s:row r="848">
      <s:c r="A848" s="0" t="n">
        <s:v>260813</s:v>
      </s:c>
      <s:c r="B848" s="0" t="inlineStr">
        <s:is>
          <s:t>이종훈</s:t>
        </s:is>
      </s:c>
      <s:c r="C848" s="0" t="n">
        <s:v>132639</s:v>
      </s:c>
      <s:c r="D848" s="0" t="n">
        <s:v>2101</s:v>
      </s:c>
      <s:c r="F848" s="24">
        <s:f>'자료구성'!$B$2+TIME(INT($C$3/10000),INT(MOD($C$3,10000)/100),MOD($C$3,100))+(ROW()-ROW($C$3))/86400</s:f>
        <s:v>46247.56995370371</s:v>
      </s:c>
    </s:row>
    <s:row r="849">
      <s:c r="A849" s="0" t="n">
        <s:v>260813</s:v>
      </s:c>
      <s:c r="B849" s="0" t="inlineStr">
        <s:is>
          <s:t>이종훈</s:t>
        </s:is>
      </s:c>
      <s:c r="C849" s="0" t="n">
        <s:v>132639</s:v>
      </s:c>
      <s:c r="D849" s="0" t="n">
        <s:v>2090</s:v>
      </s:c>
      <s:c r="F849" s="24">
        <s:f>'자료구성'!$B$2+TIME(INT($C$3/10000),INT(MOD($C$3,10000)/100),MOD($C$3,100))+(ROW()-ROW($C$3))/86400</s:f>
        <s:v>46247.56996527778</s:v>
      </s:c>
    </s:row>
    <s:row r="850">
      <s:c r="A850" s="0" t="n">
        <s:v>260813</s:v>
      </s:c>
      <s:c r="B850" s="0" t="inlineStr">
        <s:is>
          <s:t>이종훈</s:t>
        </s:is>
      </s:c>
      <s:c r="C850" s="0" t="n">
        <s:v>132639</s:v>
      </s:c>
      <s:c r="D850" s="0" t="n">
        <s:v>2098</s:v>
      </s:c>
      <s:c r="F850" s="24">
        <s:f>'자료구성'!$B$2+TIME(INT($C$3/10000),INT(MOD($C$3,10000)/100),MOD($C$3,100))+(ROW()-ROW($C$3))/86400</s:f>
        <s:v>46247.56997685185</s:v>
      </s:c>
    </s:row>
    <s:row r="851">
      <s:c r="A851" s="0" t="n">
        <s:v>260813</s:v>
      </s:c>
      <s:c r="B851" s="0" t="inlineStr">
        <s:is>
          <s:t>이종훈</s:t>
        </s:is>
      </s:c>
      <s:c r="C851" s="0" t="n">
        <s:v>132639</s:v>
      </s:c>
      <s:c r="D851" s="0" t="n">
        <s:v>2092</s:v>
      </s:c>
      <s:c r="F851" s="24">
        <s:f>'자료구성'!$B$2+TIME(INT($C$3/10000),INT(MOD($C$3,10000)/100),MOD($C$3,100))+(ROW()-ROW($C$3))/86400</s:f>
        <s:v>46247.56998842592</s:v>
      </s:c>
    </s:row>
    <s:row r="852">
      <s:c r="A852" s="0" t="n">
        <s:v>260813</s:v>
      </s:c>
      <s:c r="B852" s="0" t="inlineStr">
        <s:is>
          <s:t>이종훈</s:t>
        </s:is>
      </s:c>
      <s:c r="C852" s="0" t="n">
        <s:v>132639</s:v>
      </s:c>
      <s:c r="D852" s="0" t="n">
        <s:v>2086</s:v>
      </s:c>
      <s:c r="F852" s="24">
        <s:f>'자료구성'!$B$2+TIME(INT($C$3/10000),INT(MOD($C$3,10000)/100),MOD($C$3,100))+(ROW()-ROW($C$3))/86400</s:f>
        <s:v>46247.57</s:v>
      </s:c>
    </s:row>
    <s:row r="853">
      <s:c r="A853" s="0" t="n">
        <s:v>260813</s:v>
      </s:c>
      <s:c r="B853" s="0" t="inlineStr">
        <s:is>
          <s:t>이종훈</s:t>
        </s:is>
      </s:c>
      <s:c r="C853" s="0" t="n">
        <s:v>132639</s:v>
      </s:c>
      <s:c r="D853" s="0" t="n">
        <s:v>2079</s:v>
      </s:c>
      <s:c r="F853" s="24">
        <s:f>'자료구성'!$B$2+TIME(INT($C$3/10000),INT(MOD($C$3,10000)/100),MOD($C$3,100))+(ROW()-ROW($C$3))/86400</s:f>
        <s:v>46247.57001157408</s:v>
      </s:c>
    </s:row>
    <s:row r="854">
      <s:c r="A854" s="0" t="n">
        <s:v>260813</s:v>
      </s:c>
      <s:c r="B854" s="0" t="inlineStr">
        <s:is>
          <s:t>이종훈</s:t>
        </s:is>
      </s:c>
      <s:c r="C854" s="0" t="n">
        <s:v>132639</s:v>
      </s:c>
      <s:c r="D854" s="0" t="n">
        <s:v>2100</s:v>
      </s:c>
      <s:c r="F854" s="24">
        <s:f>'자료구성'!$B$2+TIME(INT($C$3/10000),INT(MOD($C$3,10000)/100),MOD($C$3,100))+(ROW()-ROW($C$3))/86400</s:f>
        <s:v>46247.570023148146</s:v>
      </s:c>
    </s:row>
    <s:row r="855">
      <s:c r="A855" s="0" t="n">
        <s:v>260813</s:v>
      </s:c>
      <s:c r="B855" s="0" t="inlineStr">
        <s:is>
          <s:t>이종훈</s:t>
        </s:is>
      </s:c>
      <s:c r="C855" s="0" t="n">
        <s:v>132639</s:v>
      </s:c>
      <s:c r="D855" s="0" t="n">
        <s:v>2109</s:v>
      </s:c>
      <s:c r="F855" s="24">
        <s:f>'자료구성'!$B$2+TIME(INT($C$3/10000),INT(MOD($C$3,10000)/100),MOD($C$3,100))+(ROW()-ROW($C$3))/86400</s:f>
        <s:v>46247.57003472222</s:v>
      </s:c>
    </s:row>
    <s:row r="856">
      <s:c r="A856" s="0" t="n">
        <s:v>260813</s:v>
      </s:c>
      <s:c r="B856" s="0" t="inlineStr">
        <s:is>
          <s:t>이종훈</s:t>
        </s:is>
      </s:c>
      <s:c r="C856" s="0" t="n">
        <s:v>132639</s:v>
      </s:c>
      <s:c r="D856" s="0" t="n">
        <s:v>2124</s:v>
      </s:c>
      <s:c r="F856" s="24">
        <s:f>'자료구성'!$B$2+TIME(INT($C$3/10000),INT(MOD($C$3,10000)/100),MOD($C$3,100))+(ROW()-ROW($C$3))/86400</s:f>
        <s:v>46247.5700462963</s:v>
      </s:c>
    </s:row>
    <s:row r="857">
      <s:c r="A857" s="0" t="n">
        <s:v>260813</s:v>
      </s:c>
      <s:c r="B857" s="0" t="inlineStr">
        <s:is>
          <s:t>이종훈</s:t>
        </s:is>
      </s:c>
      <s:c r="C857" s="0" t="n">
        <s:v>132639</s:v>
      </s:c>
      <s:c r="D857" s="0" t="n">
        <s:v>2138</s:v>
      </s:c>
      <s:c r="F857" s="24">
        <s:f>'자료구성'!$B$2+TIME(INT($C$3/10000),INT(MOD($C$3,10000)/100),MOD($C$3,100))+(ROW()-ROW($C$3))/86400</s:f>
        <s:v>46247.57005787037</s:v>
      </s:c>
    </s:row>
    <s:row r="858">
      <s:c r="A858" s="0" t="n">
        <s:v>260813</s:v>
      </s:c>
      <s:c r="B858" s="0" t="inlineStr">
        <s:is>
          <s:t>이종훈</s:t>
        </s:is>
      </s:c>
      <s:c r="C858" s="0" t="n">
        <s:v>132639</s:v>
      </s:c>
      <s:c r="D858" s="0" t="n">
        <s:v>2151</s:v>
      </s:c>
      <s:c r="F858" s="24">
        <s:f>'자료구성'!$B$2+TIME(INT($C$3/10000),INT(MOD($C$3,10000)/100),MOD($C$3,100))+(ROW()-ROW($C$3))/86400</s:f>
        <s:v>46247.570069444446</s:v>
      </s:c>
    </s:row>
    <s:row r="859">
      <s:c r="A859" s="0" t="n">
        <s:v>260813</s:v>
      </s:c>
      <s:c r="B859" s="0" t="inlineStr">
        <s:is>
          <s:t>이종훈</s:t>
        </s:is>
      </s:c>
      <s:c r="C859" s="0" t="n">
        <s:v>132639</s:v>
      </s:c>
      <s:c r="D859" s="0" t="n">
        <s:v>2164</s:v>
      </s:c>
      <s:c r="F859" s="24">
        <s:f>'자료구성'!$B$2+TIME(INT($C$3/10000),INT(MOD($C$3,10000)/100),MOD($C$3,100))+(ROW()-ROW($C$3))/86400</s:f>
        <s:v>46247.570081018515</s:v>
      </s:c>
    </s:row>
    <s:row r="860">
      <s:c r="A860" s="0" t="n">
        <s:v>260813</s:v>
      </s:c>
      <s:c r="B860" s="0" t="inlineStr">
        <s:is>
          <s:t>이종훈</s:t>
        </s:is>
      </s:c>
      <s:c r="C860" s="0" t="n">
        <s:v>132639</s:v>
      </s:c>
      <s:c r="D860" s="0" t="n">
        <s:v>2182</s:v>
      </s:c>
      <s:c r="F860" s="24">
        <s:f>'자료구성'!$B$2+TIME(INT($C$3/10000),INT(MOD($C$3,10000)/100),MOD($C$3,100))+(ROW()-ROW($C$3))/86400</s:f>
        <s:v>46247.57009259259</s:v>
      </s:c>
    </s:row>
    <s:row r="861">
      <s:c r="A861" s="0" t="n">
        <s:v>260813</s:v>
      </s:c>
      <s:c r="B861" s="0" t="inlineStr">
        <s:is>
          <s:t>이종훈</s:t>
        </s:is>
      </s:c>
      <s:c r="C861" s="0" t="n">
        <s:v>132639</s:v>
      </s:c>
      <s:c r="D861" s="0" t="n">
        <s:v>2158</s:v>
      </s:c>
      <s:c r="F861" s="24">
        <s:f>'자료구성'!$B$2+TIME(INT($C$3/10000),INT(MOD($C$3,10000)/100),MOD($C$3,100))+(ROW()-ROW($C$3))/86400</s:f>
        <s:v>46247.57010416667</s:v>
      </s:c>
    </s:row>
    <s:row r="862">
      <s:c r="A862" s="0" t="n">
        <s:v>260813</s:v>
      </s:c>
      <s:c r="B862" s="0" t="inlineStr">
        <s:is>
          <s:t>이종훈</s:t>
        </s:is>
      </s:c>
      <s:c r="C862" s="0" t="n">
        <s:v>132639</s:v>
      </s:c>
      <s:c r="D862" s="0" t="n">
        <s:v>2095</s:v>
      </s:c>
      <s:c r="F862" s="24">
        <s:f>'자료구성'!$B$2+TIME(INT($C$3/10000),INT(MOD($C$3,10000)/100),MOD($C$3,100))+(ROW()-ROW($C$3))/86400</s:f>
        <s:v>46247.57011574074</s:v>
      </s:c>
    </s:row>
    <s:row r="863">
      <s:c r="A863" s="0" t="n">
        <s:v>260813</s:v>
      </s:c>
      <s:c r="B863" s="0" t="inlineStr">
        <s:is>
          <s:t>이종훈</s:t>
        </s:is>
      </s:c>
      <s:c r="C863" s="0" t="n">
        <s:v>132639</s:v>
      </s:c>
      <s:c r="D863" s="0" t="n">
        <s:v>2021</s:v>
      </s:c>
      <s:c r="F863" s="24">
        <s:f>'자료구성'!$B$2+TIME(INT($C$3/10000),INT(MOD($C$3,10000)/100),MOD($C$3,100))+(ROW()-ROW($C$3))/86400</s:f>
        <s:v>46247.570127314815</s:v>
      </s:c>
    </s:row>
    <s:row r="864">
      <s:c r="A864" s="0" t="n">
        <s:v>260813</s:v>
      </s:c>
      <s:c r="B864" s="0" t="inlineStr">
        <s:is>
          <s:t>이종훈</s:t>
        </s:is>
      </s:c>
      <s:c r="C864" s="0" t="n">
        <s:v>132639</s:v>
      </s:c>
      <s:c r="D864" s="0" t="n">
        <s:v>1963</s:v>
      </s:c>
      <s:c r="F864" s="24">
        <s:f>'자료구성'!$B$2+TIME(INT($C$3/10000),INT(MOD($C$3,10000)/100),MOD($C$3,100))+(ROW()-ROW($C$3))/86400</s:f>
        <s:v>46247.57013888889</s:v>
      </s:c>
    </s:row>
    <s:row r="865">
      <s:c r="A865" s="0" t="n">
        <s:v>260813</s:v>
      </s:c>
      <s:c r="B865" s="0" t="inlineStr">
        <s:is>
          <s:t>이종훈</s:t>
        </s:is>
      </s:c>
      <s:c r="C865" s="0" t="n">
        <s:v>132639</s:v>
      </s:c>
      <s:c r="D865" s="0" t="n">
        <s:v>1917</s:v>
      </s:c>
      <s:c r="F865" s="24">
        <s:f>'자료구성'!$B$2+TIME(INT($C$3/10000),INT(MOD($C$3,10000)/100),MOD($C$3,100))+(ROW()-ROW($C$3))/86400</s:f>
        <s:v>46247.57015046296</s:v>
      </s:c>
    </s:row>
    <s:row r="866">
      <s:c r="A866" s="0" t="n">
        <s:v>260813</s:v>
      </s:c>
      <s:c r="B866" s="0" t="inlineStr">
        <s:is>
          <s:t>이종훈</s:t>
        </s:is>
      </s:c>
      <s:c r="C866" s="0" t="n">
        <s:v>132639</s:v>
      </s:c>
      <s:c r="D866" s="0" t="n">
        <s:v>1900</s:v>
      </s:c>
      <s:c r="F866" s="24">
        <s:f>'자료구성'!$B$2+TIME(INT($C$3/10000),INT(MOD($C$3,10000)/100),MOD($C$3,100))+(ROW()-ROW($C$3))/86400</s:f>
        <s:v>46247.57016203704</s:v>
      </s:c>
    </s:row>
    <s:row r="867">
      <s:c r="A867" s="0" t="n">
        <s:v>260813</s:v>
      </s:c>
      <s:c r="B867" s="0" t="inlineStr">
        <s:is>
          <s:t>이종훈</s:t>
        </s:is>
      </s:c>
      <s:c r="C867" s="0" t="n">
        <s:v>132639</s:v>
      </s:c>
      <s:c r="D867" s="0" t="n">
        <s:v>1886</s:v>
      </s:c>
      <s:c r="F867" s="24">
        <s:f>'자료구성'!$B$2+TIME(INT($C$3/10000),INT(MOD($C$3,10000)/100),MOD($C$3,100))+(ROW()-ROW($C$3))/86400</s:f>
        <s:v>46247.57017361111</s:v>
      </s:c>
    </s:row>
    <s:row r="868">
      <s:c r="A868" s="0" t="n">
        <s:v>260813</s:v>
      </s:c>
      <s:c r="B868" s="0" t="inlineStr">
        <s:is>
          <s:t>이종훈</s:t>
        </s:is>
      </s:c>
      <s:c r="C868" s="0" t="n">
        <s:v>132639</s:v>
      </s:c>
      <s:c r="D868" s="0" t="n">
        <s:v>1869</s:v>
      </s:c>
      <s:c r="F868" s="24">
        <s:f>'자료구성'!$B$2+TIME(INT($C$3/10000),INT(MOD($C$3,10000)/100),MOD($C$3,100))+(ROW()-ROW($C$3))/86400</s:f>
        <s:v>46247.570185185185</s:v>
      </s:c>
    </s:row>
    <s:row r="869">
      <s:c r="A869" s="0" t="n">
        <s:v>260813</s:v>
      </s:c>
      <s:c r="B869" s="0" t="inlineStr">
        <s:is>
          <s:t>이종훈</s:t>
        </s:is>
      </s:c>
      <s:c r="C869" s="0" t="n">
        <s:v>132639</s:v>
      </s:c>
      <s:c r="D869" s="0" t="n">
        <s:v>1851</s:v>
      </s:c>
      <s:c r="F869" s="24">
        <s:f>'자료구성'!$B$2+TIME(INT($C$3/10000),INT(MOD($C$3,10000)/100),MOD($C$3,100))+(ROW()-ROW($C$3))/86400</s:f>
        <s:v>46247.57019675926</s:v>
      </s:c>
    </s:row>
    <s:row r="870">
      <s:c r="A870" s="0" t="n">
        <s:v>260813</s:v>
      </s:c>
      <s:c r="B870" s="0" t="inlineStr">
        <s:is>
          <s:t>이종훈</s:t>
        </s:is>
      </s:c>
      <s:c r="C870" s="0" t="n">
        <s:v>132639</s:v>
      </s:c>
      <s:c r="D870" s="0" t="n">
        <s:v>1850</s:v>
      </s:c>
      <s:c r="F870" s="24">
        <s:f>'자료구성'!$B$2+TIME(INT($C$3/10000),INT(MOD($C$3,10000)/100),MOD($C$3,100))+(ROW()-ROW($C$3))/86400</s:f>
        <s:v>46247.57020833333</s:v>
      </s:c>
    </s:row>
    <s:row r="871">
      <s:c r="A871" s="0" t="n">
        <s:v>260813</s:v>
      </s:c>
      <s:c r="B871" s="0" t="inlineStr">
        <s:is>
          <s:t>이종훈</s:t>
        </s:is>
      </s:c>
      <s:c r="C871" s="0" t="n">
        <s:v>132639</s:v>
      </s:c>
      <s:c r="D871" s="0" t="n">
        <s:v>1874</s:v>
      </s:c>
      <s:c r="F871" s="24">
        <s:f>'자료구성'!$B$2+TIME(INT($C$3/10000),INT(MOD($C$3,10000)/100),MOD($C$3,100))+(ROW()-ROW($C$3))/86400</s:f>
        <s:v>46247.57021990741</s:v>
      </s:c>
    </s:row>
    <s:row r="872">
      <s:c r="A872" s="0" t="n">
        <s:v>260813</s:v>
      </s:c>
      <s:c r="B872" s="0" t="inlineStr">
        <s:is>
          <s:t>이종훈</s:t>
        </s:is>
      </s:c>
      <s:c r="C872" s="0" t="n">
        <s:v>132639</s:v>
      </s:c>
      <s:c r="D872" s="0" t="n">
        <s:v>1927</s:v>
      </s:c>
      <s:c r="F872" s="24">
        <s:f>'자료구성'!$B$2+TIME(INT($C$3/10000),INT(MOD($C$3,10000)/100),MOD($C$3,100))+(ROW()-ROW($C$3))/86400</s:f>
        <s:v>46247.570231481484</s:v>
      </s:c>
    </s:row>
    <s:row r="873">
      <s:c r="A873" s="0" t="n">
        <s:v>260813</s:v>
      </s:c>
      <s:c r="B873" s="0" t="inlineStr">
        <s:is>
          <s:t>이종훈</s:t>
        </s:is>
      </s:c>
      <s:c r="C873" s="0" t="n">
        <s:v>132639</s:v>
      </s:c>
      <s:c r="D873" s="0" t="n">
        <s:v>2014</s:v>
      </s:c>
      <s:c r="F873" s="24">
        <s:f>'자료구성'!$B$2+TIME(INT($C$3/10000),INT(MOD($C$3,10000)/100),MOD($C$3,100))+(ROW()-ROW($C$3))/86400</s:f>
        <s:v>46247.570243055554</s:v>
      </s:c>
    </s:row>
    <s:row r="874">
      <s:c r="A874" s="0" t="n">
        <s:v>260813</s:v>
      </s:c>
      <s:c r="B874" s="0" t="inlineStr">
        <s:is>
          <s:t>이종훈</s:t>
        </s:is>
      </s:c>
      <s:c r="C874" s="0" t="n">
        <s:v>132639</s:v>
      </s:c>
      <s:c r="D874" s="0" t="n">
        <s:v>2102</s:v>
      </s:c>
      <s:c r="F874" s="24">
        <s:f>'자료구성'!$B$2+TIME(INT($C$3/10000),INT(MOD($C$3,10000)/100),MOD($C$3,100))+(ROW()-ROW($C$3))/86400</s:f>
        <s:v>46247.57025462963</s:v>
      </s:c>
    </s:row>
    <s:row r="875">
      <s:c r="A875" s="0" t="n">
        <s:v>260813</s:v>
      </s:c>
      <s:c r="B875" s="0" t="inlineStr">
        <s:is>
          <s:t>이종훈</s:t>
        </s:is>
      </s:c>
      <s:c r="C875" s="0" t="n">
        <s:v>132639</s:v>
      </s:c>
      <s:c r="D875" s="0" t="n">
        <s:v>2150</s:v>
      </s:c>
      <s:c r="F875" s="24">
        <s:f>'자료구성'!$B$2+TIME(INT($C$3/10000),INT(MOD($C$3,10000)/100),MOD($C$3,100))+(ROW()-ROW($C$3))/86400</s:f>
        <s:v>46247.5702662037</s:v>
      </s:c>
    </s:row>
    <s:row r="876">
      <s:c r="A876" s="0" t="n">
        <s:v>260813</s:v>
      </s:c>
      <s:c r="B876" s="0" t="inlineStr">
        <s:is>
          <s:t>이종훈</s:t>
        </s:is>
      </s:c>
      <s:c r="C876" s="0" t="n">
        <s:v>132639</s:v>
      </s:c>
      <s:c r="D876" s="0" t="n">
        <s:v>2115</s:v>
      </s:c>
      <s:c r="F876" s="24">
        <s:f>'자료구성'!$B$2+TIME(INT($C$3/10000),INT(MOD($C$3,10000)/100),MOD($C$3,100))+(ROW()-ROW($C$3))/86400</s:f>
        <s:v>46247.57027777778</s:v>
      </s:c>
    </s:row>
    <s:row r="877">
      <s:c r="A877" s="0" t="n">
        <s:v>260813</s:v>
      </s:c>
      <s:c r="B877" s="0" t="inlineStr">
        <s:is>
          <s:t>이종훈</s:t>
        </s:is>
      </s:c>
      <s:c r="C877" s="0" t="n">
        <s:v>132639</s:v>
      </s:c>
      <s:c r="D877" s="0" t="n">
        <s:v>2090</s:v>
      </s:c>
      <s:c r="F877" s="24">
        <s:f>'자료구성'!$B$2+TIME(INT($C$3/10000),INT(MOD($C$3,10000)/100),MOD($C$3,100))+(ROW()-ROW($C$3))/86400</s:f>
        <s:v>46247.570289351854</s:v>
      </s:c>
    </s:row>
    <s:row r="878">
      <s:c r="A878" s="0" t="n">
        <s:v>260813</s:v>
      </s:c>
      <s:c r="B878" s="0" t="inlineStr">
        <s:is>
          <s:t>이종훈</s:t>
        </s:is>
      </s:c>
      <s:c r="C878" s="0" t="n">
        <s:v>132639</s:v>
      </s:c>
      <s:c r="D878" s="0" t="n">
        <s:v>2041</s:v>
      </s:c>
      <s:c r="F878" s="24">
        <s:f>'자료구성'!$B$2+TIME(INT($C$3/10000),INT(MOD($C$3,10000)/100),MOD($C$3,100))+(ROW()-ROW($C$3))/86400</s:f>
        <s:v>46247.57030092592</s:v>
      </s:c>
    </s:row>
    <s:row r="879">
      <s:c r="A879" s="0" t="n">
        <s:v>260813</s:v>
      </s:c>
      <s:c r="B879" s="0" t="inlineStr">
        <s:is>
          <s:t>이종훈</s:t>
        </s:is>
      </s:c>
      <s:c r="C879" s="0" t="n">
        <s:v>132639</s:v>
      </s:c>
      <s:c r="D879" s="0" t="n">
        <s:v>2018</s:v>
      </s:c>
      <s:c r="F879" s="24">
        <s:f>'자료구성'!$B$2+TIME(INT($C$3/10000),INT(MOD($C$3,10000)/100),MOD($C$3,100))+(ROW()-ROW($C$3))/86400</s:f>
        <s:v>46247.5703125</s:v>
      </s:c>
    </s:row>
    <s:row r="880">
      <s:c r="A880" s="0" t="n">
        <s:v>260813</s:v>
      </s:c>
      <s:c r="B880" s="0" t="inlineStr">
        <s:is>
          <s:t>이종훈</s:t>
        </s:is>
      </s:c>
      <s:c r="C880" s="0" t="n">
        <s:v>132639</s:v>
      </s:c>
      <s:c r="D880" s="0" t="n">
        <s:v>1937</s:v>
      </s:c>
      <s:c r="F880" s="24">
        <s:f>'자료구성'!$B$2+TIME(INT($C$3/10000),INT(MOD($C$3,10000)/100),MOD($C$3,100))+(ROW()-ROW($C$3))/86400</s:f>
        <s:v>46247.57032407408</s:v>
      </s:c>
    </s:row>
    <s:row r="881">
      <s:c r="A881" s="0" t="n">
        <s:v>260813</s:v>
      </s:c>
      <s:c r="B881" s="0" t="inlineStr">
        <s:is>
          <s:t>이종훈</s:t>
        </s:is>
      </s:c>
      <s:c r="C881" s="0" t="n">
        <s:v>132639</s:v>
      </s:c>
      <s:c r="D881" s="0" t="n">
        <s:v>1854</s:v>
      </s:c>
      <s:c r="F881" s="24">
        <s:f>'자료구성'!$B$2+TIME(INT($C$3/10000),INT(MOD($C$3,10000)/100),MOD($C$3,100))+(ROW()-ROW($C$3))/86400</s:f>
        <s:v>46247.570335648146</s:v>
      </s:c>
    </s:row>
    <s:row r="882">
      <s:c r="A882" s="0" t="n">
        <s:v>260813</s:v>
      </s:c>
      <s:c r="B882" s="0" t="inlineStr">
        <s:is>
          <s:t>이종훈</s:t>
        </s:is>
      </s:c>
      <s:c r="C882" s="0" t="n">
        <s:v>132639</s:v>
      </s:c>
      <s:c r="D882" s="0" t="n">
        <s:v>1823</s:v>
      </s:c>
      <s:c r="F882" s="24">
        <s:f>'자료구성'!$B$2+TIME(INT($C$3/10000),INT(MOD($C$3,10000)/100),MOD($C$3,100))+(ROW()-ROW($C$3))/86400</s:f>
        <s:v>46247.57034722222</s:v>
      </s:c>
    </s:row>
    <s:row r="883">
      <s:c r="A883" s="0" t="n">
        <s:v>260813</s:v>
      </s:c>
      <s:c r="B883" s="0" t="inlineStr">
        <s:is>
          <s:t>이종훈</s:t>
        </s:is>
      </s:c>
      <s:c r="C883" s="0" t="n">
        <s:v>132639</s:v>
      </s:c>
      <s:c r="D883" s="0" t="n">
        <s:v>1869</s:v>
      </s:c>
      <s:c r="F883" s="24">
        <s:f>'자료구성'!$B$2+TIME(INT($C$3/10000),INT(MOD($C$3,10000)/100),MOD($C$3,100))+(ROW()-ROW($C$3))/86400</s:f>
        <s:v>46247.5703587963</s:v>
      </s:c>
    </s:row>
    <s:row r="884">
      <s:c r="A884" s="0" t="n">
        <s:v>260813</s:v>
      </s:c>
      <s:c r="B884" s="0" t="inlineStr">
        <s:is>
          <s:t>이종훈</s:t>
        </s:is>
      </s:c>
      <s:c r="C884" s="0" t="n">
        <s:v>132639</s:v>
      </s:c>
      <s:c r="D884" s="0" t="n">
        <s:v>1897</s:v>
      </s:c>
      <s:c r="F884" s="24">
        <s:f>'자료구성'!$B$2+TIME(INT($C$3/10000),INT(MOD($C$3,10000)/100),MOD($C$3,100))+(ROW()-ROW($C$3))/86400</s:f>
        <s:v>46247.57037037037</s:v>
      </s:c>
    </s:row>
    <s:row r="885">
      <s:c r="A885" s="0" t="n">
        <s:v>260813</s:v>
      </s:c>
      <s:c r="B885" s="0" t="inlineStr">
        <s:is>
          <s:t>이종훈</s:t>
        </s:is>
      </s:c>
      <s:c r="C885" s="0" t="n">
        <s:v>132639</s:v>
      </s:c>
      <s:c r="D885" s="0" t="n">
        <s:v>1936</s:v>
      </s:c>
      <s:c r="F885" s="24">
        <s:f>'자료구성'!$B$2+TIME(INT($C$3/10000),INT(MOD($C$3,10000)/100),MOD($C$3,100))+(ROW()-ROW($C$3))/86400</s:f>
        <s:v>46247.570381944446</s:v>
      </s:c>
    </s:row>
    <s:row r="886">
      <s:c r="A886" s="0" t="n">
        <s:v>260813</s:v>
      </s:c>
      <s:c r="B886" s="0" t="inlineStr">
        <s:is>
          <s:t>이종훈</s:t>
        </s:is>
      </s:c>
      <s:c r="C886" s="0" t="n">
        <s:v>132639</s:v>
      </s:c>
      <s:c r="D886" s="0" t="n">
        <s:v>1972</s:v>
      </s:c>
      <s:c r="F886" s="24">
        <s:f>'자료구성'!$B$2+TIME(INT($C$3/10000),INT(MOD($C$3,10000)/100),MOD($C$3,100))+(ROW()-ROW($C$3))/86400</s:f>
        <s:v>46247.570393518516</s:v>
      </s:c>
    </s:row>
    <s:row r="887">
      <s:c r="A887" s="0" t="n">
        <s:v>260813</s:v>
      </s:c>
      <s:c r="B887" s="0" t="inlineStr">
        <s:is>
          <s:t>이종훈</s:t>
        </s:is>
      </s:c>
      <s:c r="C887" s="0" t="n">
        <s:v>132639</s:v>
      </s:c>
      <s:c r="D887" s="0" t="n">
        <s:v>2044</s:v>
      </s:c>
      <s:c r="F887" s="24">
        <s:f>'자료구성'!$B$2+TIME(INT($C$3/10000),INT(MOD($C$3,10000)/100),MOD($C$3,100))+(ROW()-ROW($C$3))/86400</s:f>
        <s:v>46247.57040509259</s:v>
      </s:c>
    </s:row>
    <s:row r="888">
      <s:c r="A888" s="0" t="n">
        <s:v>260813</s:v>
      </s:c>
      <s:c r="B888" s="0" t="inlineStr">
        <s:is>
          <s:t>이종훈</s:t>
        </s:is>
      </s:c>
      <s:c r="C888" s="0" t="n">
        <s:v>132639</s:v>
      </s:c>
      <s:c r="D888" s="0" t="n">
        <s:v>2050</s:v>
      </s:c>
      <s:c r="F888" s="24">
        <s:f>'자료구성'!$B$2+TIME(INT($C$3/10000),INT(MOD($C$3,10000)/100),MOD($C$3,100))+(ROW()-ROW($C$3))/86400</s:f>
        <s:v>46247.57041666667</s:v>
      </s:c>
    </s:row>
    <s:row r="889">
      <s:c r="A889" s="0" t="n">
        <s:v>260813</s:v>
      </s:c>
      <s:c r="B889" s="0" t="inlineStr">
        <s:is>
          <s:t>이종훈</s:t>
        </s:is>
      </s:c>
      <s:c r="C889" s="0" t="n">
        <s:v>132639</s:v>
      </s:c>
      <s:c r="D889" s="0" t="n">
        <s:v>2022</s:v>
      </s:c>
      <s:c r="F889" s="24">
        <s:f>'자료구성'!$B$2+TIME(INT($C$3/10000),INT(MOD($C$3,10000)/100),MOD($C$3,100))+(ROW()-ROW($C$3))/86400</s:f>
        <s:v>46247.57042824074</s:v>
      </s:c>
    </s:row>
    <s:row r="890">
      <s:c r="A890" s="0" t="n">
        <s:v>260813</s:v>
      </s:c>
      <s:c r="B890" s="0" t="inlineStr">
        <s:is>
          <s:t>이종훈</s:t>
        </s:is>
      </s:c>
      <s:c r="C890" s="0" t="n">
        <s:v>132639</s:v>
      </s:c>
      <s:c r="D890" s="0" t="n">
        <s:v>1931</s:v>
      </s:c>
      <s:c r="F890" s="24">
        <s:f>'자료구성'!$B$2+TIME(INT($C$3/10000),INT(MOD($C$3,10000)/100),MOD($C$3,100))+(ROW()-ROW($C$3))/86400</s:f>
        <s:v>46247.570439814815</s:v>
      </s:c>
    </s:row>
    <s:row r="891">
      <s:c r="A891" s="0" t="n">
        <s:v>260813</s:v>
      </s:c>
      <s:c r="B891" s="0" t="inlineStr">
        <s:is>
          <s:t>이종훈</s:t>
        </s:is>
      </s:c>
      <s:c r="C891" s="0" t="n">
        <s:v>132639</s:v>
      </s:c>
      <s:c r="D891" s="0" t="n">
        <s:v>1846</s:v>
      </s:c>
      <s:c r="F891" s="24">
        <s:f>'자료구성'!$B$2+TIME(INT($C$3/10000),INT(MOD($C$3,10000)/100),MOD($C$3,100))+(ROW()-ROW($C$3))/86400</s:f>
        <s:v>46247.57045138889</s:v>
      </s:c>
    </s:row>
    <s:row r="892">
      <s:c r="A892" s="0" t="n">
        <s:v>260813</s:v>
      </s:c>
      <s:c r="B892" s="0" t="inlineStr">
        <s:is>
          <s:t>이종훈</s:t>
        </s:is>
      </s:c>
      <s:c r="C892" s="0" t="n">
        <s:v>132639</s:v>
      </s:c>
      <s:c r="D892" s="0" t="n">
        <s:v>1773</s:v>
      </s:c>
      <s:c r="F892" s="24">
        <s:f>'자료구성'!$B$2+TIME(INT($C$3/10000),INT(MOD($C$3,10000)/100),MOD($C$3,100))+(ROW()-ROW($C$3))/86400</s:f>
        <s:v>46247.57046296296</s:v>
      </s:c>
    </s:row>
    <s:row r="893">
      <s:c r="A893" s="0" t="n">
        <s:v>260813</s:v>
      </s:c>
      <s:c r="B893" s="0" t="inlineStr">
        <s:is>
          <s:t>이종훈</s:t>
        </s:is>
      </s:c>
      <s:c r="C893" s="0" t="n">
        <s:v>132639</s:v>
      </s:c>
      <s:c r="D893" s="0" t="n">
        <s:v>1734</s:v>
      </s:c>
      <s:c r="F893" s="24">
        <s:f>'자료구성'!$B$2+TIME(INT($C$3/10000),INT(MOD($C$3,10000)/100),MOD($C$3,100))+(ROW()-ROW($C$3))/86400</s:f>
        <s:v>46247.57047453704</s:v>
      </s:c>
    </s:row>
    <s:row r="894">
      <s:c r="A894" s="0" t="n">
        <s:v>260813</s:v>
      </s:c>
      <s:c r="B894" s="0" t="inlineStr">
        <s:is>
          <s:t>이종훈</s:t>
        </s:is>
      </s:c>
      <s:c r="C894" s="0" t="n">
        <s:v>132639</s:v>
      </s:c>
      <s:c r="D894" s="0" t="n">
        <s:v>1686</s:v>
      </s:c>
      <s:c r="F894" s="24">
        <s:f>'자료구성'!$B$2+TIME(INT($C$3/10000),INT(MOD($C$3,10000)/100),MOD($C$3,100))+(ROW()-ROW($C$3))/86400</s:f>
        <s:v>46247.57048611111</s:v>
      </s:c>
    </s:row>
    <s:row r="895">
      <s:c r="A895" s="0" t="n">
        <s:v>260813</s:v>
      </s:c>
      <s:c r="B895" s="0" t="inlineStr">
        <s:is>
          <s:t>이종훈</s:t>
        </s:is>
      </s:c>
      <s:c r="C895" s="0" t="n">
        <s:v>132639</s:v>
      </s:c>
      <s:c r="D895" s="0" t="n">
        <s:v>1642</s:v>
      </s:c>
      <s:c r="F895" s="24">
        <s:f>'자료구성'!$B$2+TIME(INT($C$3/10000),INT(MOD($C$3,10000)/100),MOD($C$3,100))+(ROW()-ROW($C$3))/86400</s:f>
        <s:v>46247.570497685185</s:v>
      </s:c>
    </s:row>
    <s:row r="896">
      <s:c r="A896" s="0" t="n">
        <s:v>260813</s:v>
      </s:c>
      <s:c r="B896" s="0" t="inlineStr">
        <s:is>
          <s:t>이종훈</s:t>
        </s:is>
      </s:c>
      <s:c r="C896" s="0" t="n">
        <s:v>132639</s:v>
      </s:c>
      <s:c r="D896" s="0" t="n">
        <s:v>1605</s:v>
      </s:c>
      <s:c r="F896" s="24">
        <s:f>'자료구성'!$B$2+TIME(INT($C$3/10000),INT(MOD($C$3,10000)/100),MOD($C$3,100))+(ROW()-ROW($C$3))/86400</s:f>
        <s:v>46247.57050925926</s:v>
      </s:c>
    </s:row>
    <s:row r="897">
      <s:c r="A897" s="0" t="n">
        <s:v>260813</s:v>
      </s:c>
      <s:c r="B897" s="0" t="inlineStr">
        <s:is>
          <s:t>이종훈</s:t>
        </s:is>
      </s:c>
      <s:c r="C897" s="0" t="n">
        <s:v>132639</s:v>
      </s:c>
      <s:c r="D897" s="0" t="n">
        <s:v>1606</s:v>
      </s:c>
      <s:c r="F897" s="24">
        <s:f>'자료구성'!$B$2+TIME(INT($C$3/10000),INT(MOD($C$3,10000)/100),MOD($C$3,100))+(ROW()-ROW($C$3))/86400</s:f>
        <s:v>46247.57052083333</s:v>
      </s:c>
    </s:row>
    <s:row r="898">
      <s:c r="A898" s="0" t="n">
        <s:v>260813</s:v>
      </s:c>
      <s:c r="B898" s="0" t="inlineStr">
        <s:is>
          <s:t>이종훈</s:t>
        </s:is>
      </s:c>
      <s:c r="C898" s="0" t="n">
        <s:v>132639</s:v>
      </s:c>
      <s:c r="D898" s="0" t="n">
        <s:v>1672</s:v>
      </s:c>
      <s:c r="F898" s="24">
        <s:f>'자료구성'!$B$2+TIME(INT($C$3/10000),INT(MOD($C$3,10000)/100),MOD($C$3,100))+(ROW()-ROW($C$3))/86400</s:f>
        <s:v>46247.57053240741</s:v>
      </s:c>
    </s:row>
    <s:row r="899">
      <s:c r="A899" s="0" t="n">
        <s:v>260813</s:v>
      </s:c>
      <s:c r="B899" s="0" t="inlineStr">
        <s:is>
          <s:t>이종훈</s:t>
        </s:is>
      </s:c>
      <s:c r="C899" s="0" t="n">
        <s:v>132639</s:v>
      </s:c>
      <s:c r="D899" s="0" t="n">
        <s:v>1716</s:v>
      </s:c>
      <s:c r="F899" s="24">
        <s:f>'자료구성'!$B$2+TIME(INT($C$3/10000),INT(MOD($C$3,10000)/100),MOD($C$3,100))+(ROW()-ROW($C$3))/86400</s:f>
        <s:v>46247.570543981485</s:v>
      </s:c>
    </s:row>
    <s:row r="900">
      <s:c r="A900" s="0" t="n">
        <s:v>260813</s:v>
      </s:c>
      <s:c r="B900" s="0" t="inlineStr">
        <s:is>
          <s:t>이종훈</s:t>
        </s:is>
      </s:c>
      <s:c r="C900" s="0" t="n">
        <s:v>132639</s:v>
      </s:c>
      <s:c r="D900" s="0" t="n">
        <s:v>1712</s:v>
      </s:c>
      <s:c r="F900" s="24">
        <s:f>'자료구성'!$B$2+TIME(INT($C$3/10000),INT(MOD($C$3,10000)/100),MOD($C$3,100))+(ROW()-ROW($C$3))/86400</s:f>
        <s:v>46247.570555555554</s:v>
      </s:c>
    </s:row>
    <s:row r="901">
      <s:c r="A901" s="0" t="n">
        <s:v>260813</s:v>
      </s:c>
      <s:c r="B901" s="0" t="inlineStr">
        <s:is>
          <s:t>이종훈</s:t>
        </s:is>
      </s:c>
      <s:c r="C901" s="0" t="n">
        <s:v>132639</s:v>
      </s:c>
      <s:c r="D901" s="0" t="n">
        <s:v>1680</s:v>
      </s:c>
      <s:c r="F901" s="24">
        <s:f>'자료구성'!$B$2+TIME(INT($C$3/10000),INT(MOD($C$3,10000)/100),MOD($C$3,100))+(ROW()-ROW($C$3))/86400</s:f>
        <s:v>46247.57056712963</s:v>
      </s:c>
    </s:row>
    <s:row r="902">
      <s:c r="A902" s="0" t="n">
        <s:v>260813</s:v>
      </s:c>
      <s:c r="B902" s="0" t="inlineStr">
        <s:is>
          <s:t>이종훈</s:t>
        </s:is>
      </s:c>
      <s:c r="C902" s="0" t="n">
        <s:v>132639</s:v>
      </s:c>
      <s:c r="D902" s="0" t="n">
        <s:v>1681</s:v>
      </s:c>
      <s:c r="F902" s="24">
        <s:f>'자료구성'!$B$2+TIME(INT($C$3/10000),INT(MOD($C$3,10000)/100),MOD($C$3,100))+(ROW()-ROW($C$3))/86400</s:f>
        <s:v>46247.5705787037</s:v>
      </s:c>
    </s:row>
  </s:sheetData>
  <s:mergeCells count="1">
    <s:mergeCell ref="A1:E1"/>
  </s:mergeCells>
  <s:pageMargins left="0.7" right="0.7" top="0.75" bottom="0.75" header="0.3" footer="0.3"/>
  <s:pageSetup orientation="portrait" paperSize="9"/>
  <s:legacyDrawing r:id="anysvml"/>
</s:worksheet>
</file>

<file path=xl/worksheets/sheet3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/>
  </s:sheetPr>
  <s:dimension ref="A1:F902"/>
  <s:sheetViews>
    <s:sheetView workbookViewId="0">
      <s:pane ySplit="2" topLeftCell="A874" activePane="bottomLeft" state="frozen"/>
      <s:selection pane="bottomLeft" activeCell="D3" sqref="D3:D902"/>
    </s:sheetView>
  </s:sheetViews>
  <s:sheetFormatPr baseColWidth="8" defaultRowHeight="16.5"/>
  <s:cols>
    <s:col width="13" bestFit="1" customWidth="1" style="7" min="4" max="4"/>
    <s:col width="25" customWidth="1" style="7" min="6" max="6"/>
  </s:cols>
  <s:sheetData>
    <s:row r="1">
      <s:c r="A1" s="4" t="inlineStr">
        <s:is>
          <s:t>잣나무A</s:t>
        </s:is>
      </s:c>
    </s:row>
    <s:row r="2" ht="17.25" customHeight="1" s="7" thickBot="1">
      <s:c r="A2" s="2" t="inlineStr">
        <s:is>
          <s:t>조사일자</s:t>
        </s:is>
      </s:c>
      <s:c r="B2" s="3" t="inlineStr">
        <s:is>
          <s:t>조사자명</s:t>
        </s:is>
      </s:c>
      <s:c r="C2" s="3" t="inlineStr">
        <s:is>
          <s:t>조사시작시간</s:t>
        </s:is>
      </s:c>
      <s:c r="D2" s="3" t="inlineStr">
        <s:is>
          <s:t>음이온발생량</s:t>
        </s:is>
      </s:c>
      <s:c r="E2" s="1" t="inlineStr">
        <s:is>
          <s:t>비고</s:t>
        </s:is>
      </s:c>
      <s:c r="F2" s="3" t="inlineStr">
        <s:is>
          <s:t>측정일시</s:t>
        </s:is>
      </s:c>
    </s:row>
    <s:row r="3">
      <s:c r="A3" s="0" t="n">
        <s:v>260813</s:v>
      </s:c>
      <s:c r="B3" s="0" t="inlineStr">
        <s:is>
          <s:t>이종훈</s:t>
        </s:is>
      </s:c>
      <s:c r="C3" s="0" t="n">
        <s:v>130021</s:v>
      </s:c>
      <s:c r="D3" s="0" t="n">
        <s:v>1474</s:v>
      </s:c>
      <s:c r="F3" s="24">
        <s:f>'자료구성'!$B$2+TIME(INT($C$3/10000),INT(MOD($C$3,10000)/100),MOD($C$3,100))+(ROW()-ROW($C$3))/86400</s:f>
        <s:v>46247.541909722226</s:v>
      </s:c>
    </s:row>
    <s:row r="4">
      <s:c r="A4" s="0" t="n">
        <s:v>260813</s:v>
      </s:c>
      <s:c r="B4" s="0" t="inlineStr">
        <s:is>
          <s:t>이종훈</s:t>
        </s:is>
      </s:c>
      <s:c r="C4" s="0" t="n">
        <s:v>130021</s:v>
      </s:c>
      <s:c r="D4" s="0" t="n">
        <s:v>1491</s:v>
      </s:c>
      <s:c r="F4" s="24">
        <s:f>'자료구성'!$B$2+TIME(INT($C$3/10000),INT(MOD($C$3,10000)/100),MOD($C$3,100))+(ROW()-ROW($C$3))/86400</s:f>
        <s:v>46247.541921296295</s:v>
      </s:c>
    </s:row>
    <s:row r="5">
      <s:c r="A5" s="0" t="n">
        <s:v>260813</s:v>
      </s:c>
      <s:c r="B5" s="0" t="inlineStr">
        <s:is>
          <s:t>이종훈</s:t>
        </s:is>
      </s:c>
      <s:c r="C5" s="0" t="n">
        <s:v>130021</s:v>
      </s:c>
      <s:c r="D5" s="0" t="n">
        <s:v>1486</s:v>
      </s:c>
      <s:c r="F5" s="24">
        <s:f>'자료구성'!$B$2+TIME(INT($C$3/10000),INT(MOD($C$3,10000)/100),MOD($C$3,100))+(ROW()-ROW($C$3))/86400</s:f>
        <s:v>46247.54193287037</s:v>
      </s:c>
    </s:row>
    <s:row r="6">
      <s:c r="A6" s="0" t="n">
        <s:v>260813</s:v>
      </s:c>
      <s:c r="B6" s="0" t="inlineStr">
        <s:is>
          <s:t>이종훈</s:t>
        </s:is>
      </s:c>
      <s:c r="C6" s="0" t="n">
        <s:v>130021</s:v>
      </s:c>
      <s:c r="D6" s="0" t="n">
        <s:v>1506</s:v>
      </s:c>
      <s:c r="F6" s="24">
        <s:f>'자료구성'!$B$2+TIME(INT($C$3/10000),INT(MOD($C$3,10000)/100),MOD($C$3,100))+(ROW()-ROW($C$3))/86400</s:f>
        <s:v>46247.54194444444</s:v>
      </s:c>
    </s:row>
    <s:row r="7">
      <s:c r="A7" s="0" t="n">
        <s:v>260813</s:v>
      </s:c>
      <s:c r="B7" s="0" t="inlineStr">
        <s:is>
          <s:t>이종훈</s:t>
        </s:is>
      </s:c>
      <s:c r="C7" s="0" t="n">
        <s:v>130021</s:v>
      </s:c>
      <s:c r="D7" s="0" t="n">
        <s:v>1520</s:v>
      </s:c>
      <s:c r="F7" s="24">
        <s:f>'자료구성'!$B$2+TIME(INT($C$3/10000),INT(MOD($C$3,10000)/100),MOD($C$3,100))+(ROW()-ROW($C$3))/86400</s:f>
        <s:v>46247.54195601852</s:v>
      </s:c>
    </s:row>
    <s:row r="8">
      <s:c r="A8" s="0" t="n">
        <s:v>260813</s:v>
      </s:c>
      <s:c r="B8" s="0" t="inlineStr">
        <s:is>
          <s:t>이종훈</s:t>
        </s:is>
      </s:c>
      <s:c r="C8" s="0" t="n">
        <s:v>130021</s:v>
      </s:c>
      <s:c r="D8" s="0" t="n">
        <s:v>1511</s:v>
      </s:c>
      <s:c r="F8" s="24">
        <s:f>'자료구성'!$B$2+TIME(INT($C$3/10000),INT(MOD($C$3,10000)/100),MOD($C$3,100))+(ROW()-ROW($C$3))/86400</s:f>
        <s:v>46247.541967592595</s:v>
      </s:c>
    </s:row>
    <s:row r="9">
      <s:c r="A9" s="0" t="n">
        <s:v>260813</s:v>
      </s:c>
      <s:c r="B9" s="0" t="inlineStr">
        <s:is>
          <s:t>이종훈</s:t>
        </s:is>
      </s:c>
      <s:c r="C9" s="0" t="n">
        <s:v>130021</s:v>
      </s:c>
      <s:c r="D9" s="0" t="n">
        <s:v>1546</s:v>
      </s:c>
      <s:c r="F9" s="24">
        <s:f>'자료구성'!$B$2+TIME(INT($C$3/10000),INT(MOD($C$3,10000)/100),MOD($C$3,100))+(ROW()-ROW($C$3))/86400</s:f>
        <s:v>46247.541979166665</s:v>
      </s:c>
    </s:row>
    <s:row r="10">
      <s:c r="A10" s="0" t="n">
        <s:v>260813</s:v>
      </s:c>
      <s:c r="B10" s="0" t="inlineStr">
        <s:is>
          <s:t>이종훈</s:t>
        </s:is>
      </s:c>
      <s:c r="C10" s="0" t="n">
        <s:v>130021</s:v>
      </s:c>
      <s:c r="D10" s="0" t="n">
        <s:v>1655</s:v>
      </s:c>
      <s:c r="F10" s="24">
        <s:f>'자료구성'!$B$2+TIME(INT($C$3/10000),INT(MOD($C$3,10000)/100),MOD($C$3,100))+(ROW()-ROW($C$3))/86400</s:f>
        <s:v>46247.54199074074</s:v>
      </s:c>
    </s:row>
    <s:row r="11">
      <s:c r="A11" s="0" t="n">
        <s:v>260813</s:v>
      </s:c>
      <s:c r="B11" s="0" t="inlineStr">
        <s:is>
          <s:t>이종훈</s:t>
        </s:is>
      </s:c>
      <s:c r="C11" s="0" t="n">
        <s:v>130021</s:v>
      </s:c>
      <s:c r="D11" s="0" t="n">
        <s:v>1718</s:v>
      </s:c>
      <s:c r="F11" s="24">
        <s:f>'자료구성'!$B$2+TIME(INT($C$3/10000),INT(MOD($C$3,10000)/100),MOD($C$3,100))+(ROW()-ROW($C$3))/86400</s:f>
        <s:v>46247.54200231482</s:v>
      </s:c>
    </s:row>
    <s:row r="12">
      <s:c r="A12" s="0" t="n">
        <s:v>260813</s:v>
      </s:c>
      <s:c r="B12" s="0" t="inlineStr">
        <s:is>
          <s:t>이종훈</s:t>
        </s:is>
      </s:c>
      <s:c r="C12" s="0" t="n">
        <s:v>130021</s:v>
      </s:c>
      <s:c r="D12" s="0" t="n">
        <s:v>1757</s:v>
      </s:c>
      <s:c r="F12" s="24">
        <s:f>'자료구성'!$B$2+TIME(INT($C$3/10000),INT(MOD($C$3,10000)/100),MOD($C$3,100))+(ROW()-ROW($C$3))/86400</s:f>
        <s:v>46247.54201388889</s:v>
      </s:c>
    </s:row>
    <s:row r="13">
      <s:c r="A13" s="0" t="n">
        <s:v>260813</s:v>
      </s:c>
      <s:c r="B13" s="0" t="inlineStr">
        <s:is>
          <s:t>이종훈</s:t>
        </s:is>
      </s:c>
      <s:c r="C13" s="0" t="n">
        <s:v>130021</s:v>
      </s:c>
      <s:c r="D13" s="0" t="n">
        <s:v>1788</s:v>
      </s:c>
      <s:c r="F13" s="24">
        <s:f>'자료구성'!$B$2+TIME(INT($C$3/10000),INT(MOD($C$3,10000)/100),MOD($C$3,100))+(ROW()-ROW($C$3))/86400</s:f>
        <s:v>46247.542025462964</s:v>
      </s:c>
    </s:row>
    <s:row r="14">
      <s:c r="A14" s="0" t="n">
        <s:v>260813</s:v>
      </s:c>
      <s:c r="B14" s="0" t="inlineStr">
        <s:is>
          <s:t>이종훈</s:t>
        </s:is>
      </s:c>
      <s:c r="C14" s="0" t="n">
        <s:v>130021</s:v>
      </s:c>
      <s:c r="D14" s="0" t="n">
        <s:v>1796</s:v>
      </s:c>
      <s:c r="F14" s="24">
        <s:f>'자료구성'!$B$2+TIME(INT($C$3/10000),INT(MOD($C$3,10000)/100),MOD($C$3,100))+(ROW()-ROW($C$3))/86400</s:f>
        <s:v>46247.542037037034</s:v>
      </s:c>
    </s:row>
    <s:row r="15">
      <s:c r="A15" s="0" t="n">
        <s:v>260813</s:v>
      </s:c>
      <s:c r="B15" s="0" t="inlineStr">
        <s:is>
          <s:t>이종훈</s:t>
        </s:is>
      </s:c>
      <s:c r="C15" s="0" t="n">
        <s:v>130021</s:v>
      </s:c>
      <s:c r="D15" s="0" t="n">
        <s:v>1791</s:v>
      </s:c>
      <s:c r="F15" s="24">
        <s:f>'자료구성'!$B$2+TIME(INT($C$3/10000),INT(MOD($C$3,10000)/100),MOD($C$3,100))+(ROW()-ROW($C$3))/86400</s:f>
        <s:v>46247.54204861111</s:v>
      </s:c>
    </s:row>
    <s:row r="16">
      <s:c r="A16" s="0" t="n">
        <s:v>260813</s:v>
      </s:c>
      <s:c r="B16" s="0" t="inlineStr">
        <s:is>
          <s:t>이종훈</s:t>
        </s:is>
      </s:c>
      <s:c r="C16" s="0" t="n">
        <s:v>130021</s:v>
      </s:c>
      <s:c r="D16" s="0" t="n">
        <s:v>1797</s:v>
      </s:c>
      <s:c r="F16" s="24">
        <s:f>'자료구성'!$B$2+TIME(INT($C$3/10000),INT(MOD($C$3,10000)/100),MOD($C$3,100))+(ROW()-ROW($C$3))/86400</s:f>
        <s:v>46247.54206018519</s:v>
      </s:c>
    </s:row>
    <s:row r="17">
      <s:c r="A17" s="0" t="n">
        <s:v>260813</s:v>
      </s:c>
      <s:c r="B17" s="0" t="inlineStr">
        <s:is>
          <s:t>이종훈</s:t>
        </s:is>
      </s:c>
      <s:c r="C17" s="0" t="n">
        <s:v>130021</s:v>
      </s:c>
      <s:c r="D17" s="0" t="n">
        <s:v>1820</s:v>
      </s:c>
      <s:c r="F17" s="24">
        <s:f>'자료구성'!$B$2+TIME(INT($C$3/10000),INT(MOD($C$3,10000)/100),MOD($C$3,100))+(ROW()-ROW($C$3))/86400</s:f>
        <s:v>46247.54207175926</s:v>
      </s:c>
    </s:row>
    <s:row r="18">
      <s:c r="A18" s="0" t="n">
        <s:v>260813</s:v>
      </s:c>
      <s:c r="B18" s="0" t="inlineStr">
        <s:is>
          <s:t>이종훈</s:t>
        </s:is>
      </s:c>
      <s:c r="C18" s="0" t="n">
        <s:v>130021</s:v>
      </s:c>
      <s:c r="D18" s="0" t="n">
        <s:v>1809</s:v>
      </s:c>
      <s:c r="F18" s="24">
        <s:f>'자료구성'!$B$2+TIME(INT($C$3/10000),INT(MOD($C$3,10000)/100),MOD($C$3,100))+(ROW()-ROW($C$3))/86400</s:f>
        <s:v>46247.542083333334</s:v>
      </s:c>
    </s:row>
    <s:row r="19">
      <s:c r="A19" s="0" t="n">
        <s:v>260813</s:v>
      </s:c>
      <s:c r="B19" s="0" t="inlineStr">
        <s:is>
          <s:t>이종훈</s:t>
        </s:is>
      </s:c>
      <s:c r="C19" s="0" t="n">
        <s:v>130021</s:v>
      </s:c>
      <s:c r="D19" s="0" t="n">
        <s:v>1751</s:v>
      </s:c>
      <s:c r="F19" s="24">
        <s:f>'자료구성'!$B$2+TIME(INT($C$3/10000),INT(MOD($C$3,10000)/100),MOD($C$3,100))+(ROW()-ROW($C$3))/86400</s:f>
        <s:v>46247.54209490741</s:v>
      </s:c>
    </s:row>
    <s:row r="20">
      <s:c r="A20" s="0" t="n">
        <s:v>260813</s:v>
      </s:c>
      <s:c r="B20" s="0" t="inlineStr">
        <s:is>
          <s:t>이종훈</s:t>
        </s:is>
      </s:c>
      <s:c r="C20" s="0" t="n">
        <s:v>130021</s:v>
      </s:c>
      <s:c r="D20" s="0" t="n">
        <s:v>1688</s:v>
      </s:c>
      <s:c r="F20" s="24">
        <s:f>'자료구성'!$B$2+TIME(INT($C$3/10000),INT(MOD($C$3,10000)/100),MOD($C$3,100))+(ROW()-ROW($C$3))/86400</s:f>
        <s:v>46247.54210648148</s:v>
      </s:c>
    </s:row>
    <s:row r="21">
      <s:c r="A21" s="0" t="n">
        <s:v>260813</s:v>
      </s:c>
      <s:c r="B21" s="0" t="inlineStr">
        <s:is>
          <s:t>이종훈</s:t>
        </s:is>
      </s:c>
      <s:c r="C21" s="0" t="n">
        <s:v>130021</s:v>
      </s:c>
      <s:c r="D21" s="0" t="n">
        <s:v>1640</s:v>
      </s:c>
      <s:c r="F21" s="24">
        <s:f>'자료구성'!$B$2+TIME(INT($C$3/10000),INT(MOD($C$3,10000)/100),MOD($C$3,100))+(ROW()-ROW($C$3))/86400</s:f>
        <s:v>46247.54211805556</s:v>
      </s:c>
    </s:row>
    <s:row r="22">
      <s:c r="A22" s="0" t="n">
        <s:v>260813</s:v>
      </s:c>
      <s:c r="B22" s="0" t="inlineStr">
        <s:is>
          <s:t>이종훈</s:t>
        </s:is>
      </s:c>
      <s:c r="C22" s="0" t="n">
        <s:v>130021</s:v>
      </s:c>
      <s:c r="D22" s="0" t="n">
        <s:v>1598</s:v>
      </s:c>
      <s:c r="F22" s="24">
        <s:f>'자료구성'!$B$2+TIME(INT($C$3/10000),INT(MOD($C$3,10000)/100),MOD($C$3,100))+(ROW()-ROW($C$3))/86400</s:f>
        <s:v>46247.542129629626</s:v>
      </s:c>
    </s:row>
    <s:row r="23">
      <s:c r="A23" s="0" t="n">
        <s:v>260813</s:v>
      </s:c>
      <s:c r="B23" s="0" t="inlineStr">
        <s:is>
          <s:t>이종훈</s:t>
        </s:is>
      </s:c>
      <s:c r="C23" s="0" t="n">
        <s:v>130021</s:v>
      </s:c>
      <s:c r="D23" s="0" t="n">
        <s:v>1597</s:v>
      </s:c>
      <s:c r="F23" s="24">
        <s:f>'자료구성'!$B$2+TIME(INT($C$3/10000),INT(MOD($C$3,10000)/100),MOD($C$3,100))+(ROW()-ROW($C$3))/86400</s:f>
        <s:v>46247.5421412037</s:v>
      </s:c>
    </s:row>
    <s:row r="24">
      <s:c r="A24" s="0" t="n">
        <s:v>260813</s:v>
      </s:c>
      <s:c r="B24" s="0" t="inlineStr">
        <s:is>
          <s:t>이종훈</s:t>
        </s:is>
      </s:c>
      <s:c r="C24" s="0" t="n">
        <s:v>130021</s:v>
      </s:c>
      <s:c r="D24" s="0" t="n">
        <s:v>1608</s:v>
      </s:c>
      <s:c r="F24" s="24">
        <s:f>'자료구성'!$B$2+TIME(INT($C$3/10000),INT(MOD($C$3,10000)/100),MOD($C$3,100))+(ROW()-ROW($C$3))/86400</s:f>
        <s:v>46247.54215277778</s:v>
      </s:c>
    </s:row>
    <s:row r="25">
      <s:c r="A25" s="0" t="n">
        <s:v>260813</s:v>
      </s:c>
      <s:c r="B25" s="0" t="inlineStr">
        <s:is>
          <s:t>이종훈</s:t>
        </s:is>
      </s:c>
      <s:c r="C25" s="0" t="n">
        <s:v>130021</s:v>
      </s:c>
      <s:c r="D25" s="0" t="n">
        <s:v>1586</s:v>
      </s:c>
      <s:c r="F25" s="24">
        <s:f>'자료구성'!$B$2+TIME(INT($C$3/10000),INT(MOD($C$3,10000)/100),MOD($C$3,100))+(ROW()-ROW($C$3))/86400</s:f>
        <s:v>46247.54216435185</s:v>
      </s:c>
    </s:row>
    <s:row r="26">
      <s:c r="A26" s="0" t="n">
        <s:v>260813</s:v>
      </s:c>
      <s:c r="B26" s="0" t="inlineStr">
        <s:is>
          <s:t>이종훈</s:t>
        </s:is>
      </s:c>
      <s:c r="C26" s="0" t="n">
        <s:v>130021</s:v>
      </s:c>
      <s:c r="D26" s="0" t="n">
        <s:v>1581</s:v>
      </s:c>
      <s:c r="F26" s="24">
        <s:f>'자료구성'!$B$2+TIME(INT($C$3/10000),INT(MOD($C$3,10000)/100),MOD($C$3,100))+(ROW()-ROW($C$3))/86400</s:f>
        <s:v>46247.542175925926</s:v>
      </s:c>
    </s:row>
    <s:row r="27">
      <s:c r="A27" s="0" t="n">
        <s:v>260813</s:v>
      </s:c>
      <s:c r="B27" s="0" t="inlineStr">
        <s:is>
          <s:t>이종훈</s:t>
        </s:is>
      </s:c>
      <s:c r="C27" s="0" t="n">
        <s:v>130021</s:v>
      </s:c>
      <s:c r="D27" s="0" t="n">
        <s:v>1632</s:v>
      </s:c>
      <s:c r="F27" s="24">
        <s:f>'자료구성'!$B$2+TIME(INT($C$3/10000),INT(MOD($C$3,10000)/100),MOD($C$3,100))+(ROW()-ROW($C$3))/86400</s:f>
        <s:v>46247.5421875</s:v>
      </s:c>
    </s:row>
    <s:row r="28">
      <s:c r="A28" s="0" t="n">
        <s:v>260813</s:v>
      </s:c>
      <s:c r="B28" s="0" t="inlineStr">
        <s:is>
          <s:t>이종훈</s:t>
        </s:is>
      </s:c>
      <s:c r="C28" s="0" t="n">
        <s:v>130021</s:v>
      </s:c>
      <s:c r="D28" s="0" t="n">
        <s:v>1641</s:v>
      </s:c>
      <s:c r="F28" s="24">
        <s:f>'자료구성'!$B$2+TIME(INT($C$3/10000),INT(MOD($C$3,10000)/100),MOD($C$3,100))+(ROW()-ROW($C$3))/86400</s:f>
        <s:v>46247.54219907407</s:v>
      </s:c>
    </s:row>
    <s:row r="29">
      <s:c r="A29" s="0" t="n">
        <s:v>260813</s:v>
      </s:c>
      <s:c r="B29" s="0" t="inlineStr">
        <s:is>
          <s:t>이종훈</s:t>
        </s:is>
      </s:c>
      <s:c r="C29" s="0" t="n">
        <s:v>130021</s:v>
      </s:c>
      <s:c r="D29" s="0" t="n">
        <s:v>1664</s:v>
      </s:c>
      <s:c r="F29" s="24">
        <s:f>'자료구성'!$B$2+TIME(INT($C$3/10000),INT(MOD($C$3,10000)/100),MOD($C$3,100))+(ROW()-ROW($C$3))/86400</s:f>
        <s:v>46247.54221064815</s:v>
      </s:c>
    </s:row>
    <s:row r="30">
      <s:c r="A30" s="0" t="n">
        <s:v>260813</s:v>
      </s:c>
      <s:c r="B30" s="0" t="inlineStr">
        <s:is>
          <s:t>이종훈</s:t>
        </s:is>
      </s:c>
      <s:c r="C30" s="0" t="n">
        <s:v>130021</s:v>
      </s:c>
      <s:c r="D30" s="0" t="n">
        <s:v>1669</s:v>
      </s:c>
      <s:c r="F30" s="24">
        <s:f>'자료구성'!$B$2+TIME(INT($C$3/10000),INT(MOD($C$3,10000)/100),MOD($C$3,100))+(ROW()-ROW($C$3))/86400</s:f>
        <s:v>46247.54222222222</s:v>
      </s:c>
    </s:row>
    <s:row r="31">
      <s:c r="A31" s="0" t="n">
        <s:v>260813</s:v>
      </s:c>
      <s:c r="B31" s="0" t="inlineStr">
        <s:is>
          <s:t>이종훈</s:t>
        </s:is>
      </s:c>
      <s:c r="C31" s="0" t="n">
        <s:v>130021</s:v>
      </s:c>
      <s:c r="D31" s="0" t="n">
        <s:v>1673</s:v>
      </s:c>
      <s:c r="F31" s="24">
        <s:f>'자료구성'!$B$2+TIME(INT($C$3/10000),INT(MOD($C$3,10000)/100),MOD($C$3,100))+(ROW()-ROW($C$3))/86400</s:f>
        <s:v>46247.542233796295</s:v>
      </s:c>
    </s:row>
    <s:row r="32">
      <s:c r="A32" s="0" t="n">
        <s:v>260813</s:v>
      </s:c>
      <s:c r="B32" s="0" t="inlineStr">
        <s:is>
          <s:t>이종훈</s:t>
        </s:is>
      </s:c>
      <s:c r="C32" s="0" t="n">
        <s:v>130021</s:v>
      </s:c>
      <s:c r="D32" s="0" t="n">
        <s:v>1657</s:v>
      </s:c>
      <s:c r="F32" s="24">
        <s:f>'자료구성'!$B$2+TIME(INT($C$3/10000),INT(MOD($C$3,10000)/100),MOD($C$3,100))+(ROW()-ROW($C$3))/86400</s:f>
        <s:v>46247.54224537037</s:v>
      </s:c>
    </s:row>
    <s:row r="33">
      <s:c r="A33" s="0" t="n">
        <s:v>260813</s:v>
      </s:c>
      <s:c r="B33" s="0" t="inlineStr">
        <s:is>
          <s:t>이종훈</s:t>
        </s:is>
      </s:c>
      <s:c r="C33" s="0" t="n">
        <s:v>130021</s:v>
      </s:c>
      <s:c r="D33" s="0" t="n">
        <s:v>1690</s:v>
      </s:c>
      <s:c r="F33" s="24">
        <s:f>'자료구성'!$B$2+TIME(INT($C$3/10000),INT(MOD($C$3,10000)/100),MOD($C$3,100))+(ROW()-ROW($C$3))/86400</s:f>
        <s:v>46247.54225694444</s:v>
      </s:c>
    </s:row>
    <s:row r="34">
      <s:c r="A34" s="0" t="n">
        <s:v>260813</s:v>
      </s:c>
      <s:c r="B34" s="0" t="inlineStr">
        <s:is>
          <s:t>이종훈</s:t>
        </s:is>
      </s:c>
      <s:c r="C34" s="0" t="n">
        <s:v>130021</s:v>
      </s:c>
      <s:c r="D34" s="0" t="n">
        <s:v>1658</s:v>
      </s:c>
      <s:c r="F34" s="24">
        <s:f>'자료구성'!$B$2+TIME(INT($C$3/10000),INT(MOD($C$3,10000)/100),MOD($C$3,100))+(ROW()-ROW($C$3))/86400</s:f>
        <s:v>46247.54226851852</s:v>
      </s:c>
    </s:row>
    <s:row r="35">
      <s:c r="A35" s="0" t="n">
        <s:v>260813</s:v>
      </s:c>
      <s:c r="B35" s="0" t="inlineStr">
        <s:is>
          <s:t>이종훈</s:t>
        </s:is>
      </s:c>
      <s:c r="C35" s="0" t="n">
        <s:v>130021</s:v>
      </s:c>
      <s:c r="D35" s="0" t="n">
        <s:v>1617</s:v>
      </s:c>
      <s:c r="F35" s="24">
        <s:f>'자료구성'!$B$2+TIME(INT($C$3/10000),INT(MOD($C$3,10000)/100),MOD($C$3,100))+(ROW()-ROW($C$3))/86400</s:f>
        <s:v>46247.542280092595</s:v>
      </s:c>
    </s:row>
    <s:row r="36">
      <s:c r="A36" s="0" t="n">
        <s:v>260813</s:v>
      </s:c>
      <s:c r="B36" s="0" t="inlineStr">
        <s:is>
          <s:t>이종훈</s:t>
        </s:is>
      </s:c>
      <s:c r="C36" s="0" t="n">
        <s:v>130021</s:v>
      </s:c>
      <s:c r="D36" s="0" t="n">
        <s:v>1597</s:v>
      </s:c>
      <s:c r="F36" s="24">
        <s:f>'자료구성'!$B$2+TIME(INT($C$3/10000),INT(MOD($C$3,10000)/100),MOD($C$3,100))+(ROW()-ROW($C$3))/86400</s:f>
        <s:v>46247.542291666665</s:v>
      </s:c>
    </s:row>
    <s:row r="37">
      <s:c r="A37" s="0" t="n">
        <s:v>260813</s:v>
      </s:c>
      <s:c r="B37" s="0" t="inlineStr">
        <s:is>
          <s:t>이종훈</s:t>
        </s:is>
      </s:c>
      <s:c r="C37" s="0" t="n">
        <s:v>130021</s:v>
      </s:c>
      <s:c r="D37" s="0" t="n">
        <s:v>1596</s:v>
      </s:c>
      <s:c r="F37" s="24">
        <s:f>'자료구성'!$B$2+TIME(INT($C$3/10000),INT(MOD($C$3,10000)/100),MOD($C$3,100))+(ROW()-ROW($C$3))/86400</s:f>
        <s:v>46247.54230324074</s:v>
      </s:c>
    </s:row>
    <s:row r="38">
      <s:c r="A38" s="0" t="n">
        <s:v>260813</s:v>
      </s:c>
      <s:c r="B38" s="0" t="inlineStr">
        <s:is>
          <s:t>이종훈</s:t>
        </s:is>
      </s:c>
      <s:c r="C38" s="0" t="n">
        <s:v>130021</s:v>
      </s:c>
      <s:c r="D38" s="0" t="n">
        <s:v>1630</s:v>
      </s:c>
      <s:c r="F38" s="24">
        <s:f>'자료구성'!$B$2+TIME(INT($C$3/10000),INT(MOD($C$3,10000)/100),MOD($C$3,100))+(ROW()-ROW($C$3))/86400</s:f>
        <s:v>46247.54231481482</s:v>
      </s:c>
    </s:row>
    <s:row r="39">
      <s:c r="A39" s="0" t="n">
        <s:v>260813</s:v>
      </s:c>
      <s:c r="B39" s="0" t="inlineStr">
        <s:is>
          <s:t>이종훈</s:t>
        </s:is>
      </s:c>
      <s:c r="C39" s="0" t="n">
        <s:v>130021</s:v>
      </s:c>
      <s:c r="D39" s="0" t="n">
        <s:v>1674</s:v>
      </s:c>
      <s:c r="F39" s="24">
        <s:f>'자료구성'!$B$2+TIME(INT($C$3/10000),INT(MOD($C$3,10000)/100),MOD($C$3,100))+(ROW()-ROW($C$3))/86400</s:f>
        <s:v>46247.54232638889</s:v>
      </s:c>
    </s:row>
    <s:row r="40">
      <s:c r="A40" s="0" t="n">
        <s:v>260813</s:v>
      </s:c>
      <s:c r="B40" s="0" t="inlineStr">
        <s:is>
          <s:t>이종훈</s:t>
        </s:is>
      </s:c>
      <s:c r="C40" s="0" t="n">
        <s:v>130021</s:v>
      </s:c>
      <s:c r="D40" s="0" t="n">
        <s:v>1706</s:v>
      </s:c>
      <s:c r="F40" s="24">
        <s:f>'자료구성'!$B$2+TIME(INT($C$3/10000),INT(MOD($C$3,10000)/100),MOD($C$3,100))+(ROW()-ROW($C$3))/86400</s:f>
        <s:v>46247.542337962965</s:v>
      </s:c>
    </s:row>
    <s:row r="41">
      <s:c r="A41" s="0" t="n">
        <s:v>260813</s:v>
      </s:c>
      <s:c r="B41" s="0" t="inlineStr">
        <s:is>
          <s:t>이종훈</s:t>
        </s:is>
      </s:c>
      <s:c r="C41" s="0" t="n">
        <s:v>130021</s:v>
      </s:c>
      <s:c r="D41" s="0" t="n">
        <s:v>1753</s:v>
      </s:c>
      <s:c r="F41" s="24">
        <s:f>'자료구성'!$B$2+TIME(INT($C$3/10000),INT(MOD($C$3,10000)/100),MOD($C$3,100))+(ROW()-ROW($C$3))/86400</s:f>
        <s:v>46247.542349537034</s:v>
      </s:c>
    </s:row>
    <s:row r="42">
      <s:c r="A42" s="0" t="n">
        <s:v>260813</s:v>
      </s:c>
      <s:c r="B42" s="0" t="inlineStr">
        <s:is>
          <s:t>이종훈</s:t>
        </s:is>
      </s:c>
      <s:c r="C42" s="0" t="n">
        <s:v>130021</s:v>
      </s:c>
      <s:c r="D42" s="0" t="n">
        <s:v>1712</s:v>
      </s:c>
      <s:c r="F42" s="24">
        <s:f>'자료구성'!$B$2+TIME(INT($C$3/10000),INT(MOD($C$3,10000)/100),MOD($C$3,100))+(ROW()-ROW($C$3))/86400</s:f>
        <s:v>46247.54236111111</s:v>
      </s:c>
    </s:row>
    <s:row r="43">
      <s:c r="A43" s="0" t="n">
        <s:v>260813</s:v>
      </s:c>
      <s:c r="B43" s="0" t="inlineStr">
        <s:is>
          <s:t>이종훈</s:t>
        </s:is>
      </s:c>
      <s:c r="C43" s="0" t="n">
        <s:v>130021</s:v>
      </s:c>
      <s:c r="D43" s="0" t="n">
        <s:v>1674</s:v>
      </s:c>
      <s:c r="F43" s="24">
        <s:f>'자료구성'!$B$2+TIME(INT($C$3/10000),INT(MOD($C$3,10000)/100),MOD($C$3,100))+(ROW()-ROW($C$3))/86400</s:f>
        <s:v>46247.54237268519</s:v>
      </s:c>
    </s:row>
    <s:row r="44">
      <s:c r="A44" s="0" t="n">
        <s:v>260813</s:v>
      </s:c>
      <s:c r="B44" s="0" t="inlineStr">
        <s:is>
          <s:t>이종훈</s:t>
        </s:is>
      </s:c>
      <s:c r="C44" s="0" t="n">
        <s:v>130021</s:v>
      </s:c>
      <s:c r="D44" s="0" t="n">
        <s:v>1630</s:v>
      </s:c>
      <s:c r="F44" s="24">
        <s:f>'자료구성'!$B$2+TIME(INT($C$3/10000),INT(MOD($C$3,10000)/100),MOD($C$3,100))+(ROW()-ROW($C$3))/86400</s:f>
        <s:v>46247.54238425926</s:v>
      </s:c>
    </s:row>
    <s:row r="45">
      <s:c r="A45" s="0" t="n">
        <s:v>260813</s:v>
      </s:c>
      <s:c r="B45" s="0" t="inlineStr">
        <s:is>
          <s:t>이종훈</s:t>
        </s:is>
      </s:c>
      <s:c r="C45" s="0" t="n">
        <s:v>130021</s:v>
      </s:c>
      <s:c r="D45" s="0" t="n">
        <s:v>1551</s:v>
      </s:c>
      <s:c r="F45" s="24">
        <s:f>'자료구성'!$B$2+TIME(INT($C$3/10000),INT(MOD($C$3,10000)/100),MOD($C$3,100))+(ROW()-ROW($C$3))/86400</s:f>
        <s:v>46247.542395833334</s:v>
      </s:c>
    </s:row>
    <s:row r="46">
      <s:c r="A46" s="0" t="n">
        <s:v>260813</s:v>
      </s:c>
      <s:c r="B46" s="0" t="inlineStr">
        <s:is>
          <s:t>이종훈</s:t>
        </s:is>
      </s:c>
      <s:c r="C46" s="0" t="n">
        <s:v>130021</s:v>
      </s:c>
      <s:c r="D46" s="0" t="n">
        <s:v>1507</s:v>
      </s:c>
      <s:c r="F46" s="24">
        <s:f>'자료구성'!$B$2+TIME(INT($C$3/10000),INT(MOD($C$3,10000)/100),MOD($C$3,100))+(ROW()-ROW($C$3))/86400</s:f>
        <s:v>46247.54240740741</s:v>
      </s:c>
    </s:row>
    <s:row r="47">
      <s:c r="A47" s="0" t="n">
        <s:v>260813</s:v>
      </s:c>
      <s:c r="B47" s="0" t="inlineStr">
        <s:is>
          <s:t>이종훈</s:t>
        </s:is>
      </s:c>
      <s:c r="C47" s="0" t="n">
        <s:v>130021</s:v>
      </s:c>
      <s:c r="D47" s="0" t="n">
        <s:v>1463</s:v>
      </s:c>
      <s:c r="F47" s="24">
        <s:f>'자료구성'!$B$2+TIME(INT($C$3/10000),INT(MOD($C$3,10000)/100),MOD($C$3,100))+(ROW()-ROW($C$3))/86400</s:f>
        <s:v>46247.54241898148</s:v>
      </s:c>
    </s:row>
    <s:row r="48">
      <s:c r="A48" s="0" t="n">
        <s:v>260813</s:v>
      </s:c>
      <s:c r="B48" s="0" t="inlineStr">
        <s:is>
          <s:t>이종훈</s:t>
        </s:is>
      </s:c>
      <s:c r="C48" s="0" t="n">
        <s:v>130021</s:v>
      </s:c>
      <s:c r="D48" s="0" t="n">
        <s:v>1448</s:v>
      </s:c>
      <s:c r="F48" s="24">
        <s:f>'자료구성'!$B$2+TIME(INT($C$3/10000),INT(MOD($C$3,10000)/100),MOD($C$3,100))+(ROW()-ROW($C$3))/86400</s:f>
        <s:v>46247.54243055556</s:v>
      </s:c>
    </s:row>
    <s:row r="49">
      <s:c r="A49" s="0" t="n">
        <s:v>260813</s:v>
      </s:c>
      <s:c r="B49" s="0" t="inlineStr">
        <s:is>
          <s:t>이종훈</s:t>
        </s:is>
      </s:c>
      <s:c r="C49" s="0" t="n">
        <s:v>130021</s:v>
      </s:c>
      <s:c r="D49" s="0" t="n">
        <s:v>1446</s:v>
      </s:c>
      <s:c r="F49" s="24">
        <s:f>'자료구성'!$B$2+TIME(INT($C$3/10000),INT(MOD($C$3,10000)/100),MOD($C$3,100))+(ROW()-ROW($C$3))/86400</s:f>
        <s:v>46247.54244212963</s:v>
      </s:c>
    </s:row>
    <s:row r="50">
      <s:c r="A50" s="0" t="n">
        <s:v>260813</s:v>
      </s:c>
      <s:c r="B50" s="0" t="inlineStr">
        <s:is>
          <s:t>이종훈</s:t>
        </s:is>
      </s:c>
      <s:c r="C50" s="0" t="n">
        <s:v>130021</s:v>
      </s:c>
      <s:c r="D50" s="0" t="n">
        <s:v>1466</s:v>
      </s:c>
      <s:c r="F50" s="24">
        <s:f>'자료구성'!$B$2+TIME(INT($C$3/10000),INT(MOD($C$3,10000)/100),MOD($C$3,100))+(ROW()-ROW($C$3))/86400</s:f>
        <s:v>46247.5424537037</s:v>
      </s:c>
    </s:row>
    <s:row r="51">
      <s:c r="A51" s="0" t="n">
        <s:v>260813</s:v>
      </s:c>
      <s:c r="B51" s="0" t="inlineStr">
        <s:is>
          <s:t>이종훈</s:t>
        </s:is>
      </s:c>
      <s:c r="C51" s="0" t="n">
        <s:v>130021</s:v>
      </s:c>
      <s:c r="D51" s="0" t="n">
        <s:v>1465</s:v>
      </s:c>
      <s:c r="F51" s="24">
        <s:f>'자료구성'!$B$2+TIME(INT($C$3/10000),INT(MOD($C$3,10000)/100),MOD($C$3,100))+(ROW()-ROW($C$3))/86400</s:f>
        <s:v>46247.54246527778</s:v>
      </s:c>
    </s:row>
    <s:row r="52">
      <s:c r="A52" s="0" t="n">
        <s:v>260813</s:v>
      </s:c>
      <s:c r="B52" s="0" t="inlineStr">
        <s:is>
          <s:t>이종훈</s:t>
        </s:is>
      </s:c>
      <s:c r="C52" s="0" t="n">
        <s:v>130021</s:v>
      </s:c>
      <s:c r="D52" s="0" t="n">
        <s:v>1464</s:v>
      </s:c>
      <s:c r="F52" s="24">
        <s:f>'자료구성'!$B$2+TIME(INT($C$3/10000),INT(MOD($C$3,10000)/100),MOD($C$3,100))+(ROW()-ROW($C$3))/86400</s:f>
        <s:v>46247.54247685185</s:v>
      </s:c>
    </s:row>
    <s:row r="53">
      <s:c r="A53" s="0" t="n">
        <s:v>260813</s:v>
      </s:c>
      <s:c r="B53" s="0" t="inlineStr">
        <s:is>
          <s:t>이종훈</s:t>
        </s:is>
      </s:c>
      <s:c r="C53" s="0" t="n">
        <s:v>130021</s:v>
      </s:c>
      <s:c r="D53" s="0" t="n">
        <s:v>1453</s:v>
      </s:c>
      <s:c r="F53" s="24">
        <s:f>'자료구성'!$B$2+TIME(INT($C$3/10000),INT(MOD($C$3,10000)/100),MOD($C$3,100))+(ROW()-ROW($C$3))/86400</s:f>
        <s:v>46247.54248842593</s:v>
      </s:c>
    </s:row>
    <s:row r="54">
      <s:c r="A54" s="0" t="n">
        <s:v>260813</s:v>
      </s:c>
      <s:c r="B54" s="0" t="inlineStr">
        <s:is>
          <s:t>이종훈</s:t>
        </s:is>
      </s:c>
      <s:c r="C54" s="0" t="n">
        <s:v>130021</s:v>
      </s:c>
      <s:c r="D54" s="0" t="n">
        <s:v>1444</s:v>
      </s:c>
      <s:c r="F54" s="24">
        <s:f>'자료구성'!$B$2+TIME(INT($C$3/10000),INT(MOD($C$3,10000)/100),MOD($C$3,100))+(ROW()-ROW($C$3))/86400</s:f>
        <s:v>46247.5425</s:v>
      </s:c>
    </s:row>
    <s:row r="55">
      <s:c r="A55" s="0" t="n">
        <s:v>260813</s:v>
      </s:c>
      <s:c r="B55" s="0" t="inlineStr">
        <s:is>
          <s:t>이종훈</s:t>
        </s:is>
      </s:c>
      <s:c r="C55" s="0" t="n">
        <s:v>130021</s:v>
      </s:c>
      <s:c r="D55" s="0" t="n">
        <s:v>1450</s:v>
      </s:c>
      <s:c r="F55" s="24">
        <s:f>'자료구성'!$B$2+TIME(INT($C$3/10000),INT(MOD($C$3,10000)/100),MOD($C$3,100))+(ROW()-ROW($C$3))/86400</s:f>
        <s:v>46247.54251157407</s:v>
      </s:c>
    </s:row>
    <s:row r="56">
      <s:c r="A56" s="0" t="n">
        <s:v>260813</s:v>
      </s:c>
      <s:c r="B56" s="0" t="inlineStr">
        <s:is>
          <s:t>이종훈</s:t>
        </s:is>
      </s:c>
      <s:c r="C56" s="0" t="n">
        <s:v>130021</s:v>
      </s:c>
      <s:c r="D56" s="0" t="n">
        <s:v>1492</s:v>
      </s:c>
      <s:c r="F56" s="24">
        <s:f>'자료구성'!$B$2+TIME(INT($C$3/10000),INT(MOD($C$3,10000)/100),MOD($C$3,100))+(ROW()-ROW($C$3))/86400</s:f>
        <s:v>46247.54252314815</s:v>
      </s:c>
    </s:row>
    <s:row r="57">
      <s:c r="A57" s="0" t="n">
        <s:v>260813</s:v>
      </s:c>
      <s:c r="B57" s="0" t="inlineStr">
        <s:is>
          <s:t>이종훈</s:t>
        </s:is>
      </s:c>
      <s:c r="C57" s="0" t="n">
        <s:v>130021</s:v>
      </s:c>
      <s:c r="D57" s="0" t="n">
        <s:v>1541</s:v>
      </s:c>
      <s:c r="F57" s="24">
        <s:f>'자료구성'!$B$2+TIME(INT($C$3/10000),INT(MOD($C$3,10000)/100),MOD($C$3,100))+(ROW()-ROW($C$3))/86400</s:f>
        <s:v>46247.54253472222</s:v>
      </s:c>
    </s:row>
    <s:row r="58">
      <s:c r="A58" s="0" t="n">
        <s:v>260813</s:v>
      </s:c>
      <s:c r="B58" s="0" t="inlineStr">
        <s:is>
          <s:t>이종훈</s:t>
        </s:is>
      </s:c>
      <s:c r="C58" s="0" t="n">
        <s:v>130021</s:v>
      </s:c>
      <s:c r="D58" s="0" t="n">
        <s:v>1546</s:v>
      </s:c>
      <s:c r="F58" s="24">
        <s:f>'자료구성'!$B$2+TIME(INT($C$3/10000),INT(MOD($C$3,10000)/100),MOD($C$3,100))+(ROW()-ROW($C$3))/86400</s:f>
        <s:v>46247.542546296296</s:v>
      </s:c>
    </s:row>
    <s:row r="59">
      <s:c r="A59" s="0" t="n">
        <s:v>260813</s:v>
      </s:c>
      <s:c r="B59" s="0" t="inlineStr">
        <s:is>
          <s:t>이종훈</s:t>
        </s:is>
      </s:c>
      <s:c r="C59" s="0" t="n">
        <s:v>130021</s:v>
      </s:c>
      <s:c r="D59" s="0" t="n">
        <s:v>1499</s:v>
      </s:c>
      <s:c r="F59" s="24">
        <s:f>'자료구성'!$B$2+TIME(INT($C$3/10000),INT(MOD($C$3,10000)/100),MOD($C$3,100))+(ROW()-ROW($C$3))/86400</s:f>
        <s:v>46247.54255787037</s:v>
      </s:c>
    </s:row>
    <s:row r="60">
      <s:c r="A60" s="0" t="n">
        <s:v>260813</s:v>
      </s:c>
      <s:c r="B60" s="0" t="inlineStr">
        <s:is>
          <s:t>이종훈</s:t>
        </s:is>
      </s:c>
      <s:c r="C60" s="0" t="n">
        <s:v>130021</s:v>
      </s:c>
      <s:c r="D60" s="0" t="n">
        <s:v>1423</s:v>
      </s:c>
      <s:c r="F60" s="24">
        <s:f>'자료구성'!$B$2+TIME(INT($C$3/10000),INT(MOD($C$3,10000)/100),MOD($C$3,100))+(ROW()-ROW($C$3))/86400</s:f>
        <s:v>46247.54256944444</s:v>
      </s:c>
    </s:row>
    <s:row r="61">
      <s:c r="A61" s="0" t="n">
        <s:v>260813</s:v>
      </s:c>
      <s:c r="B61" s="0" t="inlineStr">
        <s:is>
          <s:t>이종훈</s:t>
        </s:is>
      </s:c>
      <s:c r="C61" s="0" t="n">
        <s:v>130021</s:v>
      </s:c>
      <s:c r="D61" s="0" t="n">
        <s:v>1358</s:v>
      </s:c>
      <s:c r="F61" s="24">
        <s:f>'자료구성'!$B$2+TIME(INT($C$3/10000),INT(MOD($C$3,10000)/100),MOD($C$3,100))+(ROW()-ROW($C$3))/86400</s:f>
        <s:v>46247.54258101852</s:v>
      </s:c>
    </s:row>
    <s:row r="62">
      <s:c r="A62" s="0" t="n">
        <s:v>260813</s:v>
      </s:c>
      <s:c r="B62" s="0" t="inlineStr">
        <s:is>
          <s:t>이종훈</s:t>
        </s:is>
      </s:c>
      <s:c r="C62" s="0" t="n">
        <s:v>130021</s:v>
      </s:c>
      <s:c r="D62" s="0" t="n">
        <s:v>1288</s:v>
      </s:c>
      <s:c r="F62" s="24">
        <s:f>'자료구성'!$B$2+TIME(INT($C$3/10000),INT(MOD($C$3,10000)/100),MOD($C$3,100))+(ROW()-ROW($C$3))/86400</s:f>
        <s:v>46247.542592592596</s:v>
      </s:c>
    </s:row>
    <s:row r="63">
      <s:c r="A63" s="0" t="n">
        <s:v>260813</s:v>
      </s:c>
      <s:c r="B63" s="0" t="inlineStr">
        <s:is>
          <s:t>이종훈</s:t>
        </s:is>
      </s:c>
      <s:c r="C63" s="0" t="n">
        <s:v>130021</s:v>
      </s:c>
      <s:c r="D63" s="0" t="n">
        <s:v>1236</s:v>
      </s:c>
      <s:c r="F63" s="24">
        <s:f>'자료구성'!$B$2+TIME(INT($C$3/10000),INT(MOD($C$3,10000)/100),MOD($C$3,100))+(ROW()-ROW($C$3))/86400</s:f>
        <s:v>46247.542604166665</s:v>
      </s:c>
    </s:row>
    <s:row r="64">
      <s:c r="A64" s="0" t="n">
        <s:v>260813</s:v>
      </s:c>
      <s:c r="B64" s="0" t="inlineStr">
        <s:is>
          <s:t>이종훈</s:t>
        </s:is>
      </s:c>
      <s:c r="C64" s="0" t="n">
        <s:v>130021</s:v>
      </s:c>
      <s:c r="D64" s="0" t="n">
        <s:v>1201</s:v>
      </s:c>
      <s:c r="F64" s="24">
        <s:f>'자료구성'!$B$2+TIME(INT($C$3/10000),INT(MOD($C$3,10000)/100),MOD($C$3,100))+(ROW()-ROW($C$3))/86400</s:f>
        <s:v>46247.54261574074</s:v>
      </s:c>
    </s:row>
    <s:row r="65">
      <s:c r="A65" s="0" t="n">
        <s:v>260813</s:v>
      </s:c>
      <s:c r="B65" s="0" t="inlineStr">
        <s:is>
          <s:t>이종훈</s:t>
        </s:is>
      </s:c>
      <s:c r="C65" s="0" t="n">
        <s:v>130021</s:v>
      </s:c>
      <s:c r="D65" s="0" t="n">
        <s:v>1163</s:v>
      </s:c>
      <s:c r="F65" s="24">
        <s:f>'자료구성'!$B$2+TIME(INT($C$3/10000),INT(MOD($C$3,10000)/100),MOD($C$3,100))+(ROW()-ROW($C$3))/86400</s:f>
        <s:v>46247.54262731481</s:v>
      </s:c>
    </s:row>
    <s:row r="66">
      <s:c r="A66" s="0" t="n">
        <s:v>260813</s:v>
      </s:c>
      <s:c r="B66" s="0" t="inlineStr">
        <s:is>
          <s:t>이종훈</s:t>
        </s:is>
      </s:c>
      <s:c r="C66" s="0" t="n">
        <s:v>130021</s:v>
      </s:c>
      <s:c r="D66" s="0" t="n">
        <s:v>1136</s:v>
      </s:c>
      <s:c r="F66" s="24">
        <s:f>'자료구성'!$B$2+TIME(INT($C$3/10000),INT(MOD($C$3,10000)/100),MOD($C$3,100))+(ROW()-ROW($C$3))/86400</s:f>
        <s:v>46247.54263888889</s:v>
      </s:c>
    </s:row>
    <s:row r="67">
      <s:c r="A67" s="0" t="n">
        <s:v>260813</s:v>
      </s:c>
      <s:c r="B67" s="0" t="inlineStr">
        <s:is>
          <s:t>이종훈</s:t>
        </s:is>
      </s:c>
      <s:c r="C67" s="0" t="n">
        <s:v>130021</s:v>
      </s:c>
      <s:c r="D67" s="0" t="n">
        <s:v>1122</s:v>
      </s:c>
      <s:c r="F67" s="24">
        <s:f>'자료구성'!$B$2+TIME(INT($C$3/10000),INT(MOD($C$3,10000)/100),MOD($C$3,100))+(ROW()-ROW($C$3))/86400</s:f>
        <s:v>46247.542650462965</s:v>
      </s:c>
    </s:row>
    <s:row r="68">
      <s:c r="A68" s="0" t="n">
        <s:v>260813</s:v>
      </s:c>
      <s:c r="B68" s="0" t="inlineStr">
        <s:is>
          <s:t>이종훈</s:t>
        </s:is>
      </s:c>
      <s:c r="C68" s="0" t="n">
        <s:v>130021</s:v>
      </s:c>
      <s:c r="D68" s="0" t="n">
        <s:v>1104</s:v>
      </s:c>
      <s:c r="F68" s="24">
        <s:f>'자료구성'!$B$2+TIME(INT($C$3/10000),INT(MOD($C$3,10000)/100),MOD($C$3,100))+(ROW()-ROW($C$3))/86400</s:f>
        <s:v>46247.542662037034</s:v>
      </s:c>
    </s:row>
    <s:row r="69">
      <s:c r="A69" s="0" t="n">
        <s:v>260813</s:v>
      </s:c>
      <s:c r="B69" s="0" t="inlineStr">
        <s:is>
          <s:t>이종훈</s:t>
        </s:is>
      </s:c>
      <s:c r="C69" s="0" t="n">
        <s:v>130021</s:v>
      </s:c>
      <s:c r="D69" s="0" t="n">
        <s:v>1084</s:v>
      </s:c>
      <s:c r="F69" s="24">
        <s:f>'자료구성'!$B$2+TIME(INT($C$3/10000),INT(MOD($C$3,10000)/100),MOD($C$3,100))+(ROW()-ROW($C$3))/86400</s:f>
        <s:v>46247.54267361111</s:v>
      </s:c>
    </s:row>
    <s:row r="70">
      <s:c r="A70" s="0" t="n">
        <s:v>260813</s:v>
      </s:c>
      <s:c r="B70" s="0" t="inlineStr">
        <s:is>
          <s:t>이종훈</s:t>
        </s:is>
      </s:c>
      <s:c r="C70" s="0" t="n">
        <s:v>130021</s:v>
      </s:c>
      <s:c r="D70" s="0" t="n">
        <s:v>1099</s:v>
      </s:c>
      <s:c r="F70" s="24">
        <s:f>'자료구성'!$B$2+TIME(INT($C$3/10000),INT(MOD($C$3,10000)/100),MOD($C$3,100))+(ROW()-ROW($C$3))/86400</s:f>
        <s:v>46247.54268518519</s:v>
      </s:c>
    </s:row>
    <s:row r="71">
      <s:c r="A71" s="0" t="n">
        <s:v>260813</s:v>
      </s:c>
      <s:c r="B71" s="0" t="inlineStr">
        <s:is>
          <s:t>이종훈</s:t>
        </s:is>
      </s:c>
      <s:c r="C71" s="0" t="n">
        <s:v>130021</s:v>
      </s:c>
      <s:c r="D71" s="0" t="n">
        <s:v>1118</s:v>
      </s:c>
      <s:c r="F71" s="24">
        <s:f>'자료구성'!$B$2+TIME(INT($C$3/10000),INT(MOD($C$3,10000)/100),MOD($C$3,100))+(ROW()-ROW($C$3))/86400</s:f>
        <s:v>46247.54269675926</s:v>
      </s:c>
    </s:row>
    <s:row r="72">
      <s:c r="A72" s="0" t="n">
        <s:v>260813</s:v>
      </s:c>
      <s:c r="B72" s="0" t="inlineStr">
        <s:is>
          <s:t>이종훈</s:t>
        </s:is>
      </s:c>
      <s:c r="C72" s="0" t="n">
        <s:v>130021</s:v>
      </s:c>
      <s:c r="D72" s="0" t="n">
        <s:v>1117</s:v>
      </s:c>
      <s:c r="F72" s="24">
        <s:f>'자료구성'!$B$2+TIME(INT($C$3/10000),INT(MOD($C$3,10000)/100),MOD($C$3,100))+(ROW()-ROW($C$3))/86400</s:f>
        <s:v>46247.542708333334</s:v>
      </s:c>
    </s:row>
    <s:row r="73">
      <s:c r="A73" s="0" t="n">
        <s:v>260813</s:v>
      </s:c>
      <s:c r="B73" s="0" t="inlineStr">
        <s:is>
          <s:t>이종훈</s:t>
        </s:is>
      </s:c>
      <s:c r="C73" s="0" t="n">
        <s:v>130021</s:v>
      </s:c>
      <s:c r="D73" s="0" t="n">
        <s:v>1136</s:v>
      </s:c>
      <s:c r="F73" s="24">
        <s:f>'자료구성'!$B$2+TIME(INT($C$3/10000),INT(MOD($C$3,10000)/100),MOD($C$3,100))+(ROW()-ROW($C$3))/86400</s:f>
        <s:v>46247.542719907404</s:v>
      </s:c>
    </s:row>
    <s:row r="74">
      <s:c r="A74" s="0" t="n">
        <s:v>260813</s:v>
      </s:c>
      <s:c r="B74" s="0" t="inlineStr">
        <s:is>
          <s:t>이종훈</s:t>
        </s:is>
      </s:c>
      <s:c r="C74" s="0" t="n">
        <s:v>130021</s:v>
      </s:c>
      <s:c r="D74" s="0" t="n">
        <s:v>1193</s:v>
      </s:c>
      <s:c r="F74" s="24">
        <s:f>'자료구성'!$B$2+TIME(INT($C$3/10000),INT(MOD($C$3,10000)/100),MOD($C$3,100))+(ROW()-ROW($C$3))/86400</s:f>
        <s:v>46247.54273148148</s:v>
      </s:c>
    </s:row>
    <s:row r="75">
      <s:c r="A75" s="0" t="n">
        <s:v>260813</s:v>
      </s:c>
      <s:c r="B75" s="0" t="inlineStr">
        <s:is>
          <s:t>이종훈</s:t>
        </s:is>
      </s:c>
      <s:c r="C75" s="0" t="n">
        <s:v>130021</s:v>
      </s:c>
      <s:c r="D75" s="0" t="n">
        <s:v>1264</s:v>
      </s:c>
      <s:c r="F75" s="24">
        <s:f>'자료구성'!$B$2+TIME(INT($C$3/10000),INT(MOD($C$3,10000)/100),MOD($C$3,100))+(ROW()-ROW($C$3))/86400</s:f>
        <s:v>46247.54274305556</s:v>
      </s:c>
    </s:row>
    <s:row r="76">
      <s:c r="A76" s="0" t="n">
        <s:v>260813</s:v>
      </s:c>
      <s:c r="B76" s="0" t="inlineStr">
        <s:is>
          <s:t>이종훈</s:t>
        </s:is>
      </s:c>
      <s:c r="C76" s="0" t="n">
        <s:v>130021</s:v>
      </s:c>
      <s:c r="D76" s="0" t="n">
        <s:v>1269</s:v>
      </s:c>
      <s:c r="F76" s="24">
        <s:f>'자료구성'!$B$2+TIME(INT($C$3/10000),INT(MOD($C$3,10000)/100),MOD($C$3,100))+(ROW()-ROW($C$3))/86400</s:f>
        <s:v>46247.54275462963</s:v>
      </s:c>
    </s:row>
    <s:row r="77">
      <s:c r="A77" s="0" t="n">
        <s:v>260813</s:v>
      </s:c>
      <s:c r="B77" s="0" t="inlineStr">
        <s:is>
          <s:t>이종훈</s:t>
        </s:is>
      </s:c>
      <s:c r="C77" s="0" t="n">
        <s:v>130021</s:v>
      </s:c>
      <s:c r="D77" s="0" t="n">
        <s:v>1300</s:v>
      </s:c>
      <s:c r="F77" s="24">
        <s:f>'자료구성'!$B$2+TIME(INT($C$3/10000),INT(MOD($C$3,10000)/100),MOD($C$3,100))+(ROW()-ROW($C$3))/86400</s:f>
        <s:v>46247.542766203704</s:v>
      </s:c>
    </s:row>
    <s:row r="78">
      <s:c r="A78" s="0" t="n">
        <s:v>260813</s:v>
      </s:c>
      <s:c r="B78" s="0" t="inlineStr">
        <s:is>
          <s:t>이종훈</s:t>
        </s:is>
      </s:c>
      <s:c r="C78" s="0" t="n">
        <s:v>130021</s:v>
      </s:c>
      <s:c r="D78" s="0" t="n">
        <s:v>1299</s:v>
      </s:c>
      <s:c r="F78" s="24">
        <s:f>'자료구성'!$B$2+TIME(INT($C$3/10000),INT(MOD($C$3,10000)/100),MOD($C$3,100))+(ROW()-ROW($C$3))/86400</s:f>
        <s:v>46247.54277777778</s:v>
      </s:c>
    </s:row>
    <s:row r="79">
      <s:c r="A79" s="0" t="n">
        <s:v>260813</s:v>
      </s:c>
      <s:c r="B79" s="0" t="inlineStr">
        <s:is>
          <s:t>이종훈</s:t>
        </s:is>
      </s:c>
      <s:c r="C79" s="0" t="n">
        <s:v>130021</s:v>
      </s:c>
      <s:c r="D79" s="0" t="n">
        <s:v>1299</s:v>
      </s:c>
      <s:c r="F79" s="24">
        <s:f>'자료구성'!$B$2+TIME(INT($C$3/10000),INT(MOD($C$3,10000)/100),MOD($C$3,100))+(ROW()-ROW($C$3))/86400</s:f>
        <s:v>46247.54278935185</s:v>
      </s:c>
    </s:row>
    <s:row r="80">
      <s:c r="A80" s="0" t="n">
        <s:v>260813</s:v>
      </s:c>
      <s:c r="B80" s="0" t="inlineStr">
        <s:is>
          <s:t>이종훈</s:t>
        </s:is>
      </s:c>
      <s:c r="C80" s="0" t="n">
        <s:v>130021</s:v>
      </s:c>
      <s:c r="D80" s="0" t="n">
        <s:v>1312</s:v>
      </s:c>
      <s:c r="F80" s="24">
        <s:f>'자료구성'!$B$2+TIME(INT($C$3/10000),INT(MOD($C$3,10000)/100),MOD($C$3,100))+(ROW()-ROW($C$3))/86400</s:f>
        <s:v>46247.54280092593</s:v>
      </s:c>
    </s:row>
    <s:row r="81">
      <s:c r="A81" s="0" t="n">
        <s:v>260813</s:v>
      </s:c>
      <s:c r="B81" s="0" t="inlineStr">
        <s:is>
          <s:t>이종훈</s:t>
        </s:is>
      </s:c>
      <s:c r="C81" s="0" t="n">
        <s:v>130021</s:v>
      </s:c>
      <s:c r="D81" s="0" t="n">
        <s:v>1290</s:v>
      </s:c>
      <s:c r="F81" s="24">
        <s:f>'자료구성'!$B$2+TIME(INT($C$3/10000),INT(MOD($C$3,10000)/100),MOD($C$3,100))+(ROW()-ROW($C$3))/86400</s:f>
        <s:v>46247.5428125</s:v>
      </s:c>
    </s:row>
    <s:row r="82">
      <s:c r="A82" s="0" t="n">
        <s:v>260813</s:v>
      </s:c>
      <s:c r="B82" s="0" t="inlineStr">
        <s:is>
          <s:t>이종훈</s:t>
        </s:is>
      </s:c>
      <s:c r="C82" s="0" t="n">
        <s:v>130021</s:v>
      </s:c>
      <s:c r="D82" s="0" t="n">
        <s:v>1267</s:v>
      </s:c>
      <s:c r="F82" s="24">
        <s:f>'자료구성'!$B$2+TIME(INT($C$3/10000),INT(MOD($C$3,10000)/100),MOD($C$3,100))+(ROW()-ROW($C$3))/86400</s:f>
        <s:v>46247.54282407407</s:v>
      </s:c>
    </s:row>
    <s:row r="83">
      <s:c r="A83" s="0" t="n">
        <s:v>260813</s:v>
      </s:c>
      <s:c r="B83" s="0" t="inlineStr">
        <s:is>
          <s:t>이종훈</s:t>
        </s:is>
      </s:c>
      <s:c r="C83" s="0" t="n">
        <s:v>130021</s:v>
      </s:c>
      <s:c r="D83" s="0" t="n">
        <s:v>1252</s:v>
      </s:c>
      <s:c r="F83" s="24">
        <s:f>'자료구성'!$B$2+TIME(INT($C$3/10000),INT(MOD($C$3,10000)/100),MOD($C$3,100))+(ROW()-ROW($C$3))/86400</s:f>
        <s:v>46247.54283564815</s:v>
      </s:c>
    </s:row>
    <s:row r="84">
      <s:c r="A84" s="0" t="n">
        <s:v>260813</s:v>
      </s:c>
      <s:c r="B84" s="0" t="inlineStr">
        <s:is>
          <s:t>이종훈</s:t>
        </s:is>
      </s:c>
      <s:c r="C84" s="0" t="n">
        <s:v>130021</s:v>
      </s:c>
      <s:c r="D84" s="0" t="n">
        <s:v>1237</s:v>
      </s:c>
      <s:c r="F84" s="24">
        <s:f>'자료구성'!$B$2+TIME(INT($C$3/10000),INT(MOD($C$3,10000)/100),MOD($C$3,100))+(ROW()-ROW($C$3))/86400</s:f>
        <s:v>46247.54284722222</s:v>
      </s:c>
    </s:row>
    <s:row r="85">
      <s:c r="A85" s="0" t="n">
        <s:v>260813</s:v>
      </s:c>
      <s:c r="B85" s="0" t="inlineStr">
        <s:is>
          <s:t>이종훈</s:t>
        </s:is>
      </s:c>
      <s:c r="C85" s="0" t="n">
        <s:v>130021</s:v>
      </s:c>
      <s:c r="D85" s="0" t="n">
        <s:v>1231</s:v>
      </s:c>
      <s:c r="F85" s="24">
        <s:f>'자료구성'!$B$2+TIME(INT($C$3/10000),INT(MOD($C$3,10000)/100),MOD($C$3,100))+(ROW()-ROW($C$3))/86400</s:f>
        <s:v>46247.542858796296</s:v>
      </s:c>
    </s:row>
    <s:row r="86">
      <s:c r="A86" s="0" t="n">
        <s:v>260813</s:v>
      </s:c>
      <s:c r="B86" s="0" t="inlineStr">
        <s:is>
          <s:t>이종훈</s:t>
        </s:is>
      </s:c>
      <s:c r="C86" s="0" t="n">
        <s:v>130021</s:v>
      </s:c>
      <s:c r="D86" s="0" t="n">
        <s:v>1203</s:v>
      </s:c>
      <s:c r="F86" s="24">
        <s:f>'자료구성'!$B$2+TIME(INT($C$3/10000),INT(MOD($C$3,10000)/100),MOD($C$3,100))+(ROW()-ROW($C$3))/86400</s:f>
        <s:v>46247.54287037037</s:v>
      </s:c>
    </s:row>
    <s:row r="87">
      <s:c r="A87" s="0" t="n">
        <s:v>260813</s:v>
      </s:c>
      <s:c r="B87" s="0" t="inlineStr">
        <s:is>
          <s:t>이종훈</s:t>
        </s:is>
      </s:c>
      <s:c r="C87" s="0" t="n">
        <s:v>130021</s:v>
      </s:c>
      <s:c r="D87" s="0" t="n">
        <s:v>1162</s:v>
      </s:c>
      <s:c r="F87" s="24">
        <s:f>'자료구성'!$B$2+TIME(INT($C$3/10000),INT(MOD($C$3,10000)/100),MOD($C$3,100))+(ROW()-ROW($C$3))/86400</s:f>
        <s:v>46247.54288194444</s:v>
      </s:c>
    </s:row>
    <s:row r="88">
      <s:c r="A88" s="0" t="n">
        <s:v>260813</s:v>
      </s:c>
      <s:c r="B88" s="0" t="inlineStr">
        <s:is>
          <s:t>이종훈</s:t>
        </s:is>
      </s:c>
      <s:c r="C88" s="0" t="n">
        <s:v>130021</s:v>
      </s:c>
      <s:c r="D88" s="0" t="n">
        <s:v>1163</s:v>
      </s:c>
      <s:c r="F88" s="24">
        <s:f>'자료구성'!$B$2+TIME(INT($C$3/10000),INT(MOD($C$3,10000)/100),MOD($C$3,100))+(ROW()-ROW($C$3))/86400</s:f>
        <s:v>46247.54289351852</s:v>
      </s:c>
    </s:row>
    <s:row r="89">
      <s:c r="A89" s="0" t="n">
        <s:v>260813</s:v>
      </s:c>
      <s:c r="B89" s="0" t="inlineStr">
        <s:is>
          <s:t>이종훈</s:t>
        </s:is>
      </s:c>
      <s:c r="C89" s="0" t="n">
        <s:v>130021</s:v>
      </s:c>
      <s:c r="D89" s="0" t="n">
        <s:v>1139</s:v>
      </s:c>
      <s:c r="F89" s="24">
        <s:f>'자료구성'!$B$2+TIME(INT($C$3/10000),INT(MOD($C$3,10000)/100),MOD($C$3,100))+(ROW()-ROW($C$3))/86400</s:f>
        <s:v>46247.542905092596</s:v>
      </s:c>
    </s:row>
    <s:row r="90">
      <s:c r="A90" s="0" t="n">
        <s:v>260813</s:v>
      </s:c>
      <s:c r="B90" s="0" t="inlineStr">
        <s:is>
          <s:t>이종훈</s:t>
        </s:is>
      </s:c>
      <s:c r="C90" s="0" t="n">
        <s:v>130021</s:v>
      </s:c>
      <s:c r="D90" s="0" t="n">
        <s:v>1121</s:v>
      </s:c>
      <s:c r="F90" s="24">
        <s:f>'자료구성'!$B$2+TIME(INT($C$3/10000),INT(MOD($C$3,10000)/100),MOD($C$3,100))+(ROW()-ROW($C$3))/86400</s:f>
        <s:v>46247.542916666665</s:v>
      </s:c>
    </s:row>
    <s:row r="91">
      <s:c r="A91" s="0" t="n">
        <s:v>260813</s:v>
      </s:c>
      <s:c r="B91" s="0" t="inlineStr">
        <s:is>
          <s:t>이종훈</s:t>
        </s:is>
      </s:c>
      <s:c r="C91" s="0" t="n">
        <s:v>130021</s:v>
      </s:c>
      <s:c r="D91" s="0" t="n">
        <s:v>1101</s:v>
      </s:c>
      <s:c r="F91" s="24">
        <s:f>'자료구성'!$B$2+TIME(INT($C$3/10000),INT(MOD($C$3,10000)/100),MOD($C$3,100))+(ROW()-ROW($C$3))/86400</s:f>
        <s:v>46247.54292824074</s:v>
      </s:c>
    </s:row>
    <s:row r="92">
      <s:c r="A92" s="0" t="n">
        <s:v>260813</s:v>
      </s:c>
      <s:c r="B92" s="0" t="inlineStr">
        <s:is>
          <s:t>이종훈</s:t>
        </s:is>
      </s:c>
      <s:c r="C92" s="0" t="n">
        <s:v>130021</s:v>
      </s:c>
      <s:c r="D92" s="0" t="n">
        <s:v>1073</s:v>
      </s:c>
      <s:c r="F92" s="24">
        <s:f>'자료구성'!$B$2+TIME(INT($C$3/10000),INT(MOD($C$3,10000)/100),MOD($C$3,100))+(ROW()-ROW($C$3))/86400</s:f>
        <s:v>46247.54293981481</s:v>
      </s:c>
    </s:row>
    <s:row r="93">
      <s:c r="A93" s="0" t="n">
        <s:v>260813</s:v>
      </s:c>
      <s:c r="B93" s="0" t="inlineStr">
        <s:is>
          <s:t>이종훈</s:t>
        </s:is>
      </s:c>
      <s:c r="C93" s="0" t="n">
        <s:v>130021</s:v>
      </s:c>
      <s:c r="D93" s="0" t="n">
        <s:v>1086</s:v>
      </s:c>
      <s:c r="F93" s="24">
        <s:f>'자료구성'!$B$2+TIME(INT($C$3/10000),INT(MOD($C$3,10000)/100),MOD($C$3,100))+(ROW()-ROW($C$3))/86400</s:f>
        <s:v>46247.54295138889</s:v>
      </s:c>
    </s:row>
    <s:row r="94">
      <s:c r="A94" s="0" t="n">
        <s:v>260813</s:v>
      </s:c>
      <s:c r="B94" s="0" t="inlineStr">
        <s:is>
          <s:t>이종훈</s:t>
        </s:is>
      </s:c>
      <s:c r="C94" s="0" t="n">
        <s:v>130021</s:v>
      </s:c>
      <s:c r="D94" s="0" t="n">
        <s:v>1106</s:v>
      </s:c>
      <s:c r="F94" s="24">
        <s:f>'자료구성'!$B$2+TIME(INT($C$3/10000),INT(MOD($C$3,10000)/100),MOD($C$3,100))+(ROW()-ROW($C$3))/86400</s:f>
        <s:v>46247.542962962965</s:v>
      </s:c>
    </s:row>
    <s:row r="95">
      <s:c r="A95" s="0" t="n">
        <s:v>260813</s:v>
      </s:c>
      <s:c r="B95" s="0" t="inlineStr">
        <s:is>
          <s:t>이종훈</s:t>
        </s:is>
      </s:c>
      <s:c r="C95" s="0" t="n">
        <s:v>130021</s:v>
      </s:c>
      <s:c r="D95" s="0" t="n">
        <s:v>1114</s:v>
      </s:c>
      <s:c r="F95" s="24">
        <s:f>'자료구성'!$B$2+TIME(INT($C$3/10000),INT(MOD($C$3,10000)/100),MOD($C$3,100))+(ROW()-ROW($C$3))/86400</s:f>
        <s:v>46247.542974537035</s:v>
      </s:c>
    </s:row>
    <s:row r="96">
      <s:c r="A96" s="0" t="n">
        <s:v>260813</s:v>
      </s:c>
      <s:c r="B96" s="0" t="inlineStr">
        <s:is>
          <s:t>이종훈</s:t>
        </s:is>
      </s:c>
      <s:c r="C96" s="0" t="n">
        <s:v>130021</s:v>
      </s:c>
      <s:c r="D96" s="0" t="n">
        <s:v>1116</s:v>
      </s:c>
      <s:c r="F96" s="24">
        <s:f>'자료구성'!$B$2+TIME(INT($C$3/10000),INT(MOD($C$3,10000)/100),MOD($C$3,100))+(ROW()-ROW($C$3))/86400</s:f>
        <s:v>46247.54298611111</s:v>
      </s:c>
    </s:row>
    <s:row r="97">
      <s:c r="A97" s="0" t="n">
        <s:v>260813</s:v>
      </s:c>
      <s:c r="B97" s="0" t="inlineStr">
        <s:is>
          <s:t>이종훈</s:t>
        </s:is>
      </s:c>
      <s:c r="C97" s="0" t="n">
        <s:v>130021</s:v>
      </s:c>
      <s:c r="D97" s="0" t="n">
        <s:v>1153</s:v>
      </s:c>
      <s:c r="F97" s="24">
        <s:f>'자료구성'!$B$2+TIME(INT($C$3/10000),INT(MOD($C$3,10000)/100),MOD($C$3,100))+(ROW()-ROW($C$3))/86400</s:f>
        <s:v>46247.54299768519</s:v>
      </s:c>
    </s:row>
    <s:row r="98">
      <s:c r="A98" s="0" t="n">
        <s:v>260813</s:v>
      </s:c>
      <s:c r="B98" s="0" t="inlineStr">
        <s:is>
          <s:t>이종훈</s:t>
        </s:is>
      </s:c>
      <s:c r="C98" s="0" t="n">
        <s:v>130021</s:v>
      </s:c>
      <s:c r="D98" s="0" t="n">
        <s:v>1151</s:v>
      </s:c>
      <s:c r="F98" s="24">
        <s:f>'자료구성'!$B$2+TIME(INT($C$3/10000),INT(MOD($C$3,10000)/100),MOD($C$3,100))+(ROW()-ROW($C$3))/86400</s:f>
        <s:v>46247.54300925926</s:v>
      </s:c>
    </s:row>
    <s:row r="99">
      <s:c r="A99" s="0" t="n">
        <s:v>260813</s:v>
      </s:c>
      <s:c r="B99" s="0" t="inlineStr">
        <s:is>
          <s:t>이종훈</s:t>
        </s:is>
      </s:c>
      <s:c r="C99" s="0" t="n">
        <s:v>130021</s:v>
      </s:c>
      <s:c r="D99" s="0" t="n">
        <s:v>1148</s:v>
      </s:c>
      <s:c r="F99" s="24">
        <s:f>'자료구성'!$B$2+TIME(INT($C$3/10000),INT(MOD($C$3,10000)/100),MOD($C$3,100))+(ROW()-ROW($C$3))/86400</s:f>
        <s:v>46247.543020833335</s:v>
      </s:c>
    </s:row>
    <s:row r="100">
      <s:c r="A100" s="0" t="n">
        <s:v>260813</s:v>
      </s:c>
      <s:c r="B100" s="0" t="inlineStr">
        <s:is>
          <s:t>이종훈</s:t>
        </s:is>
      </s:c>
      <s:c r="C100" s="0" t="n">
        <s:v>130021</s:v>
      </s:c>
      <s:c r="D100" s="0" t="n">
        <s:v>1137</s:v>
      </s:c>
      <s:c r="F100" s="24">
        <s:f>'자료구성'!$B$2+TIME(INT($C$3/10000),INT(MOD($C$3,10000)/100),MOD($C$3,100))+(ROW()-ROW($C$3))/86400</s:f>
        <s:v>46247.543032407404</s:v>
      </s:c>
    </s:row>
    <s:row r="101">
      <s:c r="A101" s="0" t="n">
        <s:v>260813</s:v>
      </s:c>
      <s:c r="B101" s="0" t="inlineStr">
        <s:is>
          <s:t>이종훈</s:t>
        </s:is>
      </s:c>
      <s:c r="C101" s="0" t="n">
        <s:v>130021</s:v>
      </s:c>
      <s:c r="D101" s="0" t="n">
        <s:v>1115</s:v>
      </s:c>
      <s:c r="F101" s="24">
        <s:f>'자료구성'!$B$2+TIME(INT($C$3/10000),INT(MOD($C$3,10000)/100),MOD($C$3,100))+(ROW()-ROW($C$3))/86400</s:f>
        <s:v>46247.54304398148</s:v>
      </s:c>
    </s:row>
    <s:row r="102">
      <s:c r="A102" s="0" t="n">
        <s:v>260813</s:v>
      </s:c>
      <s:c r="B102" s="0" t="inlineStr">
        <s:is>
          <s:t>이종훈</s:t>
        </s:is>
      </s:c>
      <s:c r="C102" s="0" t="n">
        <s:v>130021</s:v>
      </s:c>
      <s:c r="D102" s="0" t="n">
        <s:v>1128</s:v>
      </s:c>
      <s:c r="F102" s="24">
        <s:f>'자료구성'!$B$2+TIME(INT($C$3/10000),INT(MOD($C$3,10000)/100),MOD($C$3,100))+(ROW()-ROW($C$3))/86400</s:f>
        <s:v>46247.54305555556</s:v>
      </s:c>
    </s:row>
    <s:row r="103">
      <s:c r="A103" s="0" t="n">
        <s:v>260813</s:v>
      </s:c>
      <s:c r="B103" s="0" t="inlineStr">
        <s:is>
          <s:t>이종훈</s:t>
        </s:is>
      </s:c>
      <s:c r="C103" s="0" t="n">
        <s:v>130021</s:v>
      </s:c>
      <s:c r="D103" s="0" t="n">
        <s:v>1150</s:v>
      </s:c>
      <s:c r="F103" s="24">
        <s:f>'자료구성'!$B$2+TIME(INT($C$3/10000),INT(MOD($C$3,10000)/100),MOD($C$3,100))+(ROW()-ROW($C$3))/86400</s:f>
        <s:v>46247.54306712963</s:v>
      </s:c>
    </s:row>
    <s:row r="104">
      <s:c r="A104" s="0" t="n">
        <s:v>260813</s:v>
      </s:c>
      <s:c r="B104" s="0" t="inlineStr">
        <s:is>
          <s:t>이종훈</s:t>
        </s:is>
      </s:c>
      <s:c r="C104" s="0" t="n">
        <s:v>130021</s:v>
      </s:c>
      <s:c r="D104" s="0" t="n">
        <s:v>1132</s:v>
      </s:c>
      <s:c r="F104" s="24">
        <s:f>'자료구성'!$B$2+TIME(INT($C$3/10000),INT(MOD($C$3,10000)/100),MOD($C$3,100))+(ROW()-ROW($C$3))/86400</s:f>
        <s:v>46247.543078703704</s:v>
      </s:c>
    </s:row>
    <s:row r="105">
      <s:c r="A105" s="0" t="n">
        <s:v>260813</s:v>
      </s:c>
      <s:c r="B105" s="0" t="inlineStr">
        <s:is>
          <s:t>이종훈</s:t>
        </s:is>
      </s:c>
      <s:c r="C105" s="0" t="n">
        <s:v>130021</s:v>
      </s:c>
      <s:c r="D105" s="0" t="n">
        <s:v>1103</s:v>
      </s:c>
      <s:c r="F105" s="24">
        <s:f>'자료구성'!$B$2+TIME(INT($C$3/10000),INT(MOD($C$3,10000)/100),MOD($C$3,100))+(ROW()-ROW($C$3))/86400</s:f>
        <s:v>46247.54309027778</s:v>
      </s:c>
    </s:row>
    <s:row r="106">
      <s:c r="A106" s="0" t="n">
        <s:v>260813</s:v>
      </s:c>
      <s:c r="B106" s="0" t="inlineStr">
        <s:is>
          <s:t>이종훈</s:t>
        </s:is>
      </s:c>
      <s:c r="C106" s="0" t="n">
        <s:v>130021</s:v>
      </s:c>
      <s:c r="D106" s="0" t="n">
        <s:v>1099</s:v>
      </s:c>
      <s:c r="F106" s="24">
        <s:f>'자료구성'!$B$2+TIME(INT($C$3/10000),INT(MOD($C$3,10000)/100),MOD($C$3,100))+(ROW()-ROW($C$3))/86400</s:f>
        <s:v>46247.54310185185</s:v>
      </s:c>
    </s:row>
    <s:row r="107">
      <s:c r="A107" s="0" t="n">
        <s:v>260813</s:v>
      </s:c>
      <s:c r="B107" s="0" t="inlineStr">
        <s:is>
          <s:t>이종훈</s:t>
        </s:is>
      </s:c>
      <s:c r="C107" s="0" t="n">
        <s:v>130021</s:v>
      </s:c>
      <s:c r="D107" s="0" t="n">
        <s:v>1108</s:v>
      </s:c>
      <s:c r="F107" s="24">
        <s:f>'자료구성'!$B$2+TIME(INT($C$3/10000),INT(MOD($C$3,10000)/100),MOD($C$3,100))+(ROW()-ROW($C$3))/86400</s:f>
        <s:v>46247.54311342593</s:v>
      </s:c>
    </s:row>
    <s:row r="108">
      <s:c r="A108" s="0" t="n">
        <s:v>260813</s:v>
      </s:c>
      <s:c r="B108" s="0" t="inlineStr">
        <s:is>
          <s:t>이종훈</s:t>
        </s:is>
      </s:c>
      <s:c r="C108" s="0" t="n">
        <s:v>130021</s:v>
      </s:c>
      <s:c r="D108" s="0" t="n">
        <s:v>1101</s:v>
      </s:c>
      <s:c r="F108" s="24">
        <s:f>'자료구성'!$B$2+TIME(INT($C$3/10000),INT(MOD($C$3,10000)/100),MOD($C$3,100))+(ROW()-ROW($C$3))/86400</s:f>
        <s:v>46247.543125</s:v>
      </s:c>
    </s:row>
    <s:row r="109">
      <s:c r="A109" s="0" t="n">
        <s:v>260813</s:v>
      </s:c>
      <s:c r="B109" s="0" t="inlineStr">
        <s:is>
          <s:t>이종훈</s:t>
        </s:is>
      </s:c>
      <s:c r="C109" s="0" t="n">
        <s:v>130021</s:v>
      </s:c>
      <s:c r="D109" s="0" t="n">
        <s:v>1089</s:v>
      </s:c>
      <s:c r="F109" s="24">
        <s:f>'자료구성'!$B$2+TIME(INT($C$3/10000),INT(MOD($C$3,10000)/100),MOD($C$3,100))+(ROW()-ROW($C$3))/86400</s:f>
        <s:v>46247.54313657407</s:v>
      </s:c>
    </s:row>
    <s:row r="110">
      <s:c r="A110" s="0" t="n">
        <s:v>260813</s:v>
      </s:c>
      <s:c r="B110" s="0" t="inlineStr">
        <s:is>
          <s:t>이종훈</s:t>
        </s:is>
      </s:c>
      <s:c r="C110" s="0" t="n">
        <s:v>130021</s:v>
      </s:c>
      <s:c r="D110" s="0" t="n">
        <s:v>1081</s:v>
      </s:c>
      <s:c r="F110" s="24">
        <s:f>'자료구성'!$B$2+TIME(INT($C$3/10000),INT(MOD($C$3,10000)/100),MOD($C$3,100))+(ROW()-ROW($C$3))/86400</s:f>
        <s:v>46247.54314814815</s:v>
      </s:c>
    </s:row>
    <s:row r="111">
      <s:c r="A111" s="0" t="n">
        <s:v>260813</s:v>
      </s:c>
      <s:c r="B111" s="0" t="inlineStr">
        <s:is>
          <s:t>이종훈</s:t>
        </s:is>
      </s:c>
      <s:c r="C111" s="0" t="n">
        <s:v>130021</s:v>
      </s:c>
      <s:c r="D111" s="0" t="n">
        <s:v>1081</s:v>
      </s:c>
      <s:c r="F111" s="24">
        <s:f>'자료구성'!$B$2+TIME(INT($C$3/10000),INT(MOD($C$3,10000)/100),MOD($C$3,100))+(ROW()-ROW($C$3))/86400</s:f>
        <s:v>46247.54315972222</s:v>
      </s:c>
    </s:row>
    <s:row r="112">
      <s:c r="A112" s="0" t="n">
        <s:v>260813</s:v>
      </s:c>
      <s:c r="B112" s="0" t="inlineStr">
        <s:is>
          <s:t>이종훈</s:t>
        </s:is>
      </s:c>
      <s:c r="C112" s="0" t="n">
        <s:v>130021</s:v>
      </s:c>
      <s:c r="D112" s="0" t="n">
        <s:v>1059</s:v>
      </s:c>
      <s:c r="F112" s="24">
        <s:f>'자료구성'!$B$2+TIME(INT($C$3/10000),INT(MOD($C$3,10000)/100),MOD($C$3,100))+(ROW()-ROW($C$3))/86400</s:f>
        <s:v>46247.543171296296</s:v>
      </s:c>
    </s:row>
    <s:row r="113">
      <s:c r="A113" s="0" t="n">
        <s:v>260813</s:v>
      </s:c>
      <s:c r="B113" s="0" t="inlineStr">
        <s:is>
          <s:t>이종훈</s:t>
        </s:is>
      </s:c>
      <s:c r="C113" s="0" t="n">
        <s:v>130021</s:v>
      </s:c>
      <s:c r="D113" s="0" t="n">
        <s:v>1050</s:v>
      </s:c>
      <s:c r="F113" s="24">
        <s:f>'자료구성'!$B$2+TIME(INT($C$3/10000),INT(MOD($C$3,10000)/100),MOD($C$3,100))+(ROW()-ROW($C$3))/86400</s:f>
        <s:v>46247.54318287037</s:v>
      </s:c>
    </s:row>
    <s:row r="114">
      <s:c r="A114" s="0" t="n">
        <s:v>260813</s:v>
      </s:c>
      <s:c r="B114" s="0" t="inlineStr">
        <s:is>
          <s:t>이종훈</s:t>
        </s:is>
      </s:c>
      <s:c r="C114" s="0" t="n">
        <s:v>130021</s:v>
      </s:c>
      <s:c r="D114" s="0" t="n">
        <s:v>1025</s:v>
      </s:c>
      <s:c r="F114" s="24">
        <s:f>'자료구성'!$B$2+TIME(INT($C$3/10000),INT(MOD($C$3,10000)/100),MOD($C$3,100))+(ROW()-ROW($C$3))/86400</s:f>
        <s:v>46247.54319444444</s:v>
      </s:c>
    </s:row>
    <s:row r="115">
      <s:c r="A115" s="0" t="n">
        <s:v>260813</s:v>
      </s:c>
      <s:c r="B115" s="0" t="inlineStr">
        <s:is>
          <s:t>이종훈</s:t>
        </s:is>
      </s:c>
      <s:c r="C115" s="0" t="n">
        <s:v>130021</s:v>
      </s:c>
      <s:c r="D115" s="0" t="n">
        <s:v>1004</s:v>
      </s:c>
      <s:c r="F115" s="24">
        <s:f>'자료구성'!$B$2+TIME(INT($C$3/10000),INT(MOD($C$3,10000)/100),MOD($C$3,100))+(ROW()-ROW($C$3))/86400</s:f>
        <s:v>46247.54320601852</s:v>
      </s:c>
    </s:row>
    <s:row r="116">
      <s:c r="A116" s="0" t="n">
        <s:v>260813</s:v>
      </s:c>
      <s:c r="B116" s="0" t="inlineStr">
        <s:is>
          <s:t>이종훈</s:t>
        </s:is>
      </s:c>
      <s:c r="C116" s="0" t="n">
        <s:v>130021</s:v>
      </s:c>
      <s:c r="D116" s="0" t="n">
        <s:v>991</s:v>
      </s:c>
      <s:c r="F116" s="24">
        <s:f>'자료구성'!$B$2+TIME(INT($C$3/10000),INT(MOD($C$3,10000)/100),MOD($C$3,100))+(ROW()-ROW($C$3))/86400</s:f>
        <s:v>46247.543217592596</s:v>
      </s:c>
    </s:row>
    <s:row r="117">
      <s:c r="A117" s="0" t="n">
        <s:v>260813</s:v>
      </s:c>
      <s:c r="B117" s="0" t="inlineStr">
        <s:is>
          <s:t>이종훈</s:t>
        </s:is>
      </s:c>
      <s:c r="C117" s="0" t="n">
        <s:v>130021</s:v>
      </s:c>
      <s:c r="D117" s="0" t="n">
        <s:v>995</s:v>
      </s:c>
      <s:c r="F117" s="24">
        <s:f>'자료구성'!$B$2+TIME(INT($C$3/10000),INT(MOD($C$3,10000)/100),MOD($C$3,100))+(ROW()-ROW($C$3))/86400</s:f>
        <s:v>46247.543229166666</s:v>
      </s:c>
    </s:row>
    <s:row r="118">
      <s:c r="A118" s="0" t="n">
        <s:v>260813</s:v>
      </s:c>
      <s:c r="B118" s="0" t="inlineStr">
        <s:is>
          <s:t>이종훈</s:t>
        </s:is>
      </s:c>
      <s:c r="C118" s="0" t="n">
        <s:v>130021</s:v>
      </s:c>
      <s:c r="D118" s="0" t="n">
        <s:v>993</s:v>
      </s:c>
      <s:c r="F118" s="24">
        <s:f>'자료구성'!$B$2+TIME(INT($C$3/10000),INT(MOD($C$3,10000)/100),MOD($C$3,100))+(ROW()-ROW($C$3))/86400</s:f>
        <s:v>46247.54324074074</s:v>
      </s:c>
    </s:row>
    <s:row r="119">
      <s:c r="A119" s="0" t="n">
        <s:v>260813</s:v>
      </s:c>
      <s:c r="B119" s="0" t="inlineStr">
        <s:is>
          <s:t>이종훈</s:t>
        </s:is>
      </s:c>
      <s:c r="C119" s="0" t="n">
        <s:v>130021</s:v>
      </s:c>
      <s:c r="D119" s="0" t="n">
        <s:v>986</s:v>
      </s:c>
      <s:c r="F119" s="24">
        <s:f>'자료구성'!$B$2+TIME(INT($C$3/10000),INT(MOD($C$3,10000)/100),MOD($C$3,100))+(ROW()-ROW($C$3))/86400</s:f>
        <s:v>46247.54325231481</s:v>
      </s:c>
    </s:row>
    <s:row r="120">
      <s:c r="A120" s="0" t="n">
        <s:v>260813</s:v>
      </s:c>
      <s:c r="B120" s="0" t="inlineStr">
        <s:is>
          <s:t>이종훈</s:t>
        </s:is>
      </s:c>
      <s:c r="C120" s="0" t="n">
        <s:v>130021</s:v>
      </s:c>
      <s:c r="D120" s="0" t="n">
        <s:v>988</s:v>
      </s:c>
      <s:c r="F120" s="24">
        <s:f>'자료구성'!$B$2+TIME(INT($C$3/10000),INT(MOD($C$3,10000)/100),MOD($C$3,100))+(ROW()-ROW($C$3))/86400</s:f>
        <s:v>46247.54326388889</s:v>
      </s:c>
    </s:row>
    <s:row r="121">
      <s:c r="A121" s="0" t="n">
        <s:v>260813</s:v>
      </s:c>
      <s:c r="B121" s="0" t="inlineStr">
        <s:is>
          <s:t>이종훈</s:t>
        </s:is>
      </s:c>
      <s:c r="C121" s="0" t="n">
        <s:v>130021</s:v>
      </s:c>
      <s:c r="D121" s="0" t="n">
        <s:v>982</s:v>
      </s:c>
      <s:c r="F121" s="24">
        <s:f>'자료구성'!$B$2+TIME(INT($C$3/10000),INT(MOD($C$3,10000)/100),MOD($C$3,100))+(ROW()-ROW($C$3))/86400</s:f>
        <s:v>46247.543275462966</s:v>
      </s:c>
    </s:row>
    <s:row r="122">
      <s:c r="A122" s="0" t="n">
        <s:v>260813</s:v>
      </s:c>
      <s:c r="B122" s="0" t="inlineStr">
        <s:is>
          <s:t>이종훈</s:t>
        </s:is>
      </s:c>
      <s:c r="C122" s="0" t="n">
        <s:v>130021</s:v>
      </s:c>
      <s:c r="D122" s="0" t="n">
        <s:v>968</s:v>
      </s:c>
      <s:c r="F122" s="24">
        <s:f>'자료구성'!$B$2+TIME(INT($C$3/10000),INT(MOD($C$3,10000)/100),MOD($C$3,100))+(ROW()-ROW($C$3))/86400</s:f>
        <s:v>46247.543287037035</s:v>
      </s:c>
    </s:row>
    <s:row r="123">
      <s:c r="A123" s="0" t="n">
        <s:v>260813</s:v>
      </s:c>
      <s:c r="B123" s="0" t="inlineStr">
        <s:is>
          <s:t>이종훈</s:t>
        </s:is>
      </s:c>
      <s:c r="C123" s="0" t="n">
        <s:v>130021</s:v>
      </s:c>
      <s:c r="D123" s="0" t="n">
        <s:v>968</s:v>
      </s:c>
      <s:c r="F123" s="24">
        <s:f>'자료구성'!$B$2+TIME(INT($C$3/10000),INT(MOD($C$3,10000)/100),MOD($C$3,100))+(ROW()-ROW($C$3))/86400</s:f>
        <s:v>46247.54329861111</s:v>
      </s:c>
    </s:row>
    <s:row r="124">
      <s:c r="A124" s="0" t="n">
        <s:v>260813</s:v>
      </s:c>
      <s:c r="B124" s="0" t="inlineStr">
        <s:is>
          <s:t>이종훈</s:t>
        </s:is>
      </s:c>
      <s:c r="C124" s="0" t="n">
        <s:v>130021</s:v>
      </s:c>
      <s:c r="D124" s="0" t="n">
        <s:v>968</s:v>
      </s:c>
      <s:c r="F124" s="24">
        <s:f>'자료구성'!$B$2+TIME(INT($C$3/10000),INT(MOD($C$3,10000)/100),MOD($C$3,100))+(ROW()-ROW($C$3))/86400</s:f>
        <s:v>46247.54331018519</s:v>
      </s:c>
    </s:row>
    <s:row r="125">
      <s:c r="A125" s="0" t="n">
        <s:v>260813</s:v>
      </s:c>
      <s:c r="B125" s="0" t="inlineStr">
        <s:is>
          <s:t>이종훈</s:t>
        </s:is>
      </s:c>
      <s:c r="C125" s="0" t="n">
        <s:v>130021</s:v>
      </s:c>
      <s:c r="D125" s="0" t="n">
        <s:v>980</s:v>
      </s:c>
      <s:c r="F125" s="24">
        <s:f>'자료구성'!$B$2+TIME(INT($C$3/10000),INT(MOD($C$3,10000)/100),MOD($C$3,100))+(ROW()-ROW($C$3))/86400</s:f>
        <s:v>46247.54332175926</s:v>
      </s:c>
    </s:row>
    <s:row r="126">
      <s:c r="A126" s="0" t="n">
        <s:v>260813</s:v>
      </s:c>
      <s:c r="B126" s="0" t="inlineStr">
        <s:is>
          <s:t>이종훈</s:t>
        </s:is>
      </s:c>
      <s:c r="C126" s="0" t="n">
        <s:v>130021</s:v>
      </s:c>
      <s:c r="D126" s="0" t="n">
        <s:v>1012</s:v>
      </s:c>
      <s:c r="F126" s="24">
        <s:f>'자료구성'!$B$2+TIME(INT($C$3/10000),INT(MOD($C$3,10000)/100),MOD($C$3,100))+(ROW()-ROW($C$3))/86400</s:f>
        <s:v>46247.543333333335</s:v>
      </s:c>
    </s:row>
    <s:row r="127">
      <s:c r="A127" s="0" t="n">
        <s:v>260813</s:v>
      </s:c>
      <s:c r="B127" s="0" t="inlineStr">
        <s:is>
          <s:t>이종훈</s:t>
        </s:is>
      </s:c>
      <s:c r="C127" s="0" t="n">
        <s:v>130021</s:v>
      </s:c>
      <s:c r="D127" s="0" t="n">
        <s:v>987</s:v>
      </s:c>
      <s:c r="F127" s="24">
        <s:f>'자료구성'!$B$2+TIME(INT($C$3/10000),INT(MOD($C$3,10000)/100),MOD($C$3,100))+(ROW()-ROW($C$3))/86400</s:f>
        <s:v>46247.543344907404</s:v>
      </s:c>
    </s:row>
    <s:row r="128">
      <s:c r="A128" s="0" t="n">
        <s:v>260813</s:v>
      </s:c>
      <s:c r="B128" s="0" t="inlineStr">
        <s:is>
          <s:t>이종훈</s:t>
        </s:is>
      </s:c>
      <s:c r="C128" s="0" t="n">
        <s:v>130021</s:v>
      </s:c>
      <s:c r="D128" s="0" t="n">
        <s:v>983</s:v>
      </s:c>
      <s:c r="F128" s="24">
        <s:f>'자료구성'!$B$2+TIME(INT($C$3/10000),INT(MOD($C$3,10000)/100),MOD($C$3,100))+(ROW()-ROW($C$3))/86400</s:f>
        <s:v>46247.54335648148</s:v>
      </s:c>
    </s:row>
    <s:row r="129">
      <s:c r="A129" s="0" t="n">
        <s:v>260813</s:v>
      </s:c>
      <s:c r="B129" s="0" t="inlineStr">
        <s:is>
          <s:t>이종훈</s:t>
        </s:is>
      </s:c>
      <s:c r="C129" s="0" t="n">
        <s:v>130021</s:v>
      </s:c>
      <s:c r="D129" s="0" t="n">
        <s:v>971</s:v>
      </s:c>
      <s:c r="F129" s="24">
        <s:f>'자료구성'!$B$2+TIME(INT($C$3/10000),INT(MOD($C$3,10000)/100),MOD($C$3,100))+(ROW()-ROW($C$3))/86400</s:f>
        <s:v>46247.54336805556</s:v>
      </s:c>
    </s:row>
    <s:row r="130">
      <s:c r="A130" s="0" t="n">
        <s:v>260813</s:v>
      </s:c>
      <s:c r="B130" s="0" t="inlineStr">
        <s:is>
          <s:t>이종훈</s:t>
        </s:is>
      </s:c>
      <s:c r="C130" s="0" t="n">
        <s:v>130021</s:v>
      </s:c>
      <s:c r="D130" s="0" t="n">
        <s:v>960</s:v>
      </s:c>
      <s:c r="F130" s="24">
        <s:f>'자료구성'!$B$2+TIME(INT($C$3/10000),INT(MOD($C$3,10000)/100),MOD($C$3,100))+(ROW()-ROW($C$3))/86400</s:f>
        <s:v>46247.54337962963</s:v>
      </s:c>
    </s:row>
    <s:row r="131">
      <s:c r="A131" s="0" t="n">
        <s:v>260813</s:v>
      </s:c>
      <s:c r="B131" s="0" t="inlineStr">
        <s:is>
          <s:t>이종훈</s:t>
        </s:is>
      </s:c>
      <s:c r="C131" s="0" t="n">
        <s:v>130021</s:v>
      </s:c>
      <s:c r="D131" s="0" t="n">
        <s:v>947</s:v>
      </s:c>
      <s:c r="F131" s="24">
        <s:f>'자료구성'!$B$2+TIME(INT($C$3/10000),INT(MOD($C$3,10000)/100),MOD($C$3,100))+(ROW()-ROW($C$3))/86400</s:f>
        <s:v>46247.543391203704</s:v>
      </s:c>
    </s:row>
    <s:row r="132">
      <s:c r="A132" s="0" t="n">
        <s:v>260813</s:v>
      </s:c>
      <s:c r="B132" s="0" t="inlineStr">
        <s:is>
          <s:t>이종훈</s:t>
        </s:is>
      </s:c>
      <s:c r="C132" s="0" t="n">
        <s:v>130021</s:v>
      </s:c>
      <s:c r="D132" s="0" t="n">
        <s:v>942</s:v>
      </s:c>
      <s:c r="F132" s="24">
        <s:f>'자료구성'!$B$2+TIME(INT($C$3/10000),INT(MOD($C$3,10000)/100),MOD($C$3,100))+(ROW()-ROW($C$3))/86400</s:f>
        <s:v>46247.54340277778</s:v>
      </s:c>
    </s:row>
    <s:row r="133">
      <s:c r="A133" s="0" t="n">
        <s:v>260813</s:v>
      </s:c>
      <s:c r="B133" s="0" t="inlineStr">
        <s:is>
          <s:t>이종훈</s:t>
        </s:is>
      </s:c>
      <s:c r="C133" s="0" t="n">
        <s:v>130021</s:v>
      </s:c>
      <s:c r="D133" s="0" t="n">
        <s:v>943</s:v>
      </s:c>
      <s:c r="F133" s="24">
        <s:f>'자료구성'!$B$2+TIME(INT($C$3/10000),INT(MOD($C$3,10000)/100),MOD($C$3,100))+(ROW()-ROW($C$3))/86400</s:f>
        <s:v>46247.54341435185</s:v>
      </s:c>
    </s:row>
    <s:row r="134">
      <s:c r="A134" s="0" t="n">
        <s:v>260813</s:v>
      </s:c>
      <s:c r="B134" s="0" t="inlineStr">
        <s:is>
          <s:t>이종훈</s:t>
        </s:is>
      </s:c>
      <s:c r="C134" s="0" t="n">
        <s:v>130021</s:v>
      </s:c>
      <s:c r="D134" s="0" t="n">
        <s:v>931</s:v>
      </s:c>
      <s:c r="F134" s="24">
        <s:f>'자료구성'!$B$2+TIME(INT($C$3/10000),INT(MOD($C$3,10000)/100),MOD($C$3,100))+(ROW()-ROW($C$3))/86400</s:f>
        <s:v>46247.54342592593</s:v>
      </s:c>
    </s:row>
    <s:row r="135">
      <s:c r="A135" s="0" t="n">
        <s:v>260813</s:v>
      </s:c>
      <s:c r="B135" s="0" t="inlineStr">
        <s:is>
          <s:t>이종훈</s:t>
        </s:is>
      </s:c>
      <s:c r="C135" s="0" t="n">
        <s:v>130021</s:v>
      </s:c>
      <s:c r="D135" s="0" t="n">
        <s:v>925</s:v>
      </s:c>
      <s:c r="F135" s="24">
        <s:f>'자료구성'!$B$2+TIME(INT($C$3/10000),INT(MOD($C$3,10000)/100),MOD($C$3,100))+(ROW()-ROW($C$3))/86400</s:f>
        <s:v>46247.5434375</s:v>
      </s:c>
    </s:row>
    <s:row r="136">
      <s:c r="A136" s="0" t="n">
        <s:v>260813</s:v>
      </s:c>
      <s:c r="B136" s="0" t="inlineStr">
        <s:is>
          <s:t>이종훈</s:t>
        </s:is>
      </s:c>
      <s:c r="C136" s="0" t="n">
        <s:v>130021</s:v>
      </s:c>
      <s:c r="D136" s="0" t="n">
        <s:v>927</s:v>
      </s:c>
      <s:c r="F136" s="24">
        <s:f>'자료구성'!$B$2+TIME(INT($C$3/10000),INT(MOD($C$3,10000)/100),MOD($C$3,100))+(ROW()-ROW($C$3))/86400</s:f>
        <s:v>46247.54344907407</s:v>
      </s:c>
    </s:row>
    <s:row r="137">
      <s:c r="A137" s="0" t="n">
        <s:v>260813</s:v>
      </s:c>
      <s:c r="B137" s="0" t="inlineStr">
        <s:is>
          <s:t>이종훈</s:t>
        </s:is>
      </s:c>
      <s:c r="C137" s="0" t="n">
        <s:v>130021</s:v>
      </s:c>
      <s:c r="D137" s="0" t="n">
        <s:v>929</s:v>
      </s:c>
      <s:c r="F137" s="24">
        <s:f>'자료구성'!$B$2+TIME(INT($C$3/10000),INT(MOD($C$3,10000)/100),MOD($C$3,100))+(ROW()-ROW($C$3))/86400</s:f>
        <s:v>46247.54346064815</s:v>
      </s:c>
    </s:row>
    <s:row r="138">
      <s:c r="A138" s="0" t="n">
        <s:v>260813</s:v>
      </s:c>
      <s:c r="B138" s="0" t="inlineStr">
        <s:is>
          <s:t>이종훈</s:t>
        </s:is>
      </s:c>
      <s:c r="C138" s="0" t="n">
        <s:v>130021</s:v>
      </s:c>
      <s:c r="D138" s="0" t="n">
        <s:v>927</s:v>
      </s:c>
      <s:c r="F138" s="24">
        <s:f>'자료구성'!$B$2+TIME(INT($C$3/10000),INT(MOD($C$3,10000)/100),MOD($C$3,100))+(ROW()-ROW($C$3))/86400</s:f>
        <s:v>46247.54347222222</s:v>
      </s:c>
    </s:row>
    <s:row r="139">
      <s:c r="A139" s="0" t="n">
        <s:v>260813</s:v>
      </s:c>
      <s:c r="B139" s="0" t="inlineStr">
        <s:is>
          <s:t>이종훈</s:t>
        </s:is>
      </s:c>
      <s:c r="C139" s="0" t="n">
        <s:v>130021</s:v>
      </s:c>
      <s:c r="D139" s="0" t="n">
        <s:v>930</s:v>
      </s:c>
      <s:c r="F139" s="24">
        <s:f>'자료구성'!$B$2+TIME(INT($C$3/10000),INT(MOD($C$3,10000)/100),MOD($C$3,100))+(ROW()-ROW($C$3))/86400</s:f>
        <s:v>46247.5434837963</s:v>
      </s:c>
    </s:row>
    <s:row r="140">
      <s:c r="A140" s="0" t="n">
        <s:v>260813</s:v>
      </s:c>
      <s:c r="B140" s="0" t="inlineStr">
        <s:is>
          <s:t>이종훈</s:t>
        </s:is>
      </s:c>
      <s:c r="C140" s="0" t="n">
        <s:v>130021</s:v>
      </s:c>
      <s:c r="D140" s="0" t="n">
        <s:v>929</s:v>
      </s:c>
      <s:c r="F140" s="24">
        <s:f>'자료구성'!$B$2+TIME(INT($C$3/10000),INT(MOD($C$3,10000)/100),MOD($C$3,100))+(ROW()-ROW($C$3))/86400</s:f>
        <s:v>46247.54349537037</s:v>
      </s:c>
    </s:row>
    <s:row r="141">
      <s:c r="A141" s="0" t="n">
        <s:v>260813</s:v>
      </s:c>
      <s:c r="B141" s="0" t="inlineStr">
        <s:is>
          <s:t>이종훈</s:t>
        </s:is>
      </s:c>
      <s:c r="C141" s="0" t="n">
        <s:v>130021</s:v>
      </s:c>
      <s:c r="D141" s="0" t="n">
        <s:v>941</s:v>
      </s:c>
      <s:c r="F141" s="24">
        <s:f>'자료구성'!$B$2+TIME(INT($C$3/10000),INT(MOD($C$3,10000)/100),MOD($C$3,100))+(ROW()-ROW($C$3))/86400</s:f>
        <s:v>46247.54350694444</s:v>
      </s:c>
    </s:row>
    <s:row r="142">
      <s:c r="A142" s="0" t="n">
        <s:v>260813</s:v>
      </s:c>
      <s:c r="B142" s="0" t="inlineStr">
        <s:is>
          <s:t>이종훈</s:t>
        </s:is>
      </s:c>
      <s:c r="C142" s="0" t="n">
        <s:v>130021</s:v>
      </s:c>
      <s:c r="D142" s="0" t="n">
        <s:v>930</s:v>
      </s:c>
      <s:c r="F142" s="24">
        <s:f>'자료구성'!$B$2+TIME(INT($C$3/10000),INT(MOD($C$3,10000)/100),MOD($C$3,100))+(ROW()-ROW($C$3))/86400</s:f>
        <s:v>46247.54351851852</s:v>
      </s:c>
    </s:row>
    <s:row r="143">
      <s:c r="A143" s="0" t="n">
        <s:v>260813</s:v>
      </s:c>
      <s:c r="B143" s="0" t="inlineStr">
        <s:is>
          <s:t>이종훈</s:t>
        </s:is>
      </s:c>
      <s:c r="C143" s="0" t="n">
        <s:v>130021</s:v>
      </s:c>
      <s:c r="D143" s="0" t="n">
        <s:v>907</s:v>
      </s:c>
      <s:c r="F143" s="24">
        <s:f>'자료구성'!$B$2+TIME(INT($C$3/10000),INT(MOD($C$3,10000)/100),MOD($C$3,100))+(ROW()-ROW($C$3))/86400</s:f>
        <s:v>46247.54353009259</s:v>
      </s:c>
    </s:row>
    <s:row r="144">
      <s:c r="A144" s="0" t="n">
        <s:v>260813</s:v>
      </s:c>
      <s:c r="B144" s="0" t="inlineStr">
        <s:is>
          <s:t>이종훈</s:t>
        </s:is>
      </s:c>
      <s:c r="C144" s="0" t="n">
        <s:v>130021</s:v>
      </s:c>
      <s:c r="D144" s="0" t="n">
        <s:v>906</s:v>
      </s:c>
      <s:c r="F144" s="24">
        <s:f>'자료구성'!$B$2+TIME(INT($C$3/10000),INT(MOD($C$3,10000)/100),MOD($C$3,100))+(ROW()-ROW($C$3))/86400</s:f>
        <s:v>46247.543541666666</s:v>
      </s:c>
    </s:row>
    <s:row r="145">
      <s:c r="A145" s="0" t="n">
        <s:v>260813</s:v>
      </s:c>
      <s:c r="B145" s="0" t="inlineStr">
        <s:is>
          <s:t>이종훈</s:t>
        </s:is>
      </s:c>
      <s:c r="C145" s="0" t="n">
        <s:v>130021</s:v>
      </s:c>
      <s:c r="D145" s="0" t="n">
        <s:v>921</s:v>
      </s:c>
      <s:c r="F145" s="24">
        <s:f>'자료구성'!$B$2+TIME(INT($C$3/10000),INT(MOD($C$3,10000)/100),MOD($C$3,100))+(ROW()-ROW($C$3))/86400</s:f>
        <s:v>46247.54355324074</s:v>
      </s:c>
    </s:row>
    <s:row r="146">
      <s:c r="A146" s="0" t="n">
        <s:v>260813</s:v>
      </s:c>
      <s:c r="B146" s="0" t="inlineStr">
        <s:is>
          <s:t>이종훈</s:t>
        </s:is>
      </s:c>
      <s:c r="C146" s="0" t="n">
        <s:v>130021</s:v>
      </s:c>
      <s:c r="D146" s="0" t="n">
        <s:v>915</s:v>
      </s:c>
      <s:c r="F146" s="24">
        <s:f>'자료구성'!$B$2+TIME(INT($C$3/10000),INT(MOD($C$3,10000)/100),MOD($C$3,100))+(ROW()-ROW($C$3))/86400</s:f>
        <s:v>46247.54356481481</s:v>
      </s:c>
    </s:row>
    <s:row r="147">
      <s:c r="A147" s="0" t="n">
        <s:v>260813</s:v>
      </s:c>
      <s:c r="B147" s="0" t="inlineStr">
        <s:is>
          <s:t>이종훈</s:t>
        </s:is>
      </s:c>
      <s:c r="C147" s="0" t="n">
        <s:v>130021</s:v>
      </s:c>
      <s:c r="D147" s="0" t="n">
        <s:v>904</s:v>
      </s:c>
      <s:c r="F147" s="24">
        <s:f>'자료구성'!$B$2+TIME(INT($C$3/10000),INT(MOD($C$3,10000)/100),MOD($C$3,100))+(ROW()-ROW($C$3))/86400</s:f>
        <s:v>46247.54357638889</s:v>
      </s:c>
    </s:row>
    <s:row r="148">
      <s:c r="A148" s="0" t="n">
        <s:v>260813</s:v>
      </s:c>
      <s:c r="B148" s="0" t="inlineStr">
        <s:is>
          <s:t>이종훈</s:t>
        </s:is>
      </s:c>
      <s:c r="C148" s="0" t="n">
        <s:v>130021</s:v>
      </s:c>
      <s:c r="D148" s="0" t="n">
        <s:v>893</s:v>
      </s:c>
      <s:c r="F148" s="24">
        <s:f>'자료구성'!$B$2+TIME(INT($C$3/10000),INT(MOD($C$3,10000)/100),MOD($C$3,100))+(ROW()-ROW($C$3))/86400</s:f>
        <s:v>46247.543587962966</s:v>
      </s:c>
    </s:row>
    <s:row r="149">
      <s:c r="A149" s="0" t="n">
        <s:v>260813</s:v>
      </s:c>
      <s:c r="B149" s="0" t="inlineStr">
        <s:is>
          <s:t>이종훈</s:t>
        </s:is>
      </s:c>
      <s:c r="C149" s="0" t="n">
        <s:v>130021</s:v>
      </s:c>
      <s:c r="D149" s="0" t="n">
        <s:v>889</s:v>
      </s:c>
      <s:c r="F149" s="24">
        <s:f>'자료구성'!$B$2+TIME(INT($C$3/10000),INT(MOD($C$3,10000)/100),MOD($C$3,100))+(ROW()-ROW($C$3))/86400</s:f>
        <s:v>46247.543599537035</s:v>
      </s:c>
    </s:row>
    <s:row r="150">
      <s:c r="A150" s="0" t="n">
        <s:v>260813</s:v>
      </s:c>
      <s:c r="B150" s="0" t="inlineStr">
        <s:is>
          <s:t>이종훈</s:t>
        </s:is>
      </s:c>
      <s:c r="C150" s="0" t="n">
        <s:v>130021</s:v>
      </s:c>
      <s:c r="D150" s="0" t="n">
        <s:v>885</s:v>
      </s:c>
      <s:c r="F150" s="24">
        <s:f>'자료구성'!$B$2+TIME(INT($C$3/10000),INT(MOD($C$3,10000)/100),MOD($C$3,100))+(ROW()-ROW($C$3))/86400</s:f>
        <s:v>46247.54361111111</s:v>
      </s:c>
    </s:row>
    <s:row r="151">
      <s:c r="A151" s="0" t="n">
        <s:v>260813</s:v>
      </s:c>
      <s:c r="B151" s="0" t="inlineStr">
        <s:is>
          <s:t>이종훈</s:t>
        </s:is>
      </s:c>
      <s:c r="C151" s="0" t="n">
        <s:v>130021</s:v>
      </s:c>
      <s:c r="D151" s="0" t="n">
        <s:v>898</s:v>
      </s:c>
      <s:c r="F151" s="24">
        <s:f>'자료구성'!$B$2+TIME(INT($C$3/10000),INT(MOD($C$3,10000)/100),MOD($C$3,100))+(ROW()-ROW($C$3))/86400</s:f>
        <s:v>46247.54362268518</s:v>
      </s:c>
    </s:row>
    <s:row r="152">
      <s:c r="A152" s="0" t="n">
        <s:v>260813</s:v>
      </s:c>
      <s:c r="B152" s="0" t="inlineStr">
        <s:is>
          <s:t>이종훈</s:t>
        </s:is>
      </s:c>
      <s:c r="C152" s="0" t="n">
        <s:v>130021</s:v>
      </s:c>
      <s:c r="D152" s="0" t="n">
        <s:v>906</s:v>
      </s:c>
      <s:c r="F152" s="24">
        <s:f>'자료구성'!$B$2+TIME(INT($C$3/10000),INT(MOD($C$3,10000)/100),MOD($C$3,100))+(ROW()-ROW($C$3))/86400</s:f>
        <s:v>46247.54363425926</s:v>
      </s:c>
    </s:row>
    <s:row r="153">
      <s:c r="A153" s="0" t="n">
        <s:v>260813</s:v>
      </s:c>
      <s:c r="B153" s="0" t="inlineStr">
        <s:is>
          <s:t>이종훈</s:t>
        </s:is>
      </s:c>
      <s:c r="C153" s="0" t="n">
        <s:v>130021</s:v>
      </s:c>
      <s:c r="D153" s="0" t="n">
        <s:v>927</s:v>
      </s:c>
      <s:c r="F153" s="24">
        <s:f>'자료구성'!$B$2+TIME(INT($C$3/10000),INT(MOD($C$3,10000)/100),MOD($C$3,100))+(ROW()-ROW($C$3))/86400</s:f>
        <s:v>46247.543645833335</s:v>
      </s:c>
    </s:row>
    <s:row r="154">
      <s:c r="A154" s="0" t="n">
        <s:v>260813</s:v>
      </s:c>
      <s:c r="B154" s="0" t="inlineStr">
        <s:is>
          <s:t>이종훈</s:t>
        </s:is>
      </s:c>
      <s:c r="C154" s="0" t="n">
        <s:v>130021</s:v>
      </s:c>
      <s:c r="D154" s="0" t="n">
        <s:v>955</s:v>
      </s:c>
      <s:c r="F154" s="24">
        <s:f>'자료구성'!$B$2+TIME(INT($C$3/10000),INT(MOD($C$3,10000)/100),MOD($C$3,100))+(ROW()-ROW($C$3))/86400</s:f>
        <s:v>46247.543657407405</s:v>
      </s:c>
    </s:row>
    <s:row r="155">
      <s:c r="A155" s="0" t="n">
        <s:v>260813</s:v>
      </s:c>
      <s:c r="B155" s="0" t="inlineStr">
        <s:is>
          <s:t>이종훈</s:t>
        </s:is>
      </s:c>
      <s:c r="C155" s="0" t="n">
        <s:v>130021</s:v>
      </s:c>
      <s:c r="D155" s="0" t="n">
        <s:v>960</s:v>
      </s:c>
      <s:c r="F155" s="24">
        <s:f>'자료구성'!$B$2+TIME(INT($C$3/10000),INT(MOD($C$3,10000)/100),MOD($C$3,100))+(ROW()-ROW($C$3))/86400</s:f>
        <s:v>46247.54366898148</s:v>
      </s:c>
    </s:row>
    <s:row r="156">
      <s:c r="A156" s="0" t="n">
        <s:v>260813</s:v>
      </s:c>
      <s:c r="B156" s="0" t="inlineStr">
        <s:is>
          <s:t>이종훈</s:t>
        </s:is>
      </s:c>
      <s:c r="C156" s="0" t="n">
        <s:v>130021</s:v>
      </s:c>
      <s:c r="D156" s="0" t="n">
        <s:v>974</s:v>
      </s:c>
      <s:c r="F156" s="24">
        <s:f>'자료구성'!$B$2+TIME(INT($C$3/10000),INT(MOD($C$3,10000)/100),MOD($C$3,100))+(ROW()-ROW($C$3))/86400</s:f>
        <s:v>46247.54368055556</s:v>
      </s:c>
    </s:row>
    <s:row r="157">
      <s:c r="A157" s="0" t="n">
        <s:v>260813</s:v>
      </s:c>
      <s:c r="B157" s="0" t="inlineStr">
        <s:is>
          <s:t>이종훈</s:t>
        </s:is>
      </s:c>
      <s:c r="C157" s="0" t="n">
        <s:v>130021</s:v>
      </s:c>
      <s:c r="D157" s="0" t="n">
        <s:v>975</s:v>
      </s:c>
      <s:c r="F157" s="24">
        <s:f>'자료구성'!$B$2+TIME(INT($C$3/10000),INT(MOD($C$3,10000)/100),MOD($C$3,100))+(ROW()-ROW($C$3))/86400</s:f>
        <s:v>46247.54369212963</s:v>
      </s:c>
    </s:row>
    <s:row r="158">
      <s:c r="A158" s="0" t="n">
        <s:v>260813</s:v>
      </s:c>
      <s:c r="B158" s="0" t="inlineStr">
        <s:is>
          <s:t>이종훈</s:t>
        </s:is>
      </s:c>
      <s:c r="C158" s="0" t="n">
        <s:v>130021</s:v>
      </s:c>
      <s:c r="D158" s="0" t="n">
        <s:v>978</s:v>
      </s:c>
      <s:c r="F158" s="24">
        <s:f>'자료구성'!$B$2+TIME(INT($C$3/10000),INT(MOD($C$3,10000)/100),MOD($C$3,100))+(ROW()-ROW($C$3))/86400</s:f>
        <s:v>46247.543703703705</s:v>
      </s:c>
    </s:row>
    <s:row r="159">
      <s:c r="A159" s="0" t="n">
        <s:v>260813</s:v>
      </s:c>
      <s:c r="B159" s="0" t="inlineStr">
        <s:is>
          <s:t>이종훈</s:t>
        </s:is>
      </s:c>
      <s:c r="C159" s="0" t="n">
        <s:v>130021</s:v>
      </s:c>
      <s:c r="D159" s="0" t="n">
        <s:v>975</s:v>
      </s:c>
      <s:c r="F159" s="24">
        <s:f>'자료구성'!$B$2+TIME(INT($C$3/10000),INT(MOD($C$3,10000)/100),MOD($C$3,100))+(ROW()-ROW($C$3))/86400</s:f>
        <s:v>46247.54371527778</s:v>
      </s:c>
    </s:row>
    <s:row r="160">
      <s:c r="A160" s="0" t="n">
        <s:v>260813</s:v>
      </s:c>
      <s:c r="B160" s="0" t="inlineStr">
        <s:is>
          <s:t>이종훈</s:t>
        </s:is>
      </s:c>
      <s:c r="C160" s="0" t="n">
        <s:v>130021</s:v>
      </s:c>
      <s:c r="D160" s="0" t="n">
        <s:v>974</s:v>
      </s:c>
      <s:c r="F160" s="24">
        <s:f>'자료구성'!$B$2+TIME(INT($C$3/10000),INT(MOD($C$3,10000)/100),MOD($C$3,100))+(ROW()-ROW($C$3))/86400</s:f>
        <s:v>46247.54372685185</s:v>
      </s:c>
    </s:row>
    <s:row r="161">
      <s:c r="A161" s="0" t="n">
        <s:v>260813</s:v>
      </s:c>
      <s:c r="B161" s="0" t="inlineStr">
        <s:is>
          <s:t>이종훈</s:t>
        </s:is>
      </s:c>
      <s:c r="C161" s="0" t="n">
        <s:v>130021</s:v>
      </s:c>
      <s:c r="D161" s="0" t="n">
        <s:v>996</s:v>
      </s:c>
      <s:c r="F161" s="24">
        <s:f>'자료구성'!$B$2+TIME(INT($C$3/10000),INT(MOD($C$3,10000)/100),MOD($C$3,100))+(ROW()-ROW($C$3))/86400</s:f>
        <s:v>46247.54373842593</s:v>
      </s:c>
    </s:row>
    <s:row r="162">
      <s:c r="A162" s="0" t="n">
        <s:v>260813</s:v>
      </s:c>
      <s:c r="B162" s="0" t="inlineStr">
        <s:is>
          <s:t>이종훈</s:t>
        </s:is>
      </s:c>
      <s:c r="C162" s="0" t="n">
        <s:v>130021</s:v>
      </s:c>
      <s:c r="D162" s="0" t="n">
        <s:v>1022</s:v>
      </s:c>
      <s:c r="F162" s="24">
        <s:f>'자료구성'!$B$2+TIME(INT($C$3/10000),INT(MOD($C$3,10000)/100),MOD($C$3,100))+(ROW()-ROW($C$3))/86400</s:f>
        <s:v>46247.54375</s:v>
      </s:c>
    </s:row>
    <s:row r="163">
      <s:c r="A163" s="0" t="n">
        <s:v>260813</s:v>
      </s:c>
      <s:c r="B163" s="0" t="inlineStr">
        <s:is>
          <s:t>이종훈</s:t>
        </s:is>
      </s:c>
      <s:c r="C163" s="0" t="n">
        <s:v>130021</s:v>
      </s:c>
      <s:c r="D163" s="0" t="n">
        <s:v>1090</s:v>
      </s:c>
      <s:c r="F163" s="24">
        <s:f>'자료구성'!$B$2+TIME(INT($C$3/10000),INT(MOD($C$3,10000)/100),MOD($C$3,100))+(ROW()-ROW($C$3))/86400</s:f>
        <s:v>46247.543761574074</s:v>
      </s:c>
    </s:row>
    <s:row r="164">
      <s:c r="A164" s="0" t="n">
        <s:v>260813</s:v>
      </s:c>
      <s:c r="B164" s="0" t="inlineStr">
        <s:is>
          <s:t>이종훈</s:t>
        </s:is>
      </s:c>
      <s:c r="C164" s="0" t="n">
        <s:v>130021</s:v>
      </s:c>
      <s:c r="D164" s="0" t="n">
        <s:v>1131</s:v>
      </s:c>
      <s:c r="F164" s="24">
        <s:f>'자료구성'!$B$2+TIME(INT($C$3/10000),INT(MOD($C$3,10000)/100),MOD($C$3,100))+(ROW()-ROW($C$3))/86400</s:f>
        <s:v>46247.54377314815</s:v>
      </s:c>
    </s:row>
    <s:row r="165">
      <s:c r="A165" s="0" t="n">
        <s:v>260813</s:v>
      </s:c>
      <s:c r="B165" s="0" t="inlineStr">
        <s:is>
          <s:t>이종훈</s:t>
        </s:is>
      </s:c>
      <s:c r="C165" s="0" t="n">
        <s:v>130021</s:v>
      </s:c>
      <s:c r="D165" s="0" t="n">
        <s:v>1153</s:v>
      </s:c>
      <s:c r="F165" s="24">
        <s:f>'자료구성'!$B$2+TIME(INT($C$3/10000),INT(MOD($C$3,10000)/100),MOD($C$3,100))+(ROW()-ROW($C$3))/86400</s:f>
        <s:v>46247.54378472222</s:v>
      </s:c>
    </s:row>
    <s:row r="166">
      <s:c r="A166" s="0" t="n">
        <s:v>260813</s:v>
      </s:c>
      <s:c r="B166" s="0" t="inlineStr">
        <s:is>
          <s:t>이종훈</s:t>
        </s:is>
      </s:c>
      <s:c r="C166" s="0" t="n">
        <s:v>130021</s:v>
      </s:c>
      <s:c r="D166" s="0" t="n">
        <s:v>1174</s:v>
      </s:c>
      <s:c r="F166" s="24">
        <s:f>'자료구성'!$B$2+TIME(INT($C$3/10000),INT(MOD($C$3,10000)/100),MOD($C$3,100))+(ROW()-ROW($C$3))/86400</s:f>
        <s:v>46247.5437962963</s:v>
      </s:c>
    </s:row>
    <s:row r="167">
      <s:c r="A167" s="0" t="n">
        <s:v>260813</s:v>
      </s:c>
      <s:c r="B167" s="0" t="inlineStr">
        <s:is>
          <s:t>이종훈</s:t>
        </s:is>
      </s:c>
      <s:c r="C167" s="0" t="n">
        <s:v>130021</s:v>
      </s:c>
      <s:c r="D167" s="0" t="n">
        <s:v>1164</s:v>
      </s:c>
      <s:c r="F167" s="24">
        <s:f>'자료구성'!$B$2+TIME(INT($C$3/10000),INT(MOD($C$3,10000)/100),MOD($C$3,100))+(ROW()-ROW($C$3))/86400</s:f>
        <s:v>46247.543807870374</s:v>
      </s:c>
    </s:row>
    <s:row r="168">
      <s:c r="A168" s="0" t="n">
        <s:v>260813</s:v>
      </s:c>
      <s:c r="B168" s="0" t="inlineStr">
        <s:is>
          <s:t>이종훈</s:t>
        </s:is>
      </s:c>
      <s:c r="C168" s="0" t="n">
        <s:v>130021</s:v>
      </s:c>
      <s:c r="D168" s="0" t="n">
        <s:v>1144</s:v>
      </s:c>
      <s:c r="F168" s="24">
        <s:f>'자료구성'!$B$2+TIME(INT($C$3/10000),INT(MOD($C$3,10000)/100),MOD($C$3,100))+(ROW()-ROW($C$3))/86400</s:f>
        <s:v>46247.54381944444</s:v>
      </s:c>
    </s:row>
    <s:row r="169">
      <s:c r="A169" s="0" t="n">
        <s:v>260813</s:v>
      </s:c>
      <s:c r="B169" s="0" t="inlineStr">
        <s:is>
          <s:t>이종훈</s:t>
        </s:is>
      </s:c>
      <s:c r="C169" s="0" t="n">
        <s:v>130021</s:v>
      </s:c>
      <s:c r="D169" s="0" t="n">
        <s:v>1118</s:v>
      </s:c>
      <s:c r="F169" s="24">
        <s:f>'자료구성'!$B$2+TIME(INT($C$3/10000),INT(MOD($C$3,10000)/100),MOD($C$3,100))+(ROW()-ROW($C$3))/86400</s:f>
        <s:v>46247.54383101852</s:v>
      </s:c>
    </s:row>
    <s:row r="170">
      <s:c r="A170" s="0" t="n">
        <s:v>260813</s:v>
      </s:c>
      <s:c r="B170" s="0" t="inlineStr">
        <s:is>
          <s:t>이종훈</s:t>
        </s:is>
      </s:c>
      <s:c r="C170" s="0" t="n">
        <s:v>130021</s:v>
      </s:c>
      <s:c r="D170" s="0" t="n">
        <s:v>1116</s:v>
      </s:c>
      <s:c r="F170" s="24">
        <s:f>'자료구성'!$B$2+TIME(INT($C$3/10000),INT(MOD($C$3,10000)/100),MOD($C$3,100))+(ROW()-ROW($C$3))/86400</s:f>
        <s:v>46247.54384259259</s:v>
      </s:c>
    </s:row>
    <s:row r="171">
      <s:c r="A171" s="0" t="n">
        <s:v>260813</s:v>
      </s:c>
      <s:c r="B171" s="0" t="inlineStr">
        <s:is>
          <s:t>이종훈</s:t>
        </s:is>
      </s:c>
      <s:c r="C171" s="0" t="n">
        <s:v>130021</s:v>
      </s:c>
      <s:c r="D171" s="0" t="n">
        <s:v>1125</s:v>
      </s:c>
      <s:c r="F171" s="24">
        <s:f>'자료구성'!$B$2+TIME(INT($C$3/10000),INT(MOD($C$3,10000)/100),MOD($C$3,100))+(ROW()-ROW($C$3))/86400</s:f>
        <s:v>46247.543854166666</s:v>
      </s:c>
    </s:row>
    <s:row r="172">
      <s:c r="A172" s="0" t="n">
        <s:v>260813</s:v>
      </s:c>
      <s:c r="B172" s="0" t="inlineStr">
        <s:is>
          <s:t>이종훈</s:t>
        </s:is>
      </s:c>
      <s:c r="C172" s="0" t="n">
        <s:v>130021</s:v>
      </s:c>
      <s:c r="D172" s="0" t="n">
        <s:v>1127</s:v>
      </s:c>
      <s:c r="F172" s="24">
        <s:f>'자료구성'!$B$2+TIME(INT($C$3/10000),INT(MOD($C$3,10000)/100),MOD($C$3,100))+(ROW()-ROW($C$3))/86400</s:f>
        <s:v>46247.54386574074</s:v>
      </s:c>
    </s:row>
    <s:row r="173">
      <s:c r="A173" s="0" t="n">
        <s:v>260813</s:v>
      </s:c>
      <s:c r="B173" s="0" t="inlineStr">
        <s:is>
          <s:t>이종훈</s:t>
        </s:is>
      </s:c>
      <s:c r="C173" s="0" t="n">
        <s:v>130021</s:v>
      </s:c>
      <s:c r="D173" s="0" t="n">
        <s:v>1114</s:v>
      </s:c>
      <s:c r="F173" s="24">
        <s:f>'자료구성'!$B$2+TIME(INT($C$3/10000),INT(MOD($C$3,10000)/100),MOD($C$3,100))+(ROW()-ROW($C$3))/86400</s:f>
        <s:v>46247.54387731481</s:v>
      </s:c>
    </s:row>
    <s:row r="174">
      <s:c r="A174" s="0" t="n">
        <s:v>260813</s:v>
      </s:c>
      <s:c r="B174" s="0" t="inlineStr">
        <s:is>
          <s:t>이종훈</s:t>
        </s:is>
      </s:c>
      <s:c r="C174" s="0" t="n">
        <s:v>130021</s:v>
      </s:c>
      <s:c r="D174" s="0" t="n">
        <s:v>1105</s:v>
      </s:c>
      <s:c r="F174" s="24">
        <s:f>'자료구성'!$B$2+TIME(INT($C$3/10000),INT(MOD($C$3,10000)/100),MOD($C$3,100))+(ROW()-ROW($C$3))/86400</s:f>
        <s:v>46247.54388888889</s:v>
      </s:c>
    </s:row>
    <s:row r="175">
      <s:c r="A175" s="0" t="n">
        <s:v>260813</s:v>
      </s:c>
      <s:c r="B175" s="0" t="inlineStr">
        <s:is>
          <s:t>이종훈</s:t>
        </s:is>
      </s:c>
      <s:c r="C175" s="0" t="n">
        <s:v>130021</s:v>
      </s:c>
      <s:c r="D175" s="0" t="n">
        <s:v>1117</s:v>
      </s:c>
      <s:c r="F175" s="24">
        <s:f>'자료구성'!$B$2+TIME(INT($C$3/10000),INT(MOD($C$3,10000)/100),MOD($C$3,100))+(ROW()-ROW($C$3))/86400</s:f>
        <s:v>46247.543900462966</s:v>
      </s:c>
    </s:row>
    <s:row r="176">
      <s:c r="A176" s="0" t="n">
        <s:v>260813</s:v>
      </s:c>
      <s:c r="B176" s="0" t="inlineStr">
        <s:is>
          <s:t>이종훈</s:t>
        </s:is>
      </s:c>
      <s:c r="C176" s="0" t="n">
        <s:v>130021</s:v>
      </s:c>
      <s:c r="D176" s="0" t="n">
        <s:v>1099</s:v>
      </s:c>
      <s:c r="F176" s="24">
        <s:f>'자료구성'!$B$2+TIME(INT($C$3/10000),INT(MOD($C$3,10000)/100),MOD($C$3,100))+(ROW()-ROW($C$3))/86400</s:f>
        <s:v>46247.543912037036</s:v>
      </s:c>
    </s:row>
    <s:row r="177">
      <s:c r="A177" s="0" t="n">
        <s:v>260813</s:v>
      </s:c>
      <s:c r="B177" s="0" t="inlineStr">
        <s:is>
          <s:t>이종훈</s:t>
        </s:is>
      </s:c>
      <s:c r="C177" s="0" t="n">
        <s:v>130021</s:v>
      </s:c>
      <s:c r="D177" s="0" t="n">
        <s:v>1085</s:v>
      </s:c>
      <s:c r="F177" s="24">
        <s:f>'자료구성'!$B$2+TIME(INT($C$3/10000),INT(MOD($C$3,10000)/100),MOD($C$3,100))+(ROW()-ROW($C$3))/86400</s:f>
        <s:v>46247.54392361111</s:v>
      </s:c>
    </s:row>
    <s:row r="178">
      <s:c r="A178" s="0" t="n">
        <s:v>260813</s:v>
      </s:c>
      <s:c r="B178" s="0" t="inlineStr">
        <s:is>
          <s:t>이종훈</s:t>
        </s:is>
      </s:c>
      <s:c r="C178" s="0" t="n">
        <s:v>130021</s:v>
      </s:c>
      <s:c r="D178" s="0" t="n">
        <s:v>1077</s:v>
      </s:c>
      <s:c r="F178" s="24">
        <s:f>'자료구성'!$B$2+TIME(INT($C$3/10000),INT(MOD($C$3,10000)/100),MOD($C$3,100))+(ROW()-ROW($C$3))/86400</s:f>
        <s:v>46247.54393518518</s:v>
      </s:c>
    </s:row>
    <s:row r="179">
      <s:c r="A179" s="0" t="n">
        <s:v>260813</s:v>
      </s:c>
      <s:c r="B179" s="0" t="inlineStr">
        <s:is>
          <s:t>이종훈</s:t>
        </s:is>
      </s:c>
      <s:c r="C179" s="0" t="n">
        <s:v>130021</s:v>
      </s:c>
      <s:c r="D179" s="0" t="n">
        <s:v>1071</s:v>
      </s:c>
      <s:c r="F179" s="24">
        <s:f>'자료구성'!$B$2+TIME(INT($C$3/10000),INT(MOD($C$3,10000)/100),MOD($C$3,100))+(ROW()-ROW($C$3))/86400</s:f>
        <s:v>46247.54394675926</s:v>
      </s:c>
    </s:row>
    <s:row r="180">
      <s:c r="A180" s="0" t="n">
        <s:v>260813</s:v>
      </s:c>
      <s:c r="B180" s="0" t="inlineStr">
        <s:is>
          <s:t>이종훈</s:t>
        </s:is>
      </s:c>
      <s:c r="C180" s="0" t="n">
        <s:v>130021</s:v>
      </s:c>
      <s:c r="D180" s="0" t="n">
        <s:v>1027</s:v>
      </s:c>
      <s:c r="F180" s="24">
        <s:f>'자료구성'!$B$2+TIME(INT($C$3/10000),INT(MOD($C$3,10000)/100),MOD($C$3,100))+(ROW()-ROW($C$3))/86400</s:f>
        <s:v>46247.543958333335</s:v>
      </s:c>
    </s:row>
    <s:row r="181">
      <s:c r="A181" s="0" t="n">
        <s:v>260813</s:v>
      </s:c>
      <s:c r="B181" s="0" t="inlineStr">
        <s:is>
          <s:t>이종훈</s:t>
        </s:is>
      </s:c>
      <s:c r="C181" s="0" t="n">
        <s:v>130021</s:v>
      </s:c>
      <s:c r="D181" s="0" t="n">
        <s:v>954</s:v>
      </s:c>
      <s:c r="F181" s="24">
        <s:f>'자료구성'!$B$2+TIME(INT($C$3/10000),INT(MOD($C$3,10000)/100),MOD($C$3,100))+(ROW()-ROW($C$3))/86400</s:f>
        <s:v>46247.543969907405</s:v>
      </s:c>
    </s:row>
    <s:row r="182">
      <s:c r="A182" s="0" t="n">
        <s:v>260813</s:v>
      </s:c>
      <s:c r="B182" s="0" t="inlineStr">
        <s:is>
          <s:t>이종훈</s:t>
        </s:is>
      </s:c>
      <s:c r="C182" s="0" t="n">
        <s:v>130021</s:v>
      </s:c>
      <s:c r="D182" s="0" t="n">
        <s:v>899</s:v>
      </s:c>
      <s:c r="F182" s="24">
        <s:f>'자료구성'!$B$2+TIME(INT($C$3/10000),INT(MOD($C$3,10000)/100),MOD($C$3,100))+(ROW()-ROW($C$3))/86400</s:f>
        <s:v>46247.54398148148</s:v>
      </s:c>
    </s:row>
    <s:row r="183">
      <s:c r="A183" s="0" t="n">
        <s:v>260813</s:v>
      </s:c>
      <s:c r="B183" s="0" t="inlineStr">
        <s:is>
          <s:t>이종훈</s:t>
        </s:is>
      </s:c>
      <s:c r="C183" s="0" t="n">
        <s:v>130021</s:v>
      </s:c>
      <s:c r="D183" s="0" t="n">
        <s:v>900</s:v>
      </s:c>
      <s:c r="F183" s="24">
        <s:f>'자료구성'!$B$2+TIME(INT($C$3/10000),INT(MOD($C$3,10000)/100),MOD($C$3,100))+(ROW()-ROW($C$3))/86400</s:f>
        <s:v>46247.54399305556</s:v>
      </s:c>
    </s:row>
    <s:row r="184">
      <s:c r="A184" s="0" t="n">
        <s:v>260813</s:v>
      </s:c>
      <s:c r="B184" s="0" t="inlineStr">
        <s:is>
          <s:t>이종훈</s:t>
        </s:is>
      </s:c>
      <s:c r="C184" s="0" t="n">
        <s:v>130021</s:v>
      </s:c>
      <s:c r="D184" s="0" t="n">
        <s:v>891</s:v>
      </s:c>
      <s:c r="F184" s="24">
        <s:f>'자료구성'!$B$2+TIME(INT($C$3/10000),INT(MOD($C$3,10000)/100),MOD($C$3,100))+(ROW()-ROW($C$3))/86400</s:f>
        <s:v>46247.54400462963</s:v>
      </s:c>
    </s:row>
    <s:row r="185">
      <s:c r="A185" s="0" t="n">
        <s:v>260813</s:v>
      </s:c>
      <s:c r="B185" s="0" t="inlineStr">
        <s:is>
          <s:t>이종훈</s:t>
        </s:is>
      </s:c>
      <s:c r="C185" s="0" t="n">
        <s:v>130021</s:v>
      </s:c>
      <s:c r="D185" s="0" t="n">
        <s:v>866</s:v>
      </s:c>
      <s:c r="F185" s="24">
        <s:f>'자료구성'!$B$2+TIME(INT($C$3/10000),INT(MOD($C$3,10000)/100),MOD($C$3,100))+(ROW()-ROW($C$3))/86400</s:f>
        <s:v>46247.544016203705</s:v>
      </s:c>
    </s:row>
    <s:row r="186">
      <s:c r="A186" s="0" t="n">
        <s:v>260813</s:v>
      </s:c>
      <s:c r="B186" s="0" t="inlineStr">
        <s:is>
          <s:t>이종훈</s:t>
        </s:is>
      </s:c>
      <s:c r="C186" s="0" t="n">
        <s:v>130021</s:v>
      </s:c>
      <s:c r="D186" s="0" t="n">
        <s:v>837</s:v>
      </s:c>
      <s:c r="F186" s="24">
        <s:f>'자료구성'!$B$2+TIME(INT($C$3/10000),INT(MOD($C$3,10000)/100),MOD($C$3,100))+(ROW()-ROW($C$3))/86400</s:f>
        <s:v>46247.544027777774</s:v>
      </s:c>
    </s:row>
    <s:row r="187">
      <s:c r="A187" s="0" t="n">
        <s:v>260813</s:v>
      </s:c>
      <s:c r="B187" s="0" t="inlineStr">
        <s:is>
          <s:t>이종훈</s:t>
        </s:is>
      </s:c>
      <s:c r="C187" s="0" t="n">
        <s:v>130021</s:v>
      </s:c>
      <s:c r="D187" s="0" t="n">
        <s:v>842</s:v>
      </s:c>
      <s:c r="F187" s="24">
        <s:f>'자료구성'!$B$2+TIME(INT($C$3/10000),INT(MOD($C$3,10000)/100),MOD($C$3,100))+(ROW()-ROW($C$3))/86400</s:f>
        <s:v>46247.54403935185</s:v>
      </s:c>
    </s:row>
    <s:row r="188">
      <s:c r="A188" s="0" t="n">
        <s:v>260813</s:v>
      </s:c>
      <s:c r="B188" s="0" t="inlineStr">
        <s:is>
          <s:t>이종훈</s:t>
        </s:is>
      </s:c>
      <s:c r="C188" s="0" t="n">
        <s:v>130021</s:v>
      </s:c>
      <s:c r="D188" s="0" t="n">
        <s:v>879</s:v>
      </s:c>
      <s:c r="F188" s="24">
        <s:f>'자료구성'!$B$2+TIME(INT($C$3/10000),INT(MOD($C$3,10000)/100),MOD($C$3,100))+(ROW()-ROW($C$3))/86400</s:f>
        <s:v>46247.54405092593</s:v>
      </s:c>
    </s:row>
    <s:row r="189">
      <s:c r="A189" s="0" t="n">
        <s:v>260813</s:v>
      </s:c>
      <s:c r="B189" s="0" t="inlineStr">
        <s:is>
          <s:t>이종훈</s:t>
        </s:is>
      </s:c>
      <s:c r="C189" s="0" t="n">
        <s:v>130021</s:v>
      </s:c>
      <s:c r="D189" s="0" t="n">
        <s:v>905</s:v>
      </s:c>
      <s:c r="F189" s="24">
        <s:f>'자료구성'!$B$2+TIME(INT($C$3/10000),INT(MOD($C$3,10000)/100),MOD($C$3,100))+(ROW()-ROW($C$3))/86400</s:f>
        <s:v>46247.5440625</s:v>
      </s:c>
    </s:row>
    <s:row r="190">
      <s:c r="A190" s="0" t="n">
        <s:v>260813</s:v>
      </s:c>
      <s:c r="B190" s="0" t="inlineStr">
        <s:is>
          <s:t>이종훈</s:t>
        </s:is>
      </s:c>
      <s:c r="C190" s="0" t="n">
        <s:v>130021</s:v>
      </s:c>
      <s:c r="D190" s="0" t="n">
        <s:v>919</s:v>
      </s:c>
      <s:c r="F190" s="24">
        <s:f>'자료구성'!$B$2+TIME(INT($C$3/10000),INT(MOD($C$3,10000)/100),MOD($C$3,100))+(ROW()-ROW($C$3))/86400</s:f>
        <s:v>46247.544074074074</s:v>
      </s:c>
    </s:row>
    <s:row r="191">
      <s:c r="A191" s="0" t="n">
        <s:v>260813</s:v>
      </s:c>
      <s:c r="B191" s="0" t="inlineStr">
        <s:is>
          <s:t>이종훈</s:t>
        </s:is>
      </s:c>
      <s:c r="C191" s="0" t="n">
        <s:v>130021</s:v>
      </s:c>
      <s:c r="D191" s="0" t="n">
        <s:v>908</s:v>
      </s:c>
      <s:c r="F191" s="24">
        <s:f>'자료구성'!$B$2+TIME(INT($C$3/10000),INT(MOD($C$3,10000)/100),MOD($C$3,100))+(ROW()-ROW($C$3))/86400</s:f>
        <s:v>46247.54408564815</s:v>
      </s:c>
    </s:row>
    <s:row r="192">
      <s:c r="A192" s="0" t="n">
        <s:v>260813</s:v>
      </s:c>
      <s:c r="B192" s="0" t="inlineStr">
        <s:is>
          <s:t>이종훈</s:t>
        </s:is>
      </s:c>
      <s:c r="C192" s="0" t="n">
        <s:v>130021</s:v>
      </s:c>
      <s:c r="D192" s="0" t="n">
        <s:v>885</s:v>
      </s:c>
      <s:c r="F192" s="24">
        <s:f>'자료구성'!$B$2+TIME(INT($C$3/10000),INT(MOD($C$3,10000)/100),MOD($C$3,100))+(ROW()-ROW($C$3))/86400</s:f>
        <s:v>46247.54409722222</s:v>
      </s:c>
    </s:row>
    <s:row r="193">
      <s:c r="A193" s="0" t="n">
        <s:v>260813</s:v>
      </s:c>
      <s:c r="B193" s="0" t="inlineStr">
        <s:is>
          <s:t>이종훈</s:t>
        </s:is>
      </s:c>
      <s:c r="C193" s="0" t="n">
        <s:v>130021</s:v>
      </s:c>
      <s:c r="D193" s="0" t="n">
        <s:v>860</s:v>
      </s:c>
      <s:c r="F193" s="24">
        <s:f>'자료구성'!$B$2+TIME(INT($C$3/10000),INT(MOD($C$3,10000)/100),MOD($C$3,100))+(ROW()-ROW($C$3))/86400</s:f>
        <s:v>46247.5441087963</s:v>
      </s:c>
    </s:row>
    <s:row r="194">
      <s:c r="A194" s="0" t="n">
        <s:v>260813</s:v>
      </s:c>
      <s:c r="B194" s="0" t="inlineStr">
        <s:is>
          <s:t>이종훈</s:t>
        </s:is>
      </s:c>
      <s:c r="C194" s="0" t="n">
        <s:v>130021</s:v>
      </s:c>
      <s:c r="D194" s="0" t="n">
        <s:v>829</s:v>
      </s:c>
      <s:c r="F194" s="24">
        <s:f>'자료구성'!$B$2+TIME(INT($C$3/10000),INT(MOD($C$3,10000)/100),MOD($C$3,100))+(ROW()-ROW($C$3))/86400</s:f>
        <s:v>46247.544120370374</s:v>
      </s:c>
    </s:row>
    <s:row r="195">
      <s:c r="A195" s="0" t="n">
        <s:v>260813</s:v>
      </s:c>
      <s:c r="B195" s="0" t="inlineStr">
        <s:is>
          <s:t>이종훈</s:t>
        </s:is>
      </s:c>
      <s:c r="C195" s="0" t="n">
        <s:v>130021</s:v>
      </s:c>
      <s:c r="D195" s="0" t="n">
        <s:v>831</s:v>
      </s:c>
      <s:c r="F195" s="24">
        <s:f>'자료구성'!$B$2+TIME(INT($C$3/10000),INT(MOD($C$3,10000)/100),MOD($C$3,100))+(ROW()-ROW($C$3))/86400</s:f>
        <s:v>46247.54413194444</s:v>
      </s:c>
    </s:row>
    <s:row r="196">
      <s:c r="A196" s="0" t="n">
        <s:v>260813</s:v>
      </s:c>
      <s:c r="B196" s="0" t="inlineStr">
        <s:is>
          <s:t>이종훈</s:t>
        </s:is>
      </s:c>
      <s:c r="C196" s="0" t="n">
        <s:v>130021</s:v>
      </s:c>
      <s:c r="D196" s="0" t="n">
        <s:v>821</s:v>
      </s:c>
      <s:c r="F196" s="24">
        <s:f>'자료구성'!$B$2+TIME(INT($C$3/10000),INT(MOD($C$3,10000)/100),MOD($C$3,100))+(ROW()-ROW($C$3))/86400</s:f>
        <s:v>46247.54414351852</s:v>
      </s:c>
    </s:row>
    <s:row r="197">
      <s:c r="A197" s="0" t="n">
        <s:v>260813</s:v>
      </s:c>
      <s:c r="B197" s="0" t="inlineStr">
        <s:is>
          <s:t>이종훈</s:t>
        </s:is>
      </s:c>
      <s:c r="C197" s="0" t="n">
        <s:v>130021</s:v>
      </s:c>
      <s:c r="D197" s="0" t="n">
        <s:v>812</s:v>
      </s:c>
      <s:c r="F197" s="24">
        <s:f>'자료구성'!$B$2+TIME(INT($C$3/10000),INT(MOD($C$3,10000)/100),MOD($C$3,100))+(ROW()-ROW($C$3))/86400</s:f>
        <s:v>46247.54415509259</s:v>
      </s:c>
    </s:row>
    <s:row r="198">
      <s:c r="A198" s="0" t="n">
        <s:v>260813</s:v>
      </s:c>
      <s:c r="B198" s="0" t="inlineStr">
        <s:is>
          <s:t>이종훈</s:t>
        </s:is>
      </s:c>
      <s:c r="C198" s="0" t="n">
        <s:v>130021</s:v>
      </s:c>
      <s:c r="D198" s="0" t="n">
        <s:v>800</s:v>
      </s:c>
      <s:c r="F198" s="24">
        <s:f>'자료구성'!$B$2+TIME(INT($C$3/10000),INT(MOD($C$3,10000)/100),MOD($C$3,100))+(ROW()-ROW($C$3))/86400</s:f>
        <s:v>46247.54416666667</s:v>
      </s:c>
    </s:row>
    <s:row r="199">
      <s:c r="A199" s="0" t="n">
        <s:v>260813</s:v>
      </s:c>
      <s:c r="B199" s="0" t="inlineStr">
        <s:is>
          <s:t>이종훈</s:t>
        </s:is>
      </s:c>
      <s:c r="C199" s="0" t="n">
        <s:v>130021</s:v>
      </s:c>
      <s:c r="D199" s="0" t="n">
        <s:v>808</s:v>
      </s:c>
      <s:c r="F199" s="24">
        <s:f>'자료구성'!$B$2+TIME(INT($C$3/10000),INT(MOD($C$3,10000)/100),MOD($C$3,100))+(ROW()-ROW($C$3))/86400</s:f>
        <s:v>46247.54417824074</s:v>
      </s:c>
    </s:row>
    <s:row r="200">
      <s:c r="A200" s="0" t="n">
        <s:v>260813</s:v>
      </s:c>
      <s:c r="B200" s="0" t="inlineStr">
        <s:is>
          <s:t>이종훈</s:t>
        </s:is>
      </s:c>
      <s:c r="C200" s="0" t="n">
        <s:v>130021</s:v>
      </s:c>
      <s:c r="D200" s="0" t="n">
        <s:v>783</s:v>
      </s:c>
      <s:c r="F200" s="24">
        <s:f>'자료구성'!$B$2+TIME(INT($C$3/10000),INT(MOD($C$3,10000)/100),MOD($C$3,100))+(ROW()-ROW($C$3))/86400</s:f>
        <s:v>46247.54418981481</s:v>
      </s:c>
    </s:row>
    <s:row r="201">
      <s:c r="A201" s="0" t="n">
        <s:v>260813</s:v>
      </s:c>
      <s:c r="B201" s="0" t="inlineStr">
        <s:is>
          <s:t>이종훈</s:t>
        </s:is>
      </s:c>
      <s:c r="C201" s="0" t="n">
        <s:v>130021</s:v>
      </s:c>
      <s:c r="D201" s="0" t="n">
        <s:v>815</s:v>
      </s:c>
      <s:c r="F201" s="24">
        <s:f>'자료구성'!$B$2+TIME(INT($C$3/10000),INT(MOD($C$3,10000)/100),MOD($C$3,100))+(ROW()-ROW($C$3))/86400</s:f>
        <s:v>46247.54420138889</s:v>
      </s:c>
    </s:row>
    <s:row r="202">
      <s:c r="A202" s="0" t="n">
        <s:v>260813</s:v>
      </s:c>
      <s:c r="B202" s="0" t="inlineStr">
        <s:is>
          <s:t>이종훈</s:t>
        </s:is>
      </s:c>
      <s:c r="C202" s="0" t="n">
        <s:v>130021</s:v>
      </s:c>
      <s:c r="D202" s="0" t="n">
        <s:v>863</s:v>
      </s:c>
      <s:c r="F202" s="24">
        <s:f>'자료구성'!$B$2+TIME(INT($C$3/10000),INT(MOD($C$3,10000)/100),MOD($C$3,100))+(ROW()-ROW($C$3))/86400</s:f>
        <s:v>46247.54421296297</s:v>
      </s:c>
    </s:row>
    <s:row r="203">
      <s:c r="A203" s="0" t="n">
        <s:v>260813</s:v>
      </s:c>
      <s:c r="B203" s="0" t="inlineStr">
        <s:is>
          <s:t>이종훈</s:t>
        </s:is>
      </s:c>
      <s:c r="C203" s="0" t="n">
        <s:v>130021</s:v>
      </s:c>
      <s:c r="D203" s="0" t="n">
        <s:v>879</s:v>
      </s:c>
      <s:c r="F203" s="24">
        <s:f>'자료구성'!$B$2+TIME(INT($C$3/10000),INT(MOD($C$3,10000)/100),MOD($C$3,100))+(ROW()-ROW($C$3))/86400</s:f>
        <s:v>46247.544224537036</s:v>
      </s:c>
    </s:row>
    <s:row r="204">
      <s:c r="A204" s="0" t="n">
        <s:v>260813</s:v>
      </s:c>
      <s:c r="B204" s="0" t="inlineStr">
        <s:is>
          <s:t>이종훈</s:t>
        </s:is>
      </s:c>
      <s:c r="C204" s="0" t="n">
        <s:v>130021</s:v>
      </s:c>
      <s:c r="D204" s="0" t="n">
        <s:v>902</s:v>
      </s:c>
      <s:c r="F204" s="24">
        <s:f>'자료구성'!$B$2+TIME(INT($C$3/10000),INT(MOD($C$3,10000)/100),MOD($C$3,100))+(ROW()-ROW($C$3))/86400</s:f>
        <s:v>46247.54423611111</s:v>
      </s:c>
    </s:row>
    <s:row r="205">
      <s:c r="A205" s="0" t="n">
        <s:v>260813</s:v>
      </s:c>
      <s:c r="B205" s="0" t="inlineStr">
        <s:is>
          <s:t>이종훈</s:t>
        </s:is>
      </s:c>
      <s:c r="C205" s="0" t="n">
        <s:v>130021</s:v>
      </s:c>
      <s:c r="D205" s="0" t="n">
        <s:v>907</s:v>
      </s:c>
      <s:c r="F205" s="24">
        <s:f>'자료구성'!$B$2+TIME(INT($C$3/10000),INT(MOD($C$3,10000)/100),MOD($C$3,100))+(ROW()-ROW($C$3))/86400</s:f>
        <s:v>46247.54424768518</s:v>
      </s:c>
    </s:row>
    <s:row r="206">
      <s:c r="A206" s="0" t="n">
        <s:v>260813</s:v>
      </s:c>
      <s:c r="B206" s="0" t="inlineStr">
        <s:is>
          <s:t>이종훈</s:t>
        </s:is>
      </s:c>
      <s:c r="C206" s="0" t="n">
        <s:v>130021</s:v>
      </s:c>
      <s:c r="D206" s="0" t="n">
        <s:v>901</s:v>
      </s:c>
      <s:c r="F206" s="24">
        <s:f>'자료구성'!$B$2+TIME(INT($C$3/10000),INT(MOD($C$3,10000)/100),MOD($C$3,100))+(ROW()-ROW($C$3))/86400</s:f>
        <s:v>46247.54425925926</s:v>
      </s:c>
    </s:row>
    <s:row r="207">
      <s:c r="A207" s="0" t="n">
        <s:v>260813</s:v>
      </s:c>
      <s:c r="B207" s="0" t="inlineStr">
        <s:is>
          <s:t>이종훈</s:t>
        </s:is>
      </s:c>
      <s:c r="C207" s="0" t="n">
        <s:v>130021</s:v>
      </s:c>
      <s:c r="D207" s="0" t="n">
        <s:v>900</s:v>
      </s:c>
      <s:c r="F207" s="24">
        <s:f>'자료구성'!$B$2+TIME(INT($C$3/10000),INT(MOD($C$3,10000)/100),MOD($C$3,100))+(ROW()-ROW($C$3))/86400</s:f>
        <s:v>46247.544270833336</s:v>
      </s:c>
    </s:row>
    <s:row r="208">
      <s:c r="A208" s="0" t="n">
        <s:v>260813</s:v>
      </s:c>
      <s:c r="B208" s="0" t="inlineStr">
        <s:is>
          <s:t>이종훈</s:t>
        </s:is>
      </s:c>
      <s:c r="C208" s="0" t="n">
        <s:v>130021</s:v>
      </s:c>
      <s:c r="D208" s="0" t="n">
        <s:v>922</s:v>
      </s:c>
      <s:c r="F208" s="24">
        <s:f>'자료구성'!$B$2+TIME(INT($C$3/10000),INT(MOD($C$3,10000)/100),MOD($C$3,100))+(ROW()-ROW($C$3))/86400</s:f>
        <s:v>46247.544282407405</s:v>
      </s:c>
    </s:row>
    <s:row r="209">
      <s:c r="A209" s="0" t="n">
        <s:v>260813</s:v>
      </s:c>
      <s:c r="B209" s="0" t="inlineStr">
        <s:is>
          <s:t>이종훈</s:t>
        </s:is>
      </s:c>
      <s:c r="C209" s="0" t="n">
        <s:v>130021</s:v>
      </s:c>
      <s:c r="D209" s="0" t="n">
        <s:v>916</s:v>
      </s:c>
      <s:c r="F209" s="24">
        <s:f>'자료구성'!$B$2+TIME(INT($C$3/10000),INT(MOD($C$3,10000)/100),MOD($C$3,100))+(ROW()-ROW($C$3))/86400</s:f>
        <s:v>46247.54429398148</s:v>
      </s:c>
    </s:row>
    <s:row r="210">
      <s:c r="A210" s="0" t="n">
        <s:v>260813</s:v>
      </s:c>
      <s:c r="B210" s="0" t="inlineStr">
        <s:is>
          <s:t>이종훈</s:t>
        </s:is>
      </s:c>
      <s:c r="C210" s="0" t="n">
        <s:v>130021</s:v>
      </s:c>
      <s:c r="D210" s="0" t="n">
        <s:v>911</s:v>
      </s:c>
      <s:c r="F210" s="24">
        <s:f>'자료구성'!$B$2+TIME(INT($C$3/10000),INT(MOD($C$3,10000)/100),MOD($C$3,100))+(ROW()-ROW($C$3))/86400</s:f>
        <s:v>46247.54430555556</s:v>
      </s:c>
    </s:row>
    <s:row r="211">
      <s:c r="A211" s="0" t="n">
        <s:v>260813</s:v>
      </s:c>
      <s:c r="B211" s="0" t="inlineStr">
        <s:is>
          <s:t>이종훈</s:t>
        </s:is>
      </s:c>
      <s:c r="C211" s="0" t="n">
        <s:v>130021</s:v>
      </s:c>
      <s:c r="D211" s="0" t="n">
        <s:v>889</s:v>
      </s:c>
      <s:c r="F211" s="24">
        <s:f>'자료구성'!$B$2+TIME(INT($C$3/10000),INT(MOD($C$3,10000)/100),MOD($C$3,100))+(ROW()-ROW($C$3))/86400</s:f>
        <s:v>46247.54431712963</s:v>
      </s:c>
    </s:row>
    <s:row r="212">
      <s:c r="A212" s="0" t="n">
        <s:v>260813</s:v>
      </s:c>
      <s:c r="B212" s="0" t="inlineStr">
        <s:is>
          <s:t>이종훈</s:t>
        </s:is>
      </s:c>
      <s:c r="C212" s="0" t="n">
        <s:v>130021</s:v>
      </s:c>
      <s:c r="D212" s="0" t="n">
        <s:v>882</s:v>
      </s:c>
      <s:c r="F212" s="24">
        <s:f>'자료구성'!$B$2+TIME(INT($C$3/10000),INT(MOD($C$3,10000)/100),MOD($C$3,100))+(ROW()-ROW($C$3))/86400</s:f>
        <s:v>46247.544328703705</s:v>
      </s:c>
    </s:row>
    <s:row r="213">
      <s:c r="A213" s="0" t="n">
        <s:v>260813</s:v>
      </s:c>
      <s:c r="B213" s="0" t="inlineStr">
        <s:is>
          <s:t>이종훈</s:t>
        </s:is>
      </s:c>
      <s:c r="C213" s="0" t="n">
        <s:v>130021</s:v>
      </s:c>
      <s:c r="D213" s="0" t="n">
        <s:v>872</s:v>
      </s:c>
      <s:c r="F213" s="24">
        <s:f>'자료구성'!$B$2+TIME(INT($C$3/10000),INT(MOD($C$3,10000)/100),MOD($C$3,100))+(ROW()-ROW($C$3))/86400</s:f>
        <s:v>46247.544340277775</s:v>
      </s:c>
    </s:row>
    <s:row r="214">
      <s:c r="A214" s="0" t="n">
        <s:v>260813</s:v>
      </s:c>
      <s:c r="B214" s="0" t="inlineStr">
        <s:is>
          <s:t>이종훈</s:t>
        </s:is>
      </s:c>
      <s:c r="C214" s="0" t="n">
        <s:v>130021</s:v>
      </s:c>
      <s:c r="D214" s="0" t="n">
        <s:v>884</s:v>
      </s:c>
      <s:c r="F214" s="24">
        <s:f>'자료구성'!$B$2+TIME(INT($C$3/10000),INT(MOD($C$3,10000)/100),MOD($C$3,100))+(ROW()-ROW($C$3))/86400</s:f>
        <s:v>46247.54435185185</s:v>
      </s:c>
    </s:row>
    <s:row r="215">
      <s:c r="A215" s="0" t="n">
        <s:v>260813</s:v>
      </s:c>
      <s:c r="B215" s="0" t="inlineStr">
        <s:is>
          <s:t>이종훈</s:t>
        </s:is>
      </s:c>
      <s:c r="C215" s="0" t="n">
        <s:v>130021</s:v>
      </s:c>
      <s:c r="D215" s="0" t="n">
        <s:v>918</s:v>
      </s:c>
      <s:c r="F215" s="24">
        <s:f>'자료구성'!$B$2+TIME(INT($C$3/10000),INT(MOD($C$3,10000)/100),MOD($C$3,100))+(ROW()-ROW($C$3))/86400</s:f>
        <s:v>46247.54436342593</s:v>
      </s:c>
    </s:row>
    <s:row r="216">
      <s:c r="A216" s="0" t="n">
        <s:v>260813</s:v>
      </s:c>
      <s:c r="B216" s="0" t="inlineStr">
        <s:is>
          <s:t>이종훈</s:t>
        </s:is>
      </s:c>
      <s:c r="C216" s="0" t="n">
        <s:v>130021</s:v>
      </s:c>
      <s:c r="D216" s="0" t="n">
        <s:v>898</s:v>
      </s:c>
      <s:c r="F216" s="24">
        <s:f>'자료구성'!$B$2+TIME(INT($C$3/10000),INT(MOD($C$3,10000)/100),MOD($C$3,100))+(ROW()-ROW($C$3))/86400</s:f>
        <s:v>46247.544375</s:v>
      </s:c>
    </s:row>
    <s:row r="217">
      <s:c r="A217" s="0" t="n">
        <s:v>260813</s:v>
      </s:c>
      <s:c r="B217" s="0" t="inlineStr">
        <s:is>
          <s:t>이종훈</s:t>
        </s:is>
      </s:c>
      <s:c r="C217" s="0" t="n">
        <s:v>130021</s:v>
      </s:c>
      <s:c r="D217" s="0" t="n">
        <s:v>876</s:v>
      </s:c>
      <s:c r="F217" s="24">
        <s:f>'자료구성'!$B$2+TIME(INT($C$3/10000),INT(MOD($C$3,10000)/100),MOD($C$3,100))+(ROW()-ROW($C$3))/86400</s:f>
        <s:v>46247.544386574074</s:v>
      </s:c>
    </s:row>
    <s:row r="218">
      <s:c r="A218" s="0" t="n">
        <s:v>260813</s:v>
      </s:c>
      <s:c r="B218" s="0" t="inlineStr">
        <s:is>
          <s:t>이종훈</s:t>
        </s:is>
      </s:c>
      <s:c r="C218" s="0" t="n">
        <s:v>130021</s:v>
      </s:c>
      <s:c r="D218" s="0" t="n">
        <s:v>861</s:v>
      </s:c>
      <s:c r="F218" s="24">
        <s:f>'자료구성'!$B$2+TIME(INT($C$3/10000),INT(MOD($C$3,10000)/100),MOD($C$3,100))+(ROW()-ROW($C$3))/86400</s:f>
        <s:v>46247.54439814815</s:v>
      </s:c>
    </s:row>
    <s:row r="219">
      <s:c r="A219" s="0" t="n">
        <s:v>260813</s:v>
      </s:c>
      <s:c r="B219" s="0" t="inlineStr">
        <s:is>
          <s:t>이종훈</s:t>
        </s:is>
      </s:c>
      <s:c r="C219" s="0" t="n">
        <s:v>130021</s:v>
      </s:c>
      <s:c r="D219" s="0" t="n">
        <s:v>865</s:v>
      </s:c>
      <s:c r="F219" s="24">
        <s:f>'자료구성'!$B$2+TIME(INT($C$3/10000),INT(MOD($C$3,10000)/100),MOD($C$3,100))+(ROW()-ROW($C$3))/86400</s:f>
        <s:v>46247.54440972222</s:v>
      </s:c>
    </s:row>
    <s:row r="220">
      <s:c r="A220" s="0" t="n">
        <s:v>260813</s:v>
      </s:c>
      <s:c r="B220" s="0" t="inlineStr">
        <s:is>
          <s:t>이종훈</s:t>
        </s:is>
      </s:c>
      <s:c r="C220" s="0" t="n">
        <s:v>130021</s:v>
      </s:c>
      <s:c r="D220" s="0" t="n">
        <s:v>867</s:v>
      </s:c>
      <s:c r="F220" s="24">
        <s:f>'자료구성'!$B$2+TIME(INT($C$3/10000),INT(MOD($C$3,10000)/100),MOD($C$3,100))+(ROW()-ROW($C$3))/86400</s:f>
        <s:v>46247.5444212963</s:v>
      </s:c>
    </s:row>
    <s:row r="221">
      <s:c r="A221" s="0" t="n">
        <s:v>260813</s:v>
      </s:c>
      <s:c r="B221" s="0" t="inlineStr">
        <s:is>
          <s:t>이종훈</s:t>
        </s:is>
      </s:c>
      <s:c r="C221" s="0" t="n">
        <s:v>130021</s:v>
      </s:c>
      <s:c r="D221" s="0" t="n">
        <s:v>856</s:v>
      </s:c>
      <s:c r="F221" s="24">
        <s:f>'자료구성'!$B$2+TIME(INT($C$3/10000),INT(MOD($C$3,10000)/100),MOD($C$3,100))+(ROW()-ROW($C$3))/86400</s:f>
        <s:v>46247.54443287037</s:v>
      </s:c>
    </s:row>
    <s:row r="222">
      <s:c r="A222" s="0" t="n">
        <s:v>260813</s:v>
      </s:c>
      <s:c r="B222" s="0" t="inlineStr">
        <s:is>
          <s:t>이종훈</s:t>
        </s:is>
      </s:c>
      <s:c r="C222" s="0" t="n">
        <s:v>130021</s:v>
      </s:c>
      <s:c r="D222" s="0" t="n">
        <s:v>833</s:v>
      </s:c>
      <s:c r="F222" s="24">
        <s:f>'자료구성'!$B$2+TIME(INT($C$3/10000),INT(MOD($C$3,10000)/100),MOD($C$3,100))+(ROW()-ROW($C$3))/86400</s:f>
        <s:v>46247.544444444444</s:v>
      </s:c>
    </s:row>
    <s:row r="223">
      <s:c r="A223" s="0" t="n">
        <s:v>260813</s:v>
      </s:c>
      <s:c r="B223" s="0" t="inlineStr">
        <s:is>
          <s:t>이종훈</s:t>
        </s:is>
      </s:c>
      <s:c r="C223" s="0" t="n">
        <s:v>130021</s:v>
      </s:c>
      <s:c r="D223" s="0" t="n">
        <s:v>820</s:v>
      </s:c>
      <s:c r="F223" s="24">
        <s:f>'자료구성'!$B$2+TIME(INT($C$3/10000),INT(MOD($C$3,10000)/100),MOD($C$3,100))+(ROW()-ROW($C$3))/86400</s:f>
        <s:v>46247.54445601852</s:v>
      </s:c>
    </s:row>
    <s:row r="224">
      <s:c r="A224" s="0" t="n">
        <s:v>260813</s:v>
      </s:c>
      <s:c r="B224" s="0" t="inlineStr">
        <s:is>
          <s:t>이종훈</s:t>
        </s:is>
      </s:c>
      <s:c r="C224" s="0" t="n">
        <s:v>130021</s:v>
      </s:c>
      <s:c r="D224" s="0" t="n">
        <s:v>857</s:v>
      </s:c>
      <s:c r="F224" s="24">
        <s:f>'자료구성'!$B$2+TIME(INT($C$3/10000),INT(MOD($C$3,10000)/100),MOD($C$3,100))+(ROW()-ROW($C$3))/86400</s:f>
        <s:v>46247.54446759259</s:v>
      </s:c>
    </s:row>
    <s:row r="225">
      <s:c r="A225" s="0" t="n">
        <s:v>260813</s:v>
      </s:c>
      <s:c r="B225" s="0" t="inlineStr">
        <s:is>
          <s:t>이종훈</s:t>
        </s:is>
      </s:c>
      <s:c r="C225" s="0" t="n">
        <s:v>130021</s:v>
      </s:c>
      <s:c r="D225" s="0" t="n">
        <s:v>846</s:v>
      </s:c>
      <s:c r="F225" s="24">
        <s:f>'자료구성'!$B$2+TIME(INT($C$3/10000),INT(MOD($C$3,10000)/100),MOD($C$3,100))+(ROW()-ROW($C$3))/86400</s:f>
        <s:v>46247.54447916667</s:v>
      </s:c>
    </s:row>
    <s:row r="226">
      <s:c r="A226" s="0" t="n">
        <s:v>260813</s:v>
      </s:c>
      <s:c r="B226" s="0" t="inlineStr">
        <s:is>
          <s:t>이종훈</s:t>
        </s:is>
      </s:c>
      <s:c r="C226" s="0" t="n">
        <s:v>130021</s:v>
      </s:c>
      <s:c r="D226" s="0" t="n">
        <s:v>834</s:v>
      </s:c>
      <s:c r="F226" s="24">
        <s:f>'자료구성'!$B$2+TIME(INT($C$3/10000),INT(MOD($C$3,10000)/100),MOD($C$3,100))+(ROW()-ROW($C$3))/86400</s:f>
        <s:v>46247.544490740744</s:v>
      </s:c>
    </s:row>
    <s:row r="227">
      <s:c r="A227" s="0" t="n">
        <s:v>260813</s:v>
      </s:c>
      <s:c r="B227" s="0" t="inlineStr">
        <s:is>
          <s:t>이종훈</s:t>
        </s:is>
      </s:c>
      <s:c r="C227" s="0" t="n">
        <s:v>130021</s:v>
      </s:c>
      <s:c r="D227" s="0" t="n">
        <s:v>849</s:v>
      </s:c>
      <s:c r="F227" s="24">
        <s:f>'자료구성'!$B$2+TIME(INT($C$3/10000),INT(MOD($C$3,10000)/100),MOD($C$3,100))+(ROW()-ROW($C$3))/86400</s:f>
        <s:v>46247.54450231481</s:v>
      </s:c>
    </s:row>
    <s:row r="228">
      <s:c r="A228" s="0" t="n">
        <s:v>260813</s:v>
      </s:c>
      <s:c r="B228" s="0" t="inlineStr">
        <s:is>
          <s:t>이종훈</s:t>
        </s:is>
      </s:c>
      <s:c r="C228" s="0" t="n">
        <s:v>130021</s:v>
      </s:c>
      <s:c r="D228" s="0" t="n">
        <s:v>865</s:v>
      </s:c>
      <s:c r="F228" s="24">
        <s:f>'자료구성'!$B$2+TIME(INT($C$3/10000),INT(MOD($C$3,10000)/100),MOD($C$3,100))+(ROW()-ROW($C$3))/86400</s:f>
        <s:v>46247.54451388889</s:v>
      </s:c>
    </s:row>
    <s:row r="229">
      <s:c r="A229" s="0" t="n">
        <s:v>260813</s:v>
      </s:c>
      <s:c r="B229" s="0" t="inlineStr">
        <s:is>
          <s:t>이종훈</s:t>
        </s:is>
      </s:c>
      <s:c r="C229" s="0" t="n">
        <s:v>130021</s:v>
      </s:c>
      <s:c r="D229" s="0" t="n">
        <s:v>875</s:v>
      </s:c>
      <s:c r="F229" s="24">
        <s:f>'자료구성'!$B$2+TIME(INT($C$3/10000),INT(MOD($C$3,10000)/100),MOD($C$3,100))+(ROW()-ROW($C$3))/86400</s:f>
        <s:v>46247.54452546296</s:v>
      </s:c>
    </s:row>
    <s:row r="230">
      <s:c r="A230" s="0" t="n">
        <s:v>260813</s:v>
      </s:c>
      <s:c r="B230" s="0" t="inlineStr">
        <s:is>
          <s:t>이종훈</s:t>
        </s:is>
      </s:c>
      <s:c r="C230" s="0" t="n">
        <s:v>130021</s:v>
      </s:c>
      <s:c r="D230" s="0" t="n">
        <s:v>884</s:v>
      </s:c>
      <s:c r="F230" s="24">
        <s:f>'자료구성'!$B$2+TIME(INT($C$3/10000),INT(MOD($C$3,10000)/100),MOD($C$3,100))+(ROW()-ROW($C$3))/86400</s:f>
        <s:v>46247.544537037036</s:v>
      </s:c>
    </s:row>
    <s:row r="231">
      <s:c r="A231" s="0" t="n">
        <s:v>260813</s:v>
      </s:c>
      <s:c r="B231" s="0" t="inlineStr">
        <s:is>
          <s:t>이종훈</s:t>
        </s:is>
      </s:c>
      <s:c r="C231" s="0" t="n">
        <s:v>130021</s:v>
      </s:c>
      <s:c r="D231" s="0" t="n">
        <s:v>935</s:v>
      </s:c>
      <s:c r="F231" s="24">
        <s:f>'자료구성'!$B$2+TIME(INT($C$3/10000),INT(MOD($C$3,10000)/100),MOD($C$3,100))+(ROW()-ROW($C$3))/86400</s:f>
        <s:v>46247.54454861111</s:v>
      </s:c>
    </s:row>
    <s:row r="232">
      <s:c r="A232" s="0" t="n">
        <s:v>260813</s:v>
      </s:c>
      <s:c r="B232" s="0" t="inlineStr">
        <s:is>
          <s:t>이종훈</s:t>
        </s:is>
      </s:c>
      <s:c r="C232" s="0" t="n">
        <s:v>130021</s:v>
      </s:c>
      <s:c r="D232" s="0" t="n">
        <s:v>977</s:v>
      </s:c>
      <s:c r="F232" s="24">
        <s:f>'자료구성'!$B$2+TIME(INT($C$3/10000),INT(MOD($C$3,10000)/100),MOD($C$3,100))+(ROW()-ROW($C$3))/86400</s:f>
        <s:v>46247.54456018518</s:v>
      </s:c>
    </s:row>
    <s:row r="233">
      <s:c r="A233" s="0" t="n">
        <s:v>260813</s:v>
      </s:c>
      <s:c r="B233" s="0" t="inlineStr">
        <s:is>
          <s:t>이종훈</s:t>
        </s:is>
      </s:c>
      <s:c r="C233" s="0" t="n">
        <s:v>130021</s:v>
      </s:c>
      <s:c r="D233" s="0" t="n">
        <s:v>972</s:v>
      </s:c>
      <s:c r="F233" s="24">
        <s:f>'자료구성'!$B$2+TIME(INT($C$3/10000),INT(MOD($C$3,10000)/100),MOD($C$3,100))+(ROW()-ROW($C$3))/86400</s:f>
        <s:v>46247.54457175926</s:v>
      </s:c>
    </s:row>
    <s:row r="234">
      <s:c r="A234" s="0" t="n">
        <s:v>260813</s:v>
      </s:c>
      <s:c r="B234" s="0" t="inlineStr">
        <s:is>
          <s:t>이종훈</s:t>
        </s:is>
      </s:c>
      <s:c r="C234" s="0" t="n">
        <s:v>130021</s:v>
      </s:c>
      <s:c r="D234" s="0" t="n">
        <s:v>953</s:v>
      </s:c>
      <s:c r="F234" s="24">
        <s:f>'자료구성'!$B$2+TIME(INT($C$3/10000),INT(MOD($C$3,10000)/100),MOD($C$3,100))+(ROW()-ROW($C$3))/86400</s:f>
        <s:v>46247.544583333336</s:v>
      </s:c>
    </s:row>
    <s:row r="235">
      <s:c r="A235" s="0" t="n">
        <s:v>260813</s:v>
      </s:c>
      <s:c r="B235" s="0" t="inlineStr">
        <s:is>
          <s:t>이종훈</s:t>
        </s:is>
      </s:c>
      <s:c r="C235" s="0" t="n">
        <s:v>130021</s:v>
      </s:c>
      <s:c r="D235" s="0" t="n">
        <s:v>927</s:v>
      </s:c>
      <s:c r="F235" s="24">
        <s:f>'자료구성'!$B$2+TIME(INT($C$3/10000),INT(MOD($C$3,10000)/100),MOD($C$3,100))+(ROW()-ROW($C$3))/86400</s:f>
        <s:v>46247.544594907406</s:v>
      </s:c>
    </s:row>
    <s:row r="236">
      <s:c r="A236" s="0" t="n">
        <s:v>260813</s:v>
      </s:c>
      <s:c r="B236" s="0" t="inlineStr">
        <s:is>
          <s:t>이종훈</s:t>
        </s:is>
      </s:c>
      <s:c r="C236" s="0" t="n">
        <s:v>130021</s:v>
      </s:c>
      <s:c r="D236" s="0" t="n">
        <s:v>927</s:v>
      </s:c>
      <s:c r="F236" s="24">
        <s:f>'자료구성'!$B$2+TIME(INT($C$3/10000),INT(MOD($C$3,10000)/100),MOD($C$3,100))+(ROW()-ROW($C$3))/86400</s:f>
        <s:v>46247.54460648148</s:v>
      </s:c>
    </s:row>
    <s:row r="237">
      <s:c r="A237" s="0" t="n">
        <s:v>260813</s:v>
      </s:c>
      <s:c r="B237" s="0" t="inlineStr">
        <s:is>
          <s:t>이종훈</s:t>
        </s:is>
      </s:c>
      <s:c r="C237" s="0" t="n">
        <s:v>130021</s:v>
      </s:c>
      <s:c r="D237" s="0" t="n">
        <s:v>909</s:v>
      </s:c>
      <s:c r="F237" s="24">
        <s:f>'자료구성'!$B$2+TIME(INT($C$3/10000),INT(MOD($C$3,10000)/100),MOD($C$3,100))+(ROW()-ROW($C$3))/86400</s:f>
        <s:v>46247.54461805556</s:v>
      </s:c>
    </s:row>
    <s:row r="238">
      <s:c r="A238" s="0" t="n">
        <s:v>260813</s:v>
      </s:c>
      <s:c r="B238" s="0" t="inlineStr">
        <s:is>
          <s:t>이종훈</s:t>
        </s:is>
      </s:c>
      <s:c r="C238" s="0" t="n">
        <s:v>130021</s:v>
      </s:c>
      <s:c r="D238" s="0" t="n">
        <s:v>916</s:v>
      </s:c>
      <s:c r="F238" s="24">
        <s:f>'자료구성'!$B$2+TIME(INT($C$3/10000),INT(MOD($C$3,10000)/100),MOD($C$3,100))+(ROW()-ROW($C$3))/86400</s:f>
        <s:v>46247.54462962963</s:v>
      </s:c>
    </s:row>
    <s:row r="239">
      <s:c r="A239" s="0" t="n">
        <s:v>260813</s:v>
      </s:c>
      <s:c r="B239" s="0" t="inlineStr">
        <s:is>
          <s:t>이종훈</s:t>
        </s:is>
      </s:c>
      <s:c r="C239" s="0" t="n">
        <s:v>130021</s:v>
      </s:c>
      <s:c r="D239" s="0" t="n">
        <s:v>896</s:v>
      </s:c>
      <s:c r="F239" s="24">
        <s:f>'자료구성'!$B$2+TIME(INT($C$3/10000),INT(MOD($C$3,10000)/100),MOD($C$3,100))+(ROW()-ROW($C$3))/86400</s:f>
        <s:v>46247.544641203705</s:v>
      </s:c>
    </s:row>
    <s:row r="240">
      <s:c r="A240" s="0" t="n">
        <s:v>260813</s:v>
      </s:c>
      <s:c r="B240" s="0" t="inlineStr">
        <s:is>
          <s:t>이종훈</s:t>
        </s:is>
      </s:c>
      <s:c r="C240" s="0" t="n">
        <s:v>130021</s:v>
      </s:c>
      <s:c r="D240" s="0" t="n">
        <s:v>887</s:v>
      </s:c>
      <s:c r="F240" s="24">
        <s:f>'자료구성'!$B$2+TIME(INT($C$3/10000),INT(MOD($C$3,10000)/100),MOD($C$3,100))+(ROW()-ROW($C$3))/86400</s:f>
        <s:v>46247.544652777775</s:v>
      </s:c>
    </s:row>
    <s:row r="241">
      <s:c r="A241" s="0" t="n">
        <s:v>260813</s:v>
      </s:c>
      <s:c r="B241" s="0" t="inlineStr">
        <s:is>
          <s:t>이종훈</s:t>
        </s:is>
      </s:c>
      <s:c r="C241" s="0" t="n">
        <s:v>130021</s:v>
      </s:c>
      <s:c r="D241" s="0" t="n">
        <s:v>875</s:v>
      </s:c>
      <s:c r="F241" s="24">
        <s:f>'자료구성'!$B$2+TIME(INT($C$3/10000),INT(MOD($C$3,10000)/100),MOD($C$3,100))+(ROW()-ROW($C$3))/86400</s:f>
        <s:v>46247.54466435185</s:v>
      </s:c>
    </s:row>
    <s:row r="242">
      <s:c r="A242" s="0" t="n">
        <s:v>260813</s:v>
      </s:c>
      <s:c r="B242" s="0" t="inlineStr">
        <s:is>
          <s:t>이종훈</s:t>
        </s:is>
      </s:c>
      <s:c r="C242" s="0" t="n">
        <s:v>130021</s:v>
      </s:c>
      <s:c r="D242" s="0" t="n">
        <s:v>897</s:v>
      </s:c>
      <s:c r="F242" s="24">
        <s:f>'자료구성'!$B$2+TIME(INT($C$3/10000),INT(MOD($C$3,10000)/100),MOD($C$3,100))+(ROW()-ROW($C$3))/86400</s:f>
        <s:v>46247.54467592593</s:v>
      </s:c>
    </s:row>
    <s:row r="243">
      <s:c r="A243" s="0" t="n">
        <s:v>260813</s:v>
      </s:c>
      <s:c r="B243" s="0" t="inlineStr">
        <s:is>
          <s:t>이종훈</s:t>
        </s:is>
      </s:c>
      <s:c r="C243" s="0" t="n">
        <s:v>130021</s:v>
      </s:c>
      <s:c r="D243" s="0" t="n">
        <s:v>914</s:v>
      </s:c>
      <s:c r="F243" s="24">
        <s:f>'자료구성'!$B$2+TIME(INT($C$3/10000),INT(MOD($C$3,10000)/100),MOD($C$3,100))+(ROW()-ROW($C$3))/86400</s:f>
        <s:v>46247.5446875</s:v>
      </s:c>
    </s:row>
    <s:row r="244">
      <s:c r="A244" s="0" t="n">
        <s:v>260813</s:v>
      </s:c>
      <s:c r="B244" s="0" t="inlineStr">
        <s:is>
          <s:t>이종훈</s:t>
        </s:is>
      </s:c>
      <s:c r="C244" s="0" t="n">
        <s:v>130021</s:v>
      </s:c>
      <s:c r="D244" s="0" t="n">
        <s:v>897</s:v>
      </s:c>
      <s:c r="F244" s="24">
        <s:f>'자료구성'!$B$2+TIME(INT($C$3/10000),INT(MOD($C$3,10000)/100),MOD($C$3,100))+(ROW()-ROW($C$3))/86400</s:f>
        <s:v>46247.544699074075</s:v>
      </s:c>
    </s:row>
    <s:row r="245">
      <s:c r="A245" s="0" t="n">
        <s:v>260813</s:v>
      </s:c>
      <s:c r="B245" s="0" t="inlineStr">
        <s:is>
          <s:t>이종훈</s:t>
        </s:is>
      </s:c>
      <s:c r="C245" s="0" t="n">
        <s:v>130021</s:v>
      </s:c>
      <s:c r="D245" s="0" t="n">
        <s:v>892</s:v>
      </s:c>
      <s:c r="F245" s="24">
        <s:f>'자료구성'!$B$2+TIME(INT($C$3/10000),INT(MOD($C$3,10000)/100),MOD($C$3,100))+(ROW()-ROW($C$3))/86400</s:f>
        <s:v>46247.54471064815</s:v>
      </s:c>
    </s:row>
    <s:row r="246">
      <s:c r="A246" s="0" t="n">
        <s:v>260813</s:v>
      </s:c>
      <s:c r="B246" s="0" t="inlineStr">
        <s:is>
          <s:t>이종훈</s:t>
        </s:is>
      </s:c>
      <s:c r="C246" s="0" t="n">
        <s:v>130021</s:v>
      </s:c>
      <s:c r="D246" s="0" t="n">
        <s:v>902</s:v>
      </s:c>
      <s:c r="F246" s="24">
        <s:f>'자료구성'!$B$2+TIME(INT($C$3/10000),INT(MOD($C$3,10000)/100),MOD($C$3,100))+(ROW()-ROW($C$3))/86400</s:f>
        <s:v>46247.54472222222</s:v>
      </s:c>
    </s:row>
    <s:row r="247">
      <s:c r="A247" s="0" t="n">
        <s:v>260813</s:v>
      </s:c>
      <s:c r="B247" s="0" t="inlineStr">
        <s:is>
          <s:t>이종훈</s:t>
        </s:is>
      </s:c>
      <s:c r="C247" s="0" t="n">
        <s:v>130021</s:v>
      </s:c>
      <s:c r="D247" s="0" t="n">
        <s:v>894</s:v>
      </s:c>
      <s:c r="F247" s="24">
        <s:f>'자료구성'!$B$2+TIME(INT($C$3/10000),INT(MOD($C$3,10000)/100),MOD($C$3,100))+(ROW()-ROW($C$3))/86400</s:f>
        <s:v>46247.5447337963</s:v>
      </s:c>
    </s:row>
    <s:row r="248">
      <s:c r="A248" s="0" t="n">
        <s:v>260813</s:v>
      </s:c>
      <s:c r="B248" s="0" t="inlineStr">
        <s:is>
          <s:t>이종훈</s:t>
        </s:is>
      </s:c>
      <s:c r="C248" s="0" t="n">
        <s:v>130021</s:v>
      </s:c>
      <s:c r="D248" s="0" t="n">
        <s:v>885</s:v>
      </s:c>
      <s:c r="F248" s="24">
        <s:f>'자료구성'!$B$2+TIME(INT($C$3/10000),INT(MOD($C$3,10000)/100),MOD($C$3,100))+(ROW()-ROW($C$3))/86400</s:f>
        <s:v>46247.54474537037</s:v>
      </s:c>
    </s:row>
    <s:row r="249">
      <s:c r="A249" s="0" t="n">
        <s:v>260813</s:v>
      </s:c>
      <s:c r="B249" s="0" t="inlineStr">
        <s:is>
          <s:t>이종훈</s:t>
        </s:is>
      </s:c>
      <s:c r="C249" s="0" t="n">
        <s:v>130021</s:v>
      </s:c>
      <s:c r="D249" s="0" t="n">
        <s:v>874</s:v>
      </s:c>
      <s:c r="F249" s="24">
        <s:f>'자료구성'!$B$2+TIME(INT($C$3/10000),INT(MOD($C$3,10000)/100),MOD($C$3,100))+(ROW()-ROW($C$3))/86400</s:f>
        <s:v>46247.544756944444</s:v>
      </s:c>
    </s:row>
    <s:row r="250">
      <s:c r="A250" s="0" t="n">
        <s:v>260813</s:v>
      </s:c>
      <s:c r="B250" s="0" t="inlineStr">
        <s:is>
          <s:t>이종훈</s:t>
        </s:is>
      </s:c>
      <s:c r="C250" s="0" t="n">
        <s:v>130021</s:v>
      </s:c>
      <s:c r="D250" s="0" t="n">
        <s:v>879</s:v>
      </s:c>
      <s:c r="F250" s="24">
        <s:f>'자료구성'!$B$2+TIME(INT($C$3/10000),INT(MOD($C$3,10000)/100),MOD($C$3,100))+(ROW()-ROW($C$3))/86400</s:f>
        <s:v>46247.54476851852</s:v>
      </s:c>
    </s:row>
    <s:row r="251">
      <s:c r="A251" s="0" t="n">
        <s:v>260813</s:v>
      </s:c>
      <s:c r="B251" s="0" t="inlineStr">
        <s:is>
          <s:t>이종훈</s:t>
        </s:is>
      </s:c>
      <s:c r="C251" s="0" t="n">
        <s:v>130021</s:v>
      </s:c>
      <s:c r="D251" s="0" t="n">
        <s:v>879</s:v>
      </s:c>
      <s:c r="F251" s="24">
        <s:f>'자료구성'!$B$2+TIME(INT($C$3/10000),INT(MOD($C$3,10000)/100),MOD($C$3,100))+(ROW()-ROW($C$3))/86400</s:f>
        <s:v>46247.54478009259</s:v>
      </s:c>
    </s:row>
    <s:row r="252">
      <s:c r="A252" s="0" t="n">
        <s:v>260813</s:v>
      </s:c>
      <s:c r="B252" s="0" t="inlineStr">
        <s:is>
          <s:t>이종훈</s:t>
        </s:is>
      </s:c>
      <s:c r="C252" s="0" t="n">
        <s:v>130021</s:v>
      </s:c>
      <s:c r="D252" s="0" t="n">
        <s:v>885</s:v>
      </s:c>
      <s:c r="F252" s="24">
        <s:f>'자료구성'!$B$2+TIME(INT($C$3/10000),INT(MOD($C$3,10000)/100),MOD($C$3,100))+(ROW()-ROW($C$3))/86400</s:f>
        <s:v>46247.54479166667</s:v>
      </s:c>
    </s:row>
    <s:row r="253">
      <s:c r="A253" s="0" t="n">
        <s:v>260813</s:v>
      </s:c>
      <s:c r="B253" s="0" t="inlineStr">
        <s:is>
          <s:t>이종훈</s:t>
        </s:is>
      </s:c>
      <s:c r="C253" s="0" t="n">
        <s:v>130021</s:v>
      </s:c>
      <s:c r="D253" s="0" t="n">
        <s:v>877</s:v>
      </s:c>
      <s:c r="F253" s="24">
        <s:f>'자료구성'!$B$2+TIME(INT($C$3/10000),INT(MOD($C$3,10000)/100),MOD($C$3,100))+(ROW()-ROW($C$3))/86400</s:f>
        <s:v>46247.544803240744</s:v>
      </s:c>
    </s:row>
    <s:row r="254">
      <s:c r="A254" s="0" t="n">
        <s:v>260813</s:v>
      </s:c>
      <s:c r="B254" s="0" t="inlineStr">
        <s:is>
          <s:t>이종훈</s:t>
        </s:is>
      </s:c>
      <s:c r="C254" s="0" t="n">
        <s:v>130021</s:v>
      </s:c>
      <s:c r="D254" s="0" t="n">
        <s:v>865</s:v>
      </s:c>
      <s:c r="F254" s="24">
        <s:f>'자료구성'!$B$2+TIME(INT($C$3/10000),INT(MOD($C$3,10000)/100),MOD($C$3,100))+(ROW()-ROW($C$3))/86400</s:f>
        <s:v>46247.54481481481</s:v>
      </s:c>
    </s:row>
    <s:row r="255">
      <s:c r="A255" s="0" t="n">
        <s:v>260813</s:v>
      </s:c>
      <s:c r="B255" s="0" t="inlineStr">
        <s:is>
          <s:t>이종훈</s:t>
        </s:is>
      </s:c>
      <s:c r="C255" s="0" t="n">
        <s:v>130021</s:v>
      </s:c>
      <s:c r="D255" s="0" t="n">
        <s:v>865</s:v>
      </s:c>
      <s:c r="F255" s="24">
        <s:f>'자료구성'!$B$2+TIME(INT($C$3/10000),INT(MOD($C$3,10000)/100),MOD($C$3,100))+(ROW()-ROW($C$3))/86400</s:f>
        <s:v>46247.54482638889</s:v>
      </s:c>
    </s:row>
    <s:row r="256">
      <s:c r="A256" s="0" t="n">
        <s:v>260813</s:v>
      </s:c>
      <s:c r="B256" s="0" t="inlineStr">
        <s:is>
          <s:t>이종훈</s:t>
        </s:is>
      </s:c>
      <s:c r="C256" s="0" t="n">
        <s:v>130021</s:v>
      </s:c>
      <s:c r="D256" s="0" t="n">
        <s:v>844</s:v>
      </s:c>
      <s:c r="F256" s="24">
        <s:f>'자료구성'!$B$2+TIME(INT($C$3/10000),INT(MOD($C$3,10000)/100),MOD($C$3,100))+(ROW()-ROW($C$3))/86400</s:f>
        <s:v>46247.54483796296</s:v>
      </s:c>
    </s:row>
    <s:row r="257">
      <s:c r="A257" s="0" t="n">
        <s:v>260813</s:v>
      </s:c>
      <s:c r="B257" s="0" t="inlineStr">
        <s:is>
          <s:t>이종훈</s:t>
        </s:is>
      </s:c>
      <s:c r="C257" s="0" t="n">
        <s:v>130021</s:v>
      </s:c>
      <s:c r="D257" s="0" t="n">
        <s:v>821</s:v>
      </s:c>
      <s:c r="F257" s="24">
        <s:f>'자료구성'!$B$2+TIME(INT($C$3/10000),INT(MOD($C$3,10000)/100),MOD($C$3,100))+(ROW()-ROW($C$3))/86400</s:f>
        <s:v>46247.54484953704</s:v>
      </s:c>
    </s:row>
    <s:row r="258">
      <s:c r="A258" s="0" t="n">
        <s:v>260813</s:v>
      </s:c>
      <s:c r="B258" s="0" t="inlineStr">
        <s:is>
          <s:t>이종훈</s:t>
        </s:is>
      </s:c>
      <s:c r="C258" s="0" t="n">
        <s:v>130021</s:v>
      </s:c>
      <s:c r="D258" s="0" t="n">
        <s:v>826</s:v>
      </s:c>
      <s:c r="F258" s="24">
        <s:f>'자료구성'!$B$2+TIME(INT($C$3/10000),INT(MOD($C$3,10000)/100),MOD($C$3,100))+(ROW()-ROW($C$3))/86400</s:f>
        <s:v>46247.54486111111</s:v>
      </s:c>
    </s:row>
    <s:row r="259">
      <s:c r="A259" s="0" t="n">
        <s:v>260813</s:v>
      </s:c>
      <s:c r="B259" s="0" t="inlineStr">
        <s:is>
          <s:t>이종훈</s:t>
        </s:is>
      </s:c>
      <s:c r="C259" s="0" t="n">
        <s:v>130021</s:v>
      </s:c>
      <s:c r="D259" s="0" t="n">
        <s:v>808</s:v>
      </s:c>
      <s:c r="F259" s="24">
        <s:f>'자료구성'!$B$2+TIME(INT($C$3/10000),INT(MOD($C$3,10000)/100),MOD($C$3,100))+(ROW()-ROW($C$3))/86400</s:f>
        <s:v>46247.54487268518</s:v>
      </s:c>
    </s:row>
    <s:row r="260">
      <s:c r="A260" s="0" t="n">
        <s:v>260813</s:v>
      </s:c>
      <s:c r="B260" s="0" t="inlineStr">
        <s:is>
          <s:t>이종훈</s:t>
        </s:is>
      </s:c>
      <s:c r="C260" s="0" t="n">
        <s:v>130021</s:v>
      </s:c>
      <s:c r="D260" s="0" t="n">
        <s:v>799</s:v>
      </s:c>
      <s:c r="F260" s="24">
        <s:f>'자료구성'!$B$2+TIME(INT($C$3/10000),INT(MOD($C$3,10000)/100),MOD($C$3,100))+(ROW()-ROW($C$3))/86400</s:f>
        <s:v>46247.54488425926</s:v>
      </s:c>
    </s:row>
    <s:row r="261">
      <s:c r="A261" s="0" t="n">
        <s:v>260813</s:v>
      </s:c>
      <s:c r="B261" s="0" t="inlineStr">
        <s:is>
          <s:t>이종훈</s:t>
        </s:is>
      </s:c>
      <s:c r="C261" s="0" t="n">
        <s:v>130021</s:v>
      </s:c>
      <s:c r="D261" s="0" t="n">
        <s:v>792</s:v>
      </s:c>
      <s:c r="F261" s="24">
        <s:f>'자료구성'!$B$2+TIME(INT($C$3/10000),INT(MOD($C$3,10000)/100),MOD($C$3,100))+(ROW()-ROW($C$3))/86400</s:f>
        <s:v>46247.544895833336</s:v>
      </s:c>
    </s:row>
    <s:row r="262">
      <s:c r="A262" s="0" t="n">
        <s:v>260813</s:v>
      </s:c>
      <s:c r="B262" s="0" t="inlineStr">
        <s:is>
          <s:t>이종훈</s:t>
        </s:is>
      </s:c>
      <s:c r="C262" s="0" t="n">
        <s:v>130021</s:v>
      </s:c>
      <s:c r="D262" s="0" t="n">
        <s:v>805</s:v>
      </s:c>
      <s:c r="F262" s="24">
        <s:f>'자료구성'!$B$2+TIME(INT($C$3/10000),INT(MOD($C$3,10000)/100),MOD($C$3,100))+(ROW()-ROW($C$3))/86400</s:f>
        <s:v>46247.544907407406</s:v>
      </s:c>
    </s:row>
    <s:row r="263">
      <s:c r="A263" s="0" t="n">
        <s:v>260813</s:v>
      </s:c>
      <s:c r="B263" s="0" t="inlineStr">
        <s:is>
          <s:t>이종훈</s:t>
        </s:is>
      </s:c>
      <s:c r="C263" s="0" t="n">
        <s:v>130021</s:v>
      </s:c>
      <s:c r="D263" s="0" t="n">
        <s:v>818</s:v>
      </s:c>
      <s:c r="F263" s="24">
        <s:f>'자료구성'!$B$2+TIME(INT($C$3/10000),INT(MOD($C$3,10000)/100),MOD($C$3,100))+(ROW()-ROW($C$3))/86400</s:f>
        <s:v>46247.54491898148</s:v>
      </s:c>
    </s:row>
    <s:row r="264">
      <s:c r="A264" s="0" t="n">
        <s:v>260813</s:v>
      </s:c>
      <s:c r="B264" s="0" t="inlineStr">
        <s:is>
          <s:t>이종훈</s:t>
        </s:is>
      </s:c>
      <s:c r="C264" s="0" t="n">
        <s:v>130021</s:v>
      </s:c>
      <s:c r="D264" s="0" t="n">
        <s:v>806</s:v>
      </s:c>
      <s:c r="F264" s="24">
        <s:f>'자료구성'!$B$2+TIME(INT($C$3/10000),INT(MOD($C$3,10000)/100),MOD($C$3,100))+(ROW()-ROW($C$3))/86400</s:f>
        <s:v>46247.54493055555</s:v>
      </s:c>
    </s:row>
    <s:row r="265">
      <s:c r="A265" s="0" t="n">
        <s:v>260813</s:v>
      </s:c>
      <s:c r="B265" s="0" t="inlineStr">
        <s:is>
          <s:t>이종훈</s:t>
        </s:is>
      </s:c>
      <s:c r="C265" s="0" t="n">
        <s:v>130021</s:v>
      </s:c>
      <s:c r="D265" s="0" t="n">
        <s:v>800</s:v>
      </s:c>
      <s:c r="F265" s="24">
        <s:f>'자료구성'!$B$2+TIME(INT($C$3/10000),INT(MOD($C$3,10000)/100),MOD($C$3,100))+(ROW()-ROW($C$3))/86400</s:f>
        <s:v>46247.54494212963</s:v>
      </s:c>
    </s:row>
    <s:row r="266">
      <s:c r="A266" s="0" t="n">
        <s:v>260813</s:v>
      </s:c>
      <s:c r="B266" s="0" t="inlineStr">
        <s:is>
          <s:t>이종훈</s:t>
        </s:is>
      </s:c>
      <s:c r="C266" s="0" t="n">
        <s:v>130021</s:v>
      </s:c>
      <s:c r="D266" s="0" t="n">
        <s:v>744</s:v>
      </s:c>
      <s:c r="F266" s="24">
        <s:f>'자료구성'!$B$2+TIME(INT($C$3/10000),INT(MOD($C$3,10000)/100),MOD($C$3,100))+(ROW()-ROW($C$3))/86400</s:f>
        <s:v>46247.544953703706</s:v>
      </s:c>
    </s:row>
    <s:row r="267">
      <s:c r="A267" s="0" t="n">
        <s:v>260813</s:v>
      </s:c>
      <s:c r="B267" s="0" t="inlineStr">
        <s:is>
          <s:t>이종훈</s:t>
        </s:is>
      </s:c>
      <s:c r="C267" s="0" t="n">
        <s:v>130021</s:v>
      </s:c>
      <s:c r="D267" s="0" t="n">
        <s:v>749</s:v>
      </s:c>
      <s:c r="F267" s="24">
        <s:f>'자료구성'!$B$2+TIME(INT($C$3/10000),INT(MOD($C$3,10000)/100),MOD($C$3,100))+(ROW()-ROW($C$3))/86400</s:f>
        <s:v>46247.544965277775</s:v>
      </s:c>
    </s:row>
    <s:row r="268">
      <s:c r="A268" s="0" t="n">
        <s:v>260813</s:v>
      </s:c>
      <s:c r="B268" s="0" t="inlineStr">
        <s:is>
          <s:t>이종훈</s:t>
        </s:is>
      </s:c>
      <s:c r="C268" s="0" t="n">
        <s:v>130021</s:v>
      </s:c>
      <s:c r="D268" s="0" t="n">
        <s:v>736</s:v>
      </s:c>
      <s:c r="F268" s="24">
        <s:f>'자료구성'!$B$2+TIME(INT($C$3/10000),INT(MOD($C$3,10000)/100),MOD($C$3,100))+(ROW()-ROW($C$3))/86400</s:f>
        <s:v>46247.54497685185</s:v>
      </s:c>
    </s:row>
    <s:row r="269">
      <s:c r="A269" s="0" t="n">
        <s:v>260813</s:v>
      </s:c>
      <s:c r="B269" s="0" t="inlineStr">
        <s:is>
          <s:t>이종훈</s:t>
        </s:is>
      </s:c>
      <s:c r="C269" s="0" t="n">
        <s:v>130021</s:v>
      </s:c>
      <s:c r="D269" s="0" t="n">
        <s:v>746</s:v>
      </s:c>
      <s:c r="F269" s="24">
        <s:f>'자료구성'!$B$2+TIME(INT($C$3/10000),INT(MOD($C$3,10000)/100),MOD($C$3,100))+(ROW()-ROW($C$3))/86400</s:f>
        <s:v>46247.54498842593</s:v>
      </s:c>
    </s:row>
    <s:row r="270">
      <s:c r="A270" s="0" t="n">
        <s:v>260813</s:v>
      </s:c>
      <s:c r="B270" s="0" t="inlineStr">
        <s:is>
          <s:t>이종훈</s:t>
        </s:is>
      </s:c>
      <s:c r="C270" s="0" t="n">
        <s:v>130021</s:v>
      </s:c>
      <s:c r="D270" s="0" t="n">
        <s:v>745</s:v>
      </s:c>
      <s:c r="F270" s="24">
        <s:f>'자료구성'!$B$2+TIME(INT($C$3/10000),INT(MOD($C$3,10000)/100),MOD($C$3,100))+(ROW()-ROW($C$3))/86400</s:f>
        <s:v>46247.545</s:v>
      </s:c>
    </s:row>
    <s:row r="271">
      <s:c r="A271" s="0" t="n">
        <s:v>260813</s:v>
      </s:c>
      <s:c r="B271" s="0" t="inlineStr">
        <s:is>
          <s:t>이종훈</s:t>
        </s:is>
      </s:c>
      <s:c r="C271" s="0" t="n">
        <s:v>130021</s:v>
      </s:c>
      <s:c r="D271" s="0" t="n">
        <s:v>750</s:v>
      </s:c>
      <s:c r="F271" s="24">
        <s:f>'자료구성'!$B$2+TIME(INT($C$3/10000),INT(MOD($C$3,10000)/100),MOD($C$3,100))+(ROW()-ROW($C$3))/86400</s:f>
        <s:v>46247.545011574075</s:v>
      </s:c>
    </s:row>
    <s:row r="272">
      <s:c r="A272" s="0" t="n">
        <s:v>260813</s:v>
      </s:c>
      <s:c r="B272" s="0" t="inlineStr">
        <s:is>
          <s:t>이종훈</s:t>
        </s:is>
      </s:c>
      <s:c r="C272" s="0" t="n">
        <s:v>130021</s:v>
      </s:c>
      <s:c r="D272" s="0" t="n">
        <s:v>754</s:v>
      </s:c>
      <s:c r="F272" s="24">
        <s:f>'자료구성'!$B$2+TIME(INT($C$3/10000),INT(MOD($C$3,10000)/100),MOD($C$3,100))+(ROW()-ROW($C$3))/86400</s:f>
        <s:v>46247.545023148145</s:v>
      </s:c>
    </s:row>
    <s:row r="273">
      <s:c r="A273" s="0" t="n">
        <s:v>260813</s:v>
      </s:c>
      <s:c r="B273" s="0" t="inlineStr">
        <s:is>
          <s:t>이종훈</s:t>
        </s:is>
      </s:c>
      <s:c r="C273" s="0" t="n">
        <s:v>130021</s:v>
      </s:c>
      <s:c r="D273" s="0" t="n">
        <s:v>760</s:v>
      </s:c>
      <s:c r="F273" s="24">
        <s:f>'자료구성'!$B$2+TIME(INT($C$3/10000),INT(MOD($C$3,10000)/100),MOD($C$3,100))+(ROW()-ROW($C$3))/86400</s:f>
        <s:v>46247.54503472222</s:v>
      </s:c>
    </s:row>
    <s:row r="274">
      <s:c r="A274" s="0" t="n">
        <s:v>260813</s:v>
      </s:c>
      <s:c r="B274" s="0" t="inlineStr">
        <s:is>
          <s:t>이종훈</s:t>
        </s:is>
      </s:c>
      <s:c r="C274" s="0" t="n">
        <s:v>130021</s:v>
      </s:c>
      <s:c r="D274" s="0" t="n">
        <s:v>767</s:v>
      </s:c>
      <s:c r="F274" s="24">
        <s:f>'자료구성'!$B$2+TIME(INT($C$3/10000),INT(MOD($C$3,10000)/100),MOD($C$3,100))+(ROW()-ROW($C$3))/86400</s:f>
        <s:v>46247.5450462963</s:v>
      </s:c>
    </s:row>
    <s:row r="275">
      <s:c r="A275" s="0" t="n">
        <s:v>260813</s:v>
      </s:c>
      <s:c r="B275" s="0" t="inlineStr">
        <s:is>
          <s:t>이종훈</s:t>
        </s:is>
      </s:c>
      <s:c r="C275" s="0" t="n">
        <s:v>130021</s:v>
      </s:c>
      <s:c r="D275" s="0" t="n">
        <s:v>757</s:v>
      </s:c>
      <s:c r="F275" s="24">
        <s:f>'자료구성'!$B$2+TIME(INT($C$3/10000),INT(MOD($C$3,10000)/100),MOD($C$3,100))+(ROW()-ROW($C$3))/86400</s:f>
        <s:v>46247.54505787037</s:v>
      </s:c>
    </s:row>
    <s:row r="276">
      <s:c r="A276" s="0" t="n">
        <s:v>260813</s:v>
      </s:c>
      <s:c r="B276" s="0" t="inlineStr">
        <s:is>
          <s:t>이종훈</s:t>
        </s:is>
      </s:c>
      <s:c r="C276" s="0" t="n">
        <s:v>130021</s:v>
      </s:c>
      <s:c r="D276" s="0" t="n">
        <s:v>749</s:v>
      </s:c>
      <s:c r="F276" s="24">
        <s:f>'자료구성'!$B$2+TIME(INT($C$3/10000),INT(MOD($C$3,10000)/100),MOD($C$3,100))+(ROW()-ROW($C$3))/86400</s:f>
        <s:v>46247.545069444444</s:v>
      </s:c>
    </s:row>
    <s:row r="277">
      <s:c r="A277" s="0" t="n">
        <s:v>260813</s:v>
      </s:c>
      <s:c r="B277" s="0" t="inlineStr">
        <s:is>
          <s:t>이종훈</s:t>
        </s:is>
      </s:c>
      <s:c r="C277" s="0" t="n">
        <s:v>130021</s:v>
      </s:c>
      <s:c r="D277" s="0" t="n">
        <s:v>754</s:v>
      </s:c>
      <s:c r="F277" s="24">
        <s:f>'자료구성'!$B$2+TIME(INT($C$3/10000),INT(MOD($C$3,10000)/100),MOD($C$3,100))+(ROW()-ROW($C$3))/86400</s:f>
        <s:v>46247.54508101852</s:v>
      </s:c>
    </s:row>
    <s:row r="278">
      <s:c r="A278" s="0" t="n">
        <s:v>260813</s:v>
      </s:c>
      <s:c r="B278" s="0" t="inlineStr">
        <s:is>
          <s:t>이종훈</s:t>
        </s:is>
      </s:c>
      <s:c r="C278" s="0" t="n">
        <s:v>130021</s:v>
      </s:c>
      <s:c r="D278" s="0" t="n">
        <s:v>748</s:v>
      </s:c>
      <s:c r="F278" s="24">
        <s:f>'자료구성'!$B$2+TIME(INT($C$3/10000),INT(MOD($C$3,10000)/100),MOD($C$3,100))+(ROW()-ROW($C$3))/86400</s:f>
        <s:v>46247.54509259259</s:v>
      </s:c>
    </s:row>
    <s:row r="279">
      <s:c r="A279" s="0" t="n">
        <s:v>260813</s:v>
      </s:c>
      <s:c r="B279" s="0" t="inlineStr">
        <s:is>
          <s:t>이종훈</s:t>
        </s:is>
      </s:c>
      <s:c r="C279" s="0" t="n">
        <s:v>130021</s:v>
      </s:c>
      <s:c r="D279" s="0" t="n">
        <s:v>739</s:v>
      </s:c>
      <s:c r="F279" s="24">
        <s:f>'자료구성'!$B$2+TIME(INT($C$3/10000),INT(MOD($C$3,10000)/100),MOD($C$3,100))+(ROW()-ROW($C$3))/86400</s:f>
        <s:v>46247.54510416667</s:v>
      </s:c>
    </s:row>
    <s:row r="280">
      <s:c r="A280" s="0" t="n">
        <s:v>260813</s:v>
      </s:c>
      <s:c r="B280" s="0" t="inlineStr">
        <s:is>
          <s:t>이종훈</s:t>
        </s:is>
      </s:c>
      <s:c r="C280" s="0" t="n">
        <s:v>130021</s:v>
      </s:c>
      <s:c r="D280" s="0" t="n">
        <s:v>740</s:v>
      </s:c>
      <s:c r="F280" s="24">
        <s:f>'자료구성'!$B$2+TIME(INT($C$3/10000),INT(MOD($C$3,10000)/100),MOD($C$3,100))+(ROW()-ROW($C$3))/86400</s:f>
        <s:v>46247.545115740744</s:v>
      </s:c>
    </s:row>
    <s:row r="281">
      <s:c r="A281" s="0" t="n">
        <s:v>260813</s:v>
      </s:c>
      <s:c r="B281" s="0" t="inlineStr">
        <s:is>
          <s:t>이종훈</s:t>
        </s:is>
      </s:c>
      <s:c r="C281" s="0" t="n">
        <s:v>130021</s:v>
      </s:c>
      <s:c r="D281" s="0" t="n">
        <s:v>728</s:v>
      </s:c>
      <s:c r="F281" s="24">
        <s:f>'자료구성'!$B$2+TIME(INT($C$3/10000),INT(MOD($C$3,10000)/100),MOD($C$3,100))+(ROW()-ROW($C$3))/86400</s:f>
        <s:v>46247.545127314814</s:v>
      </s:c>
    </s:row>
    <s:row r="282">
      <s:c r="A282" s="0" t="n">
        <s:v>260813</s:v>
      </s:c>
      <s:c r="B282" s="0" t="inlineStr">
        <s:is>
          <s:t>이종훈</s:t>
        </s:is>
      </s:c>
      <s:c r="C282" s="0" t="n">
        <s:v>130021</s:v>
      </s:c>
      <s:c r="D282" s="0" t="n">
        <s:v>719</s:v>
      </s:c>
      <s:c r="F282" s="24">
        <s:f>'자료구성'!$B$2+TIME(INT($C$3/10000),INT(MOD($C$3,10000)/100),MOD($C$3,100))+(ROW()-ROW($C$3))/86400</s:f>
        <s:v>46247.54513888889</s:v>
      </s:c>
    </s:row>
    <s:row r="283">
      <s:c r="A283" s="0" t="n">
        <s:v>260813</s:v>
      </s:c>
      <s:c r="B283" s="0" t="inlineStr">
        <s:is>
          <s:t>이종훈</s:t>
        </s:is>
      </s:c>
      <s:c r="C283" s="0" t="n">
        <s:v>130021</s:v>
      </s:c>
      <s:c r="D283" s="0" t="n">
        <s:v>718</s:v>
      </s:c>
      <s:c r="F283" s="24">
        <s:f>'자료구성'!$B$2+TIME(INT($C$3/10000),INT(MOD($C$3,10000)/100),MOD($C$3,100))+(ROW()-ROW($C$3))/86400</s:f>
        <s:v>46247.54515046296</s:v>
      </s:c>
    </s:row>
    <s:row r="284">
      <s:c r="A284" s="0" t="n">
        <s:v>260813</s:v>
      </s:c>
      <s:c r="B284" s="0" t="inlineStr">
        <s:is>
          <s:t>이종훈</s:t>
        </s:is>
      </s:c>
      <s:c r="C284" s="0" t="n">
        <s:v>130021</s:v>
      </s:c>
      <s:c r="D284" s="0" t="n">
        <s:v>734</s:v>
      </s:c>
      <s:c r="F284" s="24">
        <s:f>'자료구성'!$B$2+TIME(INT($C$3/10000),INT(MOD($C$3,10000)/100),MOD($C$3,100))+(ROW()-ROW($C$3))/86400</s:f>
        <s:v>46247.54516203704</s:v>
      </s:c>
    </s:row>
    <s:row r="285">
      <s:c r="A285" s="0" t="n">
        <s:v>260813</s:v>
      </s:c>
      <s:c r="B285" s="0" t="inlineStr">
        <s:is>
          <s:t>이종훈</s:t>
        </s:is>
      </s:c>
      <s:c r="C285" s="0" t="n">
        <s:v>130021</s:v>
      </s:c>
      <s:c r="D285" s="0" t="n">
        <s:v>722</s:v>
      </s:c>
      <s:c r="F285" s="24">
        <s:f>'자료구성'!$B$2+TIME(INT($C$3/10000),INT(MOD($C$3,10000)/100),MOD($C$3,100))+(ROW()-ROW($C$3))/86400</s:f>
        <s:v>46247.54517361111</s:v>
      </s:c>
    </s:row>
    <s:row r="286">
      <s:c r="A286" s="0" t="n">
        <s:v>260813</s:v>
      </s:c>
      <s:c r="B286" s="0" t="inlineStr">
        <s:is>
          <s:t>이종훈</s:t>
        </s:is>
      </s:c>
      <s:c r="C286" s="0" t="n">
        <s:v>130021</s:v>
      </s:c>
      <s:c r="D286" s="0" t="n">
        <s:v>767</s:v>
      </s:c>
      <s:c r="F286" s="24">
        <s:f>'자료구성'!$B$2+TIME(INT($C$3/10000),INT(MOD($C$3,10000)/100),MOD($C$3,100))+(ROW()-ROW($C$3))/86400</s:f>
        <s:v>46247.54518518518</s:v>
      </s:c>
    </s:row>
    <s:row r="287">
      <s:c r="A287" s="0" t="n">
        <s:v>260813</s:v>
      </s:c>
      <s:c r="B287" s="0" t="inlineStr">
        <s:is>
          <s:t>이종훈</s:t>
        </s:is>
      </s:c>
      <s:c r="C287" s="0" t="n">
        <s:v>130021</s:v>
      </s:c>
      <s:c r="D287" s="0" t="n">
        <s:v>749</s:v>
      </s:c>
      <s:c r="F287" s="24">
        <s:f>'자료구성'!$B$2+TIME(INT($C$3/10000),INT(MOD($C$3,10000)/100),MOD($C$3,100))+(ROW()-ROW($C$3))/86400</s:f>
        <s:v>46247.54519675926</s:v>
      </s:c>
    </s:row>
    <s:row r="288">
      <s:c r="A288" s="0" t="n">
        <s:v>260813</s:v>
      </s:c>
      <s:c r="B288" s="0" t="inlineStr">
        <s:is>
          <s:t>이종훈</s:t>
        </s:is>
      </s:c>
      <s:c r="C288" s="0" t="n">
        <s:v>130021</s:v>
      </s:c>
      <s:c r="D288" s="0" t="n">
        <s:v>786</s:v>
      </s:c>
      <s:c r="F288" s="24">
        <s:f>'자료구성'!$B$2+TIME(INT($C$3/10000),INT(MOD($C$3,10000)/100),MOD($C$3,100))+(ROW()-ROW($C$3))/86400</s:f>
        <s:v>46247.54520833334</s:v>
      </s:c>
    </s:row>
    <s:row r="289">
      <s:c r="A289" s="0" t="n">
        <s:v>260813</s:v>
      </s:c>
      <s:c r="B289" s="0" t="inlineStr">
        <s:is>
          <s:t>이종훈</s:t>
        </s:is>
      </s:c>
      <s:c r="C289" s="0" t="n">
        <s:v>130021</s:v>
      </s:c>
      <s:c r="D289" s="0" t="n">
        <s:v>810</s:v>
      </s:c>
      <s:c r="F289" s="24">
        <s:f>'자료구성'!$B$2+TIME(INT($C$3/10000),INT(MOD($C$3,10000)/100),MOD($C$3,100))+(ROW()-ROW($C$3))/86400</s:f>
        <s:v>46247.545219907406</s:v>
      </s:c>
    </s:row>
    <s:row r="290">
      <s:c r="A290" s="0" t="n">
        <s:v>260813</s:v>
      </s:c>
      <s:c r="B290" s="0" t="inlineStr">
        <s:is>
          <s:t>이종훈</s:t>
        </s:is>
      </s:c>
      <s:c r="C290" s="0" t="n">
        <s:v>130021</s:v>
      </s:c>
      <s:c r="D290" s="0" t="n">
        <s:v>826</s:v>
      </s:c>
      <s:c r="F290" s="24">
        <s:f>'자료구성'!$B$2+TIME(INT($C$3/10000),INT(MOD($C$3,10000)/100),MOD($C$3,100))+(ROW()-ROW($C$3))/86400</s:f>
        <s:v>46247.54523148148</s:v>
      </s:c>
    </s:row>
    <s:row r="291">
      <s:c r="A291" s="0" t="n">
        <s:v>260813</s:v>
      </s:c>
      <s:c r="B291" s="0" t="inlineStr">
        <s:is>
          <s:t>이종훈</s:t>
        </s:is>
      </s:c>
      <s:c r="C291" s="0" t="n">
        <s:v>130021</s:v>
      </s:c>
      <s:c r="D291" s="0" t="n">
        <s:v>837</s:v>
      </s:c>
      <s:c r="F291" s="24">
        <s:f>'자료구성'!$B$2+TIME(INT($C$3/10000),INT(MOD($C$3,10000)/100),MOD($C$3,100))+(ROW()-ROW($C$3))/86400</s:f>
        <s:v>46247.54524305555</s:v>
      </s:c>
    </s:row>
    <s:row r="292">
      <s:c r="A292" s="0" t="n">
        <s:v>260813</s:v>
      </s:c>
      <s:c r="B292" s="0" t="inlineStr">
        <s:is>
          <s:t>이종훈</s:t>
        </s:is>
      </s:c>
      <s:c r="C292" s="0" t="n">
        <s:v>130021</s:v>
      </s:c>
      <s:c r="D292" s="0" t="n">
        <s:v>835</s:v>
      </s:c>
      <s:c r="F292" s="24">
        <s:f>'자료구성'!$B$2+TIME(INT($C$3/10000),INT(MOD($C$3,10000)/100),MOD($C$3,100))+(ROW()-ROW($C$3))/86400</s:f>
        <s:v>46247.54525462963</s:v>
      </s:c>
    </s:row>
    <s:row r="293">
      <s:c r="A293" s="0" t="n">
        <s:v>260813</s:v>
      </s:c>
      <s:c r="B293" s="0" t="inlineStr">
        <s:is>
          <s:t>이종훈</s:t>
        </s:is>
      </s:c>
      <s:c r="C293" s="0" t="n">
        <s:v>130021</s:v>
      </s:c>
      <s:c r="D293" s="0" t="n">
        <s:v>865</s:v>
      </s:c>
      <s:c r="F293" s="24">
        <s:f>'자료구성'!$B$2+TIME(INT($C$3/10000),INT(MOD($C$3,10000)/100),MOD($C$3,100))+(ROW()-ROW($C$3))/86400</s:f>
        <s:v>46247.545266203706</s:v>
      </s:c>
    </s:row>
    <s:row r="294">
      <s:c r="A294" s="0" t="n">
        <s:v>260813</s:v>
      </s:c>
      <s:c r="B294" s="0" t="inlineStr">
        <s:is>
          <s:t>이종훈</s:t>
        </s:is>
      </s:c>
      <s:c r="C294" s="0" t="n">
        <s:v>130021</s:v>
      </s:c>
      <s:c r="D294" s="0" t="n">
        <s:v>897</s:v>
      </s:c>
      <s:c r="F294" s="24">
        <s:f>'자료구성'!$B$2+TIME(INT($C$3/10000),INT(MOD($C$3,10000)/100),MOD($C$3,100))+(ROW()-ROW($C$3))/86400</s:f>
        <s:v>46247.545277777775</s:v>
      </s:c>
    </s:row>
    <s:row r="295">
      <s:c r="A295" s="0" t="n">
        <s:v>260813</s:v>
      </s:c>
      <s:c r="B295" s="0" t="inlineStr">
        <s:is>
          <s:t>이종훈</s:t>
        </s:is>
      </s:c>
      <s:c r="C295" s="0" t="n">
        <s:v>130021</s:v>
      </s:c>
      <s:c r="D295" s="0" t="n">
        <s:v>936</s:v>
      </s:c>
      <s:c r="F295" s="24">
        <s:f>'자료구성'!$B$2+TIME(INT($C$3/10000),INT(MOD($C$3,10000)/100),MOD($C$3,100))+(ROW()-ROW($C$3))/86400</s:f>
        <s:v>46247.54528935185</s:v>
      </s:c>
    </s:row>
    <s:row r="296">
      <s:c r="A296" s="0" t="n">
        <s:v>260813</s:v>
      </s:c>
      <s:c r="B296" s="0" t="inlineStr">
        <s:is>
          <s:t>이종훈</s:t>
        </s:is>
      </s:c>
      <s:c r="C296" s="0" t="n">
        <s:v>130021</s:v>
      </s:c>
      <s:c r="D296" s="0" t="n">
        <s:v>950</s:v>
      </s:c>
      <s:c r="F296" s="24">
        <s:f>'자료구성'!$B$2+TIME(INT($C$3/10000),INT(MOD($C$3,10000)/100),MOD($C$3,100))+(ROW()-ROW($C$3))/86400</s:f>
        <s:v>46247.54530092593</s:v>
      </s:c>
    </s:row>
    <s:row r="297">
      <s:c r="A297" s="0" t="n">
        <s:v>260813</s:v>
      </s:c>
      <s:c r="B297" s="0" t="inlineStr">
        <s:is>
          <s:t>이종훈</s:t>
        </s:is>
      </s:c>
      <s:c r="C297" s="0" t="n">
        <s:v>130021</s:v>
      </s:c>
      <s:c r="D297" s="0" t="n">
        <s:v>956</s:v>
      </s:c>
      <s:c r="F297" s="24">
        <s:f>'자료구성'!$B$2+TIME(INT($C$3/10000),INT(MOD($C$3,10000)/100),MOD($C$3,100))+(ROW()-ROW($C$3))/86400</s:f>
        <s:v>46247.5453125</s:v>
      </s:c>
    </s:row>
    <s:row r="298">
      <s:c r="A298" s="0" t="n">
        <s:v>260813</s:v>
      </s:c>
      <s:c r="B298" s="0" t="inlineStr">
        <s:is>
          <s:t>이종훈</s:t>
        </s:is>
      </s:c>
      <s:c r="C298" s="0" t="n">
        <s:v>130021</s:v>
      </s:c>
      <s:c r="D298" s="0" t="n">
        <s:v>982</s:v>
      </s:c>
      <s:c r="F298" s="24">
        <s:f>'자료구성'!$B$2+TIME(INT($C$3/10000),INT(MOD($C$3,10000)/100),MOD($C$3,100))+(ROW()-ROW($C$3))/86400</s:f>
        <s:v>46247.545324074075</s:v>
      </s:c>
    </s:row>
    <s:row r="299">
      <s:c r="A299" s="0" t="n">
        <s:v>260813</s:v>
      </s:c>
      <s:c r="B299" s="0" t="inlineStr">
        <s:is>
          <s:t>이종훈</s:t>
        </s:is>
      </s:c>
      <s:c r="C299" s="0" t="n">
        <s:v>130021</s:v>
      </s:c>
      <s:c r="D299" s="0" t="n">
        <s:v>1022</s:v>
      </s:c>
      <s:c r="F299" s="24">
        <s:f>'자료구성'!$B$2+TIME(INT($C$3/10000),INT(MOD($C$3,10000)/100),MOD($C$3,100))+(ROW()-ROW($C$3))/86400</s:f>
        <s:v>46247.545335648145</s:v>
      </s:c>
    </s:row>
    <s:row r="300">
      <s:c r="A300" s="0" t="n">
        <s:v>260813</s:v>
      </s:c>
      <s:c r="B300" s="0" t="inlineStr">
        <s:is>
          <s:t>이종훈</s:t>
        </s:is>
      </s:c>
      <s:c r="C300" s="0" t="n">
        <s:v>130021</s:v>
      </s:c>
      <s:c r="D300" s="0" t="n">
        <s:v>1040</s:v>
      </s:c>
      <s:c r="F300" s="24">
        <s:f>'자료구성'!$B$2+TIME(INT($C$3/10000),INT(MOD($C$3,10000)/100),MOD($C$3,100))+(ROW()-ROW($C$3))/86400</s:f>
        <s:v>46247.54534722222</s:v>
      </s:c>
    </s:row>
    <s:row r="301">
      <s:c r="A301" s="0" t="n">
        <s:v>260813</s:v>
      </s:c>
      <s:c r="B301" s="0" t="inlineStr">
        <s:is>
          <s:t>이종훈</s:t>
        </s:is>
      </s:c>
      <s:c r="C301" s="0" t="n">
        <s:v>130021</s:v>
      </s:c>
      <s:c r="D301" s="0" t="n">
        <s:v>1047</s:v>
      </s:c>
      <s:c r="F301" s="24">
        <s:f>'자료구성'!$B$2+TIME(INT($C$3/10000),INT(MOD($C$3,10000)/100),MOD($C$3,100))+(ROW()-ROW($C$3))/86400</s:f>
        <s:v>46247.5453587963</s:v>
      </s:c>
    </s:row>
    <s:row r="302">
      <s:c r="A302" s="0" t="n">
        <s:v>260813</s:v>
      </s:c>
      <s:c r="B302" s="0" t="inlineStr">
        <s:is>
          <s:t>이종훈</s:t>
        </s:is>
      </s:c>
      <s:c r="C302" s="0" t="n">
        <s:v>130021</s:v>
      </s:c>
      <s:c r="D302" s="0" t="n">
        <s:v>1052</s:v>
      </s:c>
      <s:c r="F302" s="24">
        <s:f>'자료구성'!$B$2+TIME(INT($C$3/10000),INT(MOD($C$3,10000)/100),MOD($C$3,100))+(ROW()-ROW($C$3))/86400</s:f>
        <s:v>46247.54537037037</s:v>
      </s:c>
    </s:row>
    <s:row r="303">
      <s:c r="A303" s="0" t="n">
        <s:v>260813</s:v>
      </s:c>
      <s:c r="B303" s="0" t="inlineStr">
        <s:is>
          <s:t>이종훈</s:t>
        </s:is>
      </s:c>
      <s:c r="C303" s="0" t="n">
        <s:v>130021</s:v>
      </s:c>
      <s:c r="D303" s="0" t="n">
        <s:v>1102</s:v>
      </s:c>
      <s:c r="F303" s="24">
        <s:f>'자료구성'!$B$2+TIME(INT($C$3/10000),INT(MOD($C$3,10000)/100),MOD($C$3,100))+(ROW()-ROW($C$3))/86400</s:f>
        <s:v>46247.545381944445</s:v>
      </s:c>
    </s:row>
    <s:row r="304">
      <s:c r="A304" s="0" t="n">
        <s:v>260813</s:v>
      </s:c>
      <s:c r="B304" s="0" t="inlineStr">
        <s:is>
          <s:t>이종훈</s:t>
        </s:is>
      </s:c>
      <s:c r="C304" s="0" t="n">
        <s:v>130021</s:v>
      </s:c>
      <s:c r="D304" s="0" t="n">
        <s:v>1149</s:v>
      </s:c>
      <s:c r="F304" s="24">
        <s:f>'자료구성'!$B$2+TIME(INT($C$3/10000),INT(MOD($C$3,10000)/100),MOD($C$3,100))+(ROW()-ROW($C$3))/86400</s:f>
        <s:v>46247.54539351852</s:v>
      </s:c>
    </s:row>
    <s:row r="305">
      <s:c r="A305" s="0" t="n">
        <s:v>260813</s:v>
      </s:c>
      <s:c r="B305" s="0" t="inlineStr">
        <s:is>
          <s:t>이종훈</s:t>
        </s:is>
      </s:c>
      <s:c r="C305" s="0" t="n">
        <s:v>130021</s:v>
      </s:c>
      <s:c r="D305" s="0" t="n">
        <s:v>1213</s:v>
      </s:c>
      <s:c r="F305" s="24">
        <s:f>'자료구성'!$B$2+TIME(INT($C$3/10000),INT(MOD($C$3,10000)/100),MOD($C$3,100))+(ROW()-ROW($C$3))/86400</s:f>
        <s:v>46247.54540509259</s:v>
      </s:c>
    </s:row>
    <s:row r="306">
      <s:c r="A306" s="0" t="n">
        <s:v>260813</s:v>
      </s:c>
      <s:c r="B306" s="0" t="inlineStr">
        <s:is>
          <s:t>이종훈</s:t>
        </s:is>
      </s:c>
      <s:c r="C306" s="0" t="n">
        <s:v>130021</s:v>
      </s:c>
      <s:c r="D306" s="0" t="n">
        <s:v>1256</s:v>
      </s:c>
      <s:c r="F306" s="24">
        <s:f>'자료구성'!$B$2+TIME(INT($C$3/10000),INT(MOD($C$3,10000)/100),MOD($C$3,100))+(ROW()-ROW($C$3))/86400</s:f>
        <s:v>46247.54541666667</s:v>
      </s:c>
    </s:row>
    <s:row r="307">
      <s:c r="A307" s="0" t="n">
        <s:v>260813</s:v>
      </s:c>
      <s:c r="B307" s="0" t="inlineStr">
        <s:is>
          <s:t>이종훈</s:t>
        </s:is>
      </s:c>
      <s:c r="C307" s="0" t="n">
        <s:v>130021</s:v>
      </s:c>
      <s:c r="D307" s="0" t="n">
        <s:v>1297</s:v>
      </s:c>
      <s:c r="F307" s="24">
        <s:f>'자료구성'!$B$2+TIME(INT($C$3/10000),INT(MOD($C$3,10000)/100),MOD($C$3,100))+(ROW()-ROW($C$3))/86400</s:f>
        <s:v>46247.54542824074</s:v>
      </s:c>
    </s:row>
    <s:row r="308">
      <s:c r="A308" s="0" t="n">
        <s:v>260813</s:v>
      </s:c>
      <s:c r="B308" s="0" t="inlineStr">
        <s:is>
          <s:t>이종훈</s:t>
        </s:is>
      </s:c>
      <s:c r="C308" s="0" t="n">
        <s:v>130021</s:v>
      </s:c>
      <s:c r="D308" s="0" t="n">
        <s:v>1300</s:v>
      </s:c>
      <s:c r="F308" s="24">
        <s:f>'자료구성'!$B$2+TIME(INT($C$3/10000),INT(MOD($C$3,10000)/100),MOD($C$3,100))+(ROW()-ROW($C$3))/86400</s:f>
        <s:v>46247.545439814814</s:v>
      </s:c>
    </s:row>
    <s:row r="309">
      <s:c r="A309" s="0" t="n">
        <s:v>260813</s:v>
      </s:c>
      <s:c r="B309" s="0" t="inlineStr">
        <s:is>
          <s:t>이종훈</s:t>
        </s:is>
      </s:c>
      <s:c r="C309" s="0" t="n">
        <s:v>130021</s:v>
      </s:c>
      <s:c r="D309" s="0" t="n">
        <s:v>1309</s:v>
      </s:c>
      <s:c r="F309" s="24">
        <s:f>'자료구성'!$B$2+TIME(INT($C$3/10000),INT(MOD($C$3,10000)/100),MOD($C$3,100))+(ROW()-ROW($C$3))/86400</s:f>
        <s:v>46247.54545138889</s:v>
      </s:c>
    </s:row>
    <s:row r="310">
      <s:c r="A310" s="0" t="n">
        <s:v>260813</s:v>
      </s:c>
      <s:c r="B310" s="0" t="inlineStr">
        <s:is>
          <s:t>이종훈</s:t>
        </s:is>
      </s:c>
      <s:c r="C310" s="0" t="n">
        <s:v>130021</s:v>
      </s:c>
      <s:c r="D310" s="0" t="n">
        <s:v>1318</s:v>
      </s:c>
      <s:c r="F310" s="24">
        <s:f>'자료구성'!$B$2+TIME(INT($C$3/10000),INT(MOD($C$3,10000)/100),MOD($C$3,100))+(ROW()-ROW($C$3))/86400</s:f>
        <s:v>46247.54546296296</s:v>
      </s:c>
    </s:row>
    <s:row r="311">
      <s:c r="A311" s="0" t="n">
        <s:v>260813</s:v>
      </s:c>
      <s:c r="B311" s="0" t="inlineStr">
        <s:is>
          <s:t>이종훈</s:t>
        </s:is>
      </s:c>
      <s:c r="C311" s="0" t="n">
        <s:v>130021</s:v>
      </s:c>
      <s:c r="D311" s="0" t="n">
        <s:v>1329</s:v>
      </s:c>
      <s:c r="F311" s="24">
        <s:f>'자료구성'!$B$2+TIME(INT($C$3/10000),INT(MOD($C$3,10000)/100),MOD($C$3,100))+(ROW()-ROW($C$3))/86400</s:f>
        <s:v>46247.54547453704</s:v>
      </s:c>
    </s:row>
    <s:row r="312">
      <s:c r="A312" s="0" t="n">
        <s:v>260813</s:v>
      </s:c>
      <s:c r="B312" s="0" t="inlineStr">
        <s:is>
          <s:t>이종훈</s:t>
        </s:is>
      </s:c>
      <s:c r="C312" s="0" t="n">
        <s:v>130021</s:v>
      </s:c>
      <s:c r="D312" s="0" t="n">
        <s:v>1324</s:v>
      </s:c>
      <s:c r="F312" s="24">
        <s:f>'자료구성'!$B$2+TIME(INT($C$3/10000),INT(MOD($C$3,10000)/100),MOD($C$3,100))+(ROW()-ROW($C$3))/86400</s:f>
        <s:v>46247.545486111114</s:v>
      </s:c>
    </s:row>
    <s:row r="313">
      <s:c r="A313" s="0" t="n">
        <s:v>260813</s:v>
      </s:c>
      <s:c r="B313" s="0" t="inlineStr">
        <s:is>
          <s:t>이종훈</s:t>
        </s:is>
      </s:c>
      <s:c r="C313" s="0" t="n">
        <s:v>130021</s:v>
      </s:c>
      <s:c r="D313" s="0" t="n">
        <s:v>1328</s:v>
      </s:c>
      <s:c r="F313" s="24">
        <s:f>'자료구성'!$B$2+TIME(INT($C$3/10000),INT(MOD($C$3,10000)/100),MOD($C$3,100))+(ROW()-ROW($C$3))/86400</s:f>
        <s:v>46247.54549768518</s:v>
      </s:c>
    </s:row>
    <s:row r="314">
      <s:c r="A314" s="0" t="n">
        <s:v>260813</s:v>
      </s:c>
      <s:c r="B314" s="0" t="inlineStr">
        <s:is>
          <s:t>이종훈</s:t>
        </s:is>
      </s:c>
      <s:c r="C314" s="0" t="n">
        <s:v>130021</s:v>
      </s:c>
      <s:c r="D314" s="0" t="n">
        <s:v>1400</s:v>
      </s:c>
      <s:c r="F314" s="24">
        <s:f>'자료구성'!$B$2+TIME(INT($C$3/10000),INT(MOD($C$3,10000)/100),MOD($C$3,100))+(ROW()-ROW($C$3))/86400</s:f>
        <s:v>46247.54550925926</s:v>
      </s:c>
    </s:row>
    <s:row r="315">
      <s:c r="A315" s="0" t="n">
        <s:v>260813</s:v>
      </s:c>
      <s:c r="B315" s="0" t="inlineStr">
        <s:is>
          <s:t>이종훈</s:t>
        </s:is>
      </s:c>
      <s:c r="C315" s="0" t="n">
        <s:v>130021</s:v>
      </s:c>
      <s:c r="D315" s="0" t="n">
        <s:v>1513</s:v>
      </s:c>
      <s:c r="F315" s="24">
        <s:f>'자료구성'!$B$2+TIME(INT($C$3/10000),INT(MOD($C$3,10000)/100),MOD($C$3,100))+(ROW()-ROW($C$3))/86400</s:f>
        <s:v>46247.54552083334</s:v>
      </s:c>
    </s:row>
    <s:row r="316">
      <s:c r="A316" s="0" t="n">
        <s:v>260813</s:v>
      </s:c>
      <s:c r="B316" s="0" t="inlineStr">
        <s:is>
          <s:t>이종훈</s:t>
        </s:is>
      </s:c>
      <s:c r="C316" s="0" t="n">
        <s:v>130021</s:v>
      </s:c>
      <s:c r="D316" s="0" t="n">
        <s:v>1596</s:v>
      </s:c>
      <s:c r="F316" s="24">
        <s:f>'자료구성'!$B$2+TIME(INT($C$3/10000),INT(MOD($C$3,10000)/100),MOD($C$3,100))+(ROW()-ROW($C$3))/86400</s:f>
        <s:v>46247.54553240741</s:v>
      </s:c>
    </s:row>
    <s:row r="317">
      <s:c r="A317" s="0" t="n">
        <s:v>260813</s:v>
      </s:c>
      <s:c r="B317" s="0" t="inlineStr">
        <s:is>
          <s:t>이종훈</s:t>
        </s:is>
      </s:c>
      <s:c r="C317" s="0" t="n">
        <s:v>130021</s:v>
      </s:c>
      <s:c r="D317" s="0" t="n">
        <s:v>1693</s:v>
      </s:c>
      <s:c r="F317" s="24">
        <s:f>'자료구성'!$B$2+TIME(INT($C$3/10000),INT(MOD($C$3,10000)/100),MOD($C$3,100))+(ROW()-ROW($C$3))/86400</s:f>
        <s:v>46247.54554398148</s:v>
      </s:c>
    </s:row>
    <s:row r="318">
      <s:c r="A318" s="0" t="n">
        <s:v>260813</s:v>
      </s:c>
      <s:c r="B318" s="0" t="inlineStr">
        <s:is>
          <s:t>이종훈</s:t>
        </s:is>
      </s:c>
      <s:c r="C318" s="0" t="n">
        <s:v>130021</s:v>
      </s:c>
      <s:c r="D318" s="0" t="n">
        <s:v>1805</s:v>
      </s:c>
      <s:c r="F318" s="24">
        <s:f>'자료구성'!$B$2+TIME(INT($C$3/10000),INT(MOD($C$3,10000)/100),MOD($C$3,100))+(ROW()-ROW($C$3))/86400</s:f>
        <s:v>46247.54555555555</s:v>
      </s:c>
    </s:row>
    <s:row r="319">
      <s:c r="A319" s="0" t="n">
        <s:v>260813</s:v>
      </s:c>
      <s:c r="B319" s="0" t="inlineStr">
        <s:is>
          <s:t>이종훈</s:t>
        </s:is>
      </s:c>
      <s:c r="C319" s="0" t="n">
        <s:v>130021</s:v>
      </s:c>
      <s:c r="D319" s="0" t="n">
        <s:v>1866</s:v>
      </s:c>
      <s:c r="F319" s="24">
        <s:f>'자료구성'!$B$2+TIME(INT($C$3/10000),INT(MOD($C$3,10000)/100),MOD($C$3,100))+(ROW()-ROW($C$3))/86400</s:f>
        <s:v>46247.54556712963</s:v>
      </s:c>
    </s:row>
    <s:row r="320">
      <s:c r="A320" s="0" t="n">
        <s:v>260813</s:v>
      </s:c>
      <s:c r="B320" s="0" t="inlineStr">
        <s:is>
          <s:t>이종훈</s:t>
        </s:is>
      </s:c>
      <s:c r="C320" s="0" t="n">
        <s:v>130021</s:v>
      </s:c>
      <s:c r="D320" s="0" t="n">
        <s:v>1922</s:v>
      </s:c>
      <s:c r="F320" s="24">
        <s:f>'자료구성'!$B$2+TIME(INT($C$3/10000),INT(MOD($C$3,10000)/100),MOD($C$3,100))+(ROW()-ROW($C$3))/86400</s:f>
        <s:v>46247.545578703706</s:v>
      </s:c>
    </s:row>
    <s:row r="321">
      <s:c r="A321" s="0" t="n">
        <s:v>260813</s:v>
      </s:c>
      <s:c r="B321" s="0" t="inlineStr">
        <s:is>
          <s:t>이종훈</s:t>
        </s:is>
      </s:c>
      <s:c r="C321" s="0" t="n">
        <s:v>130021</s:v>
      </s:c>
      <s:c r="D321" s="0" t="n">
        <s:v>1974</s:v>
      </s:c>
      <s:c r="F321" s="24">
        <s:f>'자료구성'!$B$2+TIME(INT($C$3/10000),INT(MOD($C$3,10000)/100),MOD($C$3,100))+(ROW()-ROW($C$3))/86400</s:f>
        <s:v>46247.545590277776</s:v>
      </s:c>
    </s:row>
    <s:row r="322">
      <s:c r="A322" s="0" t="n">
        <s:v>260813</s:v>
      </s:c>
      <s:c r="B322" s="0" t="inlineStr">
        <s:is>
          <s:t>이종훈</s:t>
        </s:is>
      </s:c>
      <s:c r="C322" s="0" t="n">
        <s:v>130021</s:v>
      </s:c>
      <s:c r="D322" s="0" t="n">
        <s:v>2000</s:v>
      </s:c>
      <s:c r="F322" s="24">
        <s:f>'자료구성'!$B$2+TIME(INT($C$3/10000),INT(MOD($C$3,10000)/100),MOD($C$3,100))+(ROW()-ROW($C$3))/86400</s:f>
        <s:v>46247.54560185185</s:v>
      </s:c>
    </s:row>
    <s:row r="323">
      <s:c r="A323" s="0" t="n">
        <s:v>260813</s:v>
      </s:c>
      <s:c r="B323" s="0" t="inlineStr">
        <s:is>
          <s:t>이종훈</s:t>
        </s:is>
      </s:c>
      <s:c r="C323" s="0" t="n">
        <s:v>130021</s:v>
      </s:c>
      <s:c r="D323" s="0" t="n">
        <s:v>2018</s:v>
      </s:c>
      <s:c r="F323" s="24">
        <s:f>'자료구성'!$B$2+TIME(INT($C$3/10000),INT(MOD($C$3,10000)/100),MOD($C$3,100))+(ROW()-ROW($C$3))/86400</s:f>
        <s:v>46247.54561342593</s:v>
      </s:c>
    </s:row>
    <s:row r="324">
      <s:c r="A324" s="0" t="n">
        <s:v>260813</s:v>
      </s:c>
      <s:c r="B324" s="0" t="inlineStr">
        <s:is>
          <s:t>이종훈</s:t>
        </s:is>
      </s:c>
      <s:c r="C324" s="0" t="n">
        <s:v>130021</s:v>
      </s:c>
      <s:c r="D324" s="0" t="n">
        <s:v>2051</s:v>
      </s:c>
      <s:c r="F324" s="24">
        <s:f>'자료구성'!$B$2+TIME(INT($C$3/10000),INT(MOD($C$3,10000)/100),MOD($C$3,100))+(ROW()-ROW($C$3))/86400</s:f>
        <s:v>46247.545625</s:v>
      </s:c>
    </s:row>
    <s:row r="325">
      <s:c r="A325" s="0" t="n">
        <s:v>260813</s:v>
      </s:c>
      <s:c r="B325" s="0" t="inlineStr">
        <s:is>
          <s:t>이종훈</s:t>
        </s:is>
      </s:c>
      <s:c r="C325" s="0" t="n">
        <s:v>130021</s:v>
      </s:c>
      <s:c r="D325" s="0" t="n">
        <s:v>2048</s:v>
      </s:c>
      <s:c r="F325" s="24">
        <s:f>'자료구성'!$B$2+TIME(INT($C$3/10000),INT(MOD($C$3,10000)/100),MOD($C$3,100))+(ROW()-ROW($C$3))/86400</s:f>
        <s:v>46247.545636574076</s:v>
      </s:c>
    </s:row>
    <s:row r="326">
      <s:c r="A326" s="0" t="n">
        <s:v>260813</s:v>
      </s:c>
      <s:c r="B326" s="0" t="inlineStr">
        <s:is>
          <s:t>이종훈</s:t>
        </s:is>
      </s:c>
      <s:c r="C326" s="0" t="n">
        <s:v>130021</s:v>
      </s:c>
      <s:c r="D326" s="0" t="n">
        <s:v>2029</s:v>
      </s:c>
      <s:c r="F326" s="24">
        <s:f>'자료구성'!$B$2+TIME(INT($C$3/10000),INT(MOD($C$3,10000)/100),MOD($C$3,100))+(ROW()-ROW($C$3))/86400</s:f>
        <s:v>46247.545648148145</s:v>
      </s:c>
    </s:row>
    <s:row r="327">
      <s:c r="A327" s="0" t="n">
        <s:v>260813</s:v>
      </s:c>
      <s:c r="B327" s="0" t="inlineStr">
        <s:is>
          <s:t>이종훈</s:t>
        </s:is>
      </s:c>
      <s:c r="C327" s="0" t="n">
        <s:v>130021</s:v>
      </s:c>
      <s:c r="D327" s="0" t="n">
        <s:v>1977</s:v>
      </s:c>
      <s:c r="F327" s="24">
        <s:f>'자료구성'!$B$2+TIME(INT($C$3/10000),INT(MOD($C$3,10000)/100),MOD($C$3,100))+(ROW()-ROW($C$3))/86400</s:f>
        <s:v>46247.54565972222</s:v>
      </s:c>
    </s:row>
    <s:row r="328">
      <s:c r="A328" s="0" t="n">
        <s:v>260813</s:v>
      </s:c>
      <s:c r="B328" s="0" t="inlineStr">
        <s:is>
          <s:t>이종훈</s:t>
        </s:is>
      </s:c>
      <s:c r="C328" s="0" t="n">
        <s:v>130021</s:v>
      </s:c>
      <s:c r="D328" s="0" t="n">
        <s:v>1952</s:v>
      </s:c>
      <s:c r="F328" s="24">
        <s:f>'자료구성'!$B$2+TIME(INT($C$3/10000),INT(MOD($C$3,10000)/100),MOD($C$3,100))+(ROW()-ROW($C$3))/86400</s:f>
        <s:v>46247.5456712963</s:v>
      </s:c>
    </s:row>
    <s:row r="329">
      <s:c r="A329" s="0" t="n">
        <s:v>260813</s:v>
      </s:c>
      <s:c r="B329" s="0" t="inlineStr">
        <s:is>
          <s:t>이종훈</s:t>
        </s:is>
      </s:c>
      <s:c r="C329" s="0" t="n">
        <s:v>130021</s:v>
      </s:c>
      <s:c r="D329" s="0" t="n">
        <s:v>1929</s:v>
      </s:c>
      <s:c r="F329" s="24">
        <s:f>'자료구성'!$B$2+TIME(INT($C$3/10000),INT(MOD($C$3,10000)/100),MOD($C$3,100))+(ROW()-ROW($C$3))/86400</s:f>
        <s:v>46247.54568287037</s:v>
      </s:c>
    </s:row>
    <s:row r="330">
      <s:c r="A330" s="0" t="n">
        <s:v>260813</s:v>
      </s:c>
      <s:c r="B330" s="0" t="inlineStr">
        <s:is>
          <s:t>이종훈</s:t>
        </s:is>
      </s:c>
      <s:c r="C330" s="0" t="n">
        <s:v>130021</s:v>
      </s:c>
      <s:c r="D330" s="0" t="n">
        <s:v>1901</s:v>
      </s:c>
      <s:c r="F330" s="24">
        <s:f>'자료구성'!$B$2+TIME(INT($C$3/10000),INT(MOD($C$3,10000)/100),MOD($C$3,100))+(ROW()-ROW($C$3))/86400</s:f>
        <s:v>46247.545694444445</s:v>
      </s:c>
    </s:row>
    <s:row r="331">
      <s:c r="A331" s="0" t="n">
        <s:v>260813</s:v>
      </s:c>
      <s:c r="B331" s="0" t="inlineStr">
        <s:is>
          <s:t>이종훈</s:t>
        </s:is>
      </s:c>
      <s:c r="C331" s="0" t="n">
        <s:v>130021</s:v>
      </s:c>
      <s:c r="D331" s="0" t="n">
        <s:v>1867</s:v>
      </s:c>
      <s:c r="F331" s="24">
        <s:f>'자료구성'!$B$2+TIME(INT($C$3/10000),INT(MOD($C$3,10000)/100),MOD($C$3,100))+(ROW()-ROW($C$3))/86400</s:f>
        <s:v>46247.54570601852</s:v>
      </s:c>
    </s:row>
    <s:row r="332">
      <s:c r="A332" s="0" t="n">
        <s:v>260813</s:v>
      </s:c>
      <s:c r="B332" s="0" t="inlineStr">
        <s:is>
          <s:t>이종훈</s:t>
        </s:is>
      </s:c>
      <s:c r="C332" s="0" t="n">
        <s:v>130021</s:v>
      </s:c>
      <s:c r="D332" s="0" t="n">
        <s:v>1835</s:v>
      </s:c>
      <s:c r="F332" s="24">
        <s:f>'자료구성'!$B$2+TIME(INT($C$3/10000),INT(MOD($C$3,10000)/100),MOD($C$3,100))+(ROW()-ROW($C$3))/86400</s:f>
        <s:v>46247.54571759259</s:v>
      </s:c>
    </s:row>
    <s:row r="333">
      <s:c r="A333" s="0" t="n">
        <s:v>260813</s:v>
      </s:c>
      <s:c r="B333" s="0" t="inlineStr">
        <s:is>
          <s:t>이종훈</s:t>
        </s:is>
      </s:c>
      <s:c r="C333" s="0" t="n">
        <s:v>130021</s:v>
      </s:c>
      <s:c r="D333" s="0" t="n">
        <s:v>1817</s:v>
      </s:c>
      <s:c r="F333" s="24">
        <s:f>'자료구성'!$B$2+TIME(INT($C$3/10000),INT(MOD($C$3,10000)/100),MOD($C$3,100))+(ROW()-ROW($C$3))/86400</s:f>
        <s:v>46247.54572916667</s:v>
      </s:c>
    </s:row>
    <s:row r="334">
      <s:c r="A334" s="0" t="n">
        <s:v>260813</s:v>
      </s:c>
      <s:c r="B334" s="0" t="inlineStr">
        <s:is>
          <s:t>이종훈</s:t>
        </s:is>
      </s:c>
      <s:c r="C334" s="0" t="n">
        <s:v>130021</s:v>
      </s:c>
      <s:c r="D334" s="0" t="n">
        <s:v>1814</s:v>
      </s:c>
      <s:c r="F334" s="24">
        <s:f>'자료구성'!$B$2+TIME(INT($C$3/10000),INT(MOD($C$3,10000)/100),MOD($C$3,100))+(ROW()-ROW($C$3))/86400</s:f>
        <s:v>46247.54574074074</s:v>
      </s:c>
    </s:row>
    <s:row r="335">
      <s:c r="A335" s="0" t="n">
        <s:v>260813</s:v>
      </s:c>
      <s:c r="B335" s="0" t="inlineStr">
        <s:is>
          <s:t>이종훈</s:t>
        </s:is>
      </s:c>
      <s:c r="C335" s="0" t="n">
        <s:v>130021</s:v>
      </s:c>
      <s:c r="D335" s="0" t="n">
        <s:v>1776</s:v>
      </s:c>
      <s:c r="F335" s="24">
        <s:f>'자료구성'!$B$2+TIME(INT($C$3/10000),INT(MOD($C$3,10000)/100),MOD($C$3,100))+(ROW()-ROW($C$3))/86400</s:f>
        <s:v>46247.545752314814</s:v>
      </s:c>
    </s:row>
    <s:row r="336">
      <s:c r="A336" s="0" t="n">
        <s:v>260813</s:v>
      </s:c>
      <s:c r="B336" s="0" t="inlineStr">
        <s:is>
          <s:t>이종훈</s:t>
        </s:is>
      </s:c>
      <s:c r="C336" s="0" t="n">
        <s:v>130021</s:v>
      </s:c>
      <s:c r="D336" s="0" t="n">
        <s:v>1742</s:v>
      </s:c>
      <s:c r="F336" s="24">
        <s:f>'자료구성'!$B$2+TIME(INT($C$3/10000),INT(MOD($C$3,10000)/100),MOD($C$3,100))+(ROW()-ROW($C$3))/86400</s:f>
        <s:v>46247.54576388889</s:v>
      </s:c>
    </s:row>
    <s:row r="337">
      <s:c r="A337" s="0" t="n">
        <s:v>260813</s:v>
      </s:c>
      <s:c r="B337" s="0" t="inlineStr">
        <s:is>
          <s:t>이종훈</s:t>
        </s:is>
      </s:c>
      <s:c r="C337" s="0" t="n">
        <s:v>130021</s:v>
      </s:c>
      <s:c r="D337" s="0" t="n">
        <s:v>1727</s:v>
      </s:c>
      <s:c r="F337" s="24">
        <s:f>'자료구성'!$B$2+TIME(INT($C$3/10000),INT(MOD($C$3,10000)/100),MOD($C$3,100))+(ROW()-ROW($C$3))/86400</s:f>
        <s:v>46247.54577546296</s:v>
      </s:c>
    </s:row>
    <s:row r="338">
      <s:c r="A338" s="0" t="n">
        <s:v>260813</s:v>
      </s:c>
      <s:c r="B338" s="0" t="inlineStr">
        <s:is>
          <s:t>이종훈</s:t>
        </s:is>
      </s:c>
      <s:c r="C338" s="0" t="n">
        <s:v>130021</s:v>
      </s:c>
      <s:c r="D338" s="0" t="n">
        <s:v>1730</s:v>
      </s:c>
      <s:c r="F338" s="24">
        <s:f>'자료구성'!$B$2+TIME(INT($C$3/10000),INT(MOD($C$3,10000)/100),MOD($C$3,100))+(ROW()-ROW($C$3))/86400</s:f>
        <s:v>46247.54578703704</s:v>
      </s:c>
    </s:row>
    <s:row r="339">
      <s:c r="A339" s="0" t="n">
        <s:v>260813</s:v>
      </s:c>
      <s:c r="B339" s="0" t="inlineStr">
        <s:is>
          <s:t>이종훈</s:t>
        </s:is>
      </s:c>
      <s:c r="C339" s="0" t="n">
        <s:v>130021</s:v>
      </s:c>
      <s:c r="D339" s="0" t="n">
        <s:v>1721</s:v>
      </s:c>
      <s:c r="F339" s="24">
        <s:f>'자료구성'!$B$2+TIME(INT($C$3/10000),INT(MOD($C$3,10000)/100),MOD($C$3,100))+(ROW()-ROW($C$3))/86400</s:f>
        <s:v>46247.545798611114</s:v>
      </s:c>
    </s:row>
    <s:row r="340">
      <s:c r="A340" s="0" t="n">
        <s:v>260813</s:v>
      </s:c>
      <s:c r="B340" s="0" t="inlineStr">
        <s:is>
          <s:t>이종훈</s:t>
        </s:is>
      </s:c>
      <s:c r="C340" s="0" t="n">
        <s:v>130021</s:v>
      </s:c>
      <s:c r="D340" s="0" t="n">
        <s:v>1710</s:v>
      </s:c>
      <s:c r="F340" s="24">
        <s:f>'자료구성'!$B$2+TIME(INT($C$3/10000),INT(MOD($C$3,10000)/100),MOD($C$3,100))+(ROW()-ROW($C$3))/86400</s:f>
        <s:v>46247.545810185184</s:v>
      </s:c>
    </s:row>
    <s:row r="341">
      <s:c r="A341" s="0" t="n">
        <s:v>260813</s:v>
      </s:c>
      <s:c r="B341" s="0" t="inlineStr">
        <s:is>
          <s:t>이종훈</s:t>
        </s:is>
      </s:c>
      <s:c r="C341" s="0" t="n">
        <s:v>130021</s:v>
      </s:c>
      <s:c r="D341" s="0" t="n">
        <s:v>1699</s:v>
      </s:c>
      <s:c r="F341" s="24">
        <s:f>'자료구성'!$B$2+TIME(INT($C$3/10000),INT(MOD($C$3,10000)/100),MOD($C$3,100))+(ROW()-ROW($C$3))/86400</s:f>
        <s:v>46247.54582175926</s:v>
      </s:c>
    </s:row>
    <s:row r="342">
      <s:c r="A342" s="0" t="n">
        <s:v>260813</s:v>
      </s:c>
      <s:c r="B342" s="0" t="inlineStr">
        <s:is>
          <s:t>이종훈</s:t>
        </s:is>
      </s:c>
      <s:c r="C342" s="0" t="n">
        <s:v>130021</s:v>
      </s:c>
      <s:c r="D342" s="0" t="n">
        <s:v>1702</s:v>
      </s:c>
      <s:c r="F342" s="24">
        <s:f>'자료구성'!$B$2+TIME(INT($C$3/10000),INT(MOD($C$3,10000)/100),MOD($C$3,100))+(ROW()-ROW($C$3))/86400</s:f>
        <s:v>46247.54583333333</s:v>
      </s:c>
    </s:row>
    <s:row r="343">
      <s:c r="A343" s="0" t="n">
        <s:v>260813</s:v>
      </s:c>
      <s:c r="B343" s="0" t="inlineStr">
        <s:is>
          <s:t>이종훈</s:t>
        </s:is>
      </s:c>
      <s:c r="C343" s="0" t="n">
        <s:v>130021</s:v>
      </s:c>
      <s:c r="D343" s="0" t="n">
        <s:v>1685</s:v>
      </s:c>
      <s:c r="F343" s="24">
        <s:f>'자료구성'!$B$2+TIME(INT($C$3/10000),INT(MOD($C$3,10000)/100),MOD($C$3,100))+(ROW()-ROW($C$3))/86400</s:f>
        <s:v>46247.54584490741</s:v>
      </s:c>
    </s:row>
    <s:row r="344">
      <s:c r="A344" s="0" t="n">
        <s:v>260813</s:v>
      </s:c>
      <s:c r="B344" s="0" t="inlineStr">
        <s:is>
          <s:t>이종훈</s:t>
        </s:is>
      </s:c>
      <s:c r="C344" s="0" t="n">
        <s:v>130021</s:v>
      </s:c>
      <s:c r="D344" s="0" t="n">
        <s:v>1640</s:v>
      </s:c>
      <s:c r="F344" s="24">
        <s:f>'자료구성'!$B$2+TIME(INT($C$3/10000),INT(MOD($C$3,10000)/100),MOD($C$3,100))+(ROW()-ROW($C$3))/86400</s:f>
        <s:v>46247.54585648148</s:v>
      </s:c>
    </s:row>
    <s:row r="345">
      <s:c r="A345" s="0" t="n">
        <s:v>260813</s:v>
      </s:c>
      <s:c r="B345" s="0" t="inlineStr">
        <s:is>
          <s:t>이종훈</s:t>
        </s:is>
      </s:c>
      <s:c r="C345" s="0" t="n">
        <s:v>130021</s:v>
      </s:c>
      <s:c r="D345" s="0" t="n">
        <s:v>1626</s:v>
      </s:c>
      <s:c r="F345" s="24">
        <s:f>'자료구성'!$B$2+TIME(INT($C$3/10000),INT(MOD($C$3,10000)/100),MOD($C$3,100))+(ROW()-ROW($C$3))/86400</s:f>
        <s:v>46247.54586805555</s:v>
      </s:c>
    </s:row>
    <s:row r="346">
      <s:c r="A346" s="0" t="n">
        <s:v>260813</s:v>
      </s:c>
      <s:c r="B346" s="0" t="inlineStr">
        <s:is>
          <s:t>이종훈</s:t>
        </s:is>
      </s:c>
      <s:c r="C346" s="0" t="n">
        <s:v>130021</s:v>
      </s:c>
      <s:c r="D346" s="0" t="n">
        <s:v>1632</s:v>
      </s:c>
      <s:c r="F346" s="24">
        <s:f>'자료구성'!$B$2+TIME(INT($C$3/10000),INT(MOD($C$3,10000)/100),MOD($C$3,100))+(ROW()-ROW($C$3))/86400</s:f>
        <s:v>46247.54587962963</s:v>
      </s:c>
    </s:row>
    <s:row r="347">
      <s:c r="A347" s="0" t="n">
        <s:v>260813</s:v>
      </s:c>
      <s:c r="B347" s="0" t="inlineStr">
        <s:is>
          <s:t>이종훈</s:t>
        </s:is>
      </s:c>
      <s:c r="C347" s="0" t="n">
        <s:v>130021</s:v>
      </s:c>
      <s:c r="D347" s="0" t="n">
        <s:v>1645</s:v>
      </s:c>
      <s:c r="F347" s="24">
        <s:f>'자료구성'!$B$2+TIME(INT($C$3/10000),INT(MOD($C$3,10000)/100),MOD($C$3,100))+(ROW()-ROW($C$3))/86400</s:f>
        <s:v>46247.54589120371</s:v>
      </s:c>
    </s:row>
    <s:row r="348">
      <s:c r="A348" s="0" t="n">
        <s:v>260813</s:v>
      </s:c>
      <s:c r="B348" s="0" t="inlineStr">
        <s:is>
          <s:t>이종훈</s:t>
        </s:is>
      </s:c>
      <s:c r="C348" s="0" t="n">
        <s:v>130021</s:v>
      </s:c>
      <s:c r="D348" s="0" t="n">
        <s:v>1616</s:v>
      </s:c>
      <s:c r="F348" s="24">
        <s:f>'자료구성'!$B$2+TIME(INT($C$3/10000),INT(MOD($C$3,10000)/100),MOD($C$3,100))+(ROW()-ROW($C$3))/86400</s:f>
        <s:v>46247.545902777776</s:v>
      </s:c>
    </s:row>
    <s:row r="349">
      <s:c r="A349" s="0" t="n">
        <s:v>260813</s:v>
      </s:c>
      <s:c r="B349" s="0" t="inlineStr">
        <s:is>
          <s:t>이종훈</s:t>
        </s:is>
      </s:c>
      <s:c r="C349" s="0" t="n">
        <s:v>130021</s:v>
      </s:c>
      <s:c r="D349" s="0" t="n">
        <s:v>1620</s:v>
      </s:c>
      <s:c r="F349" s="24">
        <s:f>'자료구성'!$B$2+TIME(INT($C$3/10000),INT(MOD($C$3,10000)/100),MOD($C$3,100))+(ROW()-ROW($C$3))/86400</s:f>
        <s:v>46247.54591435185</s:v>
      </s:c>
    </s:row>
    <s:row r="350">
      <s:c r="A350" s="0" t="n">
        <s:v>260813</s:v>
      </s:c>
      <s:c r="B350" s="0" t="inlineStr">
        <s:is>
          <s:t>이종훈</s:t>
        </s:is>
      </s:c>
      <s:c r="C350" s="0" t="n">
        <s:v>130021</s:v>
      </s:c>
      <s:c r="D350" s="0" t="n">
        <s:v>1611</s:v>
      </s:c>
      <s:c r="F350" s="24">
        <s:f>'자료구성'!$B$2+TIME(INT($C$3/10000),INT(MOD($C$3,10000)/100),MOD($C$3,100))+(ROW()-ROW($C$3))/86400</s:f>
        <s:v>46247.54592592592</s:v>
      </s:c>
    </s:row>
    <s:row r="351">
      <s:c r="A351" s="0" t="n">
        <s:v>260813</s:v>
      </s:c>
      <s:c r="B351" s="0" t="inlineStr">
        <s:is>
          <s:t>이종훈</s:t>
        </s:is>
      </s:c>
      <s:c r="C351" s="0" t="n">
        <s:v>130021</s:v>
      </s:c>
      <s:c r="D351" s="0" t="n">
        <s:v>1613</s:v>
      </s:c>
      <s:c r="F351" s="24">
        <s:f>'자료구성'!$B$2+TIME(INT($C$3/10000),INT(MOD($C$3,10000)/100),MOD($C$3,100))+(ROW()-ROW($C$3))/86400</s:f>
        <s:v>46247.5459375</s:v>
      </s:c>
    </s:row>
    <s:row r="352">
      <s:c r="A352" s="0" t="n">
        <s:v>260813</s:v>
      </s:c>
      <s:c r="B352" s="0" t="inlineStr">
        <s:is>
          <s:t>이종훈</s:t>
        </s:is>
      </s:c>
      <s:c r="C352" s="0" t="n">
        <s:v>130021</s:v>
      </s:c>
      <s:c r="D352" s="0" t="n">
        <s:v>1617</s:v>
      </s:c>
      <s:c r="F352" s="24">
        <s:f>'자료구성'!$B$2+TIME(INT($C$3/10000),INT(MOD($C$3,10000)/100),MOD($C$3,100))+(ROW()-ROW($C$3))/86400</s:f>
        <s:v>46247.545949074076</s:v>
      </s:c>
    </s:row>
    <s:row r="353">
      <s:c r="A353" s="0" t="n">
        <s:v>260813</s:v>
      </s:c>
      <s:c r="B353" s="0" t="inlineStr">
        <s:is>
          <s:t>이종훈</s:t>
        </s:is>
      </s:c>
      <s:c r="C353" s="0" t="n">
        <s:v>130021</s:v>
      </s:c>
      <s:c r="D353" s="0" t="n">
        <s:v>1633</s:v>
      </s:c>
      <s:c r="F353" s="24">
        <s:f>'자료구성'!$B$2+TIME(INT($C$3/10000),INT(MOD($C$3,10000)/100),MOD($C$3,100))+(ROW()-ROW($C$3))/86400</s:f>
        <s:v>46247.545960648145</s:v>
      </s:c>
    </s:row>
    <s:row r="354">
      <s:c r="A354" s="0" t="n">
        <s:v>260813</s:v>
      </s:c>
      <s:c r="B354" s="0" t="inlineStr">
        <s:is>
          <s:t>이종훈</s:t>
        </s:is>
      </s:c>
      <s:c r="C354" s="0" t="n">
        <s:v>130021</s:v>
      </s:c>
      <s:c r="D354" s="0" t="n">
        <s:v>1631</s:v>
      </s:c>
      <s:c r="F354" s="24">
        <s:f>'자료구성'!$B$2+TIME(INT($C$3/10000),INT(MOD($C$3,10000)/100),MOD($C$3,100))+(ROW()-ROW($C$3))/86400</s:f>
        <s:v>46247.54597222222</s:v>
      </s:c>
    </s:row>
    <s:row r="355">
      <s:c r="A355" s="0" t="n">
        <s:v>260813</s:v>
      </s:c>
      <s:c r="B355" s="0" t="inlineStr">
        <s:is>
          <s:t>이종훈</s:t>
        </s:is>
      </s:c>
      <s:c r="C355" s="0" t="n">
        <s:v>130021</s:v>
      </s:c>
      <s:c r="D355" s="0" t="n">
        <s:v>1633</s:v>
      </s:c>
      <s:c r="F355" s="24">
        <s:f>'자료구성'!$B$2+TIME(INT($C$3/10000),INT(MOD($C$3,10000)/100),MOD($C$3,100))+(ROW()-ROW($C$3))/86400</s:f>
        <s:v>46247.5459837963</s:v>
      </s:c>
    </s:row>
    <s:row r="356">
      <s:c r="A356" s="0" t="n">
        <s:v>260813</s:v>
      </s:c>
      <s:c r="B356" s="0" t="inlineStr">
        <s:is>
          <s:t>이종훈</s:t>
        </s:is>
      </s:c>
      <s:c r="C356" s="0" t="n">
        <s:v>130021</s:v>
      </s:c>
      <s:c r="D356" s="0" t="n">
        <s:v>1628</s:v>
      </s:c>
      <s:c r="F356" s="24">
        <s:f>'자료구성'!$B$2+TIME(INT($C$3/10000),INT(MOD($C$3,10000)/100),MOD($C$3,100))+(ROW()-ROW($C$3))/86400</s:f>
        <s:v>46247.54599537037</s:v>
      </s:c>
    </s:row>
    <s:row r="357">
      <s:c r="A357" s="0" t="n">
        <s:v>260813</s:v>
      </s:c>
      <s:c r="B357" s="0" t="inlineStr">
        <s:is>
          <s:t>이종훈</s:t>
        </s:is>
      </s:c>
      <s:c r="C357" s="0" t="n">
        <s:v>130021</s:v>
      </s:c>
      <s:c r="D357" s="0" t="n">
        <s:v>1599</s:v>
      </s:c>
      <s:c r="F357" s="24">
        <s:f>'자료구성'!$B$2+TIME(INT($C$3/10000),INT(MOD($C$3,10000)/100),MOD($C$3,100))+(ROW()-ROW($C$3))/86400</s:f>
        <s:v>46247.546006944445</s:v>
      </s:c>
    </s:row>
    <s:row r="358">
      <s:c r="A358" s="0" t="n">
        <s:v>260813</s:v>
      </s:c>
      <s:c r="B358" s="0" t="inlineStr">
        <s:is>
          <s:t>이종훈</s:t>
        </s:is>
      </s:c>
      <s:c r="C358" s="0" t="n">
        <s:v>130021</s:v>
      </s:c>
      <s:c r="D358" s="0" t="n">
        <s:v>1590</s:v>
      </s:c>
      <s:c r="F358" s="24">
        <s:f>'자료구성'!$B$2+TIME(INT($C$3/10000),INT(MOD($C$3,10000)/100),MOD($C$3,100))+(ROW()-ROW($C$3))/86400</s:f>
        <s:v>46247.54601851852</s:v>
      </s:c>
    </s:row>
    <s:row r="359">
      <s:c r="A359" s="0" t="n">
        <s:v>260813</s:v>
      </s:c>
      <s:c r="B359" s="0" t="inlineStr">
        <s:is>
          <s:t>이종훈</s:t>
        </s:is>
      </s:c>
      <s:c r="C359" s="0" t="n">
        <s:v>130021</s:v>
      </s:c>
      <s:c r="D359" s="0" t="n">
        <s:v>1580</s:v>
      </s:c>
      <s:c r="F359" s="24">
        <s:f>'자료구성'!$B$2+TIME(INT($C$3/10000),INT(MOD($C$3,10000)/100),MOD($C$3,100))+(ROW()-ROW($C$3))/86400</s:f>
        <s:v>46247.54603009259</s:v>
      </s:c>
    </s:row>
    <s:row r="360">
      <s:c r="A360" s="0" t="n">
        <s:v>260813</s:v>
      </s:c>
      <s:c r="B360" s="0" t="inlineStr">
        <s:is>
          <s:t>이종훈</s:t>
        </s:is>
      </s:c>
      <s:c r="C360" s="0" t="n">
        <s:v>130021</s:v>
      </s:c>
      <s:c r="D360" s="0" t="n">
        <s:v>1558</s:v>
      </s:c>
      <s:c r="F360" s="24">
        <s:f>'자료구성'!$B$2+TIME(INT($C$3/10000),INT(MOD($C$3,10000)/100),MOD($C$3,100))+(ROW()-ROW($C$3))/86400</s:f>
        <s:v>46247.54604166667</s:v>
      </s:c>
    </s:row>
    <s:row r="361">
      <s:c r="A361" s="0" t="n">
        <s:v>260813</s:v>
      </s:c>
      <s:c r="B361" s="0" t="inlineStr">
        <s:is>
          <s:t>이종훈</s:t>
        </s:is>
      </s:c>
      <s:c r="C361" s="0" t="n">
        <s:v>130021</s:v>
      </s:c>
      <s:c r="D361" s="0" t="n">
        <s:v>1547</s:v>
      </s:c>
      <s:c r="F361" s="24">
        <s:f>'자료구성'!$B$2+TIME(INT($C$3/10000),INT(MOD($C$3,10000)/100),MOD($C$3,100))+(ROW()-ROW($C$3))/86400</s:f>
        <s:v>46247.54605324074</s:v>
      </s:c>
    </s:row>
    <s:row r="362">
      <s:c r="A362" s="0" t="n">
        <s:v>260813</s:v>
      </s:c>
      <s:c r="B362" s="0" t="inlineStr">
        <s:is>
          <s:t>이종훈</s:t>
        </s:is>
      </s:c>
      <s:c r="C362" s="0" t="n">
        <s:v>130021</s:v>
      </s:c>
      <s:c r="D362" s="0" t="n">
        <s:v>1553</s:v>
      </s:c>
      <s:c r="F362" s="24">
        <s:f>'자료구성'!$B$2+TIME(INT($C$3/10000),INT(MOD($C$3,10000)/100),MOD($C$3,100))+(ROW()-ROW($C$3))/86400</s:f>
        <s:v>46247.546064814815</s:v>
      </s:c>
    </s:row>
    <s:row r="363">
      <s:c r="A363" s="0" t="n">
        <s:v>260813</s:v>
      </s:c>
      <s:c r="B363" s="0" t="inlineStr">
        <s:is>
          <s:t>이종훈</s:t>
        </s:is>
      </s:c>
      <s:c r="C363" s="0" t="n">
        <s:v>130021</s:v>
      </s:c>
      <s:c r="D363" s="0" t="n">
        <s:v>1566</s:v>
      </s:c>
      <s:c r="F363" s="24">
        <s:f>'자료구성'!$B$2+TIME(INT($C$3/10000),INT(MOD($C$3,10000)/100),MOD($C$3,100))+(ROW()-ROW($C$3))/86400</s:f>
        <s:v>46247.54607638889</s:v>
      </s:c>
    </s:row>
    <s:row r="364">
      <s:c r="A364" s="0" t="n">
        <s:v>260813</s:v>
      </s:c>
      <s:c r="B364" s="0" t="inlineStr">
        <s:is>
          <s:t>이종훈</s:t>
        </s:is>
      </s:c>
      <s:c r="C364" s="0" t="n">
        <s:v>130021</s:v>
      </s:c>
      <s:c r="D364" s="0" t="n">
        <s:v>1533</s:v>
      </s:c>
      <s:c r="F364" s="24">
        <s:f>'자료구성'!$B$2+TIME(INT($C$3/10000),INT(MOD($C$3,10000)/100),MOD($C$3,100))+(ROW()-ROW($C$3))/86400</s:f>
        <s:v>46247.54608796296</s:v>
      </s:c>
    </s:row>
    <s:row r="365">
      <s:c r="A365" s="0" t="n">
        <s:v>260813</s:v>
      </s:c>
      <s:c r="B365" s="0" t="inlineStr">
        <s:is>
          <s:t>이종훈</s:t>
        </s:is>
      </s:c>
      <s:c r="C365" s="0" t="n">
        <s:v>130021</s:v>
      </s:c>
      <s:c r="D365" s="0" t="n">
        <s:v>1544</s:v>
      </s:c>
      <s:c r="F365" s="24">
        <s:f>'자료구성'!$B$2+TIME(INT($C$3/10000),INT(MOD($C$3,10000)/100),MOD($C$3,100))+(ROW()-ROW($C$3))/86400</s:f>
        <s:v>46247.54609953704</s:v>
      </s:c>
    </s:row>
    <s:row r="366">
      <s:c r="A366" s="0" t="n">
        <s:v>260813</s:v>
      </s:c>
      <s:c r="B366" s="0" t="inlineStr">
        <s:is>
          <s:t>이종훈</s:t>
        </s:is>
      </s:c>
      <s:c r="C366" s="0" t="n">
        <s:v>130021</s:v>
      </s:c>
      <s:c r="D366" s="0" t="n">
        <s:v>1579</s:v>
      </s:c>
      <s:c r="F366" s="24">
        <s:f>'자료구성'!$B$2+TIME(INT($C$3/10000),INT(MOD($C$3,10000)/100),MOD($C$3,100))+(ROW()-ROW($C$3))/86400</s:f>
        <s:v>46247.546111111114</s:v>
      </s:c>
    </s:row>
    <s:row r="367">
      <s:c r="A367" s="0" t="n">
        <s:v>260813</s:v>
      </s:c>
      <s:c r="B367" s="0" t="inlineStr">
        <s:is>
          <s:t>이종훈</s:t>
        </s:is>
      </s:c>
      <s:c r="C367" s="0" t="n">
        <s:v>130021</s:v>
      </s:c>
      <s:c r="D367" s="0" t="n">
        <s:v>1594</s:v>
      </s:c>
      <s:c r="F367" s="24">
        <s:f>'자료구성'!$B$2+TIME(INT($C$3/10000),INT(MOD($C$3,10000)/100),MOD($C$3,100))+(ROW()-ROW($C$3))/86400</s:f>
        <s:v>46247.546122685184</s:v>
      </s:c>
    </s:row>
    <s:row r="368">
      <s:c r="A368" s="0" t="n">
        <s:v>260813</s:v>
      </s:c>
      <s:c r="B368" s="0" t="inlineStr">
        <s:is>
          <s:t>이종훈</s:t>
        </s:is>
      </s:c>
      <s:c r="C368" s="0" t="n">
        <s:v>130021</s:v>
      </s:c>
      <s:c r="D368" s="0" t="n">
        <s:v>1634</s:v>
      </s:c>
      <s:c r="F368" s="24">
        <s:f>'자료구성'!$B$2+TIME(INT($C$3/10000),INT(MOD($C$3,10000)/100),MOD($C$3,100))+(ROW()-ROW($C$3))/86400</s:f>
        <s:v>46247.54613425926</s:v>
      </s:c>
    </s:row>
    <s:row r="369">
      <s:c r="A369" s="0" t="n">
        <s:v>260813</s:v>
      </s:c>
      <s:c r="B369" s="0" t="inlineStr">
        <s:is>
          <s:t>이종훈</s:t>
        </s:is>
      </s:c>
      <s:c r="C369" s="0" t="n">
        <s:v>130021</s:v>
      </s:c>
      <s:c r="D369" s="0" t="n">
        <s:v>1674</s:v>
      </s:c>
      <s:c r="F369" s="24">
        <s:f>'자료구성'!$B$2+TIME(INT($C$3/10000),INT(MOD($C$3,10000)/100),MOD($C$3,100))+(ROW()-ROW($C$3))/86400</s:f>
        <s:v>46247.54614583333</s:v>
      </s:c>
    </s:row>
    <s:row r="370">
      <s:c r="A370" s="0" t="n">
        <s:v>260813</s:v>
      </s:c>
      <s:c r="B370" s="0" t="inlineStr">
        <s:is>
          <s:t>이종훈</s:t>
        </s:is>
      </s:c>
      <s:c r="C370" s="0" t="n">
        <s:v>130021</s:v>
      </s:c>
      <s:c r="D370" s="0" t="n">
        <s:v>1769</s:v>
      </s:c>
      <s:c r="F370" s="24">
        <s:f>'자료구성'!$B$2+TIME(INT($C$3/10000),INT(MOD($C$3,10000)/100),MOD($C$3,100))+(ROW()-ROW($C$3))/86400</s:f>
        <s:v>46247.54615740741</s:v>
      </s:c>
    </s:row>
    <s:row r="371">
      <s:c r="A371" s="0" t="n">
        <s:v>260813</s:v>
      </s:c>
      <s:c r="B371" s="0" t="inlineStr">
        <s:is>
          <s:t>이종훈</s:t>
        </s:is>
      </s:c>
      <s:c r="C371" s="0" t="n">
        <s:v>130021</s:v>
      </s:c>
      <s:c r="D371" s="0" t="n">
        <s:v>1772</s:v>
      </s:c>
      <s:c r="F371" s="24">
        <s:f>'자료구성'!$B$2+TIME(INT($C$3/10000),INT(MOD($C$3,10000)/100),MOD($C$3,100))+(ROW()-ROW($C$3))/86400</s:f>
        <s:v>46247.546168981484</s:v>
      </s:c>
    </s:row>
    <s:row r="372">
      <s:c r="A372" s="0" t="n">
        <s:v>260813</s:v>
      </s:c>
      <s:c r="B372" s="0" t="inlineStr">
        <s:is>
          <s:t>이종훈</s:t>
        </s:is>
      </s:c>
      <s:c r="C372" s="0" t="n">
        <s:v>130021</s:v>
      </s:c>
      <s:c r="D372" s="0" t="n">
        <s:v>1764</s:v>
      </s:c>
      <s:c r="F372" s="24">
        <s:f>'자료구성'!$B$2+TIME(INT($C$3/10000),INT(MOD($C$3,10000)/100),MOD($C$3,100))+(ROW()-ROW($C$3))/86400</s:f>
        <s:v>46247.54618055555</s:v>
      </s:c>
    </s:row>
    <s:row r="373">
      <s:c r="A373" s="0" t="n">
        <s:v>260813</s:v>
      </s:c>
      <s:c r="B373" s="0" t="inlineStr">
        <s:is>
          <s:t>이종훈</s:t>
        </s:is>
      </s:c>
      <s:c r="C373" s="0" t="n">
        <s:v>130021</s:v>
      </s:c>
      <s:c r="D373" s="0" t="n">
        <s:v>1725</s:v>
      </s:c>
      <s:c r="F373" s="24">
        <s:f>'자료구성'!$B$2+TIME(INT($C$3/10000),INT(MOD($C$3,10000)/100),MOD($C$3,100))+(ROW()-ROW($C$3))/86400</s:f>
        <s:v>46247.54619212963</s:v>
      </s:c>
    </s:row>
    <s:row r="374">
      <s:c r="A374" s="0" t="n">
        <s:v>260813</s:v>
      </s:c>
      <s:c r="B374" s="0" t="inlineStr">
        <s:is>
          <s:t>이종훈</s:t>
        </s:is>
      </s:c>
      <s:c r="C374" s="0" t="n">
        <s:v>130021</s:v>
      </s:c>
      <s:c r="D374" s="0" t="n">
        <s:v>1669</s:v>
      </s:c>
      <s:c r="F374" s="24">
        <s:f>'자료구성'!$B$2+TIME(INT($C$3/10000),INT(MOD($C$3,10000)/100),MOD($C$3,100))+(ROW()-ROW($C$3))/86400</s:f>
        <s:v>46247.54620370371</s:v>
      </s:c>
    </s:row>
    <s:row r="375">
      <s:c r="A375" s="0" t="n">
        <s:v>260813</s:v>
      </s:c>
      <s:c r="B375" s="0" t="inlineStr">
        <s:is>
          <s:t>이종훈</s:t>
        </s:is>
      </s:c>
      <s:c r="C375" s="0" t="n">
        <s:v>130021</s:v>
      </s:c>
      <s:c r="D375" s="0" t="n">
        <s:v>1643</s:v>
      </s:c>
      <s:c r="F375" s="24">
        <s:f>'자료구성'!$B$2+TIME(INT($C$3/10000),INT(MOD($C$3,10000)/100),MOD($C$3,100))+(ROW()-ROW($C$3))/86400</s:f>
        <s:v>46247.546215277776</s:v>
      </s:c>
    </s:row>
    <s:row r="376">
      <s:c r="A376" s="0" t="n">
        <s:v>260813</s:v>
      </s:c>
      <s:c r="B376" s="0" t="inlineStr">
        <s:is>
          <s:t>이종훈</s:t>
        </s:is>
      </s:c>
      <s:c r="C376" s="0" t="n">
        <s:v>130021</s:v>
      </s:c>
      <s:c r="D376" s="0" t="n">
        <s:v>1584</s:v>
      </s:c>
      <s:c r="F376" s="24">
        <s:f>'자료구성'!$B$2+TIME(INT($C$3/10000),INT(MOD($C$3,10000)/100),MOD($C$3,100))+(ROW()-ROW($C$3))/86400</s:f>
        <s:v>46247.54622685185</s:v>
      </s:c>
    </s:row>
    <s:row r="377">
      <s:c r="A377" s="0" t="n">
        <s:v>260813</s:v>
      </s:c>
      <s:c r="B377" s="0" t="inlineStr">
        <s:is>
          <s:t>이종훈</s:t>
        </s:is>
      </s:c>
      <s:c r="C377" s="0" t="n">
        <s:v>130021</s:v>
      </s:c>
      <s:c r="D377" s="0" t="n">
        <s:v>1542</s:v>
      </s:c>
      <s:c r="F377" s="24">
        <s:f>'자료구성'!$B$2+TIME(INT($C$3/10000),INT(MOD($C$3,10000)/100),MOD($C$3,100))+(ROW()-ROW($C$3))/86400</s:f>
        <s:v>46247.54623842592</s:v>
      </s:c>
    </s:row>
    <s:row r="378">
      <s:c r="A378" s="0" t="n">
        <s:v>260813</s:v>
      </s:c>
      <s:c r="B378" s="0" t="inlineStr">
        <s:is>
          <s:t>이종훈</s:t>
        </s:is>
      </s:c>
      <s:c r="C378" s="0" t="n">
        <s:v>130021</s:v>
      </s:c>
      <s:c r="D378" s="0" t="n">
        <s:v>1514</s:v>
      </s:c>
      <s:c r="F378" s="24">
        <s:f>'자료구성'!$B$2+TIME(INT($C$3/10000),INT(MOD($C$3,10000)/100),MOD($C$3,100))+(ROW()-ROW($C$3))/86400</s:f>
        <s:v>46247.54625</s:v>
      </s:c>
    </s:row>
    <s:row r="379">
      <s:c r="A379" s="0" t="n">
        <s:v>260813</s:v>
      </s:c>
      <s:c r="B379" s="0" t="inlineStr">
        <s:is>
          <s:t>이종훈</s:t>
        </s:is>
      </s:c>
      <s:c r="C379" s="0" t="n">
        <s:v>130021</s:v>
      </s:c>
      <s:c r="D379" s="0" t="n">
        <s:v>1471</s:v>
      </s:c>
      <s:c r="F379" s="24">
        <s:f>'자료구성'!$B$2+TIME(INT($C$3/10000),INT(MOD($C$3,10000)/100),MOD($C$3,100))+(ROW()-ROW($C$3))/86400</s:f>
        <s:v>46247.546261574076</s:v>
      </s:c>
    </s:row>
    <s:row r="380">
      <s:c r="A380" s="0" t="n">
        <s:v>260813</s:v>
      </s:c>
      <s:c r="B380" s="0" t="inlineStr">
        <s:is>
          <s:t>이종훈</s:t>
        </s:is>
      </s:c>
      <s:c r="C380" s="0" t="n">
        <s:v>130021</s:v>
      </s:c>
      <s:c r="D380" s="0" t="n">
        <s:v>1392</s:v>
      </s:c>
      <s:c r="F380" s="24">
        <s:f>'자료구성'!$B$2+TIME(INT($C$3/10000),INT(MOD($C$3,10000)/100),MOD($C$3,100))+(ROW()-ROW($C$3))/86400</s:f>
        <s:v>46247.546273148146</s:v>
      </s:c>
    </s:row>
    <s:row r="381">
      <s:c r="A381" s="0" t="n">
        <s:v>260813</s:v>
      </s:c>
      <s:c r="B381" s="0" t="inlineStr">
        <s:is>
          <s:t>이종훈</s:t>
        </s:is>
      </s:c>
      <s:c r="C381" s="0" t="n">
        <s:v>130021</s:v>
      </s:c>
      <s:c r="D381" s="0" t="n">
        <s:v>1318</s:v>
      </s:c>
      <s:c r="F381" s="24">
        <s:f>'자료구성'!$B$2+TIME(INT($C$3/10000),INT(MOD($C$3,10000)/100),MOD($C$3,100))+(ROW()-ROW($C$3))/86400</s:f>
        <s:v>46247.54628472222</s:v>
      </s:c>
    </s:row>
    <s:row r="382">
      <s:c r="A382" s="0" t="n">
        <s:v>260813</s:v>
      </s:c>
      <s:c r="B382" s="0" t="inlineStr">
        <s:is>
          <s:t>이종훈</s:t>
        </s:is>
      </s:c>
      <s:c r="C382" s="0" t="n">
        <s:v>130021</s:v>
      </s:c>
      <s:c r="D382" s="0" t="n">
        <s:v>1264</s:v>
      </s:c>
      <s:c r="F382" s="24">
        <s:f>'자료구성'!$B$2+TIME(INT($C$3/10000),INT(MOD($C$3,10000)/100),MOD($C$3,100))+(ROW()-ROW($C$3))/86400</s:f>
        <s:v>46247.5462962963</s:v>
      </s:c>
    </s:row>
    <s:row r="383">
      <s:c r="A383" s="0" t="n">
        <s:v>260813</s:v>
      </s:c>
      <s:c r="B383" s="0" t="inlineStr">
        <s:is>
          <s:t>이종훈</s:t>
        </s:is>
      </s:c>
      <s:c r="C383" s="0" t="n">
        <s:v>130021</s:v>
      </s:c>
      <s:c r="D383" s="0" t="n">
        <s:v>1237</s:v>
      </s:c>
      <s:c r="F383" s="24">
        <s:f>'자료구성'!$B$2+TIME(INT($C$3/10000),INT(MOD($C$3,10000)/100),MOD($C$3,100))+(ROW()-ROW($C$3))/86400</s:f>
        <s:v>46247.54630787037</s:v>
      </s:c>
    </s:row>
    <s:row r="384">
      <s:c r="A384" s="0" t="n">
        <s:v>260813</s:v>
      </s:c>
      <s:c r="B384" s="0" t="inlineStr">
        <s:is>
          <s:t>이종훈</s:t>
        </s:is>
      </s:c>
      <s:c r="C384" s="0" t="n">
        <s:v>130021</s:v>
      </s:c>
      <s:c r="D384" s="0" t="n">
        <s:v>1240</s:v>
      </s:c>
      <s:c r="F384" s="24">
        <s:f>'자료구성'!$B$2+TIME(INT($C$3/10000),INT(MOD($C$3,10000)/100),MOD($C$3,100))+(ROW()-ROW($C$3))/86400</s:f>
        <s:v>46247.546319444446</s:v>
      </s:c>
    </s:row>
    <s:row r="385">
      <s:c r="A385" s="0" t="n">
        <s:v>260813</s:v>
      </s:c>
      <s:c r="B385" s="0" t="inlineStr">
        <s:is>
          <s:t>이종훈</s:t>
        </s:is>
      </s:c>
      <s:c r="C385" s="0" t="n">
        <s:v>130021</s:v>
      </s:c>
      <s:c r="D385" s="0" t="n">
        <s:v>1226</s:v>
      </s:c>
      <s:c r="F385" s="24">
        <s:f>'자료구성'!$B$2+TIME(INT($C$3/10000),INT(MOD($C$3,10000)/100),MOD($C$3,100))+(ROW()-ROW($C$3))/86400</s:f>
        <s:v>46247.546331018515</s:v>
      </s:c>
    </s:row>
    <s:row r="386">
      <s:c r="A386" s="0" t="n">
        <s:v>260813</s:v>
      </s:c>
      <s:c r="B386" s="0" t="inlineStr">
        <s:is>
          <s:t>이종훈</s:t>
        </s:is>
      </s:c>
      <s:c r="C386" s="0" t="n">
        <s:v>130021</s:v>
      </s:c>
      <s:c r="D386" s="0" t="n">
        <s:v>1248</s:v>
      </s:c>
      <s:c r="F386" s="24">
        <s:f>'자료구성'!$B$2+TIME(INT($C$3/10000),INT(MOD($C$3,10000)/100),MOD($C$3,100))+(ROW()-ROW($C$3))/86400</s:f>
        <s:v>46247.54634259259</s:v>
      </s:c>
    </s:row>
    <s:row r="387">
      <s:c r="A387" s="0" t="n">
        <s:v>260813</s:v>
      </s:c>
      <s:c r="B387" s="0" t="inlineStr">
        <s:is>
          <s:t>이종훈</s:t>
        </s:is>
      </s:c>
      <s:c r="C387" s="0" t="n">
        <s:v>130021</s:v>
      </s:c>
      <s:c r="D387" s="0" t="n">
        <s:v>1273</s:v>
      </s:c>
      <s:c r="F387" s="24">
        <s:f>'자료구성'!$B$2+TIME(INT($C$3/10000),INT(MOD($C$3,10000)/100),MOD($C$3,100))+(ROW()-ROW($C$3))/86400</s:f>
        <s:v>46247.54635416667</s:v>
      </s:c>
    </s:row>
    <s:row r="388">
      <s:c r="A388" s="0" t="n">
        <s:v>260813</s:v>
      </s:c>
      <s:c r="B388" s="0" t="inlineStr">
        <s:is>
          <s:t>이종훈</s:t>
        </s:is>
      </s:c>
      <s:c r="C388" s="0" t="n">
        <s:v>130021</s:v>
      </s:c>
      <s:c r="D388" s="0" t="n">
        <s:v>1244</s:v>
      </s:c>
      <s:c r="F388" s="24">
        <s:f>'자료구성'!$B$2+TIME(INT($C$3/10000),INT(MOD($C$3,10000)/100),MOD($C$3,100))+(ROW()-ROW($C$3))/86400</s:f>
        <s:v>46247.54636574074</s:v>
      </s:c>
    </s:row>
    <s:row r="389">
      <s:c r="A389" s="0" t="n">
        <s:v>260813</s:v>
      </s:c>
      <s:c r="B389" s="0" t="inlineStr">
        <s:is>
          <s:t>이종훈</s:t>
        </s:is>
      </s:c>
      <s:c r="C389" s="0" t="n">
        <s:v>130021</s:v>
      </s:c>
      <s:c r="D389" s="0" t="n">
        <s:v>1227</s:v>
      </s:c>
      <s:c r="F389" s="24">
        <s:f>'자료구성'!$B$2+TIME(INT($C$3/10000),INT(MOD($C$3,10000)/100),MOD($C$3,100))+(ROW()-ROW($C$3))/86400</s:f>
        <s:v>46247.546377314815</s:v>
      </s:c>
    </s:row>
    <s:row r="390">
      <s:c r="A390" s="0" t="n">
        <s:v>260813</s:v>
      </s:c>
      <s:c r="B390" s="0" t="inlineStr">
        <s:is>
          <s:t>이종훈</s:t>
        </s:is>
      </s:c>
      <s:c r="C390" s="0" t="n">
        <s:v>130021</s:v>
      </s:c>
      <s:c r="D390" s="0" t="n">
        <s:v>1203</s:v>
      </s:c>
      <s:c r="F390" s="24">
        <s:f>'자료구성'!$B$2+TIME(INT($C$3/10000),INT(MOD($C$3,10000)/100),MOD($C$3,100))+(ROW()-ROW($C$3))/86400</s:f>
        <s:v>46247.54638888889</s:v>
      </s:c>
    </s:row>
    <s:row r="391">
      <s:c r="A391" s="0" t="n">
        <s:v>260813</s:v>
      </s:c>
      <s:c r="B391" s="0" t="inlineStr">
        <s:is>
          <s:t>이종훈</s:t>
        </s:is>
      </s:c>
      <s:c r="C391" s="0" t="n">
        <s:v>130021</s:v>
      </s:c>
      <s:c r="D391" s="0" t="n">
        <s:v>1192</s:v>
      </s:c>
      <s:c r="F391" s="24">
        <s:f>'자료구성'!$B$2+TIME(INT($C$3/10000),INT(MOD($C$3,10000)/100),MOD($C$3,100))+(ROW()-ROW($C$3))/86400</s:f>
        <s:v>46247.54640046296</s:v>
      </s:c>
    </s:row>
    <s:row r="392">
      <s:c r="A392" s="0" t="n">
        <s:v>260813</s:v>
      </s:c>
      <s:c r="B392" s="0" t="inlineStr">
        <s:is>
          <s:t>이종훈</s:t>
        </s:is>
      </s:c>
      <s:c r="C392" s="0" t="n">
        <s:v>130021</s:v>
      </s:c>
      <s:c r="D392" s="0" t="n">
        <s:v>1178</s:v>
      </s:c>
      <s:c r="F392" s="24">
        <s:f>'자료구성'!$B$2+TIME(INT($C$3/10000),INT(MOD($C$3,10000)/100),MOD($C$3,100))+(ROW()-ROW($C$3))/86400</s:f>
        <s:v>46247.54641203704</s:v>
      </s:c>
    </s:row>
    <s:row r="393">
      <s:c r="A393" s="0" t="n">
        <s:v>260813</s:v>
      </s:c>
      <s:c r="B393" s="0" t="inlineStr">
        <s:is>
          <s:t>이종훈</s:t>
        </s:is>
      </s:c>
      <s:c r="C393" s="0" t="n">
        <s:v>130021</s:v>
      </s:c>
      <s:c r="D393" s="0" t="n">
        <s:v>1152</s:v>
      </s:c>
      <s:c r="F393" s="24">
        <s:f>'자료구성'!$B$2+TIME(INT($C$3/10000),INT(MOD($C$3,10000)/100),MOD($C$3,100))+(ROW()-ROW($C$3))/86400</s:f>
        <s:v>46247.546423611115</s:v>
      </s:c>
    </s:row>
    <s:row r="394">
      <s:c r="A394" s="0" t="n">
        <s:v>260813</s:v>
      </s:c>
      <s:c r="B394" s="0" t="inlineStr">
        <s:is>
          <s:t>이종훈</s:t>
        </s:is>
      </s:c>
      <s:c r="C394" s="0" t="n">
        <s:v>130021</s:v>
      </s:c>
      <s:c r="D394" s="0" t="n">
        <s:v>1131</s:v>
      </s:c>
      <s:c r="F394" s="24">
        <s:f>'자료구성'!$B$2+TIME(INT($C$3/10000),INT(MOD($C$3,10000)/100),MOD($C$3,100))+(ROW()-ROW($C$3))/86400</s:f>
        <s:v>46247.546435185184</s:v>
      </s:c>
    </s:row>
    <s:row r="395">
      <s:c r="A395" s="0" t="n">
        <s:v>260813</s:v>
      </s:c>
      <s:c r="B395" s="0" t="inlineStr">
        <s:is>
          <s:t>이종훈</s:t>
        </s:is>
      </s:c>
      <s:c r="C395" s="0" t="n">
        <s:v>130021</s:v>
      </s:c>
      <s:c r="D395" s="0" t="n">
        <s:v>1110</s:v>
      </s:c>
      <s:c r="F395" s="24">
        <s:f>'자료구성'!$B$2+TIME(INT($C$3/10000),INT(MOD($C$3,10000)/100),MOD($C$3,100))+(ROW()-ROW($C$3))/86400</s:f>
        <s:v>46247.54644675926</s:v>
      </s:c>
    </s:row>
    <s:row r="396">
      <s:c r="A396" s="0" t="n">
        <s:v>260813</s:v>
      </s:c>
      <s:c r="B396" s="0" t="inlineStr">
        <s:is>
          <s:t>이종훈</s:t>
        </s:is>
      </s:c>
      <s:c r="C396" s="0" t="n">
        <s:v>130021</s:v>
      </s:c>
      <s:c r="D396" s="0" t="n">
        <s:v>1082</s:v>
      </s:c>
      <s:c r="F396" s="24">
        <s:f>'자료구성'!$B$2+TIME(INT($C$3/10000),INT(MOD($C$3,10000)/100),MOD($C$3,100))+(ROW()-ROW($C$3))/86400</s:f>
        <s:v>46247.54645833333</s:v>
      </s:c>
    </s:row>
    <s:row r="397">
      <s:c r="A397" s="0" t="n">
        <s:v>260813</s:v>
      </s:c>
      <s:c r="B397" s="0" t="inlineStr">
        <s:is>
          <s:t>이종훈</s:t>
        </s:is>
      </s:c>
      <s:c r="C397" s="0" t="n">
        <s:v>130021</s:v>
      </s:c>
      <s:c r="D397" s="0" t="n">
        <s:v>1065</s:v>
      </s:c>
      <s:c r="F397" s="24">
        <s:f>'자료구성'!$B$2+TIME(INT($C$3/10000),INT(MOD($C$3,10000)/100),MOD($C$3,100))+(ROW()-ROW($C$3))/86400</s:f>
        <s:v>46247.54646990741</s:v>
      </s:c>
    </s:row>
    <s:row r="398">
      <s:c r="A398" s="0" t="n">
        <s:v>260813</s:v>
      </s:c>
      <s:c r="B398" s="0" t="inlineStr">
        <s:is>
          <s:t>이종훈</s:t>
        </s:is>
      </s:c>
      <s:c r="C398" s="0" t="n">
        <s:v>130021</s:v>
      </s:c>
      <s:c r="D398" s="0" t="n">
        <s:v>1048</s:v>
      </s:c>
      <s:c r="F398" s="24">
        <s:f>'자료구성'!$B$2+TIME(INT($C$3/10000),INT(MOD($C$3,10000)/100),MOD($C$3,100))+(ROW()-ROW($C$3))/86400</s:f>
        <s:v>46247.546481481484</s:v>
      </s:c>
    </s:row>
    <s:row r="399">
      <s:c r="A399" s="0" t="n">
        <s:v>260813</s:v>
      </s:c>
      <s:c r="B399" s="0" t="inlineStr">
        <s:is>
          <s:t>이종훈</s:t>
        </s:is>
      </s:c>
      <s:c r="C399" s="0" t="n">
        <s:v>130021</s:v>
      </s:c>
      <s:c r="D399" s="0" t="n">
        <s:v>1048</s:v>
      </s:c>
      <s:c r="F399" s="24">
        <s:f>'자료구성'!$B$2+TIME(INT($C$3/10000),INT(MOD($C$3,10000)/100),MOD($C$3,100))+(ROW()-ROW($C$3))/86400</s:f>
        <s:v>46247.54649305555</s:v>
      </s:c>
    </s:row>
    <s:row r="400">
      <s:c r="A400" s="0" t="n">
        <s:v>260813</s:v>
      </s:c>
      <s:c r="B400" s="0" t="inlineStr">
        <s:is>
          <s:t>이종훈</s:t>
        </s:is>
      </s:c>
      <s:c r="C400" s="0" t="n">
        <s:v>130021</s:v>
      </s:c>
      <s:c r="D400" s="0" t="n">
        <s:v>1018</s:v>
      </s:c>
      <s:c r="F400" s="24">
        <s:f>'자료구성'!$B$2+TIME(INT($C$3/10000),INT(MOD($C$3,10000)/100),MOD($C$3,100))+(ROW()-ROW($C$3))/86400</s:f>
        <s:v>46247.54650462963</s:v>
      </s:c>
    </s:row>
    <s:row r="401">
      <s:c r="A401" s="0" t="n">
        <s:v>260813</s:v>
      </s:c>
      <s:c r="B401" s="0" t="inlineStr">
        <s:is>
          <s:t>이종훈</s:t>
        </s:is>
      </s:c>
      <s:c r="C401" s="0" t="n">
        <s:v>130021</s:v>
      </s:c>
      <s:c r="D401" s="0" t="n">
        <s:v>1011</s:v>
      </s:c>
      <s:c r="F401" s="24">
        <s:f>'자료구성'!$B$2+TIME(INT($C$3/10000),INT(MOD($C$3,10000)/100),MOD($C$3,100))+(ROW()-ROW($C$3))/86400</s:f>
        <s:v>46247.54651620371</s:v>
      </s:c>
    </s:row>
    <s:row r="402">
      <s:c r="A402" s="0" t="n">
        <s:v>260813</s:v>
      </s:c>
      <s:c r="B402" s="0" t="inlineStr">
        <s:is>
          <s:t>이종훈</s:t>
        </s:is>
      </s:c>
      <s:c r="C402" s="0" t="n">
        <s:v>130021</s:v>
      </s:c>
      <s:c r="D402" s="0" t="n">
        <s:v>1005</s:v>
      </s:c>
      <s:c r="F402" s="24">
        <s:f>'자료구성'!$B$2+TIME(INT($C$3/10000),INT(MOD($C$3,10000)/100),MOD($C$3,100))+(ROW()-ROW($C$3))/86400</s:f>
        <s:v>46247.54652777778</s:v>
      </s:c>
    </s:row>
    <s:row r="403">
      <s:c r="A403" s="0" t="n">
        <s:v>260813</s:v>
      </s:c>
      <s:c r="B403" s="0" t="inlineStr">
        <s:is>
          <s:t>이종훈</s:t>
        </s:is>
      </s:c>
      <s:c r="C403" s="0" t="n">
        <s:v>130021</s:v>
      </s:c>
      <s:c r="D403" s="0" t="n">
        <s:v>1003</s:v>
      </s:c>
      <s:c r="F403" s="24">
        <s:f>'자료구성'!$B$2+TIME(INT($C$3/10000),INT(MOD($C$3,10000)/100),MOD($C$3,100))+(ROW()-ROW($C$3))/86400</s:f>
        <s:v>46247.54653935185</s:v>
      </s:c>
    </s:row>
    <s:row r="404">
      <s:c r="A404" s="0" t="n">
        <s:v>260813</s:v>
      </s:c>
      <s:c r="B404" s="0" t="inlineStr">
        <s:is>
          <s:t>이종훈</s:t>
        </s:is>
      </s:c>
      <s:c r="C404" s="0" t="n">
        <s:v>130021</s:v>
      </s:c>
      <s:c r="D404" s="0" t="n">
        <s:v>995</s:v>
      </s:c>
      <s:c r="F404" s="24">
        <s:f>'자료구성'!$B$2+TIME(INT($C$3/10000),INT(MOD($C$3,10000)/100),MOD($C$3,100))+(ROW()-ROW($C$3))/86400</s:f>
        <s:v>46247.54655092592</s:v>
      </s:c>
    </s:row>
    <s:row r="405">
      <s:c r="A405" s="0" t="n">
        <s:v>260813</s:v>
      </s:c>
      <s:c r="B405" s="0" t="inlineStr">
        <s:is>
          <s:t>이종훈</s:t>
        </s:is>
      </s:c>
      <s:c r="C405" s="0" t="n">
        <s:v>130021</s:v>
      </s:c>
      <s:c r="D405" s="0" t="n">
        <s:v>1010</s:v>
      </s:c>
      <s:c r="F405" s="24">
        <s:f>'자료구성'!$B$2+TIME(INT($C$3/10000),INT(MOD($C$3,10000)/100),MOD($C$3,100))+(ROW()-ROW($C$3))/86400</s:f>
        <s:v>46247.5465625</s:v>
      </s:c>
    </s:row>
    <s:row r="406">
      <s:c r="A406" s="0" t="n">
        <s:v>260813</s:v>
      </s:c>
      <s:c r="B406" s="0" t="inlineStr">
        <s:is>
          <s:t>이종훈</s:t>
        </s:is>
      </s:c>
      <s:c r="C406" s="0" t="n">
        <s:v>130021</s:v>
      </s:c>
      <s:c r="D406" s="0" t="n">
        <s:v>995</s:v>
      </s:c>
      <s:c r="F406" s="24">
        <s:f>'자료구성'!$B$2+TIME(INT($C$3/10000),INT(MOD($C$3,10000)/100),MOD($C$3,100))+(ROW()-ROW($C$3))/86400</s:f>
        <s:v>46247.54657407408</s:v>
      </s:c>
    </s:row>
    <s:row r="407">
      <s:c r="A407" s="0" t="n">
        <s:v>260813</s:v>
      </s:c>
      <s:c r="B407" s="0" t="inlineStr">
        <s:is>
          <s:t>이종훈</s:t>
        </s:is>
      </s:c>
      <s:c r="C407" s="0" t="n">
        <s:v>130021</s:v>
      </s:c>
      <s:c r="D407" s="0" t="n">
        <s:v>989</s:v>
      </s:c>
      <s:c r="F407" s="24">
        <s:f>'자료구성'!$B$2+TIME(INT($C$3/10000),INT(MOD($C$3,10000)/100),MOD($C$3,100))+(ROW()-ROW($C$3))/86400</s:f>
        <s:v>46247.546585648146</s:v>
      </s:c>
    </s:row>
    <s:row r="408">
      <s:c r="A408" s="0" t="n">
        <s:v>260813</s:v>
      </s:c>
      <s:c r="B408" s="0" t="inlineStr">
        <s:is>
          <s:t>이종훈</s:t>
        </s:is>
      </s:c>
      <s:c r="C408" s="0" t="n">
        <s:v>130021</s:v>
      </s:c>
      <s:c r="D408" s="0" t="n">
        <s:v>985</s:v>
      </s:c>
      <s:c r="F408" s="24">
        <s:f>'자료구성'!$B$2+TIME(INT($C$3/10000),INT(MOD($C$3,10000)/100),MOD($C$3,100))+(ROW()-ROW($C$3))/86400</s:f>
        <s:v>46247.54659722222</s:v>
      </s:c>
    </s:row>
    <s:row r="409">
      <s:c r="A409" s="0" t="n">
        <s:v>260813</s:v>
      </s:c>
      <s:c r="B409" s="0" t="inlineStr">
        <s:is>
          <s:t>이종훈</s:t>
        </s:is>
      </s:c>
      <s:c r="C409" s="0" t="n">
        <s:v>130021</s:v>
      </s:c>
      <s:c r="D409" s="0" t="n">
        <s:v>974</s:v>
      </s:c>
      <s:c r="F409" s="24">
        <s:f>'자료구성'!$B$2+TIME(INT($C$3/10000),INT(MOD($C$3,10000)/100),MOD($C$3,100))+(ROW()-ROW($C$3))/86400</s:f>
        <s:v>46247.5466087963</s:v>
      </s:c>
    </s:row>
    <s:row r="410">
      <s:c r="A410" s="0" t="n">
        <s:v>260813</s:v>
      </s:c>
      <s:c r="B410" s="0" t="inlineStr">
        <s:is>
          <s:t>이종훈</s:t>
        </s:is>
      </s:c>
      <s:c r="C410" s="0" t="n">
        <s:v>130021</s:v>
      </s:c>
      <s:c r="D410" s="0" t="n">
        <s:v>977</s:v>
      </s:c>
      <s:c r="F410" s="24">
        <s:f>'자료구성'!$B$2+TIME(INT($C$3/10000),INT(MOD($C$3,10000)/100),MOD($C$3,100))+(ROW()-ROW($C$3))/86400</s:f>
        <s:v>46247.54662037037</s:v>
      </s:c>
    </s:row>
    <s:row r="411">
      <s:c r="A411" s="0" t="n">
        <s:v>260813</s:v>
      </s:c>
      <s:c r="B411" s="0" t="inlineStr">
        <s:is>
          <s:t>이종훈</s:t>
        </s:is>
      </s:c>
      <s:c r="C411" s="0" t="n">
        <s:v>130021</s:v>
      </s:c>
      <s:c r="D411" s="0" t="n">
        <s:v>990</s:v>
      </s:c>
      <s:c r="F411" s="24">
        <s:f>'자료구성'!$B$2+TIME(INT($C$3/10000),INT(MOD($C$3,10000)/100),MOD($C$3,100))+(ROW()-ROW($C$3))/86400</s:f>
        <s:v>46247.546631944446</s:v>
      </s:c>
    </s:row>
    <s:row r="412">
      <s:c r="A412" s="0" t="n">
        <s:v>260813</s:v>
      </s:c>
      <s:c r="B412" s="0" t="inlineStr">
        <s:is>
          <s:t>이종훈</s:t>
        </s:is>
      </s:c>
      <s:c r="C412" s="0" t="n">
        <s:v>130021</s:v>
      </s:c>
      <s:c r="D412" s="0" t="n">
        <s:v>994</s:v>
      </s:c>
      <s:c r="F412" s="24">
        <s:f>'자료구성'!$B$2+TIME(INT($C$3/10000),INT(MOD($C$3,10000)/100),MOD($C$3,100))+(ROW()-ROW($C$3))/86400</s:f>
        <s:v>46247.546643518515</s:v>
      </s:c>
    </s:row>
    <s:row r="413">
      <s:c r="A413" s="0" t="n">
        <s:v>260813</s:v>
      </s:c>
      <s:c r="B413" s="0" t="inlineStr">
        <s:is>
          <s:t>이종훈</s:t>
        </s:is>
      </s:c>
      <s:c r="C413" s="0" t="n">
        <s:v>130021</s:v>
      </s:c>
      <s:c r="D413" s="0" t="n">
        <s:v>991</s:v>
      </s:c>
      <s:c r="F413" s="24">
        <s:f>'자료구성'!$B$2+TIME(INT($C$3/10000),INT(MOD($C$3,10000)/100),MOD($C$3,100))+(ROW()-ROW($C$3))/86400</s:f>
        <s:v>46247.54665509259</s:v>
      </s:c>
    </s:row>
    <s:row r="414">
      <s:c r="A414" s="0" t="n">
        <s:v>260813</s:v>
      </s:c>
      <s:c r="B414" s="0" t="inlineStr">
        <s:is>
          <s:t>이종훈</s:t>
        </s:is>
      </s:c>
      <s:c r="C414" s="0" t="n">
        <s:v>130021</s:v>
      </s:c>
      <s:c r="D414" s="0" t="n">
        <s:v>1012</s:v>
      </s:c>
      <s:c r="F414" s="24">
        <s:f>'자료구성'!$B$2+TIME(INT($C$3/10000),INT(MOD($C$3,10000)/100),MOD($C$3,100))+(ROW()-ROW($C$3))/86400</s:f>
        <s:v>46247.54666666667</s:v>
      </s:c>
    </s:row>
    <s:row r="415">
      <s:c r="A415" s="0" t="n">
        <s:v>260813</s:v>
      </s:c>
      <s:c r="B415" s="0" t="inlineStr">
        <s:is>
          <s:t>이종훈</s:t>
        </s:is>
      </s:c>
      <s:c r="C415" s="0" t="n">
        <s:v>130021</s:v>
      </s:c>
      <s:c r="D415" s="0" t="n">
        <s:v>1021</s:v>
      </s:c>
      <s:c r="F415" s="24">
        <s:f>'자료구성'!$B$2+TIME(INT($C$3/10000),INT(MOD($C$3,10000)/100),MOD($C$3,100))+(ROW()-ROW($C$3))/86400</s:f>
        <s:v>46247.54667824074</s:v>
      </s:c>
    </s:row>
    <s:row r="416">
      <s:c r="A416" s="0" t="n">
        <s:v>260813</s:v>
      </s:c>
      <s:c r="B416" s="0" t="inlineStr">
        <s:is>
          <s:t>이종훈</s:t>
        </s:is>
      </s:c>
      <s:c r="C416" s="0" t="n">
        <s:v>130021</s:v>
      </s:c>
      <s:c r="D416" s="0" t="n">
        <s:v>1011</s:v>
      </s:c>
      <s:c r="F416" s="24">
        <s:f>'자료구성'!$B$2+TIME(INT($C$3/10000),INT(MOD($C$3,10000)/100),MOD($C$3,100))+(ROW()-ROW($C$3))/86400</s:f>
        <s:v>46247.546689814815</s:v>
      </s:c>
    </s:row>
    <s:row r="417">
      <s:c r="A417" s="0" t="n">
        <s:v>260813</s:v>
      </s:c>
      <s:c r="B417" s="0" t="inlineStr">
        <s:is>
          <s:t>이종훈</s:t>
        </s:is>
      </s:c>
      <s:c r="C417" s="0" t="n">
        <s:v>130021</s:v>
      </s:c>
      <s:c r="D417" s="0" t="n">
        <s:v>1019</s:v>
      </s:c>
      <s:c r="F417" s="24">
        <s:f>'자료구성'!$B$2+TIME(INT($C$3/10000),INT(MOD($C$3,10000)/100),MOD($C$3,100))+(ROW()-ROW($C$3))/86400</s:f>
        <s:v>46247.54670138889</s:v>
      </s:c>
    </s:row>
    <s:row r="418">
      <s:c r="A418" s="0" t="n">
        <s:v>260813</s:v>
      </s:c>
      <s:c r="B418" s="0" t="inlineStr">
        <s:is>
          <s:t>이종훈</s:t>
        </s:is>
      </s:c>
      <s:c r="C418" s="0" t="n">
        <s:v>130021</s:v>
      </s:c>
      <s:c r="D418" s="0" t="n">
        <s:v>1061</s:v>
      </s:c>
      <s:c r="F418" s="24">
        <s:f>'자료구성'!$B$2+TIME(INT($C$3/10000),INT(MOD($C$3,10000)/100),MOD($C$3,100))+(ROW()-ROW($C$3))/86400</s:f>
        <s:v>46247.54671296296</s:v>
      </s:c>
    </s:row>
    <s:row r="419">
      <s:c r="A419" s="0" t="n">
        <s:v>260813</s:v>
      </s:c>
      <s:c r="B419" s="0" t="inlineStr">
        <s:is>
          <s:t>이종훈</s:t>
        </s:is>
      </s:c>
      <s:c r="C419" s="0" t="n">
        <s:v>130021</s:v>
      </s:c>
      <s:c r="D419" s="0" t="n">
        <s:v>1122</s:v>
      </s:c>
      <s:c r="F419" s="24">
        <s:f>'자료구성'!$B$2+TIME(INT($C$3/10000),INT(MOD($C$3,10000)/100),MOD($C$3,100))+(ROW()-ROW($C$3))/86400</s:f>
        <s:v>46247.54672453704</s:v>
      </s:c>
    </s:row>
    <s:row r="420">
      <s:c r="A420" s="0" t="n">
        <s:v>260813</s:v>
      </s:c>
      <s:c r="B420" s="0" t="inlineStr">
        <s:is>
          <s:t>이종훈</s:t>
        </s:is>
      </s:c>
      <s:c r="C420" s="0" t="n">
        <s:v>130021</s:v>
      </s:c>
      <s:c r="D420" s="0" t="n">
        <s:v>1187</s:v>
      </s:c>
      <s:c r="F420" s="24">
        <s:f>'자료구성'!$B$2+TIME(INT($C$3/10000),INT(MOD($C$3,10000)/100),MOD($C$3,100))+(ROW()-ROW($C$3))/86400</s:f>
        <s:v>46247.54673611111</s:v>
      </s:c>
    </s:row>
    <s:row r="421">
      <s:c r="A421" s="0" t="n">
        <s:v>260813</s:v>
      </s:c>
      <s:c r="B421" s="0" t="inlineStr">
        <s:is>
          <s:t>이종훈</s:t>
        </s:is>
      </s:c>
      <s:c r="C421" s="0" t="n">
        <s:v>130021</s:v>
      </s:c>
      <s:c r="D421" s="0" t="n">
        <s:v>1256</s:v>
      </s:c>
      <s:c r="F421" s="24">
        <s:f>'자료구성'!$B$2+TIME(INT($C$3/10000),INT(MOD($C$3,10000)/100),MOD($C$3,100))+(ROW()-ROW($C$3))/86400</s:f>
        <s:v>46247.546747685185</s:v>
      </s:c>
    </s:row>
    <s:row r="422">
      <s:c r="A422" s="0" t="n">
        <s:v>260813</s:v>
      </s:c>
      <s:c r="B422" s="0" t="inlineStr">
        <s:is>
          <s:t>이종훈</s:t>
        </s:is>
      </s:c>
      <s:c r="C422" s="0" t="n">
        <s:v>130021</s:v>
      </s:c>
      <s:c r="D422" s="0" t="n">
        <s:v>1282</s:v>
      </s:c>
      <s:c r="F422" s="24">
        <s:f>'자료구성'!$B$2+TIME(INT($C$3/10000),INT(MOD($C$3,10000)/100),MOD($C$3,100))+(ROW()-ROW($C$3))/86400</s:f>
        <s:v>46247.54675925926</s:v>
      </s:c>
    </s:row>
    <s:row r="423">
      <s:c r="A423" s="0" t="n">
        <s:v>260813</s:v>
      </s:c>
      <s:c r="B423" s="0" t="inlineStr">
        <s:is>
          <s:t>이종훈</s:t>
        </s:is>
      </s:c>
      <s:c r="C423" s="0" t="n">
        <s:v>130021</s:v>
      </s:c>
      <s:c r="D423" s="0" t="n">
        <s:v>1272</s:v>
      </s:c>
      <s:c r="F423" s="24">
        <s:f>'자료구성'!$B$2+TIME(INT($C$3/10000),INT(MOD($C$3,10000)/100),MOD($C$3,100))+(ROW()-ROW($C$3))/86400</s:f>
        <s:v>46247.54677083333</s:v>
      </s:c>
    </s:row>
    <s:row r="424">
      <s:c r="A424" s="0" t="n">
        <s:v>260813</s:v>
      </s:c>
      <s:c r="B424" s="0" t="inlineStr">
        <s:is>
          <s:t>이종훈</s:t>
        </s:is>
      </s:c>
      <s:c r="C424" s="0" t="n">
        <s:v>130021</s:v>
      </s:c>
      <s:c r="D424" s="0" t="n">
        <s:v>1233</s:v>
      </s:c>
      <s:c r="F424" s="24">
        <s:f>'자료구성'!$B$2+TIME(INT($C$3/10000),INT(MOD($C$3,10000)/100),MOD($C$3,100))+(ROW()-ROW($C$3))/86400</s:f>
        <s:v>46247.54678240741</s:v>
      </s:c>
    </s:row>
    <s:row r="425">
      <s:c r="A425" s="0" t="n">
        <s:v>260813</s:v>
      </s:c>
      <s:c r="B425" s="0" t="inlineStr">
        <s:is>
          <s:t>이종훈</s:t>
        </s:is>
      </s:c>
      <s:c r="C425" s="0" t="n">
        <s:v>130021</s:v>
      </s:c>
      <s:c r="D425" s="0" t="n">
        <s:v>1227</s:v>
      </s:c>
      <s:c r="F425" s="24">
        <s:f>'자료구성'!$B$2+TIME(INT($C$3/10000),INT(MOD($C$3,10000)/100),MOD($C$3,100))+(ROW()-ROW($C$3))/86400</s:f>
        <s:v>46247.546793981484</s:v>
      </s:c>
    </s:row>
    <s:row r="426">
      <s:c r="A426" s="0" t="n">
        <s:v>260813</s:v>
      </s:c>
      <s:c r="B426" s="0" t="inlineStr">
        <s:is>
          <s:t>이종훈</s:t>
        </s:is>
      </s:c>
      <s:c r="C426" s="0" t="n">
        <s:v>130021</s:v>
      </s:c>
      <s:c r="D426" s="0" t="n">
        <s:v>1238</s:v>
      </s:c>
      <s:c r="F426" s="24">
        <s:f>'자료구성'!$B$2+TIME(INT($C$3/10000),INT(MOD($C$3,10000)/100),MOD($C$3,100))+(ROW()-ROW($C$3))/86400</s:f>
        <s:v>46247.546805555554</s:v>
      </s:c>
    </s:row>
    <s:row r="427">
      <s:c r="A427" s="0" t="n">
        <s:v>260813</s:v>
      </s:c>
      <s:c r="B427" s="0" t="inlineStr">
        <s:is>
          <s:t>이종훈</s:t>
        </s:is>
      </s:c>
      <s:c r="C427" s="0" t="n">
        <s:v>130021</s:v>
      </s:c>
      <s:c r="D427" s="0" t="n">
        <s:v>1223</s:v>
      </s:c>
      <s:c r="F427" s="24">
        <s:f>'자료구성'!$B$2+TIME(INT($C$3/10000),INT(MOD($C$3,10000)/100),MOD($C$3,100))+(ROW()-ROW($C$3))/86400</s:f>
        <s:v>46247.54681712963</s:v>
      </s:c>
    </s:row>
    <s:row r="428">
      <s:c r="A428" s="0" t="n">
        <s:v>260813</s:v>
      </s:c>
      <s:c r="B428" s="0" t="inlineStr">
        <s:is>
          <s:t>이종훈</s:t>
        </s:is>
      </s:c>
      <s:c r="C428" s="0" t="n">
        <s:v>130021</s:v>
      </s:c>
      <s:c r="D428" s="0" t="n">
        <s:v>1195</s:v>
      </s:c>
      <s:c r="F428" s="24">
        <s:f>'자료구성'!$B$2+TIME(INT($C$3/10000),INT(MOD($C$3,10000)/100),MOD($C$3,100))+(ROW()-ROW($C$3))/86400</s:f>
        <s:v>46247.5468287037</s:v>
      </s:c>
    </s:row>
    <s:row r="429">
      <s:c r="A429" s="0" t="n">
        <s:v>260813</s:v>
      </s:c>
      <s:c r="B429" s="0" t="inlineStr">
        <s:is>
          <s:t>이종훈</s:t>
        </s:is>
      </s:c>
      <s:c r="C429" s="0" t="n">
        <s:v>130021</s:v>
      </s:c>
      <s:c r="D429" s="0" t="n">
        <s:v>1152</s:v>
      </s:c>
      <s:c r="F429" s="24">
        <s:f>'자료구성'!$B$2+TIME(INT($C$3/10000),INT(MOD($C$3,10000)/100),MOD($C$3,100))+(ROW()-ROW($C$3))/86400</s:f>
        <s:v>46247.54684027778</s:v>
      </s:c>
    </s:row>
    <s:row r="430">
      <s:c r="A430" s="0" t="n">
        <s:v>260813</s:v>
      </s:c>
      <s:c r="B430" s="0" t="inlineStr">
        <s:is>
          <s:t>이종훈</s:t>
        </s:is>
      </s:c>
      <s:c r="C430" s="0" t="n">
        <s:v>130021</s:v>
      </s:c>
      <s:c r="D430" s="0" t="n">
        <s:v>1138</s:v>
      </s:c>
      <s:c r="F430" s="24">
        <s:f>'자료구성'!$B$2+TIME(INT($C$3/10000),INT(MOD($C$3,10000)/100),MOD($C$3,100))+(ROW()-ROW($C$3))/86400</s:f>
        <s:v>46247.546851851854</s:v>
      </s:c>
    </s:row>
    <s:row r="431">
      <s:c r="A431" s="0" t="n">
        <s:v>260813</s:v>
      </s:c>
      <s:c r="B431" s="0" t="inlineStr">
        <s:is>
          <s:t>이종훈</s:t>
        </s:is>
      </s:c>
      <s:c r="C431" s="0" t="n">
        <s:v>130021</s:v>
      </s:c>
      <s:c r="D431" s="0" t="n">
        <s:v>1176</s:v>
      </s:c>
      <s:c r="F431" s="24">
        <s:f>'자료구성'!$B$2+TIME(INT($C$3/10000),INT(MOD($C$3,10000)/100),MOD($C$3,100))+(ROW()-ROW($C$3))/86400</s:f>
        <s:v>46247.54686342592</s:v>
      </s:c>
    </s:row>
    <s:row r="432">
      <s:c r="A432" s="0" t="n">
        <s:v>260813</s:v>
      </s:c>
      <s:c r="B432" s="0" t="inlineStr">
        <s:is>
          <s:t>이종훈</s:t>
        </s:is>
      </s:c>
      <s:c r="C432" s="0" t="n">
        <s:v>130021</s:v>
      </s:c>
      <s:c r="D432" s="0" t="n">
        <s:v>1223</s:v>
      </s:c>
      <s:c r="F432" s="24">
        <s:f>'자료구성'!$B$2+TIME(INT($C$3/10000),INT(MOD($C$3,10000)/100),MOD($C$3,100))+(ROW()-ROW($C$3))/86400</s:f>
        <s:v>46247.546875</s:v>
      </s:c>
    </s:row>
    <s:row r="433">
      <s:c r="A433" s="0" t="n">
        <s:v>260813</s:v>
      </s:c>
      <s:c r="B433" s="0" t="inlineStr">
        <s:is>
          <s:t>이종훈</s:t>
        </s:is>
      </s:c>
      <s:c r="C433" s="0" t="n">
        <s:v>130021</s:v>
      </s:c>
      <s:c r="D433" s="0" t="n">
        <s:v>1239</s:v>
      </s:c>
      <s:c r="F433" s="24">
        <s:f>'자료구성'!$B$2+TIME(INT($C$3/10000),INT(MOD($C$3,10000)/100),MOD($C$3,100))+(ROW()-ROW($C$3))/86400</s:f>
        <s:v>46247.54688657408</s:v>
      </s:c>
    </s:row>
    <s:row r="434">
      <s:c r="A434" s="0" t="n">
        <s:v>260813</s:v>
      </s:c>
      <s:c r="B434" s="0" t="inlineStr">
        <s:is>
          <s:t>이종훈</s:t>
        </s:is>
      </s:c>
      <s:c r="C434" s="0" t="n">
        <s:v>130021</s:v>
      </s:c>
      <s:c r="D434" s="0" t="n">
        <s:v>1244</s:v>
      </s:c>
      <s:c r="F434" s="24">
        <s:f>'자료구성'!$B$2+TIME(INT($C$3/10000),INT(MOD($C$3,10000)/100),MOD($C$3,100))+(ROW()-ROW($C$3))/86400</s:f>
        <s:v>46247.546898148146</s:v>
      </s:c>
    </s:row>
    <s:row r="435">
      <s:c r="A435" s="0" t="n">
        <s:v>260813</s:v>
      </s:c>
      <s:c r="B435" s="0" t="inlineStr">
        <s:is>
          <s:t>이종훈</s:t>
        </s:is>
      </s:c>
      <s:c r="C435" s="0" t="n">
        <s:v>130021</s:v>
      </s:c>
      <s:c r="D435" s="0" t="n">
        <s:v>1215</s:v>
      </s:c>
      <s:c r="F435" s="24">
        <s:f>'자료구성'!$B$2+TIME(INT($C$3/10000),INT(MOD($C$3,10000)/100),MOD($C$3,100))+(ROW()-ROW($C$3))/86400</s:f>
        <s:v>46247.54690972222</s:v>
      </s:c>
    </s:row>
    <s:row r="436">
      <s:c r="A436" s="0" t="n">
        <s:v>260813</s:v>
      </s:c>
      <s:c r="B436" s="0" t="inlineStr">
        <s:is>
          <s:t>이종훈</s:t>
        </s:is>
      </s:c>
      <s:c r="C436" s="0" t="n">
        <s:v>130021</s:v>
      </s:c>
      <s:c r="D436" s="0" t="n">
        <s:v>1192</s:v>
      </s:c>
      <s:c r="F436" s="24">
        <s:f>'자료구성'!$B$2+TIME(INT($C$3/10000),INT(MOD($C$3,10000)/100),MOD($C$3,100))+(ROW()-ROW($C$3))/86400</s:f>
        <s:v>46247.5469212963</s:v>
      </s:c>
    </s:row>
    <s:row r="437">
      <s:c r="A437" s="0" t="n">
        <s:v>260813</s:v>
      </s:c>
      <s:c r="B437" s="0" t="inlineStr">
        <s:is>
          <s:t>이종훈</s:t>
        </s:is>
      </s:c>
      <s:c r="C437" s="0" t="n">
        <s:v>130021</s:v>
      </s:c>
      <s:c r="D437" s="0" t="n">
        <s:v>1202</s:v>
      </s:c>
      <s:c r="F437" s="24">
        <s:f>'자료구성'!$B$2+TIME(INT($C$3/10000),INT(MOD($C$3,10000)/100),MOD($C$3,100))+(ROW()-ROW($C$3))/86400</s:f>
        <s:v>46247.54693287037</s:v>
      </s:c>
    </s:row>
    <s:row r="438">
      <s:c r="A438" s="0" t="n">
        <s:v>260813</s:v>
      </s:c>
      <s:c r="B438" s="0" t="inlineStr">
        <s:is>
          <s:t>이종훈</s:t>
        </s:is>
      </s:c>
      <s:c r="C438" s="0" t="n">
        <s:v>130021</s:v>
      </s:c>
      <s:c r="D438" s="0" t="n">
        <s:v>1202</s:v>
      </s:c>
      <s:c r="F438" s="24">
        <s:f>'자료구성'!$B$2+TIME(INT($C$3/10000),INT(MOD($C$3,10000)/100),MOD($C$3,100))+(ROW()-ROW($C$3))/86400</s:f>
        <s:v>46247.546944444446</s:v>
      </s:c>
    </s:row>
    <s:row r="439">
      <s:c r="A439" s="0" t="n">
        <s:v>260813</s:v>
      </s:c>
      <s:c r="B439" s="0" t="inlineStr">
        <s:is>
          <s:t>이종훈</s:t>
        </s:is>
      </s:c>
      <s:c r="C439" s="0" t="n">
        <s:v>130021</s:v>
      </s:c>
      <s:c r="D439" s="0" t="n">
        <s:v>1215</s:v>
      </s:c>
      <s:c r="F439" s="24">
        <s:f>'자료구성'!$B$2+TIME(INT($C$3/10000),INT(MOD($C$3,10000)/100),MOD($C$3,100))+(ROW()-ROW($C$3))/86400</s:f>
        <s:v>46247.546956018516</s:v>
      </s:c>
    </s:row>
    <s:row r="440">
      <s:c r="A440" s="0" t="n">
        <s:v>260813</s:v>
      </s:c>
      <s:c r="B440" s="0" t="inlineStr">
        <s:is>
          <s:t>이종훈</s:t>
        </s:is>
      </s:c>
      <s:c r="C440" s="0" t="n">
        <s:v>130021</s:v>
      </s:c>
      <s:c r="D440" s="0" t="n">
        <s:v>1210</s:v>
      </s:c>
      <s:c r="F440" s="24">
        <s:f>'자료구성'!$B$2+TIME(INT($C$3/10000),INT(MOD($C$3,10000)/100),MOD($C$3,100))+(ROW()-ROW($C$3))/86400</s:f>
        <s:v>46247.54696759259</s:v>
      </s:c>
    </s:row>
    <s:row r="441">
      <s:c r="A441" s="0" t="n">
        <s:v>260813</s:v>
      </s:c>
      <s:c r="B441" s="0" t="inlineStr">
        <s:is>
          <s:t>이종훈</s:t>
        </s:is>
      </s:c>
      <s:c r="C441" s="0" t="n">
        <s:v>130021</s:v>
      </s:c>
      <s:c r="D441" s="0" t="n">
        <s:v>1217</s:v>
      </s:c>
      <s:c r="F441" s="24">
        <s:f>'자료구성'!$B$2+TIME(INT($C$3/10000),INT(MOD($C$3,10000)/100),MOD($C$3,100))+(ROW()-ROW($C$3))/86400</s:f>
        <s:v>46247.54697916667</s:v>
      </s:c>
    </s:row>
    <s:row r="442">
      <s:c r="A442" s="0" t="n">
        <s:v>260813</s:v>
      </s:c>
      <s:c r="B442" s="0" t="inlineStr">
        <s:is>
          <s:t>이종훈</s:t>
        </s:is>
      </s:c>
      <s:c r="C442" s="0" t="n">
        <s:v>130021</s:v>
      </s:c>
      <s:c r="D442" s="0" t="n">
        <s:v>1211</s:v>
      </s:c>
      <s:c r="F442" s="24">
        <s:f>'자료구성'!$B$2+TIME(INT($C$3/10000),INT(MOD($C$3,10000)/100),MOD($C$3,100))+(ROW()-ROW($C$3))/86400</s:f>
        <s:v>46247.54699074074</s:v>
      </s:c>
    </s:row>
    <s:row r="443">
      <s:c r="A443" s="0" t="n">
        <s:v>260813</s:v>
      </s:c>
      <s:c r="B443" s="0" t="inlineStr">
        <s:is>
          <s:t>이종훈</s:t>
        </s:is>
      </s:c>
      <s:c r="C443" s="0" t="n">
        <s:v>130021</s:v>
      </s:c>
      <s:c r="D443" s="0" t="n">
        <s:v>1228</s:v>
      </s:c>
      <s:c r="F443" s="24">
        <s:f>'자료구성'!$B$2+TIME(INT($C$3/10000),INT(MOD($C$3,10000)/100),MOD($C$3,100))+(ROW()-ROW($C$3))/86400</s:f>
        <s:v>46247.547002314815</s:v>
      </s:c>
    </s:row>
    <s:row r="444">
      <s:c r="A444" s="0" t="n">
        <s:v>260813</s:v>
      </s:c>
      <s:c r="B444" s="0" t="inlineStr">
        <s:is>
          <s:t>이종훈</s:t>
        </s:is>
      </s:c>
      <s:c r="C444" s="0" t="n">
        <s:v>130021</s:v>
      </s:c>
      <s:c r="D444" s="0" t="n">
        <s:v>1246</s:v>
      </s:c>
      <s:c r="F444" s="24">
        <s:f>'자료구성'!$B$2+TIME(INT($C$3/10000),INT(MOD($C$3,10000)/100),MOD($C$3,100))+(ROW()-ROW($C$3))/86400</s:f>
        <s:v>46247.54701388889</s:v>
      </s:c>
    </s:row>
    <s:row r="445">
      <s:c r="A445" s="0" t="n">
        <s:v>260813</s:v>
      </s:c>
      <s:c r="B445" s="0" t="inlineStr">
        <s:is>
          <s:t>이종훈</s:t>
        </s:is>
      </s:c>
      <s:c r="C445" s="0" t="n">
        <s:v>130021</s:v>
      </s:c>
      <s:c r="D445" s="0" t="n">
        <s:v>1217</s:v>
      </s:c>
      <s:c r="F445" s="24">
        <s:f>'자료구성'!$B$2+TIME(INT($C$3/10000),INT(MOD($C$3,10000)/100),MOD($C$3,100))+(ROW()-ROW($C$3))/86400</s:f>
        <s:v>46247.54702546296</s:v>
      </s:c>
    </s:row>
    <s:row r="446">
      <s:c r="A446" s="0" t="n">
        <s:v>260813</s:v>
      </s:c>
      <s:c r="B446" s="0" t="inlineStr">
        <s:is>
          <s:t>이종훈</s:t>
        </s:is>
      </s:c>
      <s:c r="C446" s="0" t="n">
        <s:v>130021</s:v>
      </s:c>
      <s:c r="D446" s="0" t="n">
        <s:v>1188</s:v>
      </s:c>
      <s:c r="F446" s="24">
        <s:f>'자료구성'!$B$2+TIME(INT($C$3/10000),INT(MOD($C$3,10000)/100),MOD($C$3,100))+(ROW()-ROW($C$3))/86400</s:f>
        <s:v>46247.54703703704</s:v>
      </s:c>
    </s:row>
    <s:row r="447">
      <s:c r="A447" s="0" t="n">
        <s:v>260813</s:v>
      </s:c>
      <s:c r="B447" s="0" t="inlineStr">
        <s:is>
          <s:t>이종훈</s:t>
        </s:is>
      </s:c>
      <s:c r="C447" s="0" t="n">
        <s:v>130021</s:v>
      </s:c>
      <s:c r="D447" s="0" t="n">
        <s:v>1159</s:v>
      </s:c>
      <s:c r="F447" s="24">
        <s:f>'자료구성'!$B$2+TIME(INT($C$3/10000),INT(MOD($C$3,10000)/100),MOD($C$3,100))+(ROW()-ROW($C$3))/86400</s:f>
        <s:v>46247.54704861111</s:v>
      </s:c>
    </s:row>
    <s:row r="448">
      <s:c r="A448" s="0" t="n">
        <s:v>260813</s:v>
      </s:c>
      <s:c r="B448" s="0" t="inlineStr">
        <s:is>
          <s:t>이종훈</s:t>
        </s:is>
      </s:c>
      <s:c r="C448" s="0" t="n">
        <s:v>130021</s:v>
      </s:c>
      <s:c r="D448" s="0" t="n">
        <s:v>1148</s:v>
      </s:c>
      <s:c r="F448" s="24">
        <s:f>'자료구성'!$B$2+TIME(INT($C$3/10000),INT(MOD($C$3,10000)/100),MOD($C$3,100))+(ROW()-ROW($C$3))/86400</s:f>
        <s:v>46247.547060185185</s:v>
      </s:c>
    </s:row>
    <s:row r="449">
      <s:c r="A449" s="0" t="n">
        <s:v>260813</s:v>
      </s:c>
      <s:c r="B449" s="0" t="inlineStr">
        <s:is>
          <s:t>이종훈</s:t>
        </s:is>
      </s:c>
      <s:c r="C449" s="0" t="n">
        <s:v>130021</s:v>
      </s:c>
      <s:c r="D449" s="0" t="n">
        <s:v>1148</s:v>
      </s:c>
      <s:c r="F449" s="24">
        <s:f>'자료구성'!$B$2+TIME(INT($C$3/10000),INT(MOD($C$3,10000)/100),MOD($C$3,100))+(ROW()-ROW($C$3))/86400</s:f>
        <s:v>46247.54707175926</s:v>
      </s:c>
    </s:row>
    <s:row r="450">
      <s:c r="A450" s="0" t="n">
        <s:v>260813</s:v>
      </s:c>
      <s:c r="B450" s="0" t="inlineStr">
        <s:is>
          <s:t>이종훈</s:t>
        </s:is>
      </s:c>
      <s:c r="C450" s="0" t="n">
        <s:v>130021</s:v>
      </s:c>
      <s:c r="D450" s="0" t="n">
        <s:v>1185</s:v>
      </s:c>
      <s:c r="F450" s="24">
        <s:f>'자료구성'!$B$2+TIME(INT($C$3/10000),INT(MOD($C$3,10000)/100),MOD($C$3,100))+(ROW()-ROW($C$3))/86400</s:f>
        <s:v>46247.54708333333</s:v>
      </s:c>
    </s:row>
    <s:row r="451">
      <s:c r="A451" s="0" t="n">
        <s:v>260813</s:v>
      </s:c>
      <s:c r="B451" s="0" t="inlineStr">
        <s:is>
          <s:t>이종훈</s:t>
        </s:is>
      </s:c>
      <s:c r="C451" s="0" t="n">
        <s:v>130021</s:v>
      </s:c>
      <s:c r="D451" s="0" t="n">
        <s:v>1227</s:v>
      </s:c>
      <s:c r="F451" s="24">
        <s:f>'자료구성'!$B$2+TIME(INT($C$3/10000),INT(MOD($C$3,10000)/100),MOD($C$3,100))+(ROW()-ROW($C$3))/86400</s:f>
        <s:v>46247.54709490741</s:v>
      </s:c>
    </s:row>
    <s:row r="452">
      <s:c r="A452" s="0" t="n">
        <s:v>260813</s:v>
      </s:c>
      <s:c r="B452" s="0" t="inlineStr">
        <s:is>
          <s:t>이종훈</s:t>
        </s:is>
      </s:c>
      <s:c r="C452" s="0" t="n">
        <s:v>130021</s:v>
      </s:c>
      <s:c r="D452" s="0" t="n">
        <s:v>1268</s:v>
      </s:c>
      <s:c r="F452" s="24">
        <s:f>'자료구성'!$B$2+TIME(INT($C$3/10000),INT(MOD($C$3,10000)/100),MOD($C$3,100))+(ROW()-ROW($C$3))/86400</s:f>
        <s:v>46247.547106481485</s:v>
      </s:c>
    </s:row>
    <s:row r="453">
      <s:c r="A453" s="0" t="n">
        <s:v>260813</s:v>
      </s:c>
      <s:c r="B453" s="0" t="inlineStr">
        <s:is>
          <s:t>이종훈</s:t>
        </s:is>
      </s:c>
      <s:c r="C453" s="0" t="n">
        <s:v>130021</s:v>
      </s:c>
      <s:c r="D453" s="0" t="n">
        <s:v>1276</s:v>
      </s:c>
      <s:c r="F453" s="24">
        <s:f>'자료구성'!$B$2+TIME(INT($C$3/10000),INT(MOD($C$3,10000)/100),MOD($C$3,100))+(ROW()-ROW($C$3))/86400</s:f>
        <s:v>46247.547118055554</s:v>
      </s:c>
    </s:row>
    <s:row r="454">
      <s:c r="A454" s="0" t="n">
        <s:v>260813</s:v>
      </s:c>
      <s:c r="B454" s="0" t="inlineStr">
        <s:is>
          <s:t>이종훈</s:t>
        </s:is>
      </s:c>
      <s:c r="C454" s="0" t="n">
        <s:v>130021</s:v>
      </s:c>
      <s:c r="D454" s="0" t="n">
        <s:v>1356</s:v>
      </s:c>
      <s:c r="F454" s="24">
        <s:f>'자료구성'!$B$2+TIME(INT($C$3/10000),INT(MOD($C$3,10000)/100),MOD($C$3,100))+(ROW()-ROW($C$3))/86400</s:f>
        <s:v>46247.54712962963</s:v>
      </s:c>
    </s:row>
    <s:row r="455">
      <s:c r="A455" s="0" t="n">
        <s:v>260813</s:v>
      </s:c>
      <s:c r="B455" s="0" t="inlineStr">
        <s:is>
          <s:t>이종훈</s:t>
        </s:is>
      </s:c>
      <s:c r="C455" s="0" t="n">
        <s:v>130021</s:v>
      </s:c>
      <s:c r="D455" s="0" t="n">
        <s:v>1401</s:v>
      </s:c>
      <s:c r="F455" s="24">
        <s:f>'자료구성'!$B$2+TIME(INT($C$3/10000),INT(MOD($C$3,10000)/100),MOD($C$3,100))+(ROW()-ROW($C$3))/86400</s:f>
        <s:v>46247.5471412037</s:v>
      </s:c>
    </s:row>
    <s:row r="456">
      <s:c r="A456" s="0" t="n">
        <s:v>260813</s:v>
      </s:c>
      <s:c r="B456" s="0" t="inlineStr">
        <s:is>
          <s:t>이종훈</s:t>
        </s:is>
      </s:c>
      <s:c r="C456" s="0" t="n">
        <s:v>130021</s:v>
      </s:c>
      <s:c r="D456" s="0" t="n">
        <s:v>1445</s:v>
      </s:c>
      <s:c r="F456" s="24">
        <s:f>'자료구성'!$B$2+TIME(INT($C$3/10000),INT(MOD($C$3,10000)/100),MOD($C$3,100))+(ROW()-ROW($C$3))/86400</s:f>
        <s:v>46247.54715277778</s:v>
      </s:c>
    </s:row>
    <s:row r="457">
      <s:c r="A457" s="0" t="n">
        <s:v>260813</s:v>
      </s:c>
      <s:c r="B457" s="0" t="inlineStr">
        <s:is>
          <s:t>이종훈</s:t>
        </s:is>
      </s:c>
      <s:c r="C457" s="0" t="n">
        <s:v>130021</s:v>
      </s:c>
      <s:c r="D457" s="0" t="n">
        <s:v>1413</s:v>
      </s:c>
      <s:c r="F457" s="24">
        <s:f>'자료구성'!$B$2+TIME(INT($C$3/10000),INT(MOD($C$3,10000)/100),MOD($C$3,100))+(ROW()-ROW($C$3))/86400</s:f>
        <s:v>46247.547164351854</s:v>
      </s:c>
    </s:row>
    <s:row r="458">
      <s:c r="A458" s="0" t="n">
        <s:v>260813</s:v>
      </s:c>
      <s:c r="B458" s="0" t="inlineStr">
        <s:is>
          <s:t>이종훈</s:t>
        </s:is>
      </s:c>
      <s:c r="C458" s="0" t="n">
        <s:v>130021</s:v>
      </s:c>
      <s:c r="D458" s="0" t="n">
        <s:v>1434</s:v>
      </s:c>
      <s:c r="F458" s="24">
        <s:f>'자료구성'!$B$2+TIME(INT($C$3/10000),INT(MOD($C$3,10000)/100),MOD($C$3,100))+(ROW()-ROW($C$3))/86400</s:f>
        <s:v>46247.54717592592</s:v>
      </s:c>
    </s:row>
    <s:row r="459">
      <s:c r="A459" s="0" t="n">
        <s:v>260813</s:v>
      </s:c>
      <s:c r="B459" s="0" t="inlineStr">
        <s:is>
          <s:t>이종훈</s:t>
        </s:is>
      </s:c>
      <s:c r="C459" s="0" t="n">
        <s:v>130021</s:v>
      </s:c>
      <s:c r="D459" s="0" t="n">
        <s:v>1442</s:v>
      </s:c>
      <s:c r="F459" s="24">
        <s:f>'자료구성'!$B$2+TIME(INT($C$3/10000),INT(MOD($C$3,10000)/100),MOD($C$3,100))+(ROW()-ROW($C$3))/86400</s:f>
        <s:v>46247.5471875</s:v>
      </s:c>
    </s:row>
    <s:row r="460">
      <s:c r="A460" s="0" t="n">
        <s:v>260813</s:v>
      </s:c>
      <s:c r="B460" s="0" t="inlineStr">
        <s:is>
          <s:t>이종훈</s:t>
        </s:is>
      </s:c>
      <s:c r="C460" s="0" t="n">
        <s:v>130021</s:v>
      </s:c>
      <s:c r="D460" s="0" t="n">
        <s:v>1477</s:v>
      </s:c>
      <s:c r="F460" s="24">
        <s:f>'자료구성'!$B$2+TIME(INT($C$3/10000),INT(MOD($C$3,10000)/100),MOD($C$3,100))+(ROW()-ROW($C$3))/86400</s:f>
        <s:v>46247.54719907408</s:v>
      </s:c>
    </s:row>
    <s:row r="461">
      <s:c r="A461" s="0" t="n">
        <s:v>260813</s:v>
      </s:c>
      <s:c r="B461" s="0" t="inlineStr">
        <s:is>
          <s:t>이종훈</s:t>
        </s:is>
      </s:c>
      <s:c r="C461" s="0" t="n">
        <s:v>130021</s:v>
      </s:c>
      <s:c r="D461" s="0" t="n">
        <s:v>1522</s:v>
      </s:c>
      <s:c r="F461" s="24">
        <s:f>'자료구성'!$B$2+TIME(INT($C$3/10000),INT(MOD($C$3,10000)/100),MOD($C$3,100))+(ROW()-ROW($C$3))/86400</s:f>
        <s:v>46247.54721064815</s:v>
      </s:c>
    </s:row>
    <s:row r="462">
      <s:c r="A462" s="0" t="n">
        <s:v>260813</s:v>
      </s:c>
      <s:c r="B462" s="0" t="inlineStr">
        <s:is>
          <s:t>이종훈</s:t>
        </s:is>
      </s:c>
      <s:c r="C462" s="0" t="n">
        <s:v>130021</s:v>
      </s:c>
      <s:c r="D462" s="0" t="n">
        <s:v>1551</s:v>
      </s:c>
      <s:c r="F462" s="24">
        <s:f>'자료구성'!$B$2+TIME(INT($C$3/10000),INT(MOD($C$3,10000)/100),MOD($C$3,100))+(ROW()-ROW($C$3))/86400</s:f>
        <s:v>46247.54722222222</s:v>
      </s:c>
    </s:row>
    <s:row r="463">
      <s:c r="A463" s="0" t="n">
        <s:v>260813</s:v>
      </s:c>
      <s:c r="B463" s="0" t="inlineStr">
        <s:is>
          <s:t>이종훈</s:t>
        </s:is>
      </s:c>
      <s:c r="C463" s="0" t="n">
        <s:v>130021</s:v>
      </s:c>
      <s:c r="D463" s="0" t="n">
        <s:v>1583</s:v>
      </s:c>
      <s:c r="F463" s="24">
        <s:f>'자료구성'!$B$2+TIME(INT($C$3/10000),INT(MOD($C$3,10000)/100),MOD($C$3,100))+(ROW()-ROW($C$3))/86400</s:f>
        <s:v>46247.54723379629</s:v>
      </s:c>
    </s:row>
    <s:row r="464">
      <s:c r="A464" s="0" t="n">
        <s:v>260813</s:v>
      </s:c>
      <s:c r="B464" s="0" t="inlineStr">
        <s:is>
          <s:t>이종훈</s:t>
        </s:is>
      </s:c>
      <s:c r="C464" s="0" t="n">
        <s:v>130021</s:v>
      </s:c>
      <s:c r="D464" s="0" t="n">
        <s:v>1600</s:v>
      </s:c>
      <s:c r="F464" s="24">
        <s:f>'자료구성'!$B$2+TIME(INT($C$3/10000),INT(MOD($C$3,10000)/100),MOD($C$3,100))+(ROW()-ROW($C$3))/86400</s:f>
        <s:v>46247.54724537037</s:v>
      </s:c>
    </s:row>
    <s:row r="465">
      <s:c r="A465" s="0" t="n">
        <s:v>260813</s:v>
      </s:c>
      <s:c r="B465" s="0" t="inlineStr">
        <s:is>
          <s:t>이종훈</s:t>
        </s:is>
      </s:c>
      <s:c r="C465" s="0" t="n">
        <s:v>130021</s:v>
      </s:c>
      <s:c r="D465" s="0" t="n">
        <s:v>1582</s:v>
      </s:c>
      <s:c r="F465" s="24">
        <s:f>'자료구성'!$B$2+TIME(INT($C$3/10000),INT(MOD($C$3,10000)/100),MOD($C$3,100))+(ROW()-ROW($C$3))/86400</s:f>
        <s:v>46247.54725694445</s:v>
      </s:c>
    </s:row>
    <s:row r="466">
      <s:c r="A466" s="0" t="n">
        <s:v>260813</s:v>
      </s:c>
      <s:c r="B466" s="0" t="inlineStr">
        <s:is>
          <s:t>이종훈</s:t>
        </s:is>
      </s:c>
      <s:c r="C466" s="0" t="n">
        <s:v>130021</s:v>
      </s:c>
      <s:c r="D466" s="0" t="n">
        <s:v>1605</s:v>
      </s:c>
      <s:c r="F466" s="24">
        <s:f>'자료구성'!$B$2+TIME(INT($C$3/10000),INT(MOD($C$3,10000)/100),MOD($C$3,100))+(ROW()-ROW($C$3))/86400</s:f>
        <s:v>46247.547268518516</s:v>
      </s:c>
    </s:row>
    <s:row r="467">
      <s:c r="A467" s="0" t="n">
        <s:v>260813</s:v>
      </s:c>
      <s:c r="B467" s="0" t="inlineStr">
        <s:is>
          <s:t>이종훈</s:t>
        </s:is>
      </s:c>
      <s:c r="C467" s="0" t="n">
        <s:v>130021</s:v>
      </s:c>
      <s:c r="D467" s="0" t="n">
        <s:v>1603</s:v>
      </s:c>
      <s:c r="F467" s="24">
        <s:f>'자료구성'!$B$2+TIME(INT($C$3/10000),INT(MOD($C$3,10000)/100),MOD($C$3,100))+(ROW()-ROW($C$3))/86400</s:f>
        <s:v>46247.54728009259</s:v>
      </s:c>
    </s:row>
    <s:row r="468">
      <s:c r="A468" s="0" t="n">
        <s:v>260813</s:v>
      </s:c>
      <s:c r="B468" s="0" t="inlineStr">
        <s:is>
          <s:t>이종훈</s:t>
        </s:is>
      </s:c>
      <s:c r="C468" s="0" t="n">
        <s:v>130021</s:v>
      </s:c>
      <s:c r="D468" s="0" t="n">
        <s:v>1606</s:v>
      </s:c>
      <s:c r="F468" s="24">
        <s:f>'자료구성'!$B$2+TIME(INT($C$3/10000),INT(MOD($C$3,10000)/100),MOD($C$3,100))+(ROW()-ROW($C$3))/86400</s:f>
        <s:v>46247.54729166667</s:v>
      </s:c>
    </s:row>
    <s:row r="469">
      <s:c r="A469" s="0" t="n">
        <s:v>260813</s:v>
      </s:c>
      <s:c r="B469" s="0" t="inlineStr">
        <s:is>
          <s:t>이종훈</s:t>
        </s:is>
      </s:c>
      <s:c r="C469" s="0" t="n">
        <s:v>130021</s:v>
      </s:c>
      <s:c r="D469" s="0" t="n">
        <s:v>1595</s:v>
      </s:c>
      <s:c r="F469" s="24">
        <s:f>'자료구성'!$B$2+TIME(INT($C$3/10000),INT(MOD($C$3,10000)/100),MOD($C$3,100))+(ROW()-ROW($C$3))/86400</s:f>
        <s:v>46247.54730324074</s:v>
      </s:c>
    </s:row>
    <s:row r="470">
      <s:c r="A470" s="0" t="n">
        <s:v>260813</s:v>
      </s:c>
      <s:c r="B470" s="0" t="inlineStr">
        <s:is>
          <s:t>이종훈</s:t>
        </s:is>
      </s:c>
      <s:c r="C470" s="0" t="n">
        <s:v>130021</s:v>
      </s:c>
      <s:c r="D470" s="0" t="n">
        <s:v>1590</s:v>
      </s:c>
      <s:c r="F470" s="24">
        <s:f>'자료구성'!$B$2+TIME(INT($C$3/10000),INT(MOD($C$3,10000)/100),MOD($C$3,100))+(ROW()-ROW($C$3))/86400</s:f>
        <s:v>46247.547314814816</s:v>
      </s:c>
    </s:row>
    <s:row r="471">
      <s:c r="A471" s="0" t="n">
        <s:v>260813</s:v>
      </s:c>
      <s:c r="B471" s="0" t="inlineStr">
        <s:is>
          <s:t>이종훈</s:t>
        </s:is>
      </s:c>
      <s:c r="C471" s="0" t="n">
        <s:v>130021</s:v>
      </s:c>
      <s:c r="D471" s="0" t="n">
        <s:v>1603</s:v>
      </s:c>
      <s:c r="F471" s="24">
        <s:f>'자료구성'!$B$2+TIME(INT($C$3/10000),INT(MOD($C$3,10000)/100),MOD($C$3,100))+(ROW()-ROW($C$3))/86400</s:f>
        <s:v>46247.547326388885</s:v>
      </s:c>
    </s:row>
    <s:row r="472">
      <s:c r="A472" s="0" t="n">
        <s:v>260813</s:v>
      </s:c>
      <s:c r="B472" s="0" t="inlineStr">
        <s:is>
          <s:t>이종훈</s:t>
        </s:is>
      </s:c>
      <s:c r="C472" s="0" t="n">
        <s:v>130021</s:v>
      </s:c>
      <s:c r="D472" s="0" t="n">
        <s:v>1628</s:v>
      </s:c>
      <s:c r="F472" s="24">
        <s:f>'자료구성'!$B$2+TIME(INT($C$3/10000),INT(MOD($C$3,10000)/100),MOD($C$3,100))+(ROW()-ROW($C$3))/86400</s:f>
        <s:v>46247.54733796296</s:v>
      </s:c>
    </s:row>
    <s:row r="473">
      <s:c r="A473" s="0" t="n">
        <s:v>260813</s:v>
      </s:c>
      <s:c r="B473" s="0" t="inlineStr">
        <s:is>
          <s:t>이종훈</s:t>
        </s:is>
      </s:c>
      <s:c r="C473" s="0" t="n">
        <s:v>130021</s:v>
      </s:c>
      <s:c r="D473" s="0" t="n">
        <s:v>1657</s:v>
      </s:c>
      <s:c r="F473" s="24">
        <s:f>'자료구성'!$B$2+TIME(INT($C$3/10000),INT(MOD($C$3,10000)/100),MOD($C$3,100))+(ROW()-ROW($C$3))/86400</s:f>
        <s:v>46247.54734953704</s:v>
      </s:c>
    </s:row>
    <s:row r="474">
      <s:c r="A474" s="0" t="n">
        <s:v>260813</s:v>
      </s:c>
      <s:c r="B474" s="0" t="inlineStr">
        <s:is>
          <s:t>이종훈</s:t>
        </s:is>
      </s:c>
      <s:c r="C474" s="0" t="n">
        <s:v>130021</s:v>
      </s:c>
      <s:c r="D474" s="0" t="n">
        <s:v>1668</s:v>
      </s:c>
      <s:c r="F474" s="24">
        <s:f>'자료구성'!$B$2+TIME(INT($C$3/10000),INT(MOD($C$3,10000)/100),MOD($C$3,100))+(ROW()-ROW($C$3))/86400</s:f>
        <s:v>46247.54736111111</s:v>
      </s:c>
    </s:row>
    <s:row r="475">
      <s:c r="A475" s="0" t="n">
        <s:v>260813</s:v>
      </s:c>
      <s:c r="B475" s="0" t="inlineStr">
        <s:is>
          <s:t>이종훈</s:t>
        </s:is>
      </s:c>
      <s:c r="C475" s="0" t="n">
        <s:v>130021</s:v>
      </s:c>
      <s:c r="D475" s="0" t="n">
        <s:v>1617</s:v>
      </s:c>
      <s:c r="F475" s="24">
        <s:f>'자료구성'!$B$2+TIME(INT($C$3/10000),INT(MOD($C$3,10000)/100),MOD($C$3,100))+(ROW()-ROW($C$3))/86400</s:f>
        <s:v>46247.547372685185</s:v>
      </s:c>
    </s:row>
    <s:row r="476">
      <s:c r="A476" s="0" t="n">
        <s:v>260813</s:v>
      </s:c>
      <s:c r="B476" s="0" t="inlineStr">
        <s:is>
          <s:t>이종훈</s:t>
        </s:is>
      </s:c>
      <s:c r="C476" s="0" t="n">
        <s:v>130021</s:v>
      </s:c>
      <s:c r="D476" s="0" t="n">
        <s:v>1582</s:v>
      </s:c>
      <s:c r="F476" s="24">
        <s:f>'자료구성'!$B$2+TIME(INT($C$3/10000),INT(MOD($C$3,10000)/100),MOD($C$3,100))+(ROW()-ROW($C$3))/86400</s:f>
        <s:v>46247.54738425926</s:v>
      </s:c>
    </s:row>
    <s:row r="477">
      <s:c r="A477" s="0" t="n">
        <s:v>260813</s:v>
      </s:c>
      <s:c r="B477" s="0" t="inlineStr">
        <s:is>
          <s:t>이종훈</s:t>
        </s:is>
      </s:c>
      <s:c r="C477" s="0" t="n">
        <s:v>130021</s:v>
      </s:c>
      <s:c r="D477" s="0" t="n">
        <s:v>1573</s:v>
      </s:c>
      <s:c r="F477" s="24">
        <s:f>'자료구성'!$B$2+TIME(INT($C$3/10000),INT(MOD($C$3,10000)/100),MOD($C$3,100))+(ROW()-ROW($C$3))/86400</s:f>
        <s:v>46247.54739583333</s:v>
      </s:c>
    </s:row>
    <s:row r="478">
      <s:c r="A478" s="0" t="n">
        <s:v>260813</s:v>
      </s:c>
      <s:c r="B478" s="0" t="inlineStr">
        <s:is>
          <s:t>이종훈</s:t>
        </s:is>
      </s:c>
      <s:c r="C478" s="0" t="n">
        <s:v>130021</s:v>
      </s:c>
      <s:c r="D478" s="0" t="n">
        <s:v>1581</s:v>
      </s:c>
      <s:c r="F478" s="24">
        <s:f>'자료구성'!$B$2+TIME(INT($C$3/10000),INT(MOD($C$3,10000)/100),MOD($C$3,100))+(ROW()-ROW($C$3))/86400</s:f>
        <s:v>46247.54740740741</s:v>
      </s:c>
    </s:row>
    <s:row r="479">
      <s:c r="A479" s="0" t="n">
        <s:v>260813</s:v>
      </s:c>
      <s:c r="B479" s="0" t="inlineStr">
        <s:is>
          <s:t>이종훈</s:t>
        </s:is>
      </s:c>
      <s:c r="C479" s="0" t="n">
        <s:v>130021</s:v>
      </s:c>
      <s:c r="D479" s="0" t="n">
        <s:v>1602</s:v>
      </s:c>
      <s:c r="F479" s="24">
        <s:f>'자료구성'!$B$2+TIME(INT($C$3/10000),INT(MOD($C$3,10000)/100),MOD($C$3,100))+(ROW()-ROW($C$3))/86400</s:f>
        <s:v>46247.547418981485</s:v>
      </s:c>
    </s:row>
    <s:row r="480">
      <s:c r="A480" s="0" t="n">
        <s:v>260813</s:v>
      </s:c>
      <s:c r="B480" s="0" t="inlineStr">
        <s:is>
          <s:t>이종훈</s:t>
        </s:is>
      </s:c>
      <s:c r="C480" s="0" t="n">
        <s:v>130021</s:v>
      </s:c>
      <s:c r="D480" s="0" t="n">
        <s:v>1595</s:v>
      </s:c>
      <s:c r="F480" s="24">
        <s:f>'자료구성'!$B$2+TIME(INT($C$3/10000),INT(MOD($C$3,10000)/100),MOD($C$3,100))+(ROW()-ROW($C$3))/86400</s:f>
        <s:v>46247.547430555554</s:v>
      </s:c>
    </s:row>
    <s:row r="481">
      <s:c r="A481" s="0" t="n">
        <s:v>260813</s:v>
      </s:c>
      <s:c r="B481" s="0" t="inlineStr">
        <s:is>
          <s:t>이종훈</s:t>
        </s:is>
      </s:c>
      <s:c r="C481" s="0" t="n">
        <s:v>130021</s:v>
      </s:c>
      <s:c r="D481" s="0" t="n">
        <s:v>1573</s:v>
      </s:c>
      <s:c r="F481" s="24">
        <s:f>'자료구성'!$B$2+TIME(INT($C$3/10000),INT(MOD($C$3,10000)/100),MOD($C$3,100))+(ROW()-ROW($C$3))/86400</s:f>
        <s:v>46247.54744212963</s:v>
      </s:c>
    </s:row>
    <s:row r="482">
      <s:c r="A482" s="0" t="n">
        <s:v>260813</s:v>
      </s:c>
      <s:c r="B482" s="0" t="inlineStr">
        <s:is>
          <s:t>이종훈</s:t>
        </s:is>
      </s:c>
      <s:c r="C482" s="0" t="n">
        <s:v>130021</s:v>
      </s:c>
      <s:c r="D482" s="0" t="n">
        <s:v>1563</s:v>
      </s:c>
      <s:c r="F482" s="24">
        <s:f>'자료구성'!$B$2+TIME(INT($C$3/10000),INT(MOD($C$3,10000)/100),MOD($C$3,100))+(ROW()-ROW($C$3))/86400</s:f>
        <s:v>46247.5474537037</s:v>
      </s:c>
    </s:row>
    <s:row r="483">
      <s:c r="A483" s="0" t="n">
        <s:v>260813</s:v>
      </s:c>
      <s:c r="B483" s="0" t="inlineStr">
        <s:is>
          <s:t>이종훈</s:t>
        </s:is>
      </s:c>
      <s:c r="C483" s="0" t="n">
        <s:v>130021</s:v>
      </s:c>
      <s:c r="D483" s="0" t="n">
        <s:v>1532</s:v>
      </s:c>
      <s:c r="F483" s="24">
        <s:f>'자료구성'!$B$2+TIME(INT($C$3/10000),INT(MOD($C$3,10000)/100),MOD($C$3,100))+(ROW()-ROW($C$3))/86400</s:f>
        <s:v>46247.54746527778</s:v>
      </s:c>
    </s:row>
    <s:row r="484">
      <s:c r="A484" s="0" t="n">
        <s:v>260813</s:v>
      </s:c>
      <s:c r="B484" s="0" t="inlineStr">
        <s:is>
          <s:t>이종훈</s:t>
        </s:is>
      </s:c>
      <s:c r="C484" s="0" t="n">
        <s:v>130021</s:v>
      </s:c>
      <s:c r="D484" s="0" t="n">
        <s:v>1484</s:v>
      </s:c>
      <s:c r="F484" s="24">
        <s:f>'자료구성'!$B$2+TIME(INT($C$3/10000),INT(MOD($C$3,10000)/100),MOD($C$3,100))+(ROW()-ROW($C$3))/86400</s:f>
        <s:v>46247.547476851854</s:v>
      </s:c>
    </s:row>
    <s:row r="485">
      <s:c r="A485" s="0" t="n">
        <s:v>260813</s:v>
      </s:c>
      <s:c r="B485" s="0" t="inlineStr">
        <s:is>
          <s:t>이종훈</s:t>
        </s:is>
      </s:c>
      <s:c r="C485" s="0" t="n">
        <s:v>130021</s:v>
      </s:c>
      <s:c r="D485" s="0" t="n">
        <s:v>1447</s:v>
      </s:c>
      <s:c r="F485" s="24">
        <s:f>'자료구성'!$B$2+TIME(INT($C$3/10000),INT(MOD($C$3,10000)/100),MOD($C$3,100))+(ROW()-ROW($C$3))/86400</s:f>
        <s:v>46247.547488425924</s:v>
      </s:c>
    </s:row>
    <s:row r="486">
      <s:c r="A486" s="0" t="n">
        <s:v>260813</s:v>
      </s:c>
      <s:c r="B486" s="0" t="inlineStr">
        <s:is>
          <s:t>이종훈</s:t>
        </s:is>
      </s:c>
      <s:c r="C486" s="0" t="n">
        <s:v>130021</s:v>
      </s:c>
      <s:c r="D486" s="0" t="n">
        <s:v>1403</s:v>
      </s:c>
      <s:c r="F486" s="24">
        <s:f>'자료구성'!$B$2+TIME(INT($C$3/10000),INT(MOD($C$3,10000)/100),MOD($C$3,100))+(ROW()-ROW($C$3))/86400</s:f>
        <s:v>46247.5475</s:v>
      </s:c>
    </s:row>
    <s:row r="487">
      <s:c r="A487" s="0" t="n">
        <s:v>260813</s:v>
      </s:c>
      <s:c r="B487" s="0" t="inlineStr">
        <s:is>
          <s:t>이종훈</s:t>
        </s:is>
      </s:c>
      <s:c r="C487" s="0" t="n">
        <s:v>130021</s:v>
      </s:c>
      <s:c r="D487" s="0" t="n">
        <s:v>1363</s:v>
      </s:c>
      <s:c r="F487" s="24">
        <s:f>'자료구성'!$B$2+TIME(INT($C$3/10000),INT(MOD($C$3,10000)/100),MOD($C$3,100))+(ROW()-ROW($C$3))/86400</s:f>
        <s:v>46247.54751157408</s:v>
      </s:c>
    </s:row>
    <s:row r="488">
      <s:c r="A488" s="0" t="n">
        <s:v>260813</s:v>
      </s:c>
      <s:c r="B488" s="0" t="inlineStr">
        <s:is>
          <s:t>이종훈</s:t>
        </s:is>
      </s:c>
      <s:c r="C488" s="0" t="n">
        <s:v>130021</s:v>
      </s:c>
      <s:c r="D488" s="0" t="n">
        <s:v>1352</s:v>
      </s:c>
      <s:c r="F488" s="24">
        <s:f>'자료구성'!$B$2+TIME(INT($C$3/10000),INT(MOD($C$3,10000)/100),MOD($C$3,100))+(ROW()-ROW($C$3))/86400</s:f>
        <s:v>46247.54752314815</s:v>
      </s:c>
    </s:row>
    <s:row r="489">
      <s:c r="A489" s="0" t="n">
        <s:v>260813</s:v>
      </s:c>
      <s:c r="B489" s="0" t="inlineStr">
        <s:is>
          <s:t>이종훈</s:t>
        </s:is>
      </s:c>
      <s:c r="C489" s="0" t="n">
        <s:v>130021</s:v>
      </s:c>
      <s:c r="D489" s="0" t="n">
        <s:v>1340</s:v>
      </s:c>
      <s:c r="F489" s="24">
        <s:f>'자료구성'!$B$2+TIME(INT($C$3/10000),INT(MOD($C$3,10000)/100),MOD($C$3,100))+(ROW()-ROW($C$3))/86400</s:f>
        <s:v>46247.547534722224</s:v>
      </s:c>
    </s:row>
    <s:row r="490">
      <s:c r="A490" s="0" t="n">
        <s:v>260813</s:v>
      </s:c>
      <s:c r="B490" s="0" t="inlineStr">
        <s:is>
          <s:t>이종훈</s:t>
        </s:is>
      </s:c>
      <s:c r="C490" s="0" t="n">
        <s:v>130021</s:v>
      </s:c>
      <s:c r="D490" s="0" t="n">
        <s:v>1344</s:v>
      </s:c>
      <s:c r="F490" s="24">
        <s:f>'자료구성'!$B$2+TIME(INT($C$3/10000),INT(MOD($C$3,10000)/100),MOD($C$3,100))+(ROW()-ROW($C$3))/86400</s:f>
        <s:v>46247.54754629629</s:v>
      </s:c>
    </s:row>
    <s:row r="491">
      <s:c r="A491" s="0" t="n">
        <s:v>260813</s:v>
      </s:c>
      <s:c r="B491" s="0" t="inlineStr">
        <s:is>
          <s:t>이종훈</s:t>
        </s:is>
      </s:c>
      <s:c r="C491" s="0" t="n">
        <s:v>130021</s:v>
      </s:c>
      <s:c r="D491" s="0" t="n">
        <s:v>1356</s:v>
      </s:c>
      <s:c r="F491" s="24">
        <s:f>'자료구성'!$B$2+TIME(INT($C$3/10000),INT(MOD($C$3,10000)/100),MOD($C$3,100))+(ROW()-ROW($C$3))/86400</s:f>
        <s:v>46247.54755787037</s:v>
      </s:c>
    </s:row>
    <s:row r="492">
      <s:c r="A492" s="0" t="n">
        <s:v>260813</s:v>
      </s:c>
      <s:c r="B492" s="0" t="inlineStr">
        <s:is>
          <s:t>이종훈</s:t>
        </s:is>
      </s:c>
      <s:c r="C492" s="0" t="n">
        <s:v>130021</s:v>
      </s:c>
      <s:c r="D492" s="0" t="n">
        <s:v>1380</s:v>
      </s:c>
      <s:c r="F492" s="24">
        <s:f>'자료구성'!$B$2+TIME(INT($C$3/10000),INT(MOD($C$3,10000)/100),MOD($C$3,100))+(ROW()-ROW($C$3))/86400</s:f>
        <s:v>46247.54756944445</s:v>
      </s:c>
    </s:row>
    <s:row r="493">
      <s:c r="A493" s="0" t="n">
        <s:v>260813</s:v>
      </s:c>
      <s:c r="B493" s="0" t="inlineStr">
        <s:is>
          <s:t>이종훈</s:t>
        </s:is>
      </s:c>
      <s:c r="C493" s="0" t="n">
        <s:v>130021</s:v>
      </s:c>
      <s:c r="D493" s="0" t="n">
        <s:v>1395</s:v>
      </s:c>
      <s:c r="F493" s="24">
        <s:f>'자료구성'!$B$2+TIME(INT($C$3/10000),INT(MOD($C$3,10000)/100),MOD($C$3,100))+(ROW()-ROW($C$3))/86400</s:f>
        <s:v>46247.547581018516</s:v>
      </s:c>
    </s:row>
    <s:row r="494">
      <s:c r="A494" s="0" t="n">
        <s:v>260813</s:v>
      </s:c>
      <s:c r="B494" s="0" t="inlineStr">
        <s:is>
          <s:t>이종훈</s:t>
        </s:is>
      </s:c>
      <s:c r="C494" s="0" t="n">
        <s:v>130021</s:v>
      </s:c>
      <s:c r="D494" s="0" t="n">
        <s:v>1428</s:v>
      </s:c>
      <s:c r="F494" s="24">
        <s:f>'자료구성'!$B$2+TIME(INT($C$3/10000),INT(MOD($C$3,10000)/100),MOD($C$3,100))+(ROW()-ROW($C$3))/86400</s:f>
        <s:v>46247.54759259259</s:v>
      </s:c>
    </s:row>
    <s:row r="495">
      <s:c r="A495" s="0" t="n">
        <s:v>260813</s:v>
      </s:c>
      <s:c r="B495" s="0" t="inlineStr">
        <s:is>
          <s:t>이종훈</s:t>
        </s:is>
      </s:c>
      <s:c r="C495" s="0" t="n">
        <s:v>130021</s:v>
      </s:c>
      <s:c r="D495" s="0" t="n">
        <s:v>1447</s:v>
      </s:c>
      <s:c r="F495" s="24">
        <s:f>'자료구성'!$B$2+TIME(INT($C$3/10000),INT(MOD($C$3,10000)/100),MOD($C$3,100))+(ROW()-ROW($C$3))/86400</s:f>
        <s:v>46247.54760416667</s:v>
      </s:c>
    </s:row>
    <s:row r="496">
      <s:c r="A496" s="0" t="n">
        <s:v>260813</s:v>
      </s:c>
      <s:c r="B496" s="0" t="inlineStr">
        <s:is>
          <s:t>이종훈</s:t>
        </s:is>
      </s:c>
      <s:c r="C496" s="0" t="n">
        <s:v>130021</s:v>
      </s:c>
      <s:c r="D496" s="0" t="n">
        <s:v>1425</s:v>
      </s:c>
      <s:c r="F496" s="24">
        <s:f>'자료구성'!$B$2+TIME(INT($C$3/10000),INT(MOD($C$3,10000)/100),MOD($C$3,100))+(ROW()-ROW($C$3))/86400</s:f>
        <s:v>46247.54761574074</s:v>
      </s:c>
    </s:row>
    <s:row r="497">
      <s:c r="A497" s="0" t="n">
        <s:v>260813</s:v>
      </s:c>
      <s:c r="B497" s="0" t="inlineStr">
        <s:is>
          <s:t>이종훈</s:t>
        </s:is>
      </s:c>
      <s:c r="C497" s="0" t="n">
        <s:v>130021</s:v>
      </s:c>
      <s:c r="D497" s="0" t="n">
        <s:v>1416</s:v>
      </s:c>
      <s:c r="F497" s="24">
        <s:f>'자료구성'!$B$2+TIME(INT($C$3/10000),INT(MOD($C$3,10000)/100),MOD($C$3,100))+(ROW()-ROW($C$3))/86400</s:f>
        <s:v>46247.547627314816</s:v>
      </s:c>
    </s:row>
    <s:row r="498">
      <s:c r="A498" s="0" t="n">
        <s:v>260813</s:v>
      </s:c>
      <s:c r="B498" s="0" t="inlineStr">
        <s:is>
          <s:t>이종훈</s:t>
        </s:is>
      </s:c>
      <s:c r="C498" s="0" t="n">
        <s:v>130021</s:v>
      </s:c>
      <s:c r="D498" s="0" t="n">
        <s:v>1421</s:v>
      </s:c>
      <s:c r="F498" s="24">
        <s:f>'자료구성'!$B$2+TIME(INT($C$3/10000),INT(MOD($C$3,10000)/100),MOD($C$3,100))+(ROW()-ROW($C$3))/86400</s:f>
        <s:v>46247.547638888886</s:v>
      </s:c>
    </s:row>
    <s:row r="499">
      <s:c r="A499" s="0" t="n">
        <s:v>260813</s:v>
      </s:c>
      <s:c r="B499" s="0" t="inlineStr">
        <s:is>
          <s:t>이종훈</s:t>
        </s:is>
      </s:c>
      <s:c r="C499" s="0" t="n">
        <s:v>130021</s:v>
      </s:c>
      <s:c r="D499" s="0" t="n">
        <s:v>1446</s:v>
      </s:c>
      <s:c r="F499" s="24">
        <s:f>'자료구성'!$B$2+TIME(INT($C$3/10000),INT(MOD($C$3,10000)/100),MOD($C$3,100))+(ROW()-ROW($C$3))/86400</s:f>
        <s:v>46247.54765046296</s:v>
      </s:c>
    </s:row>
    <s:row r="500">
      <s:c r="A500" s="0" t="n">
        <s:v>260813</s:v>
      </s:c>
      <s:c r="B500" s="0" t="inlineStr">
        <s:is>
          <s:t>이종훈</s:t>
        </s:is>
      </s:c>
      <s:c r="C500" s="0" t="n">
        <s:v>130021</s:v>
      </s:c>
      <s:c r="D500" s="0" t="n">
        <s:v>1455</s:v>
      </s:c>
      <s:c r="F500" s="24">
        <s:f>'자료구성'!$B$2+TIME(INT($C$3/10000),INT(MOD($C$3,10000)/100),MOD($C$3,100))+(ROW()-ROW($C$3))/86400</s:f>
        <s:v>46247.54766203704</s:v>
      </s:c>
    </s:row>
    <s:row r="501">
      <s:c r="A501" s="0" t="n">
        <s:v>260813</s:v>
      </s:c>
      <s:c r="B501" s="0" t="inlineStr">
        <s:is>
          <s:t>이종훈</s:t>
        </s:is>
      </s:c>
      <s:c r="C501" s="0" t="n">
        <s:v>130021</s:v>
      </s:c>
      <s:c r="D501" s="0" t="n">
        <s:v>1458</s:v>
      </s:c>
      <s:c r="F501" s="24">
        <s:f>'자료구성'!$B$2+TIME(INT($C$3/10000),INT(MOD($C$3,10000)/100),MOD($C$3,100))+(ROW()-ROW($C$3))/86400</s:f>
        <s:v>46247.54767361111</s:v>
      </s:c>
    </s:row>
    <s:row r="502">
      <s:c r="A502" s="0" t="n">
        <s:v>260813</s:v>
      </s:c>
      <s:c r="B502" s="0" t="inlineStr">
        <s:is>
          <s:t>이종훈</s:t>
        </s:is>
      </s:c>
      <s:c r="C502" s="0" t="n">
        <s:v>130021</s:v>
      </s:c>
      <s:c r="D502" s="0" t="n">
        <s:v>1445</s:v>
      </s:c>
      <s:c r="F502" s="24">
        <s:f>'자료구성'!$B$2+TIME(INT($C$3/10000),INT(MOD($C$3,10000)/100),MOD($C$3,100))+(ROW()-ROW($C$3))/86400</s:f>
        <s:v>46247.547685185185</s:v>
      </s:c>
    </s:row>
    <s:row r="503">
      <s:c r="A503" s="0" t="n">
        <s:v>260813</s:v>
      </s:c>
      <s:c r="B503" s="0" t="inlineStr">
        <s:is>
          <s:t>이종훈</s:t>
        </s:is>
      </s:c>
      <s:c r="C503" s="0" t="n">
        <s:v>130021</s:v>
      </s:c>
      <s:c r="D503" s="0" t="n">
        <s:v>1503</s:v>
      </s:c>
      <s:c r="F503" s="24">
        <s:f>'자료구성'!$B$2+TIME(INT($C$3/10000),INT(MOD($C$3,10000)/100),MOD($C$3,100))+(ROW()-ROW($C$3))/86400</s:f>
        <s:v>46247.54769675926</s:v>
      </s:c>
    </s:row>
    <s:row r="504">
      <s:c r="A504" s="0" t="n">
        <s:v>260813</s:v>
      </s:c>
      <s:c r="B504" s="0" t="inlineStr">
        <s:is>
          <s:t>이종훈</s:t>
        </s:is>
      </s:c>
      <s:c r="C504" s="0" t="n">
        <s:v>130021</s:v>
      </s:c>
      <s:c r="D504" s="0" t="n">
        <s:v>1543</s:v>
      </s:c>
      <s:c r="F504" s="24">
        <s:f>'자료구성'!$B$2+TIME(INT($C$3/10000),INT(MOD($C$3,10000)/100),MOD($C$3,100))+(ROW()-ROW($C$3))/86400</s:f>
        <s:v>46247.54770833333</s:v>
      </s:c>
    </s:row>
    <s:row r="505">
      <s:c r="A505" s="0" t="n">
        <s:v>260813</s:v>
      </s:c>
      <s:c r="B505" s="0" t="inlineStr">
        <s:is>
          <s:t>이종훈</s:t>
        </s:is>
      </s:c>
      <s:c r="C505" s="0" t="n">
        <s:v>130021</s:v>
      </s:c>
      <s:c r="D505" s="0" t="n">
        <s:v>1524</s:v>
      </s:c>
      <s:c r="F505" s="24">
        <s:f>'자료구성'!$B$2+TIME(INT($C$3/10000),INT(MOD($C$3,10000)/100),MOD($C$3,100))+(ROW()-ROW($C$3))/86400</s:f>
        <s:v>46247.54771990741</s:v>
      </s:c>
    </s:row>
    <s:row r="506">
      <s:c r="A506" s="0" t="n">
        <s:v>260813</s:v>
      </s:c>
      <s:c r="B506" s="0" t="inlineStr">
        <s:is>
          <s:t>이종훈</s:t>
        </s:is>
      </s:c>
      <s:c r="C506" s="0" t="n">
        <s:v>130021</s:v>
      </s:c>
      <s:c r="D506" s="0" t="n">
        <s:v>1571</s:v>
      </s:c>
      <s:c r="F506" s="24">
        <s:f>'자료구성'!$B$2+TIME(INT($C$3/10000),INT(MOD($C$3,10000)/100),MOD($C$3,100))+(ROW()-ROW($C$3))/86400</s:f>
        <s:v>46247.54773148148</s:v>
      </s:c>
    </s:row>
    <s:row r="507">
      <s:c r="A507" s="0" t="n">
        <s:v>260813</s:v>
      </s:c>
      <s:c r="B507" s="0" t="inlineStr">
        <s:is>
          <s:t>이종훈</s:t>
        </s:is>
      </s:c>
      <s:c r="C507" s="0" t="n">
        <s:v>130021</s:v>
      </s:c>
      <s:c r="D507" s="0" t="n">
        <s:v>1646</s:v>
      </s:c>
      <s:c r="F507" s="24">
        <s:f>'자료구성'!$B$2+TIME(INT($C$3/10000),INT(MOD($C$3,10000)/100),MOD($C$3,100))+(ROW()-ROW($C$3))/86400</s:f>
        <s:v>46247.547743055555</s:v>
      </s:c>
    </s:row>
    <s:row r="508">
      <s:c r="A508" s="0" t="n">
        <s:v>260813</s:v>
      </s:c>
      <s:c r="B508" s="0" t="inlineStr">
        <s:is>
          <s:t>이종훈</s:t>
        </s:is>
      </s:c>
      <s:c r="C508" s="0" t="n">
        <s:v>130021</s:v>
      </s:c>
      <s:c r="D508" s="0" t="n">
        <s:v>1760</s:v>
      </s:c>
      <s:c r="F508" s="24">
        <s:f>'자료구성'!$B$2+TIME(INT($C$3/10000),INT(MOD($C$3,10000)/100),MOD($C$3,100))+(ROW()-ROW($C$3))/86400</s:f>
        <s:v>46247.54775462963</s:v>
      </s:c>
    </s:row>
    <s:row r="509">
      <s:c r="A509" s="0" t="n">
        <s:v>260813</s:v>
      </s:c>
      <s:c r="B509" s="0" t="inlineStr">
        <s:is>
          <s:t>이종훈</s:t>
        </s:is>
      </s:c>
      <s:c r="C509" s="0" t="n">
        <s:v>130021</s:v>
      </s:c>
      <s:c r="D509" s="0" t="n">
        <s:v>1872</s:v>
      </s:c>
      <s:c r="F509" s="24">
        <s:f>'자료구성'!$B$2+TIME(INT($C$3/10000),INT(MOD($C$3,10000)/100),MOD($C$3,100))+(ROW()-ROW($C$3))/86400</s:f>
        <s:v>46247.5477662037</s:v>
      </s:c>
    </s:row>
    <s:row r="510">
      <s:c r="A510" s="0" t="n">
        <s:v>260813</s:v>
      </s:c>
      <s:c r="B510" s="0" t="inlineStr">
        <s:is>
          <s:t>이종훈</s:t>
        </s:is>
      </s:c>
      <s:c r="C510" s="0" t="n">
        <s:v>130021</s:v>
      </s:c>
      <s:c r="D510" s="0" t="n">
        <s:v>1960</s:v>
      </s:c>
      <s:c r="F510" s="24">
        <s:f>'자료구성'!$B$2+TIME(INT($C$3/10000),INT(MOD($C$3,10000)/100),MOD($C$3,100))+(ROW()-ROW($C$3))/86400</s:f>
        <s:v>46247.54777777778</s:v>
      </s:c>
    </s:row>
    <s:row r="511">
      <s:c r="A511" s="0" t="n">
        <s:v>260813</s:v>
      </s:c>
      <s:c r="B511" s="0" t="inlineStr">
        <s:is>
          <s:t>이종훈</s:t>
        </s:is>
      </s:c>
      <s:c r="C511" s="0" t="n">
        <s:v>130021</s:v>
      </s:c>
      <s:c r="D511" s="0" t="n">
        <s:v>1983</s:v>
      </s:c>
      <s:c r="F511" s="24">
        <s:f>'자료구성'!$B$2+TIME(INT($C$3/10000),INT(MOD($C$3,10000)/100),MOD($C$3,100))+(ROW()-ROW($C$3))/86400</s:f>
        <s:v>46247.547789351855</s:v>
      </s:c>
    </s:row>
    <s:row r="512">
      <s:c r="A512" s="0" t="n">
        <s:v>260813</s:v>
      </s:c>
      <s:c r="B512" s="0" t="inlineStr">
        <s:is>
          <s:t>이종훈</s:t>
        </s:is>
      </s:c>
      <s:c r="C512" s="0" t="n">
        <s:v>130021</s:v>
      </s:c>
      <s:c r="D512" s="0" t="n">
        <s:v>1972</s:v>
      </s:c>
      <s:c r="F512" s="24">
        <s:f>'자료구성'!$B$2+TIME(INT($C$3/10000),INT(MOD($C$3,10000)/100),MOD($C$3,100))+(ROW()-ROW($C$3))/86400</s:f>
        <s:v>46247.547800925924</s:v>
      </s:c>
    </s:row>
    <s:row r="513">
      <s:c r="A513" s="0" t="n">
        <s:v>260813</s:v>
      </s:c>
      <s:c r="B513" s="0" t="inlineStr">
        <s:is>
          <s:t>이종훈</s:t>
        </s:is>
      </s:c>
      <s:c r="C513" s="0" t="n">
        <s:v>130021</s:v>
      </s:c>
      <s:c r="D513" s="0" t="n">
        <s:v>1967</s:v>
      </s:c>
      <s:c r="F513" s="24">
        <s:f>'자료구성'!$B$2+TIME(INT($C$3/10000),INT(MOD($C$3,10000)/100),MOD($C$3,100))+(ROW()-ROW($C$3))/86400</s:f>
        <s:v>46247.5478125</s:v>
      </s:c>
    </s:row>
    <s:row r="514">
      <s:c r="A514" s="0" t="n">
        <s:v>260813</s:v>
      </s:c>
      <s:c r="B514" s="0" t="inlineStr">
        <s:is>
          <s:t>이종훈</s:t>
        </s:is>
      </s:c>
      <s:c r="C514" s="0" t="n">
        <s:v>130021</s:v>
      </s:c>
      <s:c r="D514" s="0" t="n">
        <s:v>1917</s:v>
      </s:c>
      <s:c r="F514" s="24">
        <s:f>'자료구성'!$B$2+TIME(INT($C$3/10000),INT(MOD($C$3,10000)/100),MOD($C$3,100))+(ROW()-ROW($C$3))/86400</s:f>
        <s:v>46247.54782407408</s:v>
      </s:c>
    </s:row>
    <s:row r="515">
      <s:c r="A515" s="0" t="n">
        <s:v>260813</s:v>
      </s:c>
      <s:c r="B515" s="0" t="inlineStr">
        <s:is>
          <s:t>이종훈</s:t>
        </s:is>
      </s:c>
      <s:c r="C515" s="0" t="n">
        <s:v>130021</s:v>
      </s:c>
      <s:c r="D515" s="0" t="n">
        <s:v>1850</s:v>
      </s:c>
      <s:c r="F515" s="24">
        <s:f>'자료구성'!$B$2+TIME(INT($C$3/10000),INT(MOD($C$3,10000)/100),MOD($C$3,100))+(ROW()-ROW($C$3))/86400</s:f>
        <s:v>46247.54783564815</s:v>
      </s:c>
    </s:row>
    <s:row r="516">
      <s:c r="A516" s="0" t="n">
        <s:v>260813</s:v>
      </s:c>
      <s:c r="B516" s="0" t="inlineStr">
        <s:is>
          <s:t>이종훈</s:t>
        </s:is>
      </s:c>
      <s:c r="C516" s="0" t="n">
        <s:v>130021</s:v>
      </s:c>
      <s:c r="D516" s="0" t="n">
        <s:v>1811</s:v>
      </s:c>
      <s:c r="F516" s="24">
        <s:f>'자료구성'!$B$2+TIME(INT($C$3/10000),INT(MOD($C$3,10000)/100),MOD($C$3,100))+(ROW()-ROW($C$3))/86400</s:f>
        <s:v>46247.547847222224</s:v>
      </s:c>
    </s:row>
    <s:row r="517">
      <s:c r="A517" s="0" t="n">
        <s:v>260813</s:v>
      </s:c>
      <s:c r="B517" s="0" t="inlineStr">
        <s:is>
          <s:t>이종훈</s:t>
        </s:is>
      </s:c>
      <s:c r="C517" s="0" t="n">
        <s:v>130021</s:v>
      </s:c>
      <s:c r="D517" s="0" t="n">
        <s:v>1777</s:v>
      </s:c>
      <s:c r="F517" s="24">
        <s:f>'자료구성'!$B$2+TIME(INT($C$3/10000),INT(MOD($C$3,10000)/100),MOD($C$3,100))+(ROW()-ROW($C$3))/86400</s:f>
        <s:v>46247.54785879629</s:v>
      </s:c>
    </s:row>
    <s:row r="518">
      <s:c r="A518" s="0" t="n">
        <s:v>260813</s:v>
      </s:c>
      <s:c r="B518" s="0" t="inlineStr">
        <s:is>
          <s:t>이종훈</s:t>
        </s:is>
      </s:c>
      <s:c r="C518" s="0" t="n">
        <s:v>130021</s:v>
      </s:c>
      <s:c r="D518" s="0" t="n">
        <s:v>1722</s:v>
      </s:c>
      <s:c r="F518" s="24">
        <s:f>'자료구성'!$B$2+TIME(INT($C$3/10000),INT(MOD($C$3,10000)/100),MOD($C$3,100))+(ROW()-ROW($C$3))/86400</s:f>
        <s:v>46247.54787037037</s:v>
      </s:c>
    </s:row>
    <s:row r="519">
      <s:c r="A519" s="0" t="n">
        <s:v>260813</s:v>
      </s:c>
      <s:c r="B519" s="0" t="inlineStr">
        <s:is>
          <s:t>이종훈</s:t>
        </s:is>
      </s:c>
      <s:c r="C519" s="0" t="n">
        <s:v>130021</s:v>
      </s:c>
      <s:c r="D519" s="0" t="n">
        <s:v>1660</s:v>
      </s:c>
      <s:c r="F519" s="24">
        <s:f>'자료구성'!$B$2+TIME(INT($C$3/10000),INT(MOD($C$3,10000)/100),MOD($C$3,100))+(ROW()-ROW($C$3))/86400</s:f>
        <s:v>46247.54788194445</s:v>
      </s:c>
    </s:row>
    <s:row r="520">
      <s:c r="A520" s="0" t="n">
        <s:v>260813</s:v>
      </s:c>
      <s:c r="B520" s="0" t="inlineStr">
        <s:is>
          <s:t>이종훈</s:t>
        </s:is>
      </s:c>
      <s:c r="C520" s="0" t="n">
        <s:v>130021</s:v>
      </s:c>
      <s:c r="D520" s="0" t="n">
        <s:v>1580</s:v>
      </s:c>
      <s:c r="F520" s="24">
        <s:f>'자료구성'!$B$2+TIME(INT($C$3/10000),INT(MOD($C$3,10000)/100),MOD($C$3,100))+(ROW()-ROW($C$3))/86400</s:f>
        <s:v>46247.54789351852</s:v>
      </s:c>
    </s:row>
    <s:row r="521">
      <s:c r="A521" s="0" t="n">
        <s:v>260813</s:v>
      </s:c>
      <s:c r="B521" s="0" t="inlineStr">
        <s:is>
          <s:t>이종훈</s:t>
        </s:is>
      </s:c>
      <s:c r="C521" s="0" t="n">
        <s:v>130021</s:v>
      </s:c>
      <s:c r="D521" s="0" t="n">
        <s:v>1557</s:v>
      </s:c>
      <s:c r="F521" s="24">
        <s:f>'자료구성'!$B$2+TIME(INT($C$3/10000),INT(MOD($C$3,10000)/100),MOD($C$3,100))+(ROW()-ROW($C$3))/86400</s:f>
        <s:v>46247.54790509259</s:v>
      </s:c>
    </s:row>
    <s:row r="522">
      <s:c r="A522" s="0" t="n">
        <s:v>260813</s:v>
      </s:c>
      <s:c r="B522" s="0" t="inlineStr">
        <s:is>
          <s:t>이종훈</s:t>
        </s:is>
      </s:c>
      <s:c r="C522" s="0" t="n">
        <s:v>130021</s:v>
      </s:c>
      <s:c r="D522" s="0" t="n">
        <s:v>1596</s:v>
      </s:c>
      <s:c r="F522" s="24">
        <s:f>'자료구성'!$B$2+TIME(INT($C$3/10000),INT(MOD($C$3,10000)/100),MOD($C$3,100))+(ROW()-ROW($C$3))/86400</s:f>
        <s:v>46247.54791666667</s:v>
      </s:c>
    </s:row>
    <s:row r="523">
      <s:c r="A523" s="0" t="n">
        <s:v>260813</s:v>
      </s:c>
      <s:c r="B523" s="0" t="inlineStr">
        <s:is>
          <s:t>이종훈</s:t>
        </s:is>
      </s:c>
      <s:c r="C523" s="0" t="n">
        <s:v>130021</s:v>
      </s:c>
      <s:c r="D523" s="0" t="n">
        <s:v>1565</s:v>
      </s:c>
      <s:c r="F523" s="24">
        <s:f>'자료구성'!$B$2+TIME(INT($C$3/10000),INT(MOD($C$3,10000)/100),MOD($C$3,100))+(ROW()-ROW($C$3))/86400</s:f>
        <s:v>46247.54792824074</s:v>
      </s:c>
    </s:row>
    <s:row r="524">
      <s:c r="A524" s="0" t="n">
        <s:v>260813</s:v>
      </s:c>
      <s:c r="B524" s="0" t="inlineStr">
        <s:is>
          <s:t>이종훈</s:t>
        </s:is>
      </s:c>
      <s:c r="C524" s="0" t="n">
        <s:v>130021</s:v>
      </s:c>
      <s:c r="D524" s="0" t="n">
        <s:v>1506</s:v>
      </s:c>
      <s:c r="F524" s="24">
        <s:f>'자료구성'!$B$2+TIME(INT($C$3/10000),INT(MOD($C$3,10000)/100),MOD($C$3,100))+(ROW()-ROW($C$3))/86400</s:f>
        <s:v>46247.547939814816</s:v>
      </s:c>
    </s:row>
    <s:row r="525">
      <s:c r="A525" s="0" t="n">
        <s:v>260813</s:v>
      </s:c>
      <s:c r="B525" s="0" t="inlineStr">
        <s:is>
          <s:t>이종훈</s:t>
        </s:is>
      </s:c>
      <s:c r="C525" s="0" t="n">
        <s:v>130021</s:v>
      </s:c>
      <s:c r="D525" s="0" t="n">
        <s:v>1479</s:v>
      </s:c>
      <s:c r="F525" s="24">
        <s:f>'자료구성'!$B$2+TIME(INT($C$3/10000),INT(MOD($C$3,10000)/100),MOD($C$3,100))+(ROW()-ROW($C$3))/86400</s:f>
        <s:v>46247.547951388886</s:v>
      </s:c>
    </s:row>
    <s:row r="526">
      <s:c r="A526" s="0" t="n">
        <s:v>260813</s:v>
      </s:c>
      <s:c r="B526" s="0" t="inlineStr">
        <s:is>
          <s:t>이종훈</s:t>
        </s:is>
      </s:c>
      <s:c r="C526" s="0" t="n">
        <s:v>130021</s:v>
      </s:c>
      <s:c r="D526" s="0" t="n">
        <s:v>1458</s:v>
      </s:c>
      <s:c r="F526" s="24">
        <s:f>'자료구성'!$B$2+TIME(INT($C$3/10000),INT(MOD($C$3,10000)/100),MOD($C$3,100))+(ROW()-ROW($C$3))/86400</s:f>
        <s:v>46247.54796296296</s:v>
      </s:c>
    </s:row>
    <s:row r="527">
      <s:c r="A527" s="0" t="n">
        <s:v>260813</s:v>
      </s:c>
      <s:c r="B527" s="0" t="inlineStr">
        <s:is>
          <s:t>이종훈</s:t>
        </s:is>
      </s:c>
      <s:c r="C527" s="0" t="n">
        <s:v>130021</s:v>
      </s:c>
      <s:c r="D527" s="0" t="n">
        <s:v>1475</s:v>
      </s:c>
      <s:c r="F527" s="24">
        <s:f>'자료구성'!$B$2+TIME(INT($C$3/10000),INT(MOD($C$3,10000)/100),MOD($C$3,100))+(ROW()-ROW($C$3))/86400</s:f>
        <s:v>46247.54797453704</s:v>
      </s:c>
    </s:row>
    <s:row r="528">
      <s:c r="A528" s="0" t="n">
        <s:v>260813</s:v>
      </s:c>
      <s:c r="B528" s="0" t="inlineStr">
        <s:is>
          <s:t>이종훈</s:t>
        </s:is>
      </s:c>
      <s:c r="C528" s="0" t="n">
        <s:v>130021</s:v>
      </s:c>
      <s:c r="D528" s="0" t="n">
        <s:v>1491</s:v>
      </s:c>
      <s:c r="F528" s="24">
        <s:f>'자료구성'!$B$2+TIME(INT($C$3/10000),INT(MOD($C$3,10000)/100),MOD($C$3,100))+(ROW()-ROW($C$3))/86400</s:f>
        <s:v>46247.54798611111</s:v>
      </s:c>
    </s:row>
    <s:row r="529">
      <s:c r="A529" s="0" t="n">
        <s:v>260813</s:v>
      </s:c>
      <s:c r="B529" s="0" t="inlineStr">
        <s:is>
          <s:t>이종훈</s:t>
        </s:is>
      </s:c>
      <s:c r="C529" s="0" t="n">
        <s:v>130021</s:v>
      </s:c>
      <s:c r="D529" s="0" t="n">
        <s:v>1538</s:v>
      </s:c>
      <s:c r="F529" s="24">
        <s:f>'자료구성'!$B$2+TIME(INT($C$3/10000),INT(MOD($C$3,10000)/100),MOD($C$3,100))+(ROW()-ROW($C$3))/86400</s:f>
        <s:v>46247.547997685186</s:v>
      </s:c>
    </s:row>
    <s:row r="530">
      <s:c r="A530" s="0" t="n">
        <s:v>260813</s:v>
      </s:c>
      <s:c r="B530" s="0" t="inlineStr">
        <s:is>
          <s:t>이종훈</s:t>
        </s:is>
      </s:c>
      <s:c r="C530" s="0" t="n">
        <s:v>130021</s:v>
      </s:c>
      <s:c r="D530" s="0" t="n">
        <s:v>1579</s:v>
      </s:c>
      <s:c r="F530" s="24">
        <s:f>'자료구성'!$B$2+TIME(INT($C$3/10000),INT(MOD($C$3,10000)/100),MOD($C$3,100))+(ROW()-ROW($C$3))/86400</s:f>
        <s:v>46247.54800925926</s:v>
      </s:c>
    </s:row>
    <s:row r="531">
      <s:c r="A531" s="0" t="n">
        <s:v>260813</s:v>
      </s:c>
      <s:c r="B531" s="0" t="inlineStr">
        <s:is>
          <s:t>이종훈</s:t>
        </s:is>
      </s:c>
      <s:c r="C531" s="0" t="n">
        <s:v>130021</s:v>
      </s:c>
      <s:c r="D531" s="0" t="n">
        <s:v>1622</s:v>
      </s:c>
      <s:c r="F531" s="24">
        <s:f>'자료구성'!$B$2+TIME(INT($C$3/10000),INT(MOD($C$3,10000)/100),MOD($C$3,100))+(ROW()-ROW($C$3))/86400</s:f>
        <s:v>46247.54802083333</s:v>
      </s:c>
    </s:row>
    <s:row r="532">
      <s:c r="A532" s="0" t="n">
        <s:v>260813</s:v>
      </s:c>
      <s:c r="B532" s="0" t="inlineStr">
        <s:is>
          <s:t>이종훈</s:t>
        </s:is>
      </s:c>
      <s:c r="C532" s="0" t="n">
        <s:v>130021</s:v>
      </s:c>
      <s:c r="D532" s="0" t="n">
        <s:v>1697</s:v>
      </s:c>
      <s:c r="F532" s="24">
        <s:f>'자료구성'!$B$2+TIME(INT($C$3/10000),INT(MOD($C$3,10000)/100),MOD($C$3,100))+(ROW()-ROW($C$3))/86400</s:f>
        <s:v>46247.54803240741</s:v>
      </s:c>
    </s:row>
    <s:row r="533">
      <s:c r="A533" s="0" t="n">
        <s:v>260813</s:v>
      </s:c>
      <s:c r="B533" s="0" t="inlineStr">
        <s:is>
          <s:t>이종훈</s:t>
        </s:is>
      </s:c>
      <s:c r="C533" s="0" t="n">
        <s:v>130021</s:v>
      </s:c>
      <s:c r="D533" s="0" t="n">
        <s:v>1727</s:v>
      </s:c>
      <s:c r="F533" s="24">
        <s:f>'자료구성'!$B$2+TIME(INT($C$3/10000),INT(MOD($C$3,10000)/100),MOD($C$3,100))+(ROW()-ROW($C$3))/86400</s:f>
        <s:v>46247.54804398148</s:v>
      </s:c>
    </s:row>
    <s:row r="534">
      <s:c r="A534" s="0" t="n">
        <s:v>260813</s:v>
      </s:c>
      <s:c r="B534" s="0" t="inlineStr">
        <s:is>
          <s:t>이종훈</s:t>
        </s:is>
      </s:c>
      <s:c r="C534" s="0" t="n">
        <s:v>130021</s:v>
      </s:c>
      <s:c r="D534" s="0" t="n">
        <s:v>1711</s:v>
      </s:c>
      <s:c r="F534" s="24">
        <s:f>'자료구성'!$B$2+TIME(INT($C$3/10000),INT(MOD($C$3,10000)/100),MOD($C$3,100))+(ROW()-ROW($C$3))/86400</s:f>
        <s:v>46247.548055555555</s:v>
      </s:c>
    </s:row>
    <s:row r="535">
      <s:c r="A535" s="0" t="n">
        <s:v>260813</s:v>
      </s:c>
      <s:c r="B535" s="0" t="inlineStr">
        <s:is>
          <s:t>이종훈</s:t>
        </s:is>
      </s:c>
      <s:c r="C535" s="0" t="n">
        <s:v>130021</s:v>
      </s:c>
      <s:c r="D535" s="0" t="n">
        <s:v>1669</s:v>
      </s:c>
      <s:c r="F535" s="24">
        <s:f>'자료구성'!$B$2+TIME(INT($C$3/10000),INT(MOD($C$3,10000)/100),MOD($C$3,100))+(ROW()-ROW($C$3))/86400</s:f>
        <s:v>46247.54806712963</s:v>
      </s:c>
    </s:row>
    <s:row r="536">
      <s:c r="A536" s="0" t="n">
        <s:v>260813</s:v>
      </s:c>
      <s:c r="B536" s="0" t="inlineStr">
        <s:is>
          <s:t>이종훈</s:t>
        </s:is>
      </s:c>
      <s:c r="C536" s="0" t="n">
        <s:v>130021</s:v>
      </s:c>
      <s:c r="D536" s="0" t="n">
        <s:v>1667</s:v>
      </s:c>
      <s:c r="F536" s="24">
        <s:f>'자료구성'!$B$2+TIME(INT($C$3/10000),INT(MOD($C$3,10000)/100),MOD($C$3,100))+(ROW()-ROW($C$3))/86400</s:f>
        <s:v>46247.5480787037</s:v>
      </s:c>
    </s:row>
    <s:row r="537">
      <s:c r="A537" s="0" t="n">
        <s:v>260813</s:v>
      </s:c>
      <s:c r="B537" s="0" t="inlineStr">
        <s:is>
          <s:t>이종훈</s:t>
        </s:is>
      </s:c>
      <s:c r="C537" s="0" t="n">
        <s:v>130021</s:v>
      </s:c>
      <s:c r="D537" s="0" t="n">
        <s:v>1656</s:v>
      </s:c>
      <s:c r="F537" s="24">
        <s:f>'자료구성'!$B$2+TIME(INT($C$3/10000),INT(MOD($C$3,10000)/100),MOD($C$3,100))+(ROW()-ROW($C$3))/86400</s:f>
        <s:v>46247.54809027778</s:v>
      </s:c>
    </s:row>
    <s:row r="538">
      <s:c r="A538" s="0" t="n">
        <s:v>260813</s:v>
      </s:c>
      <s:c r="B538" s="0" t="inlineStr">
        <s:is>
          <s:t>이종훈</s:t>
        </s:is>
      </s:c>
      <s:c r="C538" s="0" t="n">
        <s:v>130021</s:v>
      </s:c>
      <s:c r="D538" s="0" t="n">
        <s:v>1645</s:v>
      </s:c>
      <s:c r="F538" s="24">
        <s:f>'자료구성'!$B$2+TIME(INT($C$3/10000),INT(MOD($C$3,10000)/100),MOD($C$3,100))+(ROW()-ROW($C$3))/86400</s:f>
        <s:v>46247.548101851855</s:v>
      </s:c>
    </s:row>
    <s:row r="539">
      <s:c r="A539" s="0" t="n">
        <s:v>260813</s:v>
      </s:c>
      <s:c r="B539" s="0" t="inlineStr">
        <s:is>
          <s:t>이종훈</s:t>
        </s:is>
      </s:c>
      <s:c r="C539" s="0" t="n">
        <s:v>130021</s:v>
      </s:c>
      <s:c r="D539" s="0" t="n">
        <s:v>1592</s:v>
      </s:c>
      <s:c r="F539" s="24">
        <s:f>'자료구성'!$B$2+TIME(INT($C$3/10000),INT(MOD($C$3,10000)/100),MOD($C$3,100))+(ROW()-ROW($C$3))/86400</s:f>
        <s:v>46247.548113425924</s:v>
      </s:c>
    </s:row>
    <s:row r="540">
      <s:c r="A540" s="0" t="n">
        <s:v>260813</s:v>
      </s:c>
      <s:c r="B540" s="0" t="inlineStr">
        <s:is>
          <s:t>이종훈</s:t>
        </s:is>
      </s:c>
      <s:c r="C540" s="0" t="n">
        <s:v>130021</s:v>
      </s:c>
      <s:c r="D540" s="0" t="n">
        <s:v>1527</s:v>
      </s:c>
      <s:c r="F540" s="24">
        <s:f>'자료구성'!$B$2+TIME(INT($C$3/10000),INT(MOD($C$3,10000)/100),MOD($C$3,100))+(ROW()-ROW($C$3))/86400</s:f>
        <s:v>46247.548125</s:v>
      </s:c>
    </s:row>
    <s:row r="541">
      <s:c r="A541" s="0" t="n">
        <s:v>260813</s:v>
      </s:c>
      <s:c r="B541" s="0" t="inlineStr">
        <s:is>
          <s:t>이종훈</s:t>
        </s:is>
      </s:c>
      <s:c r="C541" s="0" t="n">
        <s:v>130021</s:v>
      </s:c>
      <s:c r="D541" s="0" t="n">
        <s:v>1485</s:v>
      </s:c>
      <s:c r="F541" s="24">
        <s:f>'자료구성'!$B$2+TIME(INT($C$3/10000),INT(MOD($C$3,10000)/100),MOD($C$3,100))+(ROW()-ROW($C$3))/86400</s:f>
        <s:v>46247.54813657407</s:v>
      </s:c>
    </s:row>
    <s:row r="542">
      <s:c r="A542" s="0" t="n">
        <s:v>260813</s:v>
      </s:c>
      <s:c r="B542" s="0" t="inlineStr">
        <s:is>
          <s:t>이종훈</s:t>
        </s:is>
      </s:c>
      <s:c r="C542" s="0" t="n">
        <s:v>130021</s:v>
      </s:c>
      <s:c r="D542" s="0" t="n">
        <s:v>1465</s:v>
      </s:c>
      <s:c r="F542" s="24">
        <s:f>'자료구성'!$B$2+TIME(INT($C$3/10000),INT(MOD($C$3,10000)/100),MOD($C$3,100))+(ROW()-ROW($C$3))/86400</s:f>
        <s:v>46247.54814814815</s:v>
      </s:c>
    </s:row>
    <s:row r="543">
      <s:c r="A543" s="0" t="n">
        <s:v>260813</s:v>
      </s:c>
      <s:c r="B543" s="0" t="inlineStr">
        <s:is>
          <s:t>이종훈</s:t>
        </s:is>
      </s:c>
      <s:c r="C543" s="0" t="n">
        <s:v>130021</s:v>
      </s:c>
      <s:c r="D543" s="0" t="n">
        <s:v>1460</s:v>
      </s:c>
      <s:c r="F543" s="24">
        <s:f>'자료구성'!$B$2+TIME(INT($C$3/10000),INT(MOD($C$3,10000)/100),MOD($C$3,100))+(ROW()-ROW($C$3))/86400</s:f>
        <s:v>46247.548159722224</s:v>
      </s:c>
    </s:row>
    <s:row r="544">
      <s:c r="A544" s="0" t="n">
        <s:v>260813</s:v>
      </s:c>
      <s:c r="B544" s="0" t="inlineStr">
        <s:is>
          <s:t>이종훈</s:t>
        </s:is>
      </s:c>
      <s:c r="C544" s="0" t="n">
        <s:v>130021</s:v>
      </s:c>
      <s:c r="D544" s="0" t="n">
        <s:v>1446</s:v>
      </s:c>
      <s:c r="F544" s="24">
        <s:f>'자료구성'!$B$2+TIME(INT($C$3/10000),INT(MOD($C$3,10000)/100),MOD($C$3,100))+(ROW()-ROW($C$3))/86400</s:f>
        <s:v>46247.548171296294</s:v>
      </s:c>
    </s:row>
    <s:row r="545">
      <s:c r="A545" s="0" t="n">
        <s:v>260813</s:v>
      </s:c>
      <s:c r="B545" s="0" t="inlineStr">
        <s:is>
          <s:t>이종훈</s:t>
        </s:is>
      </s:c>
      <s:c r="C545" s="0" t="n">
        <s:v>130021</s:v>
      </s:c>
      <s:c r="D545" s="0" t="n">
        <s:v>1418</s:v>
      </s:c>
      <s:c r="F545" s="24">
        <s:f>'자료구성'!$B$2+TIME(INT($C$3/10000),INT(MOD($C$3,10000)/100),MOD($C$3,100))+(ROW()-ROW($C$3))/86400</s:f>
        <s:v>46247.54818287037</s:v>
      </s:c>
    </s:row>
    <s:row r="546">
      <s:c r="A546" s="0" t="n">
        <s:v>260813</s:v>
      </s:c>
      <s:c r="B546" s="0" t="inlineStr">
        <s:is>
          <s:t>이종훈</s:t>
        </s:is>
      </s:c>
      <s:c r="C546" s="0" t="n">
        <s:v>130021</s:v>
      </s:c>
      <s:c r="D546" s="0" t="n">
        <s:v>1376</s:v>
      </s:c>
      <s:c r="F546" s="24">
        <s:f>'자료구성'!$B$2+TIME(INT($C$3/10000),INT(MOD($C$3,10000)/100),MOD($C$3,100))+(ROW()-ROW($C$3))/86400</s:f>
        <s:v>46247.54819444445</s:v>
      </s:c>
    </s:row>
    <s:row r="547">
      <s:c r="A547" s="0" t="n">
        <s:v>260813</s:v>
      </s:c>
      <s:c r="B547" s="0" t="inlineStr">
        <s:is>
          <s:t>이종훈</s:t>
        </s:is>
      </s:c>
      <s:c r="C547" s="0" t="n">
        <s:v>130021</s:v>
      </s:c>
      <s:c r="D547" s="0" t="n">
        <s:v>1345</s:v>
      </s:c>
      <s:c r="F547" s="24">
        <s:f>'자료구성'!$B$2+TIME(INT($C$3/10000),INT(MOD($C$3,10000)/100),MOD($C$3,100))+(ROW()-ROW($C$3))/86400</s:f>
        <s:v>46247.54820601852</s:v>
      </s:c>
    </s:row>
    <s:row r="548">
      <s:c r="A548" s="0" t="n">
        <s:v>260813</s:v>
      </s:c>
      <s:c r="B548" s="0" t="inlineStr">
        <s:is>
          <s:t>이종훈</s:t>
        </s:is>
      </s:c>
      <s:c r="C548" s="0" t="n">
        <s:v>130021</s:v>
      </s:c>
      <s:c r="D548" s="0" t="n">
        <s:v>1310</s:v>
      </s:c>
      <s:c r="F548" s="24">
        <s:f>'자료구성'!$B$2+TIME(INT($C$3/10000),INT(MOD($C$3,10000)/100),MOD($C$3,100))+(ROW()-ROW($C$3))/86400</s:f>
        <s:v>46247.54821759259</s:v>
      </s:c>
    </s:row>
    <s:row r="549">
      <s:c r="A549" s="0" t="n">
        <s:v>260813</s:v>
      </s:c>
      <s:c r="B549" s="0" t="inlineStr">
        <s:is>
          <s:t>이종훈</s:t>
        </s:is>
      </s:c>
      <s:c r="C549" s="0" t="n">
        <s:v>130021</s:v>
      </s:c>
      <s:c r="D549" s="0" t="n">
        <s:v>1275</s:v>
      </s:c>
      <s:c r="F549" s="24">
        <s:f>'자료구성'!$B$2+TIME(INT($C$3/10000),INT(MOD($C$3,10000)/100),MOD($C$3,100))+(ROW()-ROW($C$3))/86400</s:f>
        <s:v>46247.54822916666</s:v>
      </s:c>
    </s:row>
    <s:row r="550">
      <s:c r="A550" s="0" t="n">
        <s:v>260813</s:v>
      </s:c>
      <s:c r="B550" s="0" t="inlineStr">
        <s:is>
          <s:t>이종훈</s:t>
        </s:is>
      </s:c>
      <s:c r="C550" s="0" t="n">
        <s:v>130021</s:v>
      </s:c>
      <s:c r="D550" s="0" t="n">
        <s:v>1248</s:v>
      </s:c>
      <s:c r="F550" s="24">
        <s:f>'자료구성'!$B$2+TIME(INT($C$3/10000),INT(MOD($C$3,10000)/100),MOD($C$3,100))+(ROW()-ROW($C$3))/86400</s:f>
        <s:v>46247.54824074074</s:v>
      </s:c>
    </s:row>
    <s:row r="551">
      <s:c r="A551" s="0" t="n">
        <s:v>260813</s:v>
      </s:c>
      <s:c r="B551" s="0" t="inlineStr">
        <s:is>
          <s:t>이종훈</s:t>
        </s:is>
      </s:c>
      <s:c r="C551" s="0" t="n">
        <s:v>130021</s:v>
      </s:c>
      <s:c r="D551" s="0" t="n">
        <s:v>1218</s:v>
      </s:c>
      <s:c r="F551" s="24">
        <s:f>'자료구성'!$B$2+TIME(INT($C$3/10000),INT(MOD($C$3,10000)/100),MOD($C$3,100))+(ROW()-ROW($C$3))/86400</s:f>
        <s:v>46247.54825231482</s:v>
      </s:c>
    </s:row>
    <s:row r="552">
      <s:c r="A552" s="0" t="n">
        <s:v>260813</s:v>
      </s:c>
      <s:c r="B552" s="0" t="inlineStr">
        <s:is>
          <s:t>이종훈</s:t>
        </s:is>
      </s:c>
      <s:c r="C552" s="0" t="n">
        <s:v>130021</s:v>
      </s:c>
      <s:c r="D552" s="0" t="n">
        <s:v>1218</s:v>
      </s:c>
      <s:c r="F552" s="24">
        <s:f>'자료구성'!$B$2+TIME(INT($C$3/10000),INT(MOD($C$3,10000)/100),MOD($C$3,100))+(ROW()-ROW($C$3))/86400</s:f>
        <s:v>46247.548263888886</s:v>
      </s:c>
    </s:row>
    <s:row r="553">
      <s:c r="A553" s="0" t="n">
        <s:v>260813</s:v>
      </s:c>
      <s:c r="B553" s="0" t="inlineStr">
        <s:is>
          <s:t>이종훈</s:t>
        </s:is>
      </s:c>
      <s:c r="C553" s="0" t="n">
        <s:v>130021</s:v>
      </s:c>
      <s:c r="D553" s="0" t="n">
        <s:v>1214</s:v>
      </s:c>
      <s:c r="F553" s="24">
        <s:f>'자료구성'!$B$2+TIME(INT($C$3/10000),INT(MOD($C$3,10000)/100),MOD($C$3,100))+(ROW()-ROW($C$3))/86400</s:f>
        <s:v>46247.54827546296</s:v>
      </s:c>
    </s:row>
    <s:row r="554">
      <s:c r="A554" s="0" t="n">
        <s:v>260813</s:v>
      </s:c>
      <s:c r="B554" s="0" t="inlineStr">
        <s:is>
          <s:t>이종훈</s:t>
        </s:is>
      </s:c>
      <s:c r="C554" s="0" t="n">
        <s:v>130021</s:v>
      </s:c>
      <s:c r="D554" s="0" t="n">
        <s:v>1200</s:v>
      </s:c>
      <s:c r="F554" s="24">
        <s:f>'자료구성'!$B$2+TIME(INT($C$3/10000),INT(MOD($C$3,10000)/100),MOD($C$3,100))+(ROW()-ROW($C$3))/86400</s:f>
        <s:v>46247.54828703704</s:v>
      </s:c>
    </s:row>
    <s:row r="555">
      <s:c r="A555" s="0" t="n">
        <s:v>260813</s:v>
      </s:c>
      <s:c r="B555" s="0" t="inlineStr">
        <s:is>
          <s:t>이종훈</s:t>
        </s:is>
      </s:c>
      <s:c r="C555" s="0" t="n">
        <s:v>130021</s:v>
      </s:c>
      <s:c r="D555" s="0" t="n">
        <s:v>1206</s:v>
      </s:c>
      <s:c r="F555" s="24">
        <s:f>'자료구성'!$B$2+TIME(INT($C$3/10000),INT(MOD($C$3,10000)/100),MOD($C$3,100))+(ROW()-ROW($C$3))/86400</s:f>
        <s:v>46247.54829861111</s:v>
      </s:c>
    </s:row>
    <s:row r="556">
      <s:c r="A556" s="0" t="n">
        <s:v>260813</s:v>
      </s:c>
      <s:c r="B556" s="0" t="inlineStr">
        <s:is>
          <s:t>이종훈</s:t>
        </s:is>
      </s:c>
      <s:c r="C556" s="0" t="n">
        <s:v>130021</s:v>
      </s:c>
      <s:c r="D556" s="0" t="n">
        <s:v>1203</s:v>
      </s:c>
      <s:c r="F556" s="24">
        <s:f>'자료구성'!$B$2+TIME(INT($C$3/10000),INT(MOD($C$3,10000)/100),MOD($C$3,100))+(ROW()-ROW($C$3))/86400</s:f>
        <s:v>46247.548310185186</s:v>
      </s:c>
    </s:row>
    <s:row r="557">
      <s:c r="A557" s="0" t="n">
        <s:v>260813</s:v>
      </s:c>
      <s:c r="B557" s="0" t="inlineStr">
        <s:is>
          <s:t>이종훈</s:t>
        </s:is>
      </s:c>
      <s:c r="C557" s="0" t="n">
        <s:v>130021</s:v>
      </s:c>
      <s:c r="D557" s="0" t="n">
        <s:v>1201</s:v>
      </s:c>
      <s:c r="F557" s="24">
        <s:f>'자료구성'!$B$2+TIME(INT($C$3/10000),INT(MOD($C$3,10000)/100),MOD($C$3,100))+(ROW()-ROW($C$3))/86400</s:f>
        <s:v>46247.54832175926</s:v>
      </s:c>
    </s:row>
    <s:row r="558">
      <s:c r="A558" s="0" t="n">
        <s:v>260813</s:v>
      </s:c>
      <s:c r="B558" s="0" t="inlineStr">
        <s:is>
          <s:t>이종훈</s:t>
        </s:is>
      </s:c>
      <s:c r="C558" s="0" t="n">
        <s:v>130021</s:v>
      </s:c>
      <s:c r="D558" s="0" t="n">
        <s:v>1192</s:v>
      </s:c>
      <s:c r="F558" s="24">
        <s:f>'자료구성'!$B$2+TIME(INT($C$3/10000),INT(MOD($C$3,10000)/100),MOD($C$3,100))+(ROW()-ROW($C$3))/86400</s:f>
        <s:v>46247.54833333333</s:v>
      </s:c>
    </s:row>
    <s:row r="559">
      <s:c r="A559" s="0" t="n">
        <s:v>260813</s:v>
      </s:c>
      <s:c r="B559" s="0" t="inlineStr">
        <s:is>
          <s:t>이종훈</s:t>
        </s:is>
      </s:c>
      <s:c r="C559" s="0" t="n">
        <s:v>130021</s:v>
      </s:c>
      <s:c r="D559" s="0" t="n">
        <s:v>1172</s:v>
      </s:c>
      <s:c r="F559" s="24">
        <s:f>'자료구성'!$B$2+TIME(INT($C$3/10000),INT(MOD($C$3,10000)/100),MOD($C$3,100))+(ROW()-ROW($C$3))/86400</s:f>
        <s:v>46247.54834490741</s:v>
      </s:c>
    </s:row>
    <s:row r="560">
      <s:c r="A560" s="0" t="n">
        <s:v>260813</s:v>
      </s:c>
      <s:c r="B560" s="0" t="inlineStr">
        <s:is>
          <s:t>이종훈</s:t>
        </s:is>
      </s:c>
      <s:c r="C560" s="0" t="n">
        <s:v>130021</s:v>
      </s:c>
      <s:c r="D560" s="0" t="n">
        <s:v>1170</s:v>
      </s:c>
      <s:c r="F560" s="24">
        <s:f>'자료구성'!$B$2+TIME(INT($C$3/10000),INT(MOD($C$3,10000)/100),MOD($C$3,100))+(ROW()-ROW($C$3))/86400</s:f>
        <s:v>46247.54835648148</s:v>
      </s:c>
    </s:row>
    <s:row r="561">
      <s:c r="A561" s="0" t="n">
        <s:v>260813</s:v>
      </s:c>
      <s:c r="B561" s="0" t="inlineStr">
        <s:is>
          <s:t>이종훈</s:t>
        </s:is>
      </s:c>
      <s:c r="C561" s="0" t="n">
        <s:v>130021</s:v>
      </s:c>
      <s:c r="D561" s="0" t="n">
        <s:v>1147</s:v>
      </s:c>
      <s:c r="F561" s="24">
        <s:f>'자료구성'!$B$2+TIME(INT($C$3/10000),INT(MOD($C$3,10000)/100),MOD($C$3,100))+(ROW()-ROW($C$3))/86400</s:f>
        <s:v>46247.548368055555</s:v>
      </s:c>
    </s:row>
    <s:row r="562">
      <s:c r="A562" s="0" t="n">
        <s:v>260813</s:v>
      </s:c>
      <s:c r="B562" s="0" t="inlineStr">
        <s:is>
          <s:t>이종훈</s:t>
        </s:is>
      </s:c>
      <s:c r="C562" s="0" t="n">
        <s:v>130021</s:v>
      </s:c>
      <s:c r="D562" s="0" t="n">
        <s:v>1128</s:v>
      </s:c>
      <s:c r="F562" s="24">
        <s:f>'자료구성'!$B$2+TIME(INT($C$3/10000),INT(MOD($C$3,10000)/100),MOD($C$3,100))+(ROW()-ROW($C$3))/86400</s:f>
        <s:v>46247.54837962963</s:v>
      </s:c>
    </s:row>
    <s:row r="563">
      <s:c r="A563" s="0" t="n">
        <s:v>260813</s:v>
      </s:c>
      <s:c r="B563" s="0" t="inlineStr">
        <s:is>
          <s:t>이종훈</s:t>
        </s:is>
      </s:c>
      <s:c r="C563" s="0" t="n">
        <s:v>130021</s:v>
      </s:c>
      <s:c r="D563" s="0" t="n">
        <s:v>1148</s:v>
      </s:c>
      <s:c r="F563" s="24">
        <s:f>'자료구성'!$B$2+TIME(INT($C$3/10000),INT(MOD($C$3,10000)/100),MOD($C$3,100))+(ROW()-ROW($C$3))/86400</s:f>
        <s:v>46247.5483912037</s:v>
      </s:c>
    </s:row>
    <s:row r="564">
      <s:c r="A564" s="0" t="n">
        <s:v>260813</s:v>
      </s:c>
      <s:c r="B564" s="0" t="inlineStr">
        <s:is>
          <s:t>이종훈</s:t>
        </s:is>
      </s:c>
      <s:c r="C564" s="0" t="n">
        <s:v>130021</s:v>
      </s:c>
      <s:c r="D564" s="0" t="n">
        <s:v>1152</s:v>
      </s:c>
      <s:c r="F564" s="24">
        <s:f>'자료구성'!$B$2+TIME(INT($C$3/10000),INT(MOD($C$3,10000)/100),MOD($C$3,100))+(ROW()-ROW($C$3))/86400</s:f>
        <s:v>46247.54840277778</s:v>
      </s:c>
    </s:row>
    <s:row r="565">
      <s:c r="A565" s="0" t="n">
        <s:v>260813</s:v>
      </s:c>
      <s:c r="B565" s="0" t="inlineStr">
        <s:is>
          <s:t>이종훈</s:t>
        </s:is>
      </s:c>
      <s:c r="C565" s="0" t="n">
        <s:v>130021</s:v>
      </s:c>
      <s:c r="D565" s="0" t="n">
        <s:v>1129</s:v>
      </s:c>
      <s:c r="F565" s="24">
        <s:f>'자료구성'!$B$2+TIME(INT($C$3/10000),INT(MOD($C$3,10000)/100),MOD($C$3,100))+(ROW()-ROW($C$3))/86400</s:f>
        <s:v>46247.548414351855</s:v>
      </s:c>
    </s:row>
    <s:row r="566">
      <s:c r="A566" s="0" t="n">
        <s:v>260813</s:v>
      </s:c>
      <s:c r="B566" s="0" t="inlineStr">
        <s:is>
          <s:t>이종훈</s:t>
        </s:is>
      </s:c>
      <s:c r="C566" s="0" t="n">
        <s:v>130021</s:v>
      </s:c>
      <s:c r="D566" s="0" t="n">
        <s:v>1115</s:v>
      </s:c>
      <s:c r="F566" s="24">
        <s:f>'자료구성'!$B$2+TIME(INT($C$3/10000),INT(MOD($C$3,10000)/100),MOD($C$3,100))+(ROW()-ROW($C$3))/86400</s:f>
        <s:v>46247.548425925925</s:v>
      </s:c>
    </s:row>
    <s:row r="567">
      <s:c r="A567" s="0" t="n">
        <s:v>260813</s:v>
      </s:c>
      <s:c r="B567" s="0" t="inlineStr">
        <s:is>
          <s:t>이종훈</s:t>
        </s:is>
      </s:c>
      <s:c r="C567" s="0" t="n">
        <s:v>130021</s:v>
      </s:c>
      <s:c r="D567" s="0" t="n">
        <s:v>1092</s:v>
      </s:c>
      <s:c r="F567" s="24">
        <s:f>'자료구성'!$B$2+TIME(INT($C$3/10000),INT(MOD($C$3,10000)/100),MOD($C$3,100))+(ROW()-ROW($C$3))/86400</s:f>
        <s:v>46247.5484375</s:v>
      </s:c>
    </s:row>
    <s:row r="568">
      <s:c r="A568" s="0" t="n">
        <s:v>260813</s:v>
      </s:c>
      <s:c r="B568" s="0" t="inlineStr">
        <s:is>
          <s:t>이종훈</s:t>
        </s:is>
      </s:c>
      <s:c r="C568" s="0" t="n">
        <s:v>130021</s:v>
      </s:c>
      <s:c r="D568" s="0" t="n">
        <s:v>1063</s:v>
      </s:c>
      <s:c r="F568" s="24">
        <s:f>'자료구성'!$B$2+TIME(INT($C$3/10000),INT(MOD($C$3,10000)/100),MOD($C$3,100))+(ROW()-ROW($C$3))/86400</s:f>
        <s:v>46247.54844907407</s:v>
      </s:c>
    </s:row>
    <s:row r="569">
      <s:c r="A569" s="0" t="n">
        <s:v>260813</s:v>
      </s:c>
      <s:c r="B569" s="0" t="inlineStr">
        <s:is>
          <s:t>이종훈</s:t>
        </s:is>
      </s:c>
      <s:c r="C569" s="0" t="n">
        <s:v>130021</s:v>
      </s:c>
      <s:c r="D569" s="0" t="n">
        <s:v>1064</s:v>
      </s:c>
      <s:c r="F569" s="24">
        <s:f>'자료구성'!$B$2+TIME(INT($C$3/10000),INT(MOD($C$3,10000)/100),MOD($C$3,100))+(ROW()-ROW($C$3))/86400</s:f>
        <s:v>46247.54846064815</s:v>
      </s:c>
    </s:row>
    <s:row r="570">
      <s:c r="A570" s="0" t="n">
        <s:v>260813</s:v>
      </s:c>
      <s:c r="B570" s="0" t="inlineStr">
        <s:is>
          <s:t>이종훈</s:t>
        </s:is>
      </s:c>
      <s:c r="C570" s="0" t="n">
        <s:v>130021</s:v>
      </s:c>
      <s:c r="D570" s="0" t="n">
        <s:v>1100</s:v>
      </s:c>
      <s:c r="F570" s="24">
        <s:f>'자료구성'!$B$2+TIME(INT($C$3/10000),INT(MOD($C$3,10000)/100),MOD($C$3,100))+(ROW()-ROW($C$3))/86400</s:f>
        <s:v>46247.548472222225</s:v>
      </s:c>
    </s:row>
    <s:row r="571">
      <s:c r="A571" s="0" t="n">
        <s:v>260813</s:v>
      </s:c>
      <s:c r="B571" s="0" t="inlineStr">
        <s:is>
          <s:t>이종훈</s:t>
        </s:is>
      </s:c>
      <s:c r="C571" s="0" t="n">
        <s:v>130021</s:v>
      </s:c>
      <s:c r="D571" s="0" t="n">
        <s:v>1126</s:v>
      </s:c>
      <s:c r="F571" s="24">
        <s:f>'자료구성'!$B$2+TIME(INT($C$3/10000),INT(MOD($C$3,10000)/100),MOD($C$3,100))+(ROW()-ROW($C$3))/86400</s:f>
        <s:v>46247.548483796294</s:v>
      </s:c>
    </s:row>
    <s:row r="572">
      <s:c r="A572" s="0" t="n">
        <s:v>260813</s:v>
      </s:c>
      <s:c r="B572" s="0" t="inlineStr">
        <s:is>
          <s:t>이종훈</s:t>
        </s:is>
      </s:c>
      <s:c r="C572" s="0" t="n">
        <s:v>130021</s:v>
      </s:c>
      <s:c r="D572" s="0" t="n">
        <s:v>1131</s:v>
      </s:c>
      <s:c r="F572" s="24">
        <s:f>'자료구성'!$B$2+TIME(INT($C$3/10000),INT(MOD($C$3,10000)/100),MOD($C$3,100))+(ROW()-ROW($C$3))/86400</s:f>
        <s:v>46247.54849537037</s:v>
      </s:c>
    </s:row>
    <s:row r="573">
      <s:c r="A573" s="0" t="n">
        <s:v>260813</s:v>
      </s:c>
      <s:c r="B573" s="0" t="inlineStr">
        <s:is>
          <s:t>이종훈</s:t>
        </s:is>
      </s:c>
      <s:c r="C573" s="0" t="n">
        <s:v>130021</s:v>
      </s:c>
      <s:c r="D573" s="0" t="n">
        <s:v>1134</s:v>
      </s:c>
      <s:c r="F573" s="24">
        <s:f>'자료구성'!$B$2+TIME(INT($C$3/10000),INT(MOD($C$3,10000)/100),MOD($C$3,100))+(ROW()-ROW($C$3))/86400</s:f>
        <s:v>46247.54850694445</s:v>
      </s:c>
    </s:row>
    <s:row r="574">
      <s:c r="A574" s="0" t="n">
        <s:v>260813</s:v>
      </s:c>
      <s:c r="B574" s="0" t="inlineStr">
        <s:is>
          <s:t>이종훈</s:t>
        </s:is>
      </s:c>
      <s:c r="C574" s="0" t="n">
        <s:v>130021</s:v>
      </s:c>
      <s:c r="D574" s="0" t="n">
        <s:v>1148</s:v>
      </s:c>
      <s:c r="F574" s="24">
        <s:f>'자료구성'!$B$2+TIME(INT($C$3/10000),INT(MOD($C$3,10000)/100),MOD($C$3,100))+(ROW()-ROW($C$3))/86400</s:f>
        <s:v>46247.54851851852</s:v>
      </s:c>
    </s:row>
    <s:row r="575">
      <s:c r="A575" s="0" t="n">
        <s:v>260813</s:v>
      </s:c>
      <s:c r="B575" s="0" t="inlineStr">
        <s:is>
          <s:t>이종훈</s:t>
        </s:is>
      </s:c>
      <s:c r="C575" s="0" t="n">
        <s:v>130021</s:v>
      </s:c>
      <s:c r="D575" s="0" t="n">
        <s:v>1139</s:v>
      </s:c>
      <s:c r="F575" s="24">
        <s:f>'자료구성'!$B$2+TIME(INT($C$3/10000),INT(MOD($C$3,10000)/100),MOD($C$3,100))+(ROW()-ROW($C$3))/86400</s:f>
        <s:v>46247.548530092594</s:v>
      </s:c>
    </s:row>
    <s:row r="576">
      <s:c r="A576" s="0" t="n">
        <s:v>260813</s:v>
      </s:c>
      <s:c r="B576" s="0" t="inlineStr">
        <s:is>
          <s:t>이종훈</s:t>
        </s:is>
      </s:c>
      <s:c r="C576" s="0" t="n">
        <s:v>130021</s:v>
      </s:c>
      <s:c r="D576" s="0" t="n">
        <s:v>1149</s:v>
      </s:c>
      <s:c r="F576" s="24">
        <s:f>'자료구성'!$B$2+TIME(INT($C$3/10000),INT(MOD($C$3,10000)/100),MOD($C$3,100))+(ROW()-ROW($C$3))/86400</s:f>
        <s:v>46247.54854166666</s:v>
      </s:c>
    </s:row>
    <s:row r="577">
      <s:c r="A577" s="0" t="n">
        <s:v>260813</s:v>
      </s:c>
      <s:c r="B577" s="0" t="inlineStr">
        <s:is>
          <s:t>이종훈</s:t>
        </s:is>
      </s:c>
      <s:c r="C577" s="0" t="n">
        <s:v>130021</s:v>
      </s:c>
      <s:c r="D577" s="0" t="n">
        <s:v>1167</s:v>
      </s:c>
      <s:c r="F577" s="24">
        <s:f>'자료구성'!$B$2+TIME(INT($C$3/10000),INT(MOD($C$3,10000)/100),MOD($C$3,100))+(ROW()-ROW($C$3))/86400</s:f>
        <s:v>46247.54855324074</s:v>
      </s:c>
    </s:row>
    <s:row r="578">
      <s:c r="A578" s="0" t="n">
        <s:v>260813</s:v>
      </s:c>
      <s:c r="B578" s="0" t="inlineStr">
        <s:is>
          <s:t>이종훈</s:t>
        </s:is>
      </s:c>
      <s:c r="C578" s="0" t="n">
        <s:v>130021</s:v>
      </s:c>
      <s:c r="D578" s="0" t="n">
        <s:v>1179</s:v>
      </s:c>
      <s:c r="F578" s="24">
        <s:f>'자료구성'!$B$2+TIME(INT($C$3/10000),INT(MOD($C$3,10000)/100),MOD($C$3,100))+(ROW()-ROW($C$3))/86400</s:f>
        <s:v>46247.54856481482</s:v>
      </s:c>
    </s:row>
    <s:row r="579">
      <s:c r="A579" s="0" t="n">
        <s:v>260813</s:v>
      </s:c>
      <s:c r="B579" s="0" t="inlineStr">
        <s:is>
          <s:t>이종훈</s:t>
        </s:is>
      </s:c>
      <s:c r="C579" s="0" t="n">
        <s:v>130021</s:v>
      </s:c>
      <s:c r="D579" s="0" t="n">
        <s:v>1192</s:v>
      </s:c>
      <s:c r="F579" s="24">
        <s:f>'자료구성'!$B$2+TIME(INT($C$3/10000),INT(MOD($C$3,10000)/100),MOD($C$3,100))+(ROW()-ROW($C$3))/86400</s:f>
        <s:v>46247.54857638889</s:v>
      </s:c>
    </s:row>
    <s:row r="580">
      <s:c r="A580" s="0" t="n">
        <s:v>260813</s:v>
      </s:c>
      <s:c r="B580" s="0" t="inlineStr">
        <s:is>
          <s:t>이종훈</s:t>
        </s:is>
      </s:c>
      <s:c r="C580" s="0" t="n">
        <s:v>130021</s:v>
      </s:c>
      <s:c r="D580" s="0" t="n">
        <s:v>1201</s:v>
      </s:c>
      <s:c r="F580" s="24">
        <s:f>'자료구성'!$B$2+TIME(INT($C$3/10000),INT(MOD($C$3,10000)/100),MOD($C$3,100))+(ROW()-ROW($C$3))/86400</s:f>
        <s:v>46247.54858796296</s:v>
      </s:c>
    </s:row>
    <s:row r="581">
      <s:c r="A581" s="0" t="n">
        <s:v>260813</s:v>
      </s:c>
      <s:c r="B581" s="0" t="inlineStr">
        <s:is>
          <s:t>이종훈</s:t>
        </s:is>
      </s:c>
      <s:c r="C581" s="0" t="n">
        <s:v>130021</s:v>
      </s:c>
      <s:c r="D581" s="0" t="n">
        <s:v>1202</s:v>
      </s:c>
      <s:c r="F581" s="24">
        <s:f>'자료구성'!$B$2+TIME(INT($C$3/10000),INT(MOD($C$3,10000)/100),MOD($C$3,100))+(ROW()-ROW($C$3))/86400</s:f>
        <s:v>46247.54859953704</s:v>
      </s:c>
    </s:row>
    <s:row r="582">
      <s:c r="A582" s="0" t="n">
        <s:v>260813</s:v>
      </s:c>
      <s:c r="B582" s="0" t="inlineStr">
        <s:is>
          <s:t>이종훈</s:t>
        </s:is>
      </s:c>
      <s:c r="C582" s="0" t="n">
        <s:v>130021</s:v>
      </s:c>
      <s:c r="D582" s="0" t="n">
        <s:v>1199</s:v>
      </s:c>
      <s:c r="F582" s="24">
        <s:f>'자료구성'!$B$2+TIME(INT($C$3/10000),INT(MOD($C$3,10000)/100),MOD($C$3,100))+(ROW()-ROW($C$3))/86400</s:f>
        <s:v>46247.54861111111</s:v>
      </s:c>
    </s:row>
    <s:row r="583">
      <s:c r="A583" s="0" t="n">
        <s:v>260813</s:v>
      </s:c>
      <s:c r="B583" s="0" t="inlineStr">
        <s:is>
          <s:t>이종훈</s:t>
        </s:is>
      </s:c>
      <s:c r="C583" s="0" t="n">
        <s:v>130021</s:v>
      </s:c>
      <s:c r="D583" s="0" t="n">
        <s:v>1218</s:v>
      </s:c>
      <s:c r="F583" s="24">
        <s:f>'자료구성'!$B$2+TIME(INT($C$3/10000),INT(MOD($C$3,10000)/100),MOD($C$3,100))+(ROW()-ROW($C$3))/86400</s:f>
        <s:v>46247.548622685186</s:v>
      </s:c>
    </s:row>
    <s:row r="584">
      <s:c r="A584" s="0" t="n">
        <s:v>260813</s:v>
      </s:c>
      <s:c r="B584" s="0" t="inlineStr">
        <s:is>
          <s:t>이종훈</s:t>
        </s:is>
      </s:c>
      <s:c r="C584" s="0" t="n">
        <s:v>130021</s:v>
      </s:c>
      <s:c r="D584" s="0" t="n">
        <s:v>1197</s:v>
      </s:c>
      <s:c r="F584" s="24">
        <s:f>'자료구성'!$B$2+TIME(INT($C$3/10000),INT(MOD($C$3,10000)/100),MOD($C$3,100))+(ROW()-ROW($C$3))/86400</s:f>
        <s:v>46247.548634259256</s:v>
      </s:c>
    </s:row>
    <s:row r="585">
      <s:c r="A585" s="0" t="n">
        <s:v>260813</s:v>
      </s:c>
      <s:c r="B585" s="0" t="inlineStr">
        <s:is>
          <s:t>이종훈</s:t>
        </s:is>
      </s:c>
      <s:c r="C585" s="0" t="n">
        <s:v>130021</s:v>
      </s:c>
      <s:c r="D585" s="0" t="n">
        <s:v>1192</s:v>
      </s:c>
      <s:c r="F585" s="24">
        <s:f>'자료구성'!$B$2+TIME(INT($C$3/10000),INT(MOD($C$3,10000)/100),MOD($C$3,100))+(ROW()-ROW($C$3))/86400</s:f>
        <s:v>46247.54864583333</s:v>
      </s:c>
    </s:row>
    <s:row r="586">
      <s:c r="A586" s="0" t="n">
        <s:v>260813</s:v>
      </s:c>
      <s:c r="B586" s="0" t="inlineStr">
        <s:is>
          <s:t>이종훈</s:t>
        </s:is>
      </s:c>
      <s:c r="C586" s="0" t="n">
        <s:v>130021</s:v>
      </s:c>
      <s:c r="D586" s="0" t="n">
        <s:v>1187</s:v>
      </s:c>
      <s:c r="F586" s="24">
        <s:f>'자료구성'!$B$2+TIME(INT($C$3/10000),INT(MOD($C$3,10000)/100),MOD($C$3,100))+(ROW()-ROW($C$3))/86400</s:f>
        <s:v>46247.54865740741</s:v>
      </s:c>
    </s:row>
    <s:row r="587">
      <s:c r="A587" s="0" t="n">
        <s:v>260813</s:v>
      </s:c>
      <s:c r="B587" s="0" t="inlineStr">
        <s:is>
          <s:t>이종훈</s:t>
        </s:is>
      </s:c>
      <s:c r="C587" s="0" t="n">
        <s:v>130021</s:v>
      </s:c>
      <s:c r="D587" s="0" t="n">
        <s:v>1177</s:v>
      </s:c>
      <s:c r="F587" s="24">
        <s:f>'자료구성'!$B$2+TIME(INT($C$3/10000),INT(MOD($C$3,10000)/100),MOD($C$3,100))+(ROW()-ROW($C$3))/86400</s:f>
        <s:v>46247.54866898148</s:v>
      </s:c>
    </s:row>
    <s:row r="588">
      <s:c r="A588" s="0" t="n">
        <s:v>260813</s:v>
      </s:c>
      <s:c r="B588" s="0" t="inlineStr">
        <s:is>
          <s:t>이종훈</s:t>
        </s:is>
      </s:c>
      <s:c r="C588" s="0" t="n">
        <s:v>130021</s:v>
      </s:c>
      <s:c r="D588" s="0" t="n">
        <s:v>1159</s:v>
      </s:c>
      <s:c r="F588" s="24">
        <s:f>'자료구성'!$B$2+TIME(INT($C$3/10000),INT(MOD($C$3,10000)/100),MOD($C$3,100))+(ROW()-ROW($C$3))/86400</s:f>
        <s:v>46247.548680555556</s:v>
      </s:c>
    </s:row>
    <s:row r="589">
      <s:c r="A589" s="0" t="n">
        <s:v>260813</s:v>
      </s:c>
      <s:c r="B589" s="0" t="inlineStr">
        <s:is>
          <s:t>이종훈</s:t>
        </s:is>
      </s:c>
      <s:c r="C589" s="0" t="n">
        <s:v>130021</s:v>
      </s:c>
      <s:c r="D589" s="0" t="n">
        <s:v>1156</s:v>
      </s:c>
      <s:c r="F589" s="24">
        <s:f>'자료구성'!$B$2+TIME(INT($C$3/10000),INT(MOD($C$3,10000)/100),MOD($C$3,100))+(ROW()-ROW($C$3))/86400</s:f>
        <s:v>46247.54869212963</s:v>
      </s:c>
    </s:row>
    <s:row r="590">
      <s:c r="A590" s="0" t="n">
        <s:v>260813</s:v>
      </s:c>
      <s:c r="B590" s="0" t="inlineStr">
        <s:is>
          <s:t>이종훈</s:t>
        </s:is>
      </s:c>
      <s:c r="C590" s="0" t="n">
        <s:v>130021</s:v>
      </s:c>
      <s:c r="D590" s="0" t="n">
        <s:v>1145</s:v>
      </s:c>
      <s:c r="F590" s="24">
        <s:f>'자료구성'!$B$2+TIME(INT($C$3/10000),INT(MOD($C$3,10000)/100),MOD($C$3,100))+(ROW()-ROW($C$3))/86400</s:f>
        <s:v>46247.5487037037</s:v>
      </s:c>
    </s:row>
    <s:row r="591">
      <s:c r="A591" s="0" t="n">
        <s:v>260813</s:v>
      </s:c>
      <s:c r="B591" s="0" t="inlineStr">
        <s:is>
          <s:t>이종훈</s:t>
        </s:is>
      </s:c>
      <s:c r="C591" s="0" t="n">
        <s:v>130021</s:v>
      </s:c>
      <s:c r="D591" s="0" t="n">
        <s:v>1124</s:v>
      </s:c>
      <s:c r="F591" s="24">
        <s:f>'자료구성'!$B$2+TIME(INT($C$3/10000),INT(MOD($C$3,10000)/100),MOD($C$3,100))+(ROW()-ROW($C$3))/86400</s:f>
        <s:v>46247.54871527778</s:v>
      </s:c>
    </s:row>
    <s:row r="592">
      <s:c r="A592" s="0" t="n">
        <s:v>260813</s:v>
      </s:c>
      <s:c r="B592" s="0" t="inlineStr">
        <s:is>
          <s:t>이종훈</s:t>
        </s:is>
      </s:c>
      <s:c r="C592" s="0" t="n">
        <s:v>130021</s:v>
      </s:c>
      <s:c r="D592" s="0" t="n">
        <s:v>1117</s:v>
      </s:c>
      <s:c r="F592" s="24">
        <s:f>'자료구성'!$B$2+TIME(INT($C$3/10000),INT(MOD($C$3,10000)/100),MOD($C$3,100))+(ROW()-ROW($C$3))/86400</s:f>
        <s:v>46247.548726851855</s:v>
      </s:c>
    </s:row>
    <s:row r="593">
      <s:c r="A593" s="0" t="n">
        <s:v>260813</s:v>
      </s:c>
      <s:c r="B593" s="0" t="inlineStr">
        <s:is>
          <s:t>이종훈</s:t>
        </s:is>
      </s:c>
      <s:c r="C593" s="0" t="n">
        <s:v>130021</s:v>
      </s:c>
      <s:c r="D593" s="0" t="n">
        <s:v>1148</s:v>
      </s:c>
      <s:c r="F593" s="24">
        <s:f>'자료구성'!$B$2+TIME(INT($C$3/10000),INT(MOD($C$3,10000)/100),MOD($C$3,100))+(ROW()-ROW($C$3))/86400</s:f>
        <s:v>46247.548738425925</s:v>
      </s:c>
    </s:row>
    <s:row r="594">
      <s:c r="A594" s="0" t="n">
        <s:v>260813</s:v>
      </s:c>
      <s:c r="B594" s="0" t="inlineStr">
        <s:is>
          <s:t>이종훈</s:t>
        </s:is>
      </s:c>
      <s:c r="C594" s="0" t="n">
        <s:v>130021</s:v>
      </s:c>
      <s:c r="D594" s="0" t="n">
        <s:v>1176</s:v>
      </s:c>
      <s:c r="F594" s="24">
        <s:f>'자료구성'!$B$2+TIME(INT($C$3/10000),INT(MOD($C$3,10000)/100),MOD($C$3,100))+(ROW()-ROW($C$3))/86400</s:f>
        <s:v>46247.54875</s:v>
      </s:c>
    </s:row>
    <s:row r="595">
      <s:c r="A595" s="0" t="n">
        <s:v>260813</s:v>
      </s:c>
      <s:c r="B595" s="0" t="inlineStr">
        <s:is>
          <s:t>이종훈</s:t>
        </s:is>
      </s:c>
      <s:c r="C595" s="0" t="n">
        <s:v>130021</s:v>
      </s:c>
      <s:c r="D595" s="0" t="n">
        <s:v>1189</s:v>
      </s:c>
      <s:c r="F595" s="24">
        <s:f>'자료구성'!$B$2+TIME(INT($C$3/10000),INT(MOD($C$3,10000)/100),MOD($C$3,100))+(ROW()-ROW($C$3))/86400</s:f>
        <s:v>46247.54876157407</s:v>
      </s:c>
    </s:row>
    <s:row r="596">
      <s:c r="A596" s="0" t="n">
        <s:v>260813</s:v>
      </s:c>
      <s:c r="B596" s="0" t="inlineStr">
        <s:is>
          <s:t>이종훈</s:t>
        </s:is>
      </s:c>
      <s:c r="C596" s="0" t="n">
        <s:v>130021</s:v>
      </s:c>
      <s:c r="D596" s="0" t="n">
        <s:v>1206</s:v>
      </s:c>
      <s:c r="F596" s="24">
        <s:f>'자료구성'!$B$2+TIME(INT($C$3/10000),INT(MOD($C$3,10000)/100),MOD($C$3,100))+(ROW()-ROW($C$3))/86400</s:f>
        <s:v>46247.54877314815</s:v>
      </s:c>
    </s:row>
    <s:row r="597">
      <s:c r="A597" s="0" t="n">
        <s:v>260813</s:v>
      </s:c>
      <s:c r="B597" s="0" t="inlineStr">
        <s:is>
          <s:t>이종훈</s:t>
        </s:is>
      </s:c>
      <s:c r="C597" s="0" t="n">
        <s:v>130021</s:v>
      </s:c>
      <s:c r="D597" s="0" t="n">
        <s:v>1237</s:v>
      </s:c>
      <s:c r="F597" s="24">
        <s:f>'자료구성'!$B$2+TIME(INT($C$3/10000),INT(MOD($C$3,10000)/100),MOD($C$3,100))+(ROW()-ROW($C$3))/86400</s:f>
        <s:v>46247.548784722225</s:v>
      </s:c>
    </s:row>
    <s:row r="598">
      <s:c r="A598" s="0" t="n">
        <s:v>260813</s:v>
      </s:c>
      <s:c r="B598" s="0" t="inlineStr">
        <s:is>
          <s:t>이종훈</s:t>
        </s:is>
      </s:c>
      <s:c r="C598" s="0" t="n">
        <s:v>130021</s:v>
      </s:c>
      <s:c r="D598" s="0" t="n">
        <s:v>1221</s:v>
      </s:c>
      <s:c r="F598" s="24">
        <s:f>'자료구성'!$B$2+TIME(INT($C$3/10000),INT(MOD($C$3,10000)/100),MOD($C$3,100))+(ROW()-ROW($C$3))/86400</s:f>
        <s:v>46247.548796296294</s:v>
      </s:c>
    </s:row>
    <s:row r="599">
      <s:c r="A599" s="0" t="n">
        <s:v>260813</s:v>
      </s:c>
      <s:c r="B599" s="0" t="inlineStr">
        <s:is>
          <s:t>이종훈</s:t>
        </s:is>
      </s:c>
      <s:c r="C599" s="0" t="n">
        <s:v>130021</s:v>
      </s:c>
      <s:c r="D599" s="0" t="n">
        <s:v>1250</s:v>
      </s:c>
      <s:c r="F599" s="24">
        <s:f>'자료구성'!$B$2+TIME(INT($C$3/10000),INT(MOD($C$3,10000)/100),MOD($C$3,100))+(ROW()-ROW($C$3))/86400</s:f>
        <s:v>46247.54880787037</s:v>
      </s:c>
    </s:row>
    <s:row r="600">
      <s:c r="A600" s="0" t="n">
        <s:v>260813</s:v>
      </s:c>
      <s:c r="B600" s="0" t="inlineStr">
        <s:is>
          <s:t>이종훈</s:t>
        </s:is>
      </s:c>
      <s:c r="C600" s="0" t="n">
        <s:v>130021</s:v>
      </s:c>
      <s:c r="D600" s="0" t="n">
        <s:v>1259</s:v>
      </s:c>
      <s:c r="F600" s="24">
        <s:f>'자료구성'!$B$2+TIME(INT($C$3/10000),INT(MOD($C$3,10000)/100),MOD($C$3,100))+(ROW()-ROW($C$3))/86400</s:f>
        <s:v>46247.54881944445</s:v>
      </s:c>
    </s:row>
    <s:row r="601">
      <s:c r="A601" s="0" t="n">
        <s:v>260813</s:v>
      </s:c>
      <s:c r="B601" s="0" t="inlineStr">
        <s:is>
          <s:t>이종훈</s:t>
        </s:is>
      </s:c>
      <s:c r="C601" s="0" t="n">
        <s:v>130021</s:v>
      </s:c>
      <s:c r="D601" s="0" t="n">
        <s:v>1276</s:v>
      </s:c>
      <s:c r="F601" s="24">
        <s:f>'자료구성'!$B$2+TIME(INT($C$3/10000),INT(MOD($C$3,10000)/100),MOD($C$3,100))+(ROW()-ROW($C$3))/86400</s:f>
        <s:v>46247.54883101852</s:v>
      </s:c>
    </s:row>
    <s:row r="602">
      <s:c r="A602" s="0" t="n">
        <s:v>260813</s:v>
      </s:c>
      <s:c r="B602" s="0" t="inlineStr">
        <s:is>
          <s:t>이종훈</s:t>
        </s:is>
      </s:c>
      <s:c r="C602" s="0" t="n">
        <s:v>130021</s:v>
      </s:c>
      <s:c r="D602" s="0" t="n">
        <s:v>1289</s:v>
      </s:c>
      <s:c r="F602" s="24">
        <s:f>'자료구성'!$B$2+TIME(INT($C$3/10000),INT(MOD($C$3,10000)/100),MOD($C$3,100))+(ROW()-ROW($C$3))/86400</s:f>
        <s:v>46247.548842592594</s:v>
      </s:c>
    </s:row>
    <s:row r="603">
      <s:c r="A603" s="0" t="n">
        <s:v>260813</s:v>
      </s:c>
      <s:c r="B603" s="0" t="inlineStr">
        <s:is>
          <s:t>이종훈</s:t>
        </s:is>
      </s:c>
      <s:c r="C603" s="0" t="n">
        <s:v>130021</s:v>
      </s:c>
      <s:c r="D603" s="0" t="n">
        <s:v>1285</s:v>
      </s:c>
      <s:c r="F603" s="24">
        <s:f>'자료구성'!$B$2+TIME(INT($C$3/10000),INT(MOD($C$3,10000)/100),MOD($C$3,100))+(ROW()-ROW($C$3))/86400</s:f>
        <s:v>46247.548854166664</s:v>
      </s:c>
    </s:row>
    <s:row r="604">
      <s:c r="A604" s="0" t="n">
        <s:v>260813</s:v>
      </s:c>
      <s:c r="B604" s="0" t="inlineStr">
        <s:is>
          <s:t>이종훈</s:t>
        </s:is>
      </s:c>
      <s:c r="C604" s="0" t="n">
        <s:v>130021</s:v>
      </s:c>
      <s:c r="D604" s="0" t="n">
        <s:v>1306</s:v>
      </s:c>
      <s:c r="F604" s="24">
        <s:f>'자료구성'!$B$2+TIME(INT($C$3/10000),INT(MOD($C$3,10000)/100),MOD($C$3,100))+(ROW()-ROW($C$3))/86400</s:f>
        <s:v>46247.54886574074</s:v>
      </s:c>
    </s:row>
    <s:row r="605">
      <s:c r="A605" s="0" t="n">
        <s:v>260813</s:v>
      </s:c>
      <s:c r="B605" s="0" t="inlineStr">
        <s:is>
          <s:t>이종훈</s:t>
        </s:is>
      </s:c>
      <s:c r="C605" s="0" t="n">
        <s:v>130021</s:v>
      </s:c>
      <s:c r="D605" s="0" t="n">
        <s:v>1334</s:v>
      </s:c>
      <s:c r="F605" s="24">
        <s:f>'자료구성'!$B$2+TIME(INT($C$3/10000),INT(MOD($C$3,10000)/100),MOD($C$3,100))+(ROW()-ROW($C$3))/86400</s:f>
        <s:v>46247.54887731482</s:v>
      </s:c>
    </s:row>
    <s:row r="606">
      <s:c r="A606" s="0" t="n">
        <s:v>260813</s:v>
      </s:c>
      <s:c r="B606" s="0" t="inlineStr">
        <s:is>
          <s:t>이종훈</s:t>
        </s:is>
      </s:c>
      <s:c r="C606" s="0" t="n">
        <s:v>130021</s:v>
      </s:c>
      <s:c r="D606" s="0" t="n">
        <s:v>1349</s:v>
      </s:c>
      <s:c r="F606" s="24">
        <s:f>'자료구성'!$B$2+TIME(INT($C$3/10000),INT(MOD($C$3,10000)/100),MOD($C$3,100))+(ROW()-ROW($C$3))/86400</s:f>
        <s:v>46247.54888888889</s:v>
      </s:c>
    </s:row>
    <s:row r="607">
      <s:c r="A607" s="0" t="n">
        <s:v>260813</s:v>
      </s:c>
      <s:c r="B607" s="0" t="inlineStr">
        <s:is>
          <s:t>이종훈</s:t>
        </s:is>
      </s:c>
      <s:c r="C607" s="0" t="n">
        <s:v>130021</s:v>
      </s:c>
      <s:c r="D607" s="0" t="n">
        <s:v>1370</s:v>
      </s:c>
      <s:c r="F607" s="24">
        <s:f>'자료구성'!$B$2+TIME(INT($C$3/10000),INT(MOD($C$3,10000)/100),MOD($C$3,100))+(ROW()-ROW($C$3))/86400</s:f>
        <s:v>46247.54890046296</s:v>
      </s:c>
    </s:row>
    <s:row r="608">
      <s:c r="A608" s="0" t="n">
        <s:v>260813</s:v>
      </s:c>
      <s:c r="B608" s="0" t="inlineStr">
        <s:is>
          <s:t>이종훈</s:t>
        </s:is>
      </s:c>
      <s:c r="C608" s="0" t="n">
        <s:v>130021</s:v>
      </s:c>
      <s:c r="D608" s="0" t="n">
        <s:v>1371</s:v>
      </s:c>
      <s:c r="F608" s="24">
        <s:f>'자료구성'!$B$2+TIME(INT($C$3/10000),INT(MOD($C$3,10000)/100),MOD($C$3,100))+(ROW()-ROW($C$3))/86400</s:f>
        <s:v>46247.54891203704</s:v>
      </s:c>
    </s:row>
    <s:row r="609">
      <s:c r="A609" s="0" t="n">
        <s:v>260813</s:v>
      </s:c>
      <s:c r="B609" s="0" t="inlineStr">
        <s:is>
          <s:t>이종훈</s:t>
        </s:is>
      </s:c>
      <s:c r="C609" s="0" t="n">
        <s:v>130021</s:v>
      </s:c>
      <s:c r="D609" s="0" t="n">
        <s:v>1387</s:v>
      </s:c>
      <s:c r="F609" s="24">
        <s:f>'자료구성'!$B$2+TIME(INT($C$3/10000),INT(MOD($C$3,10000)/100),MOD($C$3,100))+(ROW()-ROW($C$3))/86400</s:f>
        <s:v>46247.54892361111</s:v>
      </s:c>
    </s:row>
    <s:row r="610">
      <s:c r="A610" s="0" t="n">
        <s:v>260813</s:v>
      </s:c>
      <s:c r="B610" s="0" t="inlineStr">
        <s:is>
          <s:t>이종훈</s:t>
        </s:is>
      </s:c>
      <s:c r="C610" s="0" t="n">
        <s:v>130021</s:v>
      </s:c>
      <s:c r="D610" s="0" t="n">
        <s:v>1381</s:v>
      </s:c>
      <s:c r="F610" s="24">
        <s:f>'자료구성'!$B$2+TIME(INT($C$3/10000),INT(MOD($C$3,10000)/100),MOD($C$3,100))+(ROW()-ROW($C$3))/86400</s:f>
        <s:v>46247.54893518519</s:v>
      </s:c>
    </s:row>
    <s:row r="611">
      <s:c r="A611" s="0" t="n">
        <s:v>260813</s:v>
      </s:c>
      <s:c r="B611" s="0" t="inlineStr">
        <s:is>
          <s:t>이종훈</s:t>
        </s:is>
      </s:c>
      <s:c r="C611" s="0" t="n">
        <s:v>130021</s:v>
      </s:c>
      <s:c r="D611" s="0" t="n">
        <s:v>1372</s:v>
      </s:c>
      <s:c r="F611" s="24">
        <s:f>'자료구성'!$B$2+TIME(INT($C$3/10000),INT(MOD($C$3,10000)/100),MOD($C$3,100))+(ROW()-ROW($C$3))/86400</s:f>
        <s:v>46247.548946759256</s:v>
      </s:c>
    </s:row>
    <s:row r="612">
      <s:c r="A612" s="0" t="n">
        <s:v>260813</s:v>
      </s:c>
      <s:c r="B612" s="0" t="inlineStr">
        <s:is>
          <s:t>이종훈</s:t>
        </s:is>
      </s:c>
      <s:c r="C612" s="0" t="n">
        <s:v>130021</s:v>
      </s:c>
      <s:c r="D612" s="0" t="n">
        <s:v>1364</s:v>
      </s:c>
      <s:c r="F612" s="24">
        <s:f>'자료구성'!$B$2+TIME(INT($C$3/10000),INT(MOD($C$3,10000)/100),MOD($C$3,100))+(ROW()-ROW($C$3))/86400</s:f>
        <s:v>46247.54895833333</s:v>
      </s:c>
    </s:row>
    <s:row r="613">
      <s:c r="A613" s="0" t="n">
        <s:v>260813</s:v>
      </s:c>
      <s:c r="B613" s="0" t="inlineStr">
        <s:is>
          <s:t>이종훈</s:t>
        </s:is>
      </s:c>
      <s:c r="C613" s="0" t="n">
        <s:v>130021</s:v>
      </s:c>
      <s:c r="D613" s="0" t="n">
        <s:v>1336</s:v>
      </s:c>
      <s:c r="F613" s="24">
        <s:f>'자료구성'!$B$2+TIME(INT($C$3/10000),INT(MOD($C$3,10000)/100),MOD($C$3,100))+(ROW()-ROW($C$3))/86400</s:f>
        <s:v>46247.54896990741</s:v>
      </s:c>
    </s:row>
    <s:row r="614">
      <s:c r="A614" s="0" t="n">
        <s:v>260813</s:v>
      </s:c>
      <s:c r="B614" s="0" t="inlineStr">
        <s:is>
          <s:t>이종훈</s:t>
        </s:is>
      </s:c>
      <s:c r="C614" s="0" t="n">
        <s:v>130021</s:v>
      </s:c>
      <s:c r="D614" s="0" t="n">
        <s:v>1333</s:v>
      </s:c>
      <s:c r="F614" s="24">
        <s:f>'자료구성'!$B$2+TIME(INT($C$3/10000),INT(MOD($C$3,10000)/100),MOD($C$3,100))+(ROW()-ROW($C$3))/86400</s:f>
        <s:v>46247.54898148148</s:v>
      </s:c>
    </s:row>
    <s:row r="615">
      <s:c r="A615" s="0" t="n">
        <s:v>260813</s:v>
      </s:c>
      <s:c r="B615" s="0" t="inlineStr">
        <s:is>
          <s:t>이종훈</s:t>
        </s:is>
      </s:c>
      <s:c r="C615" s="0" t="n">
        <s:v>130021</s:v>
      </s:c>
      <s:c r="D615" s="0" t="n">
        <s:v>1284</s:v>
      </s:c>
      <s:c r="F615" s="24">
        <s:f>'자료구성'!$B$2+TIME(INT($C$3/10000),INT(MOD($C$3,10000)/100),MOD($C$3,100))+(ROW()-ROW($C$3))/86400</s:f>
        <s:v>46247.548993055556</s:v>
      </s:c>
    </s:row>
    <s:row r="616">
      <s:c r="A616" s="0" t="n">
        <s:v>260813</s:v>
      </s:c>
      <s:c r="B616" s="0" t="inlineStr">
        <s:is>
          <s:t>이종훈</s:t>
        </s:is>
      </s:c>
      <s:c r="C616" s="0" t="n">
        <s:v>130021</s:v>
      </s:c>
      <s:c r="D616" s="0" t="n">
        <s:v>1223</s:v>
      </s:c>
      <s:c r="F616" s="24">
        <s:f>'자료구성'!$B$2+TIME(INT($C$3/10000),INT(MOD($C$3,10000)/100),MOD($C$3,100))+(ROW()-ROW($C$3))/86400</s:f>
        <s:v>46247.54900462963</s:v>
      </s:c>
    </s:row>
    <s:row r="617">
      <s:c r="A617" s="0" t="n">
        <s:v>260813</s:v>
      </s:c>
      <s:c r="B617" s="0" t="inlineStr">
        <s:is>
          <s:t>이종훈</s:t>
        </s:is>
      </s:c>
      <s:c r="C617" s="0" t="n">
        <s:v>130021</s:v>
      </s:c>
      <s:c r="D617" s="0" t="n">
        <s:v>1171</s:v>
      </s:c>
      <s:c r="F617" s="24">
        <s:f>'자료구성'!$B$2+TIME(INT($C$3/10000),INT(MOD($C$3,10000)/100),MOD($C$3,100))+(ROW()-ROW($C$3))/86400</s:f>
        <s:v>46247.5490162037</s:v>
      </s:c>
    </s:row>
    <s:row r="618">
      <s:c r="A618" s="0" t="n">
        <s:v>260813</s:v>
      </s:c>
      <s:c r="B618" s="0" t="inlineStr">
        <s:is>
          <s:t>이종훈</s:t>
        </s:is>
      </s:c>
      <s:c r="C618" s="0" t="n">
        <s:v>130021</s:v>
      </s:c>
      <s:c r="D618" s="0" t="n">
        <s:v>1104</s:v>
      </s:c>
      <s:c r="F618" s="24">
        <s:f>'자료구성'!$B$2+TIME(INT($C$3/10000),INT(MOD($C$3,10000)/100),MOD($C$3,100))+(ROW()-ROW($C$3))/86400</s:f>
        <s:v>46247.54902777778</s:v>
      </s:c>
    </s:row>
    <s:row r="619">
      <s:c r="A619" s="0" t="n">
        <s:v>260813</s:v>
      </s:c>
      <s:c r="B619" s="0" t="inlineStr">
        <s:is>
          <s:t>이종훈</s:t>
        </s:is>
      </s:c>
      <s:c r="C619" s="0" t="n">
        <s:v>130021</s:v>
      </s:c>
      <s:c r="D619" s="0" t="n">
        <s:v>1041</s:v>
      </s:c>
      <s:c r="F619" s="24">
        <s:f>'자료구성'!$B$2+TIME(INT($C$3/10000),INT(MOD($C$3,10000)/100),MOD($C$3,100))+(ROW()-ROW($C$3))/86400</s:f>
        <s:v>46247.54903935185</s:v>
      </s:c>
    </s:row>
    <s:row r="620">
      <s:c r="A620" s="0" t="n">
        <s:v>260813</s:v>
      </s:c>
      <s:c r="B620" s="0" t="inlineStr">
        <s:is>
          <s:t>이종훈</s:t>
        </s:is>
      </s:c>
      <s:c r="C620" s="0" t="n">
        <s:v>130021</s:v>
      </s:c>
      <s:c r="D620" s="0" t="n">
        <s:v>997</s:v>
      </s:c>
      <s:c r="F620" s="24">
        <s:f>'자료구성'!$B$2+TIME(INT($C$3/10000),INT(MOD($C$3,10000)/100),MOD($C$3,100))+(ROW()-ROW($C$3))/86400</s:f>
        <s:v>46247.549050925925</s:v>
      </s:c>
    </s:row>
    <s:row r="621">
      <s:c r="A621" s="0" t="n">
        <s:v>260813</s:v>
      </s:c>
      <s:c r="B621" s="0" t="inlineStr">
        <s:is>
          <s:t>이종훈</s:t>
        </s:is>
      </s:c>
      <s:c r="C621" s="0" t="n">
        <s:v>130021</s:v>
      </s:c>
      <s:c r="D621" s="0" t="n">
        <s:v>966</s:v>
      </s:c>
      <s:c r="F621" s="24">
        <s:f>'자료구성'!$B$2+TIME(INT($C$3/10000),INT(MOD($C$3,10000)/100),MOD($C$3,100))+(ROW()-ROW($C$3))/86400</s:f>
        <s:v>46247.5490625</s:v>
      </s:c>
    </s:row>
    <s:row r="622">
      <s:c r="A622" s="0" t="n">
        <s:v>260813</s:v>
      </s:c>
      <s:c r="B622" s="0" t="inlineStr">
        <s:is>
          <s:t>이종훈</s:t>
        </s:is>
      </s:c>
      <s:c r="C622" s="0" t="n">
        <s:v>130021</s:v>
      </s:c>
      <s:c r="D622" s="0" t="n">
        <s:v>928</s:v>
      </s:c>
      <s:c r="F622" s="24">
        <s:f>'자료구성'!$B$2+TIME(INT($C$3/10000),INT(MOD($C$3,10000)/100),MOD($C$3,100))+(ROW()-ROW($C$3))/86400</s:f>
        <s:v>46247.54907407407</s:v>
      </s:c>
    </s:row>
    <s:row r="623">
      <s:c r="A623" s="0" t="n">
        <s:v>260813</s:v>
      </s:c>
      <s:c r="B623" s="0" t="inlineStr">
        <s:is>
          <s:t>이종훈</s:t>
        </s:is>
      </s:c>
      <s:c r="C623" s="0" t="n">
        <s:v>130021</s:v>
      </s:c>
      <s:c r="D623" s="0" t="n">
        <s:v>915</s:v>
      </s:c>
      <s:c r="F623" s="24">
        <s:f>'자료구성'!$B$2+TIME(INT($C$3/10000),INT(MOD($C$3,10000)/100),MOD($C$3,100))+(ROW()-ROW($C$3))/86400</s:f>
        <s:v>46247.54908564815</s:v>
      </s:c>
    </s:row>
    <s:row r="624">
      <s:c r="A624" s="0" t="n">
        <s:v>260813</s:v>
      </s:c>
      <s:c r="B624" s="0" t="inlineStr">
        <s:is>
          <s:t>이종훈</s:t>
        </s:is>
      </s:c>
      <s:c r="C624" s="0" t="n">
        <s:v>130021</s:v>
      </s:c>
      <s:c r="D624" s="0" t="n">
        <s:v>891</s:v>
      </s:c>
      <s:c r="F624" s="24">
        <s:f>'자료구성'!$B$2+TIME(INT($C$3/10000),INT(MOD($C$3,10000)/100),MOD($C$3,100))+(ROW()-ROW($C$3))/86400</s:f>
        <s:v>46247.549097222225</s:v>
      </s:c>
    </s:row>
    <s:row r="625">
      <s:c r="A625" s="0" t="n">
        <s:v>260813</s:v>
      </s:c>
      <s:c r="B625" s="0" t="inlineStr">
        <s:is>
          <s:t>이종훈</s:t>
        </s:is>
      </s:c>
      <s:c r="C625" s="0" t="n">
        <s:v>130021</s:v>
      </s:c>
      <s:c r="D625" s="0" t="n">
        <s:v>875</s:v>
      </s:c>
      <s:c r="F625" s="24">
        <s:f>'자료구성'!$B$2+TIME(INT($C$3/10000),INT(MOD($C$3,10000)/100),MOD($C$3,100))+(ROW()-ROW($C$3))/86400</s:f>
        <s:v>46247.549108796295</s:v>
      </s:c>
    </s:row>
    <s:row r="626">
      <s:c r="A626" s="0" t="n">
        <s:v>260813</s:v>
      </s:c>
      <s:c r="B626" s="0" t="inlineStr">
        <s:is>
          <s:t>이종훈</s:t>
        </s:is>
      </s:c>
      <s:c r="C626" s="0" t="n">
        <s:v>130021</s:v>
      </s:c>
      <s:c r="D626" s="0" t="n">
        <s:v>851</s:v>
      </s:c>
      <s:c r="F626" s="24">
        <s:f>'자료구성'!$B$2+TIME(INT($C$3/10000),INT(MOD($C$3,10000)/100),MOD($C$3,100))+(ROW()-ROW($C$3))/86400</s:f>
        <s:v>46247.54912037037</s:v>
      </s:c>
    </s:row>
    <s:row r="627">
      <s:c r="A627" s="0" t="n">
        <s:v>260813</s:v>
      </s:c>
      <s:c r="B627" s="0" t="inlineStr">
        <s:is>
          <s:t>이종훈</s:t>
        </s:is>
      </s:c>
      <s:c r="C627" s="0" t="n">
        <s:v>130021</s:v>
      </s:c>
      <s:c r="D627" s="0" t="n">
        <s:v>843</s:v>
      </s:c>
      <s:c r="F627" s="24">
        <s:f>'자료구성'!$B$2+TIME(INT($C$3/10000),INT(MOD($C$3,10000)/100),MOD($C$3,100))+(ROW()-ROW($C$3))/86400</s:f>
        <s:v>46247.54913194444</s:v>
      </s:c>
    </s:row>
    <s:row r="628">
      <s:c r="A628" s="0" t="n">
        <s:v>260813</s:v>
      </s:c>
      <s:c r="B628" s="0" t="inlineStr">
        <s:is>
          <s:t>이종훈</s:t>
        </s:is>
      </s:c>
      <s:c r="C628" s="0" t="n">
        <s:v>130021</s:v>
      </s:c>
      <s:c r="D628" s="0" t="n">
        <s:v>850</s:v>
      </s:c>
      <s:c r="F628" s="24">
        <s:f>'자료구성'!$B$2+TIME(INT($C$3/10000),INT(MOD($C$3,10000)/100),MOD($C$3,100))+(ROW()-ROW($C$3))/86400</s:f>
        <s:v>46247.54914351852</s:v>
      </s:c>
    </s:row>
    <s:row r="629">
      <s:c r="A629" s="0" t="n">
        <s:v>260813</s:v>
      </s:c>
      <s:c r="B629" s="0" t="inlineStr">
        <s:is>
          <s:t>이종훈</s:t>
        </s:is>
      </s:c>
      <s:c r="C629" s="0" t="n">
        <s:v>130021</s:v>
      </s:c>
      <s:c r="D629" s="0" t="n">
        <s:v>829</s:v>
      </s:c>
      <s:c r="F629" s="24">
        <s:f>'자료구성'!$B$2+TIME(INT($C$3/10000),INT(MOD($C$3,10000)/100),MOD($C$3,100))+(ROW()-ROW($C$3))/86400</s:f>
        <s:v>46247.549155092594</s:v>
      </s:c>
    </s:row>
    <s:row r="630">
      <s:c r="A630" s="0" t="n">
        <s:v>260813</s:v>
      </s:c>
      <s:c r="B630" s="0" t="inlineStr">
        <s:is>
          <s:t>이종훈</s:t>
        </s:is>
      </s:c>
      <s:c r="C630" s="0" t="n">
        <s:v>130021</s:v>
      </s:c>
      <s:c r="D630" s="0" t="n">
        <s:v>819</s:v>
      </s:c>
      <s:c r="F630" s="24">
        <s:f>'자료구성'!$B$2+TIME(INT($C$3/10000),INT(MOD($C$3,10000)/100),MOD($C$3,100))+(ROW()-ROW($C$3))/86400</s:f>
        <s:v>46247.549166666664</s:v>
      </s:c>
    </s:row>
    <s:row r="631">
      <s:c r="A631" s="0" t="n">
        <s:v>260813</s:v>
      </s:c>
      <s:c r="B631" s="0" t="inlineStr">
        <s:is>
          <s:t>이종훈</s:t>
        </s:is>
      </s:c>
      <s:c r="C631" s="0" t="n">
        <s:v>130021</s:v>
      </s:c>
      <s:c r="D631" s="0" t="n">
        <s:v>832</s:v>
      </s:c>
      <s:c r="F631" s="24">
        <s:f>'자료구성'!$B$2+TIME(INT($C$3/10000),INT(MOD($C$3,10000)/100),MOD($C$3,100))+(ROW()-ROW($C$3))/86400</s:f>
        <s:v>46247.54917824074</s:v>
      </s:c>
    </s:row>
    <s:row r="632">
      <s:c r="A632" s="0" t="n">
        <s:v>260813</s:v>
      </s:c>
      <s:c r="B632" s="0" t="inlineStr">
        <s:is>
          <s:t>이종훈</s:t>
        </s:is>
      </s:c>
      <s:c r="C632" s="0" t="n">
        <s:v>130021</s:v>
      </s:c>
      <s:c r="D632" s="0" t="n">
        <s:v>816</s:v>
      </s:c>
      <s:c r="F632" s="24">
        <s:f>'자료구성'!$B$2+TIME(INT($C$3/10000),INT(MOD($C$3,10000)/100),MOD($C$3,100))+(ROW()-ROW($C$3))/86400</s:f>
        <s:v>46247.54918981482</s:v>
      </s:c>
    </s:row>
    <s:row r="633">
      <s:c r="A633" s="0" t="n">
        <s:v>260813</s:v>
      </s:c>
      <s:c r="B633" s="0" t="inlineStr">
        <s:is>
          <s:t>이종훈</s:t>
        </s:is>
      </s:c>
      <s:c r="C633" s="0" t="n">
        <s:v>130021</s:v>
      </s:c>
      <s:c r="D633" s="0" t="n">
        <s:v>829</s:v>
      </s:c>
      <s:c r="F633" s="24">
        <s:f>'자료구성'!$B$2+TIME(INT($C$3/10000),INT(MOD($C$3,10000)/100),MOD($C$3,100))+(ROW()-ROW($C$3))/86400</s:f>
        <s:v>46247.54920138889</s:v>
      </s:c>
    </s:row>
    <s:row r="634">
      <s:c r="A634" s="0" t="n">
        <s:v>260813</s:v>
      </s:c>
      <s:c r="B634" s="0" t="inlineStr">
        <s:is>
          <s:t>이종훈</s:t>
        </s:is>
      </s:c>
      <s:c r="C634" s="0" t="n">
        <s:v>130021</s:v>
      </s:c>
      <s:c r="D634" s="0" t="n">
        <s:v>821</s:v>
      </s:c>
      <s:c r="F634" s="24">
        <s:f>'자료구성'!$B$2+TIME(INT($C$3/10000),INT(MOD($C$3,10000)/100),MOD($C$3,100))+(ROW()-ROW($C$3))/86400</s:f>
        <s:v>46247.549212962964</s:v>
      </s:c>
    </s:row>
    <s:row r="635">
      <s:c r="A635" s="0" t="n">
        <s:v>260813</s:v>
      </s:c>
      <s:c r="B635" s="0" t="inlineStr">
        <s:is>
          <s:t>이종훈</s:t>
        </s:is>
      </s:c>
      <s:c r="C635" s="0" t="n">
        <s:v>130021</s:v>
      </s:c>
      <s:c r="D635" s="0" t="n">
        <s:v>819</s:v>
      </s:c>
      <s:c r="F635" s="24">
        <s:f>'자료구성'!$B$2+TIME(INT($C$3/10000),INT(MOD($C$3,10000)/100),MOD($C$3,100))+(ROW()-ROW($C$3))/86400</s:f>
        <s:v>46247.54922453704</s:v>
      </s:c>
    </s:row>
    <s:row r="636">
      <s:c r="A636" s="0" t="n">
        <s:v>260813</s:v>
      </s:c>
      <s:c r="B636" s="0" t="inlineStr">
        <s:is>
          <s:t>이종훈</s:t>
        </s:is>
      </s:c>
      <s:c r="C636" s="0" t="n">
        <s:v>130021</s:v>
      </s:c>
      <s:c r="D636" s="0" t="n">
        <s:v>821</s:v>
      </s:c>
      <s:c r="F636" s="24">
        <s:f>'자료구성'!$B$2+TIME(INT($C$3/10000),INT(MOD($C$3,10000)/100),MOD($C$3,100))+(ROW()-ROW($C$3))/86400</s:f>
        <s:v>46247.54923611111</s:v>
      </s:c>
    </s:row>
    <s:row r="637">
      <s:c r="A637" s="0" t="n">
        <s:v>260813</s:v>
      </s:c>
      <s:c r="B637" s="0" t="inlineStr">
        <s:is>
          <s:t>이종훈</s:t>
        </s:is>
      </s:c>
      <s:c r="C637" s="0" t="n">
        <s:v>130021</s:v>
      </s:c>
      <s:c r="D637" s="0" t="n">
        <s:v>814</s:v>
      </s:c>
      <s:c r="F637" s="24">
        <s:f>'자료구성'!$B$2+TIME(INT($C$3/10000),INT(MOD($C$3,10000)/100),MOD($C$3,100))+(ROW()-ROW($C$3))/86400</s:f>
        <s:v>46247.54924768519</s:v>
      </s:c>
    </s:row>
    <s:row r="638">
      <s:c r="A638" s="0" t="n">
        <s:v>260813</s:v>
      </s:c>
      <s:c r="B638" s="0" t="inlineStr">
        <s:is>
          <s:t>이종훈</s:t>
        </s:is>
      </s:c>
      <s:c r="C638" s="0" t="n">
        <s:v>130021</s:v>
      </s:c>
      <s:c r="D638" s="0" t="n">
        <s:v>807</s:v>
      </s:c>
      <s:c r="F638" s="24">
        <s:f>'자료구성'!$B$2+TIME(INT($C$3/10000),INT(MOD($C$3,10000)/100),MOD($C$3,100))+(ROW()-ROW($C$3))/86400</s:f>
        <s:v>46247.549259259256</s:v>
      </s:c>
    </s:row>
    <s:row r="639">
      <s:c r="A639" s="0" t="n">
        <s:v>260813</s:v>
      </s:c>
      <s:c r="B639" s="0" t="inlineStr">
        <s:is>
          <s:t>이종훈</s:t>
        </s:is>
      </s:c>
      <s:c r="C639" s="0" t="n">
        <s:v>130021</s:v>
      </s:c>
      <s:c r="D639" s="0" t="n">
        <s:v>816</s:v>
      </s:c>
      <s:c r="F639" s="24">
        <s:f>'자료구성'!$B$2+TIME(INT($C$3/10000),INT(MOD($C$3,10000)/100),MOD($C$3,100))+(ROW()-ROW($C$3))/86400</s:f>
        <s:v>46247.54927083333</s:v>
      </s:c>
    </s:row>
    <s:row r="640">
      <s:c r="A640" s="0" t="n">
        <s:v>260813</s:v>
      </s:c>
      <s:c r="B640" s="0" t="inlineStr">
        <s:is>
          <s:t>이종훈</s:t>
        </s:is>
      </s:c>
      <s:c r="C640" s="0" t="n">
        <s:v>130021</s:v>
      </s:c>
      <s:c r="D640" s="0" t="n">
        <s:v>822</s:v>
      </s:c>
      <s:c r="F640" s="24">
        <s:f>'자료구성'!$B$2+TIME(INT($C$3/10000),INT(MOD($C$3,10000)/100),MOD($C$3,100))+(ROW()-ROW($C$3))/86400</s:f>
        <s:v>46247.54928240741</s:v>
      </s:c>
    </s:row>
    <s:row r="641">
      <s:c r="A641" s="0" t="n">
        <s:v>260813</s:v>
      </s:c>
      <s:c r="B641" s="0" t="inlineStr">
        <s:is>
          <s:t>이종훈</s:t>
        </s:is>
      </s:c>
      <s:c r="C641" s="0" t="n">
        <s:v>130021</s:v>
      </s:c>
      <s:c r="D641" s="0" t="n">
        <s:v>831</s:v>
      </s:c>
      <s:c r="F641" s="24">
        <s:f>'자료구성'!$B$2+TIME(INT($C$3/10000),INT(MOD($C$3,10000)/100),MOD($C$3,100))+(ROW()-ROW($C$3))/86400</s:f>
        <s:v>46247.54929398148</s:v>
      </s:c>
    </s:row>
    <s:row r="642">
      <s:c r="A642" s="0" t="n">
        <s:v>260813</s:v>
      </s:c>
      <s:c r="B642" s="0" t="inlineStr">
        <s:is>
          <s:t>이종훈</s:t>
        </s:is>
      </s:c>
      <s:c r="C642" s="0" t="n">
        <s:v>130021</s:v>
      </s:c>
      <s:c r="D642" s="0" t="n">
        <s:v>826</s:v>
      </s:c>
      <s:c r="F642" s="24">
        <s:f>'자료구성'!$B$2+TIME(INT($C$3/10000),INT(MOD($C$3,10000)/100),MOD($C$3,100))+(ROW()-ROW($C$3))/86400</s:f>
        <s:v>46247.549305555556</s:v>
      </s:c>
    </s:row>
    <s:row r="643">
      <s:c r="A643" s="0" t="n">
        <s:v>260813</s:v>
      </s:c>
      <s:c r="B643" s="0" t="inlineStr">
        <s:is>
          <s:t>이종훈</s:t>
        </s:is>
      </s:c>
      <s:c r="C643" s="0" t="n">
        <s:v>130021</s:v>
      </s:c>
      <s:c r="D643" s="0" t="n">
        <s:v>830</s:v>
      </s:c>
      <s:c r="F643" s="24">
        <s:f>'자료구성'!$B$2+TIME(INT($C$3/10000),INT(MOD($C$3,10000)/100),MOD($C$3,100))+(ROW()-ROW($C$3))/86400</s:f>
        <s:v>46247.54931712963</s:v>
      </s:c>
    </s:row>
    <s:row r="644">
      <s:c r="A644" s="0" t="n">
        <s:v>260813</s:v>
      </s:c>
      <s:c r="B644" s="0" t="inlineStr">
        <s:is>
          <s:t>이종훈</s:t>
        </s:is>
      </s:c>
      <s:c r="C644" s="0" t="n">
        <s:v>130021</s:v>
      </s:c>
      <s:c r="D644" s="0" t="n">
        <s:v>818</s:v>
      </s:c>
      <s:c r="F644" s="24">
        <s:f>'자료구성'!$B$2+TIME(INT($C$3/10000),INT(MOD($C$3,10000)/100),MOD($C$3,100))+(ROW()-ROW($C$3))/86400</s:f>
        <s:v>46247.5493287037</s:v>
      </s:c>
    </s:row>
    <s:row r="645">
      <s:c r="A645" s="0" t="n">
        <s:v>260813</s:v>
      </s:c>
      <s:c r="B645" s="0" t="inlineStr">
        <s:is>
          <s:t>이종훈</s:t>
        </s:is>
      </s:c>
      <s:c r="C645" s="0" t="n">
        <s:v>130021</s:v>
      </s:c>
      <s:c r="D645" s="0" t="n">
        <s:v>823</s:v>
      </s:c>
      <s:c r="F645" s="24">
        <s:f>'자료구성'!$B$2+TIME(INT($C$3/10000),INT(MOD($C$3,10000)/100),MOD($C$3,100))+(ROW()-ROW($C$3))/86400</s:f>
        <s:v>46247.54934027778</s:v>
      </s:c>
    </s:row>
    <s:row r="646">
      <s:c r="A646" s="0" t="n">
        <s:v>260813</s:v>
      </s:c>
      <s:c r="B646" s="0" t="inlineStr">
        <s:is>
          <s:t>이종훈</s:t>
        </s:is>
      </s:c>
      <s:c r="C646" s="0" t="n">
        <s:v>130021</s:v>
      </s:c>
      <s:c r="D646" s="0" t="n">
        <s:v>824</s:v>
      </s:c>
      <s:c r="F646" s="24">
        <s:f>'자료구성'!$B$2+TIME(INT($C$3/10000),INT(MOD($C$3,10000)/100),MOD($C$3,100))+(ROW()-ROW($C$3))/86400</s:f>
        <s:v>46247.54935185185</s:v>
      </s:c>
    </s:row>
    <s:row r="647">
      <s:c r="A647" s="0" t="n">
        <s:v>260813</s:v>
      </s:c>
      <s:c r="B647" s="0" t="inlineStr">
        <s:is>
          <s:t>이종훈</s:t>
        </s:is>
      </s:c>
      <s:c r="C647" s="0" t="n">
        <s:v>130021</s:v>
      </s:c>
      <s:c r="D647" s="0" t="n">
        <s:v>839</s:v>
      </s:c>
      <s:c r="F647" s="24">
        <s:f>'자료구성'!$B$2+TIME(INT($C$3/10000),INT(MOD($C$3,10000)/100),MOD($C$3,100))+(ROW()-ROW($C$3))/86400</s:f>
        <s:v>46247.549363425926</s:v>
      </s:c>
    </s:row>
    <s:row r="648">
      <s:c r="A648" s="0" t="n">
        <s:v>260813</s:v>
      </s:c>
      <s:c r="B648" s="0" t="inlineStr">
        <s:is>
          <s:t>이종훈</s:t>
        </s:is>
      </s:c>
      <s:c r="C648" s="0" t="n">
        <s:v>130021</s:v>
      </s:c>
      <s:c r="D648" s="0" t="n">
        <s:v>852</s:v>
      </s:c>
      <s:c r="F648" s="24">
        <s:f>'자료구성'!$B$2+TIME(INT($C$3/10000),INT(MOD($C$3,10000)/100),MOD($C$3,100))+(ROW()-ROW($C$3))/86400</s:f>
        <s:v>46247.549375</s:v>
      </s:c>
    </s:row>
    <s:row r="649">
      <s:c r="A649" s="0" t="n">
        <s:v>260813</s:v>
      </s:c>
      <s:c r="B649" s="0" t="inlineStr">
        <s:is>
          <s:t>이종훈</s:t>
        </s:is>
      </s:c>
      <s:c r="C649" s="0" t="n">
        <s:v>130021</s:v>
      </s:c>
      <s:c r="D649" s="0" t="n">
        <s:v>857</s:v>
      </s:c>
      <s:c r="F649" s="24">
        <s:f>'자료구성'!$B$2+TIME(INT($C$3/10000),INT(MOD($C$3,10000)/100),MOD($C$3,100))+(ROW()-ROW($C$3))/86400</s:f>
        <s:v>46247.54938657407</s:v>
      </s:c>
    </s:row>
    <s:row r="650">
      <s:c r="A650" s="0" t="n">
        <s:v>260813</s:v>
      </s:c>
      <s:c r="B650" s="0" t="inlineStr">
        <s:is>
          <s:t>이종훈</s:t>
        </s:is>
      </s:c>
      <s:c r="C650" s="0" t="n">
        <s:v>130021</s:v>
      </s:c>
      <s:c r="D650" s="0" t="n">
        <s:v>867</s:v>
      </s:c>
      <s:c r="F650" s="24">
        <s:f>'자료구성'!$B$2+TIME(INT($C$3/10000),INT(MOD($C$3,10000)/100),MOD($C$3,100))+(ROW()-ROW($C$3))/86400</s:f>
        <s:v>46247.54939814815</s:v>
      </s:c>
    </s:row>
    <s:row r="651">
      <s:c r="A651" s="0" t="n">
        <s:v>260813</s:v>
      </s:c>
      <s:c r="B651" s="0" t="inlineStr">
        <s:is>
          <s:t>이종훈</s:t>
        </s:is>
      </s:c>
      <s:c r="C651" s="0" t="n">
        <s:v>130021</s:v>
      </s:c>
      <s:c r="D651" s="0" t="n">
        <s:v>890</s:v>
      </s:c>
      <s:c r="F651" s="24">
        <s:f>'자료구성'!$B$2+TIME(INT($C$3/10000),INT(MOD($C$3,10000)/100),MOD($C$3,100))+(ROW()-ROW($C$3))/86400</s:f>
        <s:v>46247.549409722225</s:v>
      </s:c>
    </s:row>
    <s:row r="652">
      <s:c r="A652" s="0" t="n">
        <s:v>260813</s:v>
      </s:c>
      <s:c r="B652" s="0" t="inlineStr">
        <s:is>
          <s:t>이종훈</s:t>
        </s:is>
      </s:c>
      <s:c r="C652" s="0" t="n">
        <s:v>130021</s:v>
      </s:c>
      <s:c r="D652" s="0" t="n">
        <s:v>867</s:v>
      </s:c>
      <s:c r="F652" s="24">
        <s:f>'자료구성'!$B$2+TIME(INT($C$3/10000),INT(MOD($C$3,10000)/100),MOD($C$3,100))+(ROW()-ROW($C$3))/86400</s:f>
        <s:v>46247.549421296295</s:v>
      </s:c>
    </s:row>
    <s:row r="653">
      <s:c r="A653" s="0" t="n">
        <s:v>260813</s:v>
      </s:c>
      <s:c r="B653" s="0" t="inlineStr">
        <s:is>
          <s:t>이종훈</s:t>
        </s:is>
      </s:c>
      <s:c r="C653" s="0" t="n">
        <s:v>130021</s:v>
      </s:c>
      <s:c r="D653" s="0" t="n">
        <s:v>889</s:v>
      </s:c>
      <s:c r="F653" s="24">
        <s:f>'자료구성'!$B$2+TIME(INT($C$3/10000),INT(MOD($C$3,10000)/100),MOD($C$3,100))+(ROW()-ROW($C$3))/86400</s:f>
        <s:v>46247.54943287037</s:v>
      </s:c>
    </s:row>
    <s:row r="654">
      <s:c r="A654" s="0" t="n">
        <s:v>260813</s:v>
      </s:c>
      <s:c r="B654" s="0" t="inlineStr">
        <s:is>
          <s:t>이종훈</s:t>
        </s:is>
      </s:c>
      <s:c r="C654" s="0" t="n">
        <s:v>130021</s:v>
      </s:c>
      <s:c r="D654" s="0" t="n">
        <s:v>877</s:v>
      </s:c>
      <s:c r="F654" s="24">
        <s:f>'자료구성'!$B$2+TIME(INT($C$3/10000),INT(MOD($C$3,10000)/100),MOD($C$3,100))+(ROW()-ROW($C$3))/86400</s:f>
        <s:v>46247.54944444444</s:v>
      </s:c>
    </s:row>
    <s:row r="655">
      <s:c r="A655" s="0" t="n">
        <s:v>260813</s:v>
      </s:c>
      <s:c r="B655" s="0" t="inlineStr">
        <s:is>
          <s:t>이종훈</s:t>
        </s:is>
      </s:c>
      <s:c r="C655" s="0" t="n">
        <s:v>130021</s:v>
      </s:c>
      <s:c r="D655" s="0" t="n">
        <s:v>883</s:v>
      </s:c>
      <s:c r="F655" s="24">
        <s:f>'자료구성'!$B$2+TIME(INT($C$3/10000),INT(MOD($C$3,10000)/100),MOD($C$3,100))+(ROW()-ROW($C$3))/86400</s:f>
        <s:v>46247.54945601852</s:v>
      </s:c>
    </s:row>
    <s:row r="656">
      <s:c r="A656" s="0" t="n">
        <s:v>260813</s:v>
      </s:c>
      <s:c r="B656" s="0" t="inlineStr">
        <s:is>
          <s:t>이종훈</s:t>
        </s:is>
      </s:c>
      <s:c r="C656" s="0" t="n">
        <s:v>130021</s:v>
      </s:c>
      <s:c r="D656" s="0" t="n">
        <s:v>892</s:v>
      </s:c>
      <s:c r="F656" s="24">
        <s:f>'자료구성'!$B$2+TIME(INT($C$3/10000),INT(MOD($C$3,10000)/100),MOD($C$3,100))+(ROW()-ROW($C$3))/86400</s:f>
        <s:v>46247.549467592595</s:v>
      </s:c>
    </s:row>
    <s:row r="657">
      <s:c r="A657" s="0" t="n">
        <s:v>260813</s:v>
      </s:c>
      <s:c r="B657" s="0" t="inlineStr">
        <s:is>
          <s:t>이종훈</s:t>
        </s:is>
      </s:c>
      <s:c r="C657" s="0" t="n">
        <s:v>130021</s:v>
      </s:c>
      <s:c r="D657" s="0" t="n">
        <s:v>903</s:v>
      </s:c>
      <s:c r="F657" s="24">
        <s:f>'자료구성'!$B$2+TIME(INT($C$3/10000),INT(MOD($C$3,10000)/100),MOD($C$3,100))+(ROW()-ROW($C$3))/86400</s:f>
        <s:v>46247.549479166664</s:v>
      </s:c>
    </s:row>
    <s:row r="658">
      <s:c r="A658" s="0" t="n">
        <s:v>260813</s:v>
      </s:c>
      <s:c r="B658" s="0" t="inlineStr">
        <s:is>
          <s:t>이종훈</s:t>
        </s:is>
      </s:c>
      <s:c r="C658" s="0" t="n">
        <s:v>130021</s:v>
      </s:c>
      <s:c r="D658" s="0" t="n">
        <s:v>912</s:v>
      </s:c>
      <s:c r="F658" s="24">
        <s:f>'자료구성'!$B$2+TIME(INT($C$3/10000),INT(MOD($C$3,10000)/100),MOD($C$3,100))+(ROW()-ROW($C$3))/86400</s:f>
        <s:v>46247.54949074074</s:v>
      </s:c>
    </s:row>
    <s:row r="659">
      <s:c r="A659" s="0" t="n">
        <s:v>260813</s:v>
      </s:c>
      <s:c r="B659" s="0" t="inlineStr">
        <s:is>
          <s:t>이종훈</s:t>
        </s:is>
      </s:c>
      <s:c r="C659" s="0" t="n">
        <s:v>130021</s:v>
      </s:c>
      <s:c r="D659" s="0" t="n">
        <s:v>918</s:v>
      </s:c>
      <s:c r="F659" s="24">
        <s:f>'자료구성'!$B$2+TIME(INT($C$3/10000),INT(MOD($C$3,10000)/100),MOD($C$3,100))+(ROW()-ROW($C$3))/86400</s:f>
        <s:v>46247.54950231482</s:v>
      </s:c>
    </s:row>
    <s:row r="660">
      <s:c r="A660" s="0" t="n">
        <s:v>260813</s:v>
      </s:c>
      <s:c r="B660" s="0" t="inlineStr">
        <s:is>
          <s:t>이종훈</s:t>
        </s:is>
      </s:c>
      <s:c r="C660" s="0" t="n">
        <s:v>130021</s:v>
      </s:c>
      <s:c r="D660" s="0" t="n">
        <s:v>934</s:v>
      </s:c>
      <s:c r="F660" s="24">
        <s:f>'자료구성'!$B$2+TIME(INT($C$3/10000),INT(MOD($C$3,10000)/100),MOD($C$3,100))+(ROW()-ROW($C$3))/86400</s:f>
        <s:v>46247.54951388889</s:v>
      </s:c>
    </s:row>
    <s:row r="661">
      <s:c r="A661" s="0" t="n">
        <s:v>260813</s:v>
      </s:c>
      <s:c r="B661" s="0" t="inlineStr">
        <s:is>
          <s:t>이종훈</s:t>
        </s:is>
      </s:c>
      <s:c r="C661" s="0" t="n">
        <s:v>130021</s:v>
      </s:c>
      <s:c r="D661" s="0" t="n">
        <s:v>944</s:v>
      </s:c>
      <s:c r="F661" s="24">
        <s:f>'자료구성'!$B$2+TIME(INT($C$3/10000),INT(MOD($C$3,10000)/100),MOD($C$3,100))+(ROW()-ROW($C$3))/86400</s:f>
        <s:v>46247.549525462964</s:v>
      </s:c>
    </s:row>
    <s:row r="662">
      <s:c r="A662" s="0" t="n">
        <s:v>260813</s:v>
      </s:c>
      <s:c r="B662" s="0" t="inlineStr">
        <s:is>
          <s:t>이종훈</s:t>
        </s:is>
      </s:c>
      <s:c r="C662" s="0" t="n">
        <s:v>130021</s:v>
      </s:c>
      <s:c r="D662" s="0" t="n">
        <s:v>963</s:v>
      </s:c>
      <s:c r="F662" s="24">
        <s:f>'자료구성'!$B$2+TIME(INT($C$3/10000),INT(MOD($C$3,10000)/100),MOD($C$3,100))+(ROW()-ROW($C$3))/86400</s:f>
        <s:v>46247.54953703703</s:v>
      </s:c>
    </s:row>
    <s:row r="663">
      <s:c r="A663" s="0" t="n">
        <s:v>260813</s:v>
      </s:c>
      <s:c r="B663" s="0" t="inlineStr">
        <s:is>
          <s:t>이종훈</s:t>
        </s:is>
      </s:c>
      <s:c r="C663" s="0" t="n">
        <s:v>130021</s:v>
      </s:c>
      <s:c r="D663" s="0" t="n">
        <s:v>992</s:v>
      </s:c>
      <s:c r="F663" s="24">
        <s:f>'자료구성'!$B$2+TIME(INT($C$3/10000),INT(MOD($C$3,10000)/100),MOD($C$3,100))+(ROW()-ROW($C$3))/86400</s:f>
        <s:v>46247.54954861111</s:v>
      </s:c>
    </s:row>
    <s:row r="664">
      <s:c r="A664" s="0" t="n">
        <s:v>260813</s:v>
      </s:c>
      <s:c r="B664" s="0" t="inlineStr">
        <s:is>
          <s:t>이종훈</s:t>
        </s:is>
      </s:c>
      <s:c r="C664" s="0" t="n">
        <s:v>130021</s:v>
      </s:c>
      <s:c r="D664" s="0" t="n">
        <s:v>1006</s:v>
      </s:c>
      <s:c r="F664" s="24">
        <s:f>'자료구성'!$B$2+TIME(INT($C$3/10000),INT(MOD($C$3,10000)/100),MOD($C$3,100))+(ROW()-ROW($C$3))/86400</s:f>
        <s:v>46247.54956018519</s:v>
      </s:c>
    </s:row>
    <s:row r="665">
      <s:c r="A665" s="0" t="n">
        <s:v>260813</s:v>
      </s:c>
      <s:c r="B665" s="0" t="inlineStr">
        <s:is>
          <s:t>이종훈</s:t>
        </s:is>
      </s:c>
      <s:c r="C665" s="0" t="n">
        <s:v>130021</s:v>
      </s:c>
      <s:c r="D665" s="0" t="n">
        <s:v>1030</s:v>
      </s:c>
      <s:c r="F665" s="24">
        <s:f>'자료구성'!$B$2+TIME(INT($C$3/10000),INT(MOD($C$3,10000)/100),MOD($C$3,100))+(ROW()-ROW($C$3))/86400</s:f>
        <s:v>46247.54957175926</s:v>
      </s:c>
    </s:row>
    <s:row r="666">
      <s:c r="A666" s="0" t="n">
        <s:v>260813</s:v>
      </s:c>
      <s:c r="B666" s="0" t="inlineStr">
        <s:is>
          <s:t>이종훈</s:t>
        </s:is>
      </s:c>
      <s:c r="C666" s="0" t="n">
        <s:v>130021</s:v>
      </s:c>
      <s:c r="D666" s="0" t="n">
        <s:v>1059</s:v>
      </s:c>
      <s:c r="F666" s="24">
        <s:f>'자료구성'!$B$2+TIME(INT($C$3/10000),INT(MOD($C$3,10000)/100),MOD($C$3,100))+(ROW()-ROW($C$3))/86400</s:f>
        <s:v>46247.54958333333</s:v>
      </s:c>
    </s:row>
    <s:row r="667">
      <s:c r="A667" s="0" t="n">
        <s:v>260813</s:v>
      </s:c>
      <s:c r="B667" s="0" t="inlineStr">
        <s:is>
          <s:t>이종훈</s:t>
        </s:is>
      </s:c>
      <s:c r="C667" s="0" t="n">
        <s:v>130021</s:v>
      </s:c>
      <s:c r="D667" s="0" t="n">
        <s:v>1126</s:v>
      </s:c>
      <s:c r="F667" s="24">
        <s:f>'자료구성'!$B$2+TIME(INT($C$3/10000),INT(MOD($C$3,10000)/100),MOD($C$3,100))+(ROW()-ROW($C$3))/86400</s:f>
        <s:v>46247.54959490741</s:v>
      </s:c>
    </s:row>
    <s:row r="668">
      <s:c r="A668" s="0" t="n">
        <s:v>260813</s:v>
      </s:c>
      <s:c r="B668" s="0" t="inlineStr">
        <s:is>
          <s:t>이종훈</s:t>
        </s:is>
      </s:c>
      <s:c r="C668" s="0" t="n">
        <s:v>130021</s:v>
      </s:c>
      <s:c r="D668" s="0" t="n">
        <s:v>1151</s:v>
      </s:c>
      <s:c r="F668" s="24">
        <s:f>'자료구성'!$B$2+TIME(INT($C$3/10000),INT(MOD($C$3,10000)/100),MOD($C$3,100))+(ROW()-ROW($C$3))/86400</s:f>
        <s:v>46247.54960648148</s:v>
      </s:c>
    </s:row>
    <s:row r="669">
      <s:c r="A669" s="0" t="n">
        <s:v>260813</s:v>
      </s:c>
      <s:c r="B669" s="0" t="inlineStr">
        <s:is>
          <s:t>이종훈</s:t>
        </s:is>
      </s:c>
      <s:c r="C669" s="0" t="n">
        <s:v>130021</s:v>
      </s:c>
      <s:c r="D669" s="0" t="n">
        <s:v>1163</s:v>
      </s:c>
      <s:c r="F669" s="24">
        <s:f>'자료구성'!$B$2+TIME(INT($C$3/10000),INT(MOD($C$3,10000)/100),MOD($C$3,100))+(ROW()-ROW($C$3))/86400</s:f>
        <s:v>46247.54961805556</s:v>
      </s:c>
    </s:row>
    <s:row r="670">
      <s:c r="A670" s="0" t="n">
        <s:v>260813</s:v>
      </s:c>
      <s:c r="B670" s="0" t="inlineStr">
        <s:is>
          <s:t>이종훈</s:t>
        </s:is>
      </s:c>
      <s:c r="C670" s="0" t="n">
        <s:v>130021</s:v>
      </s:c>
      <s:c r="D670" s="0" t="n">
        <s:v>1177</s:v>
      </s:c>
      <s:c r="F670" s="24">
        <s:f>'자료구성'!$B$2+TIME(INT($C$3/10000),INT(MOD($C$3,10000)/100),MOD($C$3,100))+(ROW()-ROW($C$3))/86400</s:f>
        <s:v>46247.549629629626</s:v>
      </s:c>
    </s:row>
    <s:row r="671">
      <s:c r="A671" s="0" t="n">
        <s:v>260813</s:v>
      </s:c>
      <s:c r="B671" s="0" t="inlineStr">
        <s:is>
          <s:t>이종훈</s:t>
        </s:is>
      </s:c>
      <s:c r="C671" s="0" t="n">
        <s:v>130021</s:v>
      </s:c>
      <s:c r="D671" s="0" t="n">
        <s:v>1202</s:v>
      </s:c>
      <s:c r="F671" s="24">
        <s:f>'자료구성'!$B$2+TIME(INT($C$3/10000),INT(MOD($C$3,10000)/100),MOD($C$3,100))+(ROW()-ROW($C$3))/86400</s:f>
        <s:v>46247.5496412037</s:v>
      </s:c>
    </s:row>
    <s:row r="672">
      <s:c r="A672" s="0" t="n">
        <s:v>260813</s:v>
      </s:c>
      <s:c r="B672" s="0" t="inlineStr">
        <s:is>
          <s:t>이종훈</s:t>
        </s:is>
      </s:c>
      <s:c r="C672" s="0" t="n">
        <s:v>130021</s:v>
      </s:c>
      <s:c r="D672" s="0" t="n">
        <s:v>1240</s:v>
      </s:c>
      <s:c r="F672" s="24">
        <s:f>'자료구성'!$B$2+TIME(INT($C$3/10000),INT(MOD($C$3,10000)/100),MOD($C$3,100))+(ROW()-ROW($C$3))/86400</s:f>
        <s:v>46247.54965277778</s:v>
      </s:c>
    </s:row>
    <s:row r="673">
      <s:c r="A673" s="0" t="n">
        <s:v>260813</s:v>
      </s:c>
      <s:c r="B673" s="0" t="inlineStr">
        <s:is>
          <s:t>이종훈</s:t>
        </s:is>
      </s:c>
      <s:c r="C673" s="0" t="n">
        <s:v>130021</s:v>
      </s:c>
      <s:c r="D673" s="0" t="n">
        <s:v>1265</s:v>
      </s:c>
      <s:c r="F673" s="24">
        <s:f>'자료구성'!$B$2+TIME(INT($C$3/10000),INT(MOD($C$3,10000)/100),MOD($C$3,100))+(ROW()-ROW($C$3))/86400</s:f>
        <s:v>46247.54966435185</s:v>
      </s:c>
    </s:row>
    <s:row r="674">
      <s:c r="A674" s="0" t="n">
        <s:v>260813</s:v>
      </s:c>
      <s:c r="B674" s="0" t="inlineStr">
        <s:is>
          <s:t>이종훈</s:t>
        </s:is>
      </s:c>
      <s:c r="C674" s="0" t="n">
        <s:v>130021</s:v>
      </s:c>
      <s:c r="D674" s="0" t="n">
        <s:v>1279</s:v>
      </s:c>
      <s:c r="F674" s="24">
        <s:f>'자료구성'!$B$2+TIME(INT($C$3/10000),INT(MOD($C$3,10000)/100),MOD($C$3,100))+(ROW()-ROW($C$3))/86400</s:f>
        <s:v>46247.549675925926</s:v>
      </s:c>
    </s:row>
    <s:row r="675">
      <s:c r="A675" s="0" t="n">
        <s:v>260813</s:v>
      </s:c>
      <s:c r="B675" s="0" t="inlineStr">
        <s:is>
          <s:t>이종훈</s:t>
        </s:is>
      </s:c>
      <s:c r="C675" s="0" t="n">
        <s:v>130021</s:v>
      </s:c>
      <s:c r="D675" s="0" t="n">
        <s:v>1281</s:v>
      </s:c>
      <s:c r="F675" s="24">
        <s:f>'자료구성'!$B$2+TIME(INT($C$3/10000),INT(MOD($C$3,10000)/100),MOD($C$3,100))+(ROW()-ROW($C$3))/86400</s:f>
        <s:v>46247.5496875</s:v>
      </s:c>
    </s:row>
    <s:row r="676">
      <s:c r="A676" s="0" t="n">
        <s:v>260813</s:v>
      </s:c>
      <s:c r="B676" s="0" t="inlineStr">
        <s:is>
          <s:t>이종훈</s:t>
        </s:is>
      </s:c>
      <s:c r="C676" s="0" t="n">
        <s:v>130021</s:v>
      </s:c>
      <s:c r="D676" s="0" t="n">
        <s:v>1276</s:v>
      </s:c>
      <s:c r="F676" s="24">
        <s:f>'자료구성'!$B$2+TIME(INT($C$3/10000),INT(MOD($C$3,10000)/100),MOD($C$3,100))+(ROW()-ROW($C$3))/86400</s:f>
        <s:v>46247.54969907407</s:v>
      </s:c>
    </s:row>
    <s:row r="677">
      <s:c r="A677" s="0" t="n">
        <s:v>260813</s:v>
      </s:c>
      <s:c r="B677" s="0" t="inlineStr">
        <s:is>
          <s:t>이종훈</s:t>
        </s:is>
      </s:c>
      <s:c r="C677" s="0" t="n">
        <s:v>130021</s:v>
      </s:c>
      <s:c r="D677" s="0" t="n">
        <s:v>1296</s:v>
      </s:c>
      <s:c r="F677" s="24">
        <s:f>'자료구성'!$B$2+TIME(INT($C$3/10000),INT(MOD($C$3,10000)/100),MOD($C$3,100))+(ROW()-ROW($C$3))/86400</s:f>
        <s:v>46247.54971064815</s:v>
      </s:c>
    </s:row>
    <s:row r="678">
      <s:c r="A678" s="0" t="n">
        <s:v>260813</s:v>
      </s:c>
      <s:c r="B678" s="0" t="inlineStr">
        <s:is>
          <s:t>이종훈</s:t>
        </s:is>
      </s:c>
      <s:c r="C678" s="0" t="n">
        <s:v>130021</s:v>
      </s:c>
      <s:c r="D678" s="0" t="n">
        <s:v>1300</s:v>
      </s:c>
      <s:c r="F678" s="24">
        <s:f>'자료구성'!$B$2+TIME(INT($C$3/10000),INT(MOD($C$3,10000)/100),MOD($C$3,100))+(ROW()-ROW($C$3))/86400</s:f>
        <s:v>46247.549722222226</s:v>
      </s:c>
    </s:row>
    <s:row r="679">
      <s:c r="A679" s="0" t="n">
        <s:v>260813</s:v>
      </s:c>
      <s:c r="B679" s="0" t="inlineStr">
        <s:is>
          <s:t>이종훈</s:t>
        </s:is>
      </s:c>
      <s:c r="C679" s="0" t="n">
        <s:v>130021</s:v>
      </s:c>
      <s:c r="D679" s="0" t="n">
        <s:v>1288</s:v>
      </s:c>
      <s:c r="F679" s="24">
        <s:f>'자료구성'!$B$2+TIME(INT($C$3/10000),INT(MOD($C$3,10000)/100),MOD($C$3,100))+(ROW()-ROW($C$3))/86400</s:f>
        <s:v>46247.549733796295</s:v>
      </s:c>
    </s:row>
    <s:row r="680">
      <s:c r="A680" s="0" t="n">
        <s:v>260813</s:v>
      </s:c>
      <s:c r="B680" s="0" t="inlineStr">
        <s:is>
          <s:t>이종훈</s:t>
        </s:is>
      </s:c>
      <s:c r="C680" s="0" t="n">
        <s:v>130021</s:v>
      </s:c>
      <s:c r="D680" s="0" t="n">
        <s:v>1316</s:v>
      </s:c>
      <s:c r="F680" s="24">
        <s:f>'자료구성'!$B$2+TIME(INT($C$3/10000),INT(MOD($C$3,10000)/100),MOD($C$3,100))+(ROW()-ROW($C$3))/86400</s:f>
        <s:v>46247.54974537037</s:v>
      </s:c>
    </s:row>
    <s:row r="681">
      <s:c r="A681" s="0" t="n">
        <s:v>260813</s:v>
      </s:c>
      <s:c r="B681" s="0" t="inlineStr">
        <s:is>
          <s:t>이종훈</s:t>
        </s:is>
      </s:c>
      <s:c r="C681" s="0" t="n">
        <s:v>130021</s:v>
      </s:c>
      <s:c r="D681" s="0" t="n">
        <s:v>1323</s:v>
      </s:c>
      <s:c r="F681" s="24">
        <s:f>'자료구성'!$B$2+TIME(INT($C$3/10000),INT(MOD($C$3,10000)/100),MOD($C$3,100))+(ROW()-ROW($C$3))/86400</s:f>
        <s:v>46247.54975694444</s:v>
      </s:c>
    </s:row>
    <s:row r="682">
      <s:c r="A682" s="0" t="n">
        <s:v>260813</s:v>
      </s:c>
      <s:c r="B682" s="0" t="inlineStr">
        <s:is>
          <s:t>이종훈</s:t>
        </s:is>
      </s:c>
      <s:c r="C682" s="0" t="n">
        <s:v>130021</s:v>
      </s:c>
      <s:c r="D682" s="0" t="n">
        <s:v>1329</s:v>
      </s:c>
      <s:c r="F682" s="24">
        <s:f>'자료구성'!$B$2+TIME(INT($C$3/10000),INT(MOD($C$3,10000)/100),MOD($C$3,100))+(ROW()-ROW($C$3))/86400</s:f>
        <s:v>46247.54976851852</s:v>
      </s:c>
    </s:row>
    <s:row r="683">
      <s:c r="A683" s="0" t="n">
        <s:v>260813</s:v>
      </s:c>
      <s:c r="B683" s="0" t="inlineStr">
        <s:is>
          <s:t>이종훈</s:t>
        </s:is>
      </s:c>
      <s:c r="C683" s="0" t="n">
        <s:v>130021</s:v>
      </s:c>
      <s:c r="D683" s="0" t="n">
        <s:v>1350</s:v>
      </s:c>
      <s:c r="F683" s="24">
        <s:f>'자료구성'!$B$2+TIME(INT($C$3/10000),INT(MOD($C$3,10000)/100),MOD($C$3,100))+(ROW()-ROW($C$3))/86400</s:f>
        <s:v>46247.549780092595</s:v>
      </s:c>
    </s:row>
    <s:row r="684">
      <s:c r="A684" s="0" t="n">
        <s:v>260813</s:v>
      </s:c>
      <s:c r="B684" s="0" t="inlineStr">
        <s:is>
          <s:t>이종훈</s:t>
        </s:is>
      </s:c>
      <s:c r="C684" s="0" t="n">
        <s:v>130021</s:v>
      </s:c>
      <s:c r="D684" s="0" t="n">
        <s:v>1339</s:v>
      </s:c>
      <s:c r="F684" s="24">
        <s:f>'자료구성'!$B$2+TIME(INT($C$3/10000),INT(MOD($C$3,10000)/100),MOD($C$3,100))+(ROW()-ROW($C$3))/86400</s:f>
        <s:v>46247.549791666665</s:v>
      </s:c>
    </s:row>
    <s:row r="685">
      <s:c r="A685" s="0" t="n">
        <s:v>260813</s:v>
      </s:c>
      <s:c r="B685" s="0" t="inlineStr">
        <s:is>
          <s:t>이종훈</s:t>
        </s:is>
      </s:c>
      <s:c r="C685" s="0" t="n">
        <s:v>130021</s:v>
      </s:c>
      <s:c r="D685" s="0" t="n">
        <s:v>1345</s:v>
      </s:c>
      <s:c r="F685" s="24">
        <s:f>'자료구성'!$B$2+TIME(INT($C$3/10000),INT(MOD($C$3,10000)/100),MOD($C$3,100))+(ROW()-ROW($C$3))/86400</s:f>
        <s:v>46247.54980324074</s:v>
      </s:c>
    </s:row>
    <s:row r="686">
      <s:c r="A686" s="0" t="n">
        <s:v>260813</s:v>
      </s:c>
      <s:c r="B686" s="0" t="inlineStr">
        <s:is>
          <s:t>이종훈</s:t>
        </s:is>
      </s:c>
      <s:c r="C686" s="0" t="n">
        <s:v>130021</s:v>
      </s:c>
      <s:c r="D686" s="0" t="n">
        <s:v>1348</s:v>
      </s:c>
      <s:c r="F686" s="24">
        <s:f>'자료구성'!$B$2+TIME(INT($C$3/10000),INT(MOD($C$3,10000)/100),MOD($C$3,100))+(ROW()-ROW($C$3))/86400</s:f>
        <s:v>46247.54981481482</s:v>
      </s:c>
    </s:row>
    <s:row r="687">
      <s:c r="A687" s="0" t="n">
        <s:v>260813</s:v>
      </s:c>
      <s:c r="B687" s="0" t="inlineStr">
        <s:is>
          <s:t>이종훈</s:t>
        </s:is>
      </s:c>
      <s:c r="C687" s="0" t="n">
        <s:v>130021</s:v>
      </s:c>
      <s:c r="D687" s="0" t="n">
        <s:v>1348</s:v>
      </s:c>
      <s:c r="F687" s="24">
        <s:f>'자료구성'!$B$2+TIME(INT($C$3/10000),INT(MOD($C$3,10000)/100),MOD($C$3,100))+(ROW()-ROW($C$3))/86400</s:f>
        <s:v>46247.54982638889</s:v>
      </s:c>
    </s:row>
    <s:row r="688">
      <s:c r="A688" s="0" t="n">
        <s:v>260813</s:v>
      </s:c>
      <s:c r="B688" s="0" t="inlineStr">
        <s:is>
          <s:t>이종훈</s:t>
        </s:is>
      </s:c>
      <s:c r="C688" s="0" t="n">
        <s:v>130021</s:v>
      </s:c>
      <s:c r="D688" s="0" t="n">
        <s:v>1358</s:v>
      </s:c>
      <s:c r="F688" s="24">
        <s:f>'자료구성'!$B$2+TIME(INT($C$3/10000),INT(MOD($C$3,10000)/100),MOD($C$3,100))+(ROW()-ROW($C$3))/86400</s:f>
        <s:v>46247.549837962964</s:v>
      </s:c>
    </s:row>
    <s:row r="689">
      <s:c r="A689" s="0" t="n">
        <s:v>260813</s:v>
      </s:c>
      <s:c r="B689" s="0" t="inlineStr">
        <s:is>
          <s:t>이종훈</s:t>
        </s:is>
      </s:c>
      <s:c r="C689" s="0" t="n">
        <s:v>130021</s:v>
      </s:c>
      <s:c r="D689" s="0" t="n">
        <s:v>1377</s:v>
      </s:c>
      <s:c r="F689" s="24">
        <s:f>'자료구성'!$B$2+TIME(INT($C$3/10000),INT(MOD($C$3,10000)/100),MOD($C$3,100))+(ROW()-ROW($C$3))/86400</s:f>
        <s:v>46247.549849537034</s:v>
      </s:c>
    </s:row>
    <s:row r="690">
      <s:c r="A690" s="0" t="n">
        <s:v>260813</s:v>
      </s:c>
      <s:c r="B690" s="0" t="inlineStr">
        <s:is>
          <s:t>이종훈</s:t>
        </s:is>
      </s:c>
      <s:c r="C690" s="0" t="n">
        <s:v>130021</s:v>
      </s:c>
      <s:c r="D690" s="0" t="n">
        <s:v>1385</s:v>
      </s:c>
      <s:c r="F690" s="24">
        <s:f>'자료구성'!$B$2+TIME(INT($C$3/10000),INT(MOD($C$3,10000)/100),MOD($C$3,100))+(ROW()-ROW($C$3))/86400</s:f>
        <s:v>46247.54986111111</s:v>
      </s:c>
    </s:row>
    <s:row r="691">
      <s:c r="A691" s="0" t="n">
        <s:v>260813</s:v>
      </s:c>
      <s:c r="B691" s="0" t="inlineStr">
        <s:is>
          <s:t>이종훈</s:t>
        </s:is>
      </s:c>
      <s:c r="C691" s="0" t="n">
        <s:v>130021</s:v>
      </s:c>
      <s:c r="D691" s="0" t="n">
        <s:v>1375</s:v>
      </s:c>
      <s:c r="F691" s="24">
        <s:f>'자료구성'!$B$2+TIME(INT($C$3/10000),INT(MOD($C$3,10000)/100),MOD($C$3,100))+(ROW()-ROW($C$3))/86400</s:f>
        <s:v>46247.54987268519</s:v>
      </s:c>
    </s:row>
    <s:row r="692">
      <s:c r="A692" s="0" t="n">
        <s:v>260813</s:v>
      </s:c>
      <s:c r="B692" s="0" t="inlineStr">
        <s:is>
          <s:t>이종훈</s:t>
        </s:is>
      </s:c>
      <s:c r="C692" s="0" t="n">
        <s:v>130021</s:v>
      </s:c>
      <s:c r="D692" s="0" t="n">
        <s:v>1350</s:v>
      </s:c>
      <s:c r="F692" s="24">
        <s:f>'자료구성'!$B$2+TIME(INT($C$3/10000),INT(MOD($C$3,10000)/100),MOD($C$3,100))+(ROW()-ROW($C$3))/86400</s:f>
        <s:v>46247.54988425926</s:v>
      </s:c>
    </s:row>
    <s:row r="693">
      <s:c r="A693" s="0" t="n">
        <s:v>260813</s:v>
      </s:c>
      <s:c r="B693" s="0" t="inlineStr">
        <s:is>
          <s:t>이종훈</s:t>
        </s:is>
      </s:c>
      <s:c r="C693" s="0" t="n">
        <s:v>130021</s:v>
      </s:c>
      <s:c r="D693" s="0" t="n">
        <s:v>1318</s:v>
      </s:c>
      <s:c r="F693" s="24">
        <s:f>'자료구성'!$B$2+TIME(INT($C$3/10000),INT(MOD($C$3,10000)/100),MOD($C$3,100))+(ROW()-ROW($C$3))/86400</s:f>
        <s:v>46247.549895833334</s:v>
      </s:c>
    </s:row>
    <s:row r="694">
      <s:c r="A694" s="0" t="n">
        <s:v>260813</s:v>
      </s:c>
      <s:c r="B694" s="0" t="inlineStr">
        <s:is>
          <s:t>이종훈</s:t>
        </s:is>
      </s:c>
      <s:c r="C694" s="0" t="n">
        <s:v>130021</s:v>
      </s:c>
      <s:c r="D694" s="0" t="n">
        <s:v>1305</s:v>
      </s:c>
      <s:c r="F694" s="24">
        <s:f>'자료구성'!$B$2+TIME(INT($C$3/10000),INT(MOD($C$3,10000)/100),MOD($C$3,100))+(ROW()-ROW($C$3))/86400</s:f>
        <s:v>46247.54990740741</s:v>
      </s:c>
    </s:row>
    <s:row r="695">
      <s:c r="A695" s="0" t="n">
        <s:v>260813</s:v>
      </s:c>
      <s:c r="B695" s="0" t="inlineStr">
        <s:is>
          <s:t>이종훈</s:t>
        </s:is>
      </s:c>
      <s:c r="C695" s="0" t="n">
        <s:v>130021</s:v>
      </s:c>
      <s:c r="D695" s="0" t="n">
        <s:v>1283</s:v>
      </s:c>
      <s:c r="F695" s="24">
        <s:f>'자료구성'!$B$2+TIME(INT($C$3/10000),INT(MOD($C$3,10000)/100),MOD($C$3,100))+(ROW()-ROW($C$3))/86400</s:f>
        <s:v>46247.54991898148</s:v>
      </s:c>
    </s:row>
    <s:row r="696">
      <s:c r="A696" s="0" t="n">
        <s:v>260813</s:v>
      </s:c>
      <s:c r="B696" s="0" t="inlineStr">
        <s:is>
          <s:t>이종훈</s:t>
        </s:is>
      </s:c>
      <s:c r="C696" s="0" t="n">
        <s:v>130021</s:v>
      </s:c>
      <s:c r="D696" s="0" t="n">
        <s:v>1293</s:v>
      </s:c>
      <s:c r="F696" s="24">
        <s:f>'자료구성'!$B$2+TIME(INT($C$3/10000),INT(MOD($C$3,10000)/100),MOD($C$3,100))+(ROW()-ROW($C$3))/86400</s:f>
        <s:v>46247.54993055556</s:v>
      </s:c>
    </s:row>
    <s:row r="697">
      <s:c r="A697" s="0" t="n">
        <s:v>260813</s:v>
      </s:c>
      <s:c r="B697" s="0" t="inlineStr">
        <s:is>
          <s:t>이종훈</s:t>
        </s:is>
      </s:c>
      <s:c r="C697" s="0" t="n">
        <s:v>130021</s:v>
      </s:c>
      <s:c r="D697" s="0" t="n">
        <s:v>1301</s:v>
      </s:c>
      <s:c r="F697" s="24">
        <s:f>'자료구성'!$B$2+TIME(INT($C$3/10000),INT(MOD($C$3,10000)/100),MOD($C$3,100))+(ROW()-ROW($C$3))/86400</s:f>
        <s:v>46247.549942129626</s:v>
      </s:c>
    </s:row>
    <s:row r="698">
      <s:c r="A698" s="0" t="n">
        <s:v>260813</s:v>
      </s:c>
      <s:c r="B698" s="0" t="inlineStr">
        <s:is>
          <s:t>이종훈</s:t>
        </s:is>
      </s:c>
      <s:c r="C698" s="0" t="n">
        <s:v>130021</s:v>
      </s:c>
      <s:c r="D698" s="0" t="n">
        <s:v>1308</s:v>
      </s:c>
      <s:c r="F698" s="24">
        <s:f>'자료구성'!$B$2+TIME(INT($C$3/10000),INT(MOD($C$3,10000)/100),MOD($C$3,100))+(ROW()-ROW($C$3))/86400</s:f>
        <s:v>46247.5499537037</s:v>
      </s:c>
    </s:row>
    <s:row r="699">
      <s:c r="A699" s="0" t="n">
        <s:v>260813</s:v>
      </s:c>
      <s:c r="B699" s="0" t="inlineStr">
        <s:is>
          <s:t>이종훈</s:t>
        </s:is>
      </s:c>
      <s:c r="C699" s="0" t="n">
        <s:v>130021</s:v>
      </s:c>
      <s:c r="D699" s="0" t="n">
        <s:v>1329</s:v>
      </s:c>
      <s:c r="F699" s="24">
        <s:f>'자료구성'!$B$2+TIME(INT($C$3/10000),INT(MOD($C$3,10000)/100),MOD($C$3,100))+(ROW()-ROW($C$3))/86400</s:f>
        <s:v>46247.54996527778</s:v>
      </s:c>
    </s:row>
    <s:row r="700">
      <s:c r="A700" s="0" t="n">
        <s:v>260813</s:v>
      </s:c>
      <s:c r="B700" s="0" t="inlineStr">
        <s:is>
          <s:t>이종훈</s:t>
        </s:is>
      </s:c>
      <s:c r="C700" s="0" t="n">
        <s:v>130021</s:v>
      </s:c>
      <s:c r="D700" s="0" t="n">
        <s:v>1333</s:v>
      </s:c>
      <s:c r="F700" s="24">
        <s:f>'자료구성'!$B$2+TIME(INT($C$3/10000),INT(MOD($C$3,10000)/100),MOD($C$3,100))+(ROW()-ROW($C$3))/86400</s:f>
        <s:v>46247.54997685185</s:v>
      </s:c>
    </s:row>
    <s:row r="701">
      <s:c r="A701" s="0" t="n">
        <s:v>260813</s:v>
      </s:c>
      <s:c r="B701" s="0" t="inlineStr">
        <s:is>
          <s:t>이종훈</s:t>
        </s:is>
      </s:c>
      <s:c r="C701" s="0" t="n">
        <s:v>130021</s:v>
      </s:c>
      <s:c r="D701" s="0" t="n">
        <s:v>1327</s:v>
      </s:c>
      <s:c r="F701" s="24">
        <s:f>'자료구성'!$B$2+TIME(INT($C$3/10000),INT(MOD($C$3,10000)/100),MOD($C$3,100))+(ROW()-ROW($C$3))/86400</s:f>
        <s:v>46247.549988425926</s:v>
      </s:c>
    </s:row>
    <s:row r="702">
      <s:c r="A702" s="0" t="n">
        <s:v>260813</s:v>
      </s:c>
      <s:c r="B702" s="0" t="inlineStr">
        <s:is>
          <s:t>이종훈</s:t>
        </s:is>
      </s:c>
      <s:c r="C702" s="0" t="n">
        <s:v>130021</s:v>
      </s:c>
      <s:c r="D702" s="0" t="n">
        <s:v>1318</s:v>
      </s:c>
      <s:c r="F702" s="24">
        <s:f>'자료구성'!$B$2+TIME(INT($C$3/10000),INT(MOD($C$3,10000)/100),MOD($C$3,100))+(ROW()-ROW($C$3))/86400</s:f>
        <s:v>46247.55</s:v>
      </s:c>
    </s:row>
    <s:row r="703">
      <s:c r="A703" s="0" t="n">
        <s:v>260813</s:v>
      </s:c>
      <s:c r="B703" s="0" t="inlineStr">
        <s:is>
          <s:t>이종훈</s:t>
        </s:is>
      </s:c>
      <s:c r="C703" s="0" t="n">
        <s:v>130021</s:v>
      </s:c>
      <s:c r="D703" s="0" t="n">
        <s:v>1308</s:v>
      </s:c>
      <s:c r="F703" s="24">
        <s:f>'자료구성'!$B$2+TIME(INT($C$3/10000),INT(MOD($C$3,10000)/100),MOD($C$3,100))+(ROW()-ROW($C$3))/86400</s:f>
        <s:v>46247.55001157407</s:v>
      </s:c>
    </s:row>
    <s:row r="704">
      <s:c r="A704" s="0" t="n">
        <s:v>260813</s:v>
      </s:c>
      <s:c r="B704" s="0" t="inlineStr">
        <s:is>
          <s:t>이종훈</s:t>
        </s:is>
      </s:c>
      <s:c r="C704" s="0" t="n">
        <s:v>130021</s:v>
      </s:c>
      <s:c r="D704" s="0" t="n">
        <s:v>1294</s:v>
      </s:c>
      <s:c r="F704" s="24">
        <s:f>'자료구성'!$B$2+TIME(INT($C$3/10000),INT(MOD($C$3,10000)/100),MOD($C$3,100))+(ROW()-ROW($C$3))/86400</s:f>
        <s:v>46247.55002314815</s:v>
      </s:c>
    </s:row>
    <s:row r="705">
      <s:c r="A705" s="0" t="n">
        <s:v>260813</s:v>
      </s:c>
      <s:c r="B705" s="0" t="inlineStr">
        <s:is>
          <s:t>이종훈</s:t>
        </s:is>
      </s:c>
      <s:c r="C705" s="0" t="n">
        <s:v>130021</s:v>
      </s:c>
      <s:c r="D705" s="0" t="n">
        <s:v>1262</s:v>
      </s:c>
      <s:c r="F705" s="24">
        <s:f>'자료구성'!$B$2+TIME(INT($C$3/10000),INT(MOD($C$3,10000)/100),MOD($C$3,100))+(ROW()-ROW($C$3))/86400</s:f>
        <s:v>46247.55003472222</s:v>
      </s:c>
    </s:row>
    <s:row r="706">
      <s:c r="A706" s="0" t="n">
        <s:v>260813</s:v>
      </s:c>
      <s:c r="B706" s="0" t="inlineStr">
        <s:is>
          <s:t>이종훈</s:t>
        </s:is>
      </s:c>
      <s:c r="C706" s="0" t="n">
        <s:v>130021</s:v>
      </s:c>
      <s:c r="D706" s="0" t="n">
        <s:v>1230</s:v>
      </s:c>
      <s:c r="F706" s="24">
        <s:f>'자료구성'!$B$2+TIME(INT($C$3/10000),INT(MOD($C$3,10000)/100),MOD($C$3,100))+(ROW()-ROW($C$3))/86400</s:f>
        <s:v>46247.550046296295</s:v>
      </s:c>
    </s:row>
    <s:row r="707">
      <s:c r="A707" s="0" t="n">
        <s:v>260813</s:v>
      </s:c>
      <s:c r="B707" s="0" t="inlineStr">
        <s:is>
          <s:t>이종훈</s:t>
        </s:is>
      </s:c>
      <s:c r="C707" s="0" t="n">
        <s:v>130021</s:v>
      </s:c>
      <s:c r="D707" s="0" t="n">
        <s:v>1192</s:v>
      </s:c>
      <s:c r="F707" s="24">
        <s:f>'자료구성'!$B$2+TIME(INT($C$3/10000),INT(MOD($C$3,10000)/100),MOD($C$3,100))+(ROW()-ROW($C$3))/86400</s:f>
        <s:v>46247.55005787037</s:v>
      </s:c>
    </s:row>
    <s:row r="708">
      <s:c r="A708" s="0" t="n">
        <s:v>260813</s:v>
      </s:c>
      <s:c r="B708" s="0" t="inlineStr">
        <s:is>
          <s:t>이종훈</s:t>
        </s:is>
      </s:c>
      <s:c r="C708" s="0" t="n">
        <s:v>130021</s:v>
      </s:c>
      <s:c r="D708" s="0" t="n">
        <s:v>1151</s:v>
      </s:c>
      <s:c r="F708" s="24">
        <s:f>'자료구성'!$B$2+TIME(INT($C$3/10000),INT(MOD($C$3,10000)/100),MOD($C$3,100))+(ROW()-ROW($C$3))/86400</s:f>
        <s:v>46247.55006944444</s:v>
      </s:c>
    </s:row>
    <s:row r="709">
      <s:c r="A709" s="0" t="n">
        <s:v>260813</s:v>
      </s:c>
      <s:c r="B709" s="0" t="inlineStr">
        <s:is>
          <s:t>이종훈</s:t>
        </s:is>
      </s:c>
      <s:c r="C709" s="0" t="n">
        <s:v>130021</s:v>
      </s:c>
      <s:c r="D709" s="0" t="n">
        <s:v>1123</s:v>
      </s:c>
      <s:c r="F709" s="24">
        <s:f>'자료구성'!$B$2+TIME(INT($C$3/10000),INT(MOD($C$3,10000)/100),MOD($C$3,100))+(ROW()-ROW($C$3))/86400</s:f>
        <s:v>46247.55008101852</s:v>
      </s:c>
    </s:row>
    <s:row r="710">
      <s:c r="A710" s="0" t="n">
        <s:v>260813</s:v>
      </s:c>
      <s:c r="B710" s="0" t="inlineStr">
        <s:is>
          <s:t>이종훈</s:t>
        </s:is>
      </s:c>
      <s:c r="C710" s="0" t="n">
        <s:v>130021</s:v>
      </s:c>
      <s:c r="D710" s="0" t="n">
        <s:v>1103</s:v>
      </s:c>
      <s:c r="F710" s="24">
        <s:f>'자료구성'!$B$2+TIME(INT($C$3/10000),INT(MOD($C$3,10000)/100),MOD($C$3,100))+(ROW()-ROW($C$3))/86400</s:f>
        <s:v>46247.550092592595</s:v>
      </s:c>
    </s:row>
    <s:row r="711">
      <s:c r="A711" s="0" t="n">
        <s:v>260813</s:v>
      </s:c>
      <s:c r="B711" s="0" t="inlineStr">
        <s:is>
          <s:t>이종훈</s:t>
        </s:is>
      </s:c>
      <s:c r="C711" s="0" t="n">
        <s:v>130021</s:v>
      </s:c>
      <s:c r="D711" s="0" t="n">
        <s:v>1100</s:v>
      </s:c>
      <s:c r="F711" s="24">
        <s:f>'자료구성'!$B$2+TIME(INT($C$3/10000),INT(MOD($C$3,10000)/100),MOD($C$3,100))+(ROW()-ROW($C$3))/86400</s:f>
        <s:v>46247.550104166665</s:v>
      </s:c>
    </s:row>
    <s:row r="712">
      <s:c r="A712" s="0" t="n">
        <s:v>260813</s:v>
      </s:c>
      <s:c r="B712" s="0" t="inlineStr">
        <s:is>
          <s:t>이종훈</s:t>
        </s:is>
      </s:c>
      <s:c r="C712" s="0" t="n">
        <s:v>130021</s:v>
      </s:c>
      <s:c r="D712" s="0" t="n">
        <s:v>1071</s:v>
      </s:c>
      <s:c r="F712" s="24">
        <s:f>'자료구성'!$B$2+TIME(INT($C$3/10000),INT(MOD($C$3,10000)/100),MOD($C$3,100))+(ROW()-ROW($C$3))/86400</s:f>
        <s:v>46247.55011574074</s:v>
      </s:c>
    </s:row>
    <s:row r="713">
      <s:c r="A713" s="0" t="n">
        <s:v>260813</s:v>
      </s:c>
      <s:c r="B713" s="0" t="inlineStr">
        <s:is>
          <s:t>이종훈</s:t>
        </s:is>
      </s:c>
      <s:c r="C713" s="0" t="n">
        <s:v>130021</s:v>
      </s:c>
      <s:c r="D713" s="0" t="n">
        <s:v>1052</s:v>
      </s:c>
      <s:c r="F713" s="24">
        <s:f>'자료구성'!$B$2+TIME(INT($C$3/10000),INT(MOD($C$3,10000)/100),MOD($C$3,100))+(ROW()-ROW($C$3))/86400</s:f>
        <s:v>46247.55012731482</s:v>
      </s:c>
    </s:row>
    <s:row r="714">
      <s:c r="A714" s="0" t="n">
        <s:v>260813</s:v>
      </s:c>
      <s:c r="B714" s="0" t="inlineStr">
        <s:is>
          <s:t>이종훈</s:t>
        </s:is>
      </s:c>
      <s:c r="C714" s="0" t="n">
        <s:v>130021</s:v>
      </s:c>
      <s:c r="D714" s="0" t="n">
        <s:v>1037</s:v>
      </s:c>
      <s:c r="F714" s="24">
        <s:f>'자료구성'!$B$2+TIME(INT($C$3/10000),INT(MOD($C$3,10000)/100),MOD($C$3,100))+(ROW()-ROW($C$3))/86400</s:f>
        <s:v>46247.55013888889</s:v>
      </s:c>
    </s:row>
    <s:row r="715">
      <s:c r="A715" s="0" t="n">
        <s:v>260813</s:v>
      </s:c>
      <s:c r="B715" s="0" t="inlineStr">
        <s:is>
          <s:t>이종훈</s:t>
        </s:is>
      </s:c>
      <s:c r="C715" s="0" t="n">
        <s:v>130021</s:v>
      </s:c>
      <s:c r="D715" s="0" t="n">
        <s:v>1067</s:v>
      </s:c>
      <s:c r="F715" s="24">
        <s:f>'자료구성'!$B$2+TIME(INT($C$3/10000),INT(MOD($C$3,10000)/100),MOD($C$3,100))+(ROW()-ROW($C$3))/86400</s:f>
        <s:v>46247.550150462965</s:v>
      </s:c>
    </s:row>
    <s:row r="716">
      <s:c r="A716" s="0" t="n">
        <s:v>260813</s:v>
      </s:c>
      <s:c r="B716" s="0" t="inlineStr">
        <s:is>
          <s:t>이종훈</s:t>
        </s:is>
      </s:c>
      <s:c r="C716" s="0" t="n">
        <s:v>130021</s:v>
      </s:c>
      <s:c r="D716" s="0" t="n">
        <s:v>1080</s:v>
      </s:c>
      <s:c r="F716" s="24">
        <s:f>'자료구성'!$B$2+TIME(INT($C$3/10000),INT(MOD($C$3,10000)/100),MOD($C$3,100))+(ROW()-ROW($C$3))/86400</s:f>
        <s:v>46247.550162037034</s:v>
      </s:c>
    </s:row>
    <s:row r="717">
      <s:c r="A717" s="0" t="n">
        <s:v>260813</s:v>
      </s:c>
      <s:c r="B717" s="0" t="inlineStr">
        <s:is>
          <s:t>이종훈</s:t>
        </s:is>
      </s:c>
      <s:c r="C717" s="0" t="n">
        <s:v>130021</s:v>
      </s:c>
      <s:c r="D717" s="0" t="n">
        <s:v>1085</s:v>
      </s:c>
      <s:c r="F717" s="24">
        <s:f>'자료구성'!$B$2+TIME(INT($C$3/10000),INT(MOD($C$3,10000)/100),MOD($C$3,100))+(ROW()-ROW($C$3))/86400</s:f>
        <s:v>46247.55017361111</s:v>
      </s:c>
    </s:row>
    <s:row r="718">
      <s:c r="A718" s="0" t="n">
        <s:v>260813</s:v>
      </s:c>
      <s:c r="B718" s="0" t="inlineStr">
        <s:is>
          <s:t>이종훈</s:t>
        </s:is>
      </s:c>
      <s:c r="C718" s="0" t="n">
        <s:v>130021</s:v>
      </s:c>
      <s:c r="D718" s="0" t="n">
        <s:v>1099</s:v>
      </s:c>
      <s:c r="F718" s="24">
        <s:f>'자료구성'!$B$2+TIME(INT($C$3/10000),INT(MOD($C$3,10000)/100),MOD($C$3,100))+(ROW()-ROW($C$3))/86400</s:f>
        <s:v>46247.55018518519</s:v>
      </s:c>
    </s:row>
    <s:row r="719">
      <s:c r="A719" s="0" t="n">
        <s:v>260813</s:v>
      </s:c>
      <s:c r="B719" s="0" t="inlineStr">
        <s:is>
          <s:t>이종훈</s:t>
        </s:is>
      </s:c>
      <s:c r="C719" s="0" t="n">
        <s:v>130021</s:v>
      </s:c>
      <s:c r="D719" s="0" t="n">
        <s:v>1105</s:v>
      </s:c>
      <s:c r="F719" s="24">
        <s:f>'자료구성'!$B$2+TIME(INT($C$3/10000),INT(MOD($C$3,10000)/100),MOD($C$3,100))+(ROW()-ROW($C$3))/86400</s:f>
        <s:v>46247.55019675926</s:v>
      </s:c>
    </s:row>
    <s:row r="720">
      <s:c r="A720" s="0" t="n">
        <s:v>260813</s:v>
      </s:c>
      <s:c r="B720" s="0" t="inlineStr">
        <s:is>
          <s:t>이종훈</s:t>
        </s:is>
      </s:c>
      <s:c r="C720" s="0" t="n">
        <s:v>130021</s:v>
      </s:c>
      <s:c r="D720" s="0" t="n">
        <s:v>1131</s:v>
      </s:c>
      <s:c r="F720" s="24">
        <s:f>'자료구성'!$B$2+TIME(INT($C$3/10000),INT(MOD($C$3,10000)/100),MOD($C$3,100))+(ROW()-ROW($C$3))/86400</s:f>
        <s:v>46247.550208333334</s:v>
      </s:c>
    </s:row>
    <s:row r="721">
      <s:c r="A721" s="0" t="n">
        <s:v>260813</s:v>
      </s:c>
      <s:c r="B721" s="0" t="inlineStr">
        <s:is>
          <s:t>이종훈</s:t>
        </s:is>
      </s:c>
      <s:c r="C721" s="0" t="n">
        <s:v>130021</s:v>
      </s:c>
      <s:c r="D721" s="0" t="n">
        <s:v>1109</s:v>
      </s:c>
      <s:c r="F721" s="24">
        <s:f>'자료구성'!$B$2+TIME(INT($C$3/10000),INT(MOD($C$3,10000)/100),MOD($C$3,100))+(ROW()-ROW($C$3))/86400</s:f>
        <s:v>46247.55021990741</s:v>
      </s:c>
    </s:row>
    <s:row r="722">
      <s:c r="A722" s="0" t="n">
        <s:v>260813</s:v>
      </s:c>
      <s:c r="B722" s="0" t="inlineStr">
        <s:is>
          <s:t>이종훈</s:t>
        </s:is>
      </s:c>
      <s:c r="C722" s="0" t="n">
        <s:v>130021</s:v>
      </s:c>
      <s:c r="D722" s="0" t="n">
        <s:v>1117</s:v>
      </s:c>
      <s:c r="F722" s="24">
        <s:f>'자료구성'!$B$2+TIME(INT($C$3/10000),INT(MOD($C$3,10000)/100),MOD($C$3,100))+(ROW()-ROW($C$3))/86400</s:f>
        <s:v>46247.55023148148</s:v>
      </s:c>
    </s:row>
    <s:row r="723">
      <s:c r="A723" s="0" t="n">
        <s:v>260813</s:v>
      </s:c>
      <s:c r="B723" s="0" t="inlineStr">
        <s:is>
          <s:t>이종훈</s:t>
        </s:is>
      </s:c>
      <s:c r="C723" s="0" t="n">
        <s:v>130021</s:v>
      </s:c>
      <s:c r="D723" s="0" t="n">
        <s:v>1115</s:v>
      </s:c>
      <s:c r="F723" s="24">
        <s:f>'자료구성'!$B$2+TIME(INT($C$3/10000),INT(MOD($C$3,10000)/100),MOD($C$3,100))+(ROW()-ROW($C$3))/86400</s:f>
        <s:v>46247.55024305556</s:v>
      </s:c>
    </s:row>
    <s:row r="724">
      <s:c r="A724" s="0" t="n">
        <s:v>260813</s:v>
      </s:c>
      <s:c r="B724" s="0" t="inlineStr">
        <s:is>
          <s:t>이종훈</s:t>
        </s:is>
      </s:c>
      <s:c r="C724" s="0" t="n">
        <s:v>130021</s:v>
      </s:c>
      <s:c r="D724" s="0" t="n">
        <s:v>1100</s:v>
      </s:c>
      <s:c r="F724" s="24">
        <s:f>'자료구성'!$B$2+TIME(INT($C$3/10000),INT(MOD($C$3,10000)/100),MOD($C$3,100))+(ROW()-ROW($C$3))/86400</s:f>
        <s:v>46247.55025462963</s:v>
      </s:c>
    </s:row>
    <s:row r="725">
      <s:c r="A725" s="0" t="n">
        <s:v>260813</s:v>
      </s:c>
      <s:c r="B725" s="0" t="inlineStr">
        <s:is>
          <s:t>이종훈</s:t>
        </s:is>
      </s:c>
      <s:c r="C725" s="0" t="n">
        <s:v>130021</s:v>
      </s:c>
      <s:c r="D725" s="0" t="n">
        <s:v>1065</s:v>
      </s:c>
      <s:c r="F725" s="24">
        <s:f>'자료구성'!$B$2+TIME(INT($C$3/10000),INT(MOD($C$3,10000)/100),MOD($C$3,100))+(ROW()-ROW($C$3))/86400</s:f>
        <s:v>46247.5502662037</s:v>
      </s:c>
    </s:row>
    <s:row r="726">
      <s:c r="A726" s="0" t="n">
        <s:v>260813</s:v>
      </s:c>
      <s:c r="B726" s="0" t="inlineStr">
        <s:is>
          <s:t>이종훈</s:t>
        </s:is>
      </s:c>
      <s:c r="C726" s="0" t="n">
        <s:v>130021</s:v>
      </s:c>
      <s:c r="D726" s="0" t="n">
        <s:v>1038</s:v>
      </s:c>
      <s:c r="F726" s="24">
        <s:f>'자료구성'!$B$2+TIME(INT($C$3/10000),INT(MOD($C$3,10000)/100),MOD($C$3,100))+(ROW()-ROW($C$3))/86400</s:f>
        <s:v>46247.55027777778</s:v>
      </s:c>
    </s:row>
    <s:row r="727">
      <s:c r="A727" s="0" t="n">
        <s:v>260813</s:v>
      </s:c>
      <s:c r="B727" s="0" t="inlineStr">
        <s:is>
          <s:t>이종훈</s:t>
        </s:is>
      </s:c>
      <s:c r="C727" s="0" t="n">
        <s:v>130021</s:v>
      </s:c>
      <s:c r="D727" s="0" t="n">
        <s:v>1003</s:v>
      </s:c>
      <s:c r="F727" s="24">
        <s:f>'자료구성'!$B$2+TIME(INT($C$3/10000),INT(MOD($C$3,10000)/100),MOD($C$3,100))+(ROW()-ROW($C$3))/86400</s:f>
        <s:v>46247.55028935185</s:v>
      </s:c>
    </s:row>
    <s:row r="728">
      <s:c r="A728" s="0" t="n">
        <s:v>260813</s:v>
      </s:c>
      <s:c r="B728" s="0" t="inlineStr">
        <s:is>
          <s:t>이종훈</s:t>
        </s:is>
      </s:c>
      <s:c r="C728" s="0" t="n">
        <s:v>130021</s:v>
      </s:c>
      <s:c r="D728" s="0" t="n">
        <s:v>996</s:v>
      </s:c>
      <s:c r="F728" s="24">
        <s:f>'자료구성'!$B$2+TIME(INT($C$3/10000),INT(MOD($C$3,10000)/100),MOD($C$3,100))+(ROW()-ROW($C$3))/86400</s:f>
        <s:v>46247.55030092593</s:v>
      </s:c>
    </s:row>
    <s:row r="729">
      <s:c r="A729" s="0" t="n">
        <s:v>260813</s:v>
      </s:c>
      <s:c r="B729" s="0" t="inlineStr">
        <s:is>
          <s:t>이종훈</s:t>
        </s:is>
      </s:c>
      <s:c r="C729" s="0" t="n">
        <s:v>130021</s:v>
      </s:c>
      <s:c r="D729" s="0" t="n">
        <s:v>973</s:v>
      </s:c>
      <s:c r="F729" s="24">
        <s:f>'자료구성'!$B$2+TIME(INT($C$3/10000),INT(MOD($C$3,10000)/100),MOD($C$3,100))+(ROW()-ROW($C$3))/86400</s:f>
        <s:v>46247.5503125</s:v>
      </s:c>
    </s:row>
    <s:row r="730">
      <s:c r="A730" s="0" t="n">
        <s:v>260813</s:v>
      </s:c>
      <s:c r="B730" s="0" t="inlineStr">
        <s:is>
          <s:t>이종훈</s:t>
        </s:is>
      </s:c>
      <s:c r="C730" s="0" t="n">
        <s:v>130021</s:v>
      </s:c>
      <s:c r="D730" s="0" t="n">
        <s:v>994</s:v>
      </s:c>
      <s:c r="F730" s="24">
        <s:f>'자료구성'!$B$2+TIME(INT($C$3/10000),INT(MOD($C$3,10000)/100),MOD($C$3,100))+(ROW()-ROW($C$3))/86400</s:f>
        <s:v>46247.55032407407</s:v>
      </s:c>
    </s:row>
    <s:row r="731">
      <s:c r="A731" s="0" t="n">
        <s:v>260813</s:v>
      </s:c>
      <s:c r="B731" s="0" t="inlineStr">
        <s:is>
          <s:t>이종훈</s:t>
        </s:is>
      </s:c>
      <s:c r="C731" s="0" t="n">
        <s:v>130021</s:v>
      </s:c>
      <s:c r="D731" s="0" t="n">
        <s:v>984</s:v>
      </s:c>
      <s:c r="F731" s="24">
        <s:f>'자료구성'!$B$2+TIME(INT($C$3/10000),INT(MOD($C$3,10000)/100),MOD($C$3,100))+(ROW()-ROW($C$3))/86400</s:f>
        <s:v>46247.55033564815</s:v>
      </s:c>
    </s:row>
    <s:row r="732">
      <s:c r="A732" s="0" t="n">
        <s:v>260813</s:v>
      </s:c>
      <s:c r="B732" s="0" t="inlineStr">
        <s:is>
          <s:t>이종훈</s:t>
        </s:is>
      </s:c>
      <s:c r="C732" s="0" t="n">
        <s:v>130021</s:v>
      </s:c>
      <s:c r="D732" s="0" t="n">
        <s:v>977</s:v>
      </s:c>
      <s:c r="F732" s="24">
        <s:f>'자료구성'!$B$2+TIME(INT($C$3/10000),INT(MOD($C$3,10000)/100),MOD($C$3,100))+(ROW()-ROW($C$3))/86400</s:f>
        <s:v>46247.55034722222</s:v>
      </s:c>
    </s:row>
    <s:row r="733">
      <s:c r="A733" s="0" t="n">
        <s:v>260813</s:v>
      </s:c>
      <s:c r="B733" s="0" t="inlineStr">
        <s:is>
          <s:t>이종훈</s:t>
        </s:is>
      </s:c>
      <s:c r="C733" s="0" t="n">
        <s:v>130021</s:v>
      </s:c>
      <s:c r="D733" s="0" t="n">
        <s:v>996</s:v>
      </s:c>
      <s:c r="F733" s="24">
        <s:f>'자료구성'!$B$2+TIME(INT($C$3/10000),INT(MOD($C$3,10000)/100),MOD($C$3,100))+(ROW()-ROW($C$3))/86400</s:f>
        <s:v>46247.550358796296</s:v>
      </s:c>
    </s:row>
    <s:row r="734">
      <s:c r="A734" s="0" t="n">
        <s:v>260813</s:v>
      </s:c>
      <s:c r="B734" s="0" t="inlineStr">
        <s:is>
          <s:t>이종훈</s:t>
        </s:is>
      </s:c>
      <s:c r="C734" s="0" t="n">
        <s:v>130021</s:v>
      </s:c>
      <s:c r="D734" s="0" t="n">
        <s:v>984</s:v>
      </s:c>
      <s:c r="F734" s="24">
        <s:f>'자료구성'!$B$2+TIME(INT($C$3/10000),INT(MOD($C$3,10000)/100),MOD($C$3,100))+(ROW()-ROW($C$3))/86400</s:f>
        <s:v>46247.55037037037</s:v>
      </s:c>
    </s:row>
    <s:row r="735">
      <s:c r="A735" s="0" t="n">
        <s:v>260813</s:v>
      </s:c>
      <s:c r="B735" s="0" t="inlineStr">
        <s:is>
          <s:t>이종훈</s:t>
        </s:is>
      </s:c>
      <s:c r="C735" s="0" t="n">
        <s:v>130021</s:v>
      </s:c>
      <s:c r="D735" s="0" t="n">
        <s:v>970</s:v>
      </s:c>
      <s:c r="F735" s="24">
        <s:f>'자료구성'!$B$2+TIME(INT($C$3/10000),INT(MOD($C$3,10000)/100),MOD($C$3,100))+(ROW()-ROW($C$3))/86400</s:f>
        <s:v>46247.55038194444</s:v>
      </s:c>
    </s:row>
    <s:row r="736">
      <s:c r="A736" s="0" t="n">
        <s:v>260813</s:v>
      </s:c>
      <s:c r="B736" s="0" t="inlineStr">
        <s:is>
          <s:t>이종훈</s:t>
        </s:is>
      </s:c>
      <s:c r="C736" s="0" t="n">
        <s:v>130021</s:v>
      </s:c>
      <s:c r="D736" s="0" t="n">
        <s:v>989</s:v>
      </s:c>
      <s:c r="F736" s="24">
        <s:f>'자료구성'!$B$2+TIME(INT($C$3/10000),INT(MOD($C$3,10000)/100),MOD($C$3,100))+(ROW()-ROW($C$3))/86400</s:f>
        <s:v>46247.55039351852</s:v>
      </s:c>
    </s:row>
    <s:row r="737">
      <s:c r="A737" s="0" t="n">
        <s:v>260813</s:v>
      </s:c>
      <s:c r="B737" s="0" t="inlineStr">
        <s:is>
          <s:t>이종훈</s:t>
        </s:is>
      </s:c>
      <s:c r="C737" s="0" t="n">
        <s:v>130021</s:v>
      </s:c>
      <s:c r="D737" s="0" t="n">
        <s:v>971</s:v>
      </s:c>
      <s:c r="F737" s="24">
        <s:f>'자료구성'!$B$2+TIME(INT($C$3/10000),INT(MOD($C$3,10000)/100),MOD($C$3,100))+(ROW()-ROW($C$3))/86400</s:f>
        <s:v>46247.550405092596</s:v>
      </s:c>
    </s:row>
    <s:row r="738">
      <s:c r="A738" s="0" t="n">
        <s:v>260813</s:v>
      </s:c>
      <s:c r="B738" s="0" t="inlineStr">
        <s:is>
          <s:t>이종훈</s:t>
        </s:is>
      </s:c>
      <s:c r="C738" s="0" t="n">
        <s:v>130021</s:v>
      </s:c>
      <s:c r="D738" s="0" t="n">
        <s:v>961</s:v>
      </s:c>
      <s:c r="F738" s="24">
        <s:f>'자료구성'!$B$2+TIME(INT($C$3/10000),INT(MOD($C$3,10000)/100),MOD($C$3,100))+(ROW()-ROW($C$3))/86400</s:f>
        <s:v>46247.550416666665</s:v>
      </s:c>
    </s:row>
    <s:row r="739">
      <s:c r="A739" s="0" t="n">
        <s:v>260813</s:v>
      </s:c>
      <s:c r="B739" s="0" t="inlineStr">
        <s:is>
          <s:t>이종훈</s:t>
        </s:is>
      </s:c>
      <s:c r="C739" s="0" t="n">
        <s:v>130021</s:v>
      </s:c>
      <s:c r="D739" s="0" t="n">
        <s:v>952</s:v>
      </s:c>
      <s:c r="F739" s="24">
        <s:f>'자료구성'!$B$2+TIME(INT($C$3/10000),INT(MOD($C$3,10000)/100),MOD($C$3,100))+(ROW()-ROW($C$3))/86400</s:f>
        <s:v>46247.55042824074</s:v>
      </s:c>
    </s:row>
    <s:row r="740">
      <s:c r="A740" s="0" t="n">
        <s:v>260813</s:v>
      </s:c>
      <s:c r="B740" s="0" t="inlineStr">
        <s:is>
          <s:t>이종훈</s:t>
        </s:is>
      </s:c>
      <s:c r="C740" s="0" t="n">
        <s:v>130021</s:v>
      </s:c>
      <s:c r="D740" s="0" t="n">
        <s:v>973</s:v>
      </s:c>
      <s:c r="F740" s="24">
        <s:f>'자료구성'!$B$2+TIME(INT($C$3/10000),INT(MOD($C$3,10000)/100),MOD($C$3,100))+(ROW()-ROW($C$3))/86400</s:f>
        <s:v>46247.55043981481</s:v>
      </s:c>
    </s:row>
    <s:row r="741">
      <s:c r="A741" s="0" t="n">
        <s:v>260813</s:v>
      </s:c>
      <s:c r="B741" s="0" t="inlineStr">
        <s:is>
          <s:t>이종훈</s:t>
        </s:is>
      </s:c>
      <s:c r="C741" s="0" t="n">
        <s:v>130021</s:v>
      </s:c>
      <s:c r="D741" s="0" t="n">
        <s:v>944</s:v>
      </s:c>
      <s:c r="F741" s="24">
        <s:f>'자료구성'!$B$2+TIME(INT($C$3/10000),INT(MOD($C$3,10000)/100),MOD($C$3,100))+(ROW()-ROW($C$3))/86400</s:f>
        <s:v>46247.55045138889</s:v>
      </s:c>
    </s:row>
    <s:row r="742">
      <s:c r="A742" s="0" t="n">
        <s:v>260813</s:v>
      </s:c>
      <s:c r="B742" s="0" t="inlineStr">
        <s:is>
          <s:t>이종훈</s:t>
        </s:is>
      </s:c>
      <s:c r="C742" s="0" t="n">
        <s:v>130021</s:v>
      </s:c>
      <s:c r="D742" s="0" t="n">
        <s:v>940</s:v>
      </s:c>
      <s:c r="F742" s="24">
        <s:f>'자료구성'!$B$2+TIME(INT($C$3/10000),INT(MOD($C$3,10000)/100),MOD($C$3,100))+(ROW()-ROW($C$3))/86400</s:f>
        <s:v>46247.550462962965</s:v>
      </s:c>
    </s:row>
    <s:row r="743">
      <s:c r="A743" s="0" t="n">
        <s:v>260813</s:v>
      </s:c>
      <s:c r="B743" s="0" t="inlineStr">
        <s:is>
          <s:t>이종훈</s:t>
        </s:is>
      </s:c>
      <s:c r="C743" s="0" t="n">
        <s:v>130021</s:v>
      </s:c>
      <s:c r="D743" s="0" t="n">
        <s:v>931</s:v>
      </s:c>
      <s:c r="F743" s="24">
        <s:f>'자료구성'!$B$2+TIME(INT($C$3/10000),INT(MOD($C$3,10000)/100),MOD($C$3,100))+(ROW()-ROW($C$3))/86400</s:f>
        <s:v>46247.550474537034</s:v>
      </s:c>
    </s:row>
    <s:row r="744">
      <s:c r="A744" s="0" t="n">
        <s:v>260813</s:v>
      </s:c>
      <s:c r="B744" s="0" t="inlineStr">
        <s:is>
          <s:t>이종훈</s:t>
        </s:is>
      </s:c>
      <s:c r="C744" s="0" t="n">
        <s:v>130021</s:v>
      </s:c>
      <s:c r="D744" s="0" t="n">
        <s:v>924</s:v>
      </s:c>
      <s:c r="F744" s="24">
        <s:f>'자료구성'!$B$2+TIME(INT($C$3/10000),INT(MOD($C$3,10000)/100),MOD($C$3,100))+(ROW()-ROW($C$3))/86400</s:f>
        <s:v>46247.55048611111</s:v>
      </s:c>
    </s:row>
    <s:row r="745">
      <s:c r="A745" s="0" t="n">
        <s:v>260813</s:v>
      </s:c>
      <s:c r="B745" s="0" t="inlineStr">
        <s:is>
          <s:t>이종훈</s:t>
        </s:is>
      </s:c>
      <s:c r="C745" s="0" t="n">
        <s:v>130021</s:v>
      </s:c>
      <s:c r="D745" s="0" t="n">
        <s:v>916</s:v>
      </s:c>
      <s:c r="F745" s="24">
        <s:f>'자료구성'!$B$2+TIME(INT($C$3/10000),INT(MOD($C$3,10000)/100),MOD($C$3,100))+(ROW()-ROW($C$3))/86400</s:f>
        <s:v>46247.55049768519</s:v>
      </s:c>
    </s:row>
    <s:row r="746">
      <s:c r="A746" s="0" t="n">
        <s:v>260813</s:v>
      </s:c>
      <s:c r="B746" s="0" t="inlineStr">
        <s:is>
          <s:t>이종훈</s:t>
        </s:is>
      </s:c>
      <s:c r="C746" s="0" t="n">
        <s:v>130021</s:v>
      </s:c>
      <s:c r="D746" s="0" t="n">
        <s:v>903</s:v>
      </s:c>
      <s:c r="F746" s="24">
        <s:f>'자료구성'!$B$2+TIME(INT($C$3/10000),INT(MOD($C$3,10000)/100),MOD($C$3,100))+(ROW()-ROW($C$3))/86400</s:f>
        <s:v>46247.55050925926</s:v>
      </s:c>
    </s:row>
    <s:row r="747">
      <s:c r="A747" s="0" t="n">
        <s:v>260813</s:v>
      </s:c>
      <s:c r="B747" s="0" t="inlineStr">
        <s:is>
          <s:t>이종훈</s:t>
        </s:is>
      </s:c>
      <s:c r="C747" s="0" t="n">
        <s:v>130021</s:v>
      </s:c>
      <s:c r="D747" s="0" t="n">
        <s:v>887</s:v>
      </s:c>
      <s:c r="F747" s="24">
        <s:f>'자료구성'!$B$2+TIME(INT($C$3/10000),INT(MOD($C$3,10000)/100),MOD($C$3,100))+(ROW()-ROW($C$3))/86400</s:f>
        <s:v>46247.550520833334</s:v>
      </s:c>
    </s:row>
    <s:row r="748">
      <s:c r="A748" s="0" t="n">
        <s:v>260813</s:v>
      </s:c>
      <s:c r="B748" s="0" t="inlineStr">
        <s:is>
          <s:t>이종훈</s:t>
        </s:is>
      </s:c>
      <s:c r="C748" s="0" t="n">
        <s:v>130021</s:v>
      </s:c>
      <s:c r="D748" s="0" t="n">
        <s:v>872</s:v>
      </s:c>
      <s:c r="F748" s="24">
        <s:f>'자료구성'!$B$2+TIME(INT($C$3/10000),INT(MOD($C$3,10000)/100),MOD($C$3,100))+(ROW()-ROW($C$3))/86400</s:f>
        <s:v>46247.550532407404</s:v>
      </s:c>
    </s:row>
    <s:row r="749">
      <s:c r="A749" s="0" t="n">
        <s:v>260813</s:v>
      </s:c>
      <s:c r="B749" s="0" t="inlineStr">
        <s:is>
          <s:t>이종훈</s:t>
        </s:is>
      </s:c>
      <s:c r="C749" s="0" t="n">
        <s:v>130021</s:v>
      </s:c>
      <s:c r="D749" s="0" t="n">
        <s:v>877</s:v>
      </s:c>
      <s:c r="F749" s="24">
        <s:f>'자료구성'!$B$2+TIME(INT($C$3/10000),INT(MOD($C$3,10000)/100),MOD($C$3,100))+(ROW()-ROW($C$3))/86400</s:f>
        <s:v>46247.55054398148</s:v>
      </s:c>
    </s:row>
    <s:row r="750">
      <s:c r="A750" s="0" t="n">
        <s:v>260813</s:v>
      </s:c>
      <s:c r="B750" s="0" t="inlineStr">
        <s:is>
          <s:t>이종훈</s:t>
        </s:is>
      </s:c>
      <s:c r="C750" s="0" t="n">
        <s:v>130021</s:v>
      </s:c>
      <s:c r="D750" s="0" t="n">
        <s:v>886</s:v>
      </s:c>
      <s:c r="F750" s="24">
        <s:f>'자료구성'!$B$2+TIME(INT($C$3/10000),INT(MOD($C$3,10000)/100),MOD($C$3,100))+(ROW()-ROW($C$3))/86400</s:f>
        <s:v>46247.55055555556</s:v>
      </s:c>
    </s:row>
    <s:row r="751">
      <s:c r="A751" s="0" t="n">
        <s:v>260813</s:v>
      </s:c>
      <s:c r="B751" s="0" t="inlineStr">
        <s:is>
          <s:t>이종훈</s:t>
        </s:is>
      </s:c>
      <s:c r="C751" s="0" t="n">
        <s:v>130021</s:v>
      </s:c>
      <s:c r="D751" s="0" t="n">
        <s:v>890</s:v>
      </s:c>
      <s:c r="F751" s="24">
        <s:f>'자료구성'!$B$2+TIME(INT($C$3/10000),INT(MOD($C$3,10000)/100),MOD($C$3,100))+(ROW()-ROW($C$3))/86400</s:f>
        <s:v>46247.55056712963</s:v>
      </s:c>
    </s:row>
    <s:row r="752">
      <s:c r="A752" s="0" t="n">
        <s:v>260813</s:v>
      </s:c>
      <s:c r="B752" s="0" t="inlineStr">
        <s:is>
          <s:t>이종훈</s:t>
        </s:is>
      </s:c>
      <s:c r="C752" s="0" t="n">
        <s:v>130021</s:v>
      </s:c>
      <s:c r="D752" s="0" t="n">
        <s:v>885</s:v>
      </s:c>
      <s:c r="F752" s="24">
        <s:f>'자료구성'!$B$2+TIME(INT($C$3/10000),INT(MOD($C$3,10000)/100),MOD($C$3,100))+(ROW()-ROW($C$3))/86400</s:f>
        <s:v>46247.550578703704</s:v>
      </s:c>
    </s:row>
    <s:row r="753">
      <s:c r="A753" s="0" t="n">
        <s:v>260813</s:v>
      </s:c>
      <s:c r="B753" s="0" t="inlineStr">
        <s:is>
          <s:t>이종훈</s:t>
        </s:is>
      </s:c>
      <s:c r="C753" s="0" t="n">
        <s:v>130021</s:v>
      </s:c>
      <s:c r="D753" s="0" t="n">
        <s:v>904</s:v>
      </s:c>
      <s:c r="F753" s="24">
        <s:f>'자료구성'!$B$2+TIME(INT($C$3/10000),INT(MOD($C$3,10000)/100),MOD($C$3,100))+(ROW()-ROW($C$3))/86400</s:f>
        <s:v>46247.55059027778</s:v>
      </s:c>
    </s:row>
    <s:row r="754">
      <s:c r="A754" s="0" t="n">
        <s:v>260813</s:v>
      </s:c>
      <s:c r="B754" s="0" t="inlineStr">
        <s:is>
          <s:t>이종훈</s:t>
        </s:is>
      </s:c>
      <s:c r="C754" s="0" t="n">
        <s:v>130021</s:v>
      </s:c>
      <s:c r="D754" s="0" t="n">
        <s:v>899</s:v>
      </s:c>
      <s:c r="F754" s="24">
        <s:f>'자료구성'!$B$2+TIME(INT($C$3/10000),INT(MOD($C$3,10000)/100),MOD($C$3,100))+(ROW()-ROW($C$3))/86400</s:f>
        <s:v>46247.55060185185</s:v>
      </s:c>
    </s:row>
    <s:row r="755">
      <s:c r="A755" s="0" t="n">
        <s:v>260813</s:v>
      </s:c>
      <s:c r="B755" s="0" t="inlineStr">
        <s:is>
          <s:t>이종훈</s:t>
        </s:is>
      </s:c>
      <s:c r="C755" s="0" t="n">
        <s:v>130021</s:v>
      </s:c>
      <s:c r="D755" s="0" t="n">
        <s:v>891</s:v>
      </s:c>
      <s:c r="F755" s="24">
        <s:f>'자료구성'!$B$2+TIME(INT($C$3/10000),INT(MOD($C$3,10000)/100),MOD($C$3,100))+(ROW()-ROW($C$3))/86400</s:f>
        <s:v>46247.55061342593</s:v>
      </s:c>
    </s:row>
    <s:row r="756">
      <s:c r="A756" s="0" t="n">
        <s:v>260813</s:v>
      </s:c>
      <s:c r="B756" s="0" t="inlineStr">
        <s:is>
          <s:t>이종훈</s:t>
        </s:is>
      </s:c>
      <s:c r="C756" s="0" t="n">
        <s:v>130021</s:v>
      </s:c>
      <s:c r="D756" s="0" t="n">
        <s:v>872</s:v>
      </s:c>
      <s:c r="F756" s="24">
        <s:f>'자료구성'!$B$2+TIME(INT($C$3/10000),INT(MOD($C$3,10000)/100),MOD($C$3,100))+(ROW()-ROW($C$3))/86400</s:f>
        <s:v>46247.550625</s:v>
      </s:c>
    </s:row>
    <s:row r="757">
      <s:c r="A757" s="0" t="n">
        <s:v>260813</s:v>
      </s:c>
      <s:c r="B757" s="0" t="inlineStr">
        <s:is>
          <s:t>이종훈</s:t>
        </s:is>
      </s:c>
      <s:c r="C757" s="0" t="n">
        <s:v>130021</s:v>
      </s:c>
      <s:c r="D757" s="0" t="n">
        <s:v>864</s:v>
      </s:c>
      <s:c r="F757" s="24">
        <s:f>'자료구성'!$B$2+TIME(INT($C$3/10000),INT(MOD($C$3,10000)/100),MOD($C$3,100))+(ROW()-ROW($C$3))/86400</s:f>
        <s:v>46247.55063657407</s:v>
      </s:c>
    </s:row>
    <s:row r="758">
      <s:c r="A758" s="0" t="n">
        <s:v>260813</s:v>
      </s:c>
      <s:c r="B758" s="0" t="inlineStr">
        <s:is>
          <s:t>이종훈</s:t>
        </s:is>
      </s:c>
      <s:c r="C758" s="0" t="n">
        <s:v>130021</s:v>
      </s:c>
      <s:c r="D758" s="0" t="n">
        <s:v>866</s:v>
      </s:c>
      <s:c r="F758" s="24">
        <s:f>'자료구성'!$B$2+TIME(INT($C$3/10000),INT(MOD($C$3,10000)/100),MOD($C$3,100))+(ROW()-ROW($C$3))/86400</s:f>
        <s:v>46247.55064814815</s:v>
      </s:c>
    </s:row>
    <s:row r="759">
      <s:c r="A759" s="0" t="n">
        <s:v>260813</s:v>
      </s:c>
      <s:c r="B759" s="0" t="inlineStr">
        <s:is>
          <s:t>이종훈</s:t>
        </s:is>
      </s:c>
      <s:c r="C759" s="0" t="n">
        <s:v>130021</s:v>
      </s:c>
      <s:c r="D759" s="0" t="n">
        <s:v>869</s:v>
      </s:c>
      <s:c r="F759" s="24">
        <s:f>'자료구성'!$B$2+TIME(INT($C$3/10000),INT(MOD($C$3,10000)/100),MOD($C$3,100))+(ROW()-ROW($C$3))/86400</s:f>
        <s:v>46247.55065972222</s:v>
      </s:c>
    </s:row>
    <s:row r="760">
      <s:c r="A760" s="0" t="n">
        <s:v>260813</s:v>
      </s:c>
      <s:c r="B760" s="0" t="inlineStr">
        <s:is>
          <s:t>이종훈</s:t>
        </s:is>
      </s:c>
      <s:c r="C760" s="0" t="n">
        <s:v>130021</s:v>
      </s:c>
      <s:c r="D760" s="0" t="n">
        <s:v>894</s:v>
      </s:c>
      <s:c r="F760" s="24">
        <s:f>'자료구성'!$B$2+TIME(INT($C$3/10000),INT(MOD($C$3,10000)/100),MOD($C$3,100))+(ROW()-ROW($C$3))/86400</s:f>
        <s:v>46247.550671296296</s:v>
      </s:c>
    </s:row>
    <s:row r="761">
      <s:c r="A761" s="0" t="n">
        <s:v>260813</s:v>
      </s:c>
      <s:c r="B761" s="0" t="inlineStr">
        <s:is>
          <s:t>이종훈</s:t>
        </s:is>
      </s:c>
      <s:c r="C761" s="0" t="n">
        <s:v>130021</s:v>
      </s:c>
      <s:c r="D761" s="0" t="n">
        <s:v>913</s:v>
      </s:c>
      <s:c r="F761" s="24">
        <s:f>'자료구성'!$B$2+TIME(INT($C$3/10000),INT(MOD($C$3,10000)/100),MOD($C$3,100))+(ROW()-ROW($C$3))/86400</s:f>
        <s:v>46247.55068287037</s:v>
      </s:c>
    </s:row>
    <s:row r="762">
      <s:c r="A762" s="0" t="n">
        <s:v>260813</s:v>
      </s:c>
      <s:c r="B762" s="0" t="inlineStr">
        <s:is>
          <s:t>이종훈</s:t>
        </s:is>
      </s:c>
      <s:c r="C762" s="0" t="n">
        <s:v>130021</s:v>
      </s:c>
      <s:c r="D762" s="0" t="n">
        <s:v>929</s:v>
      </s:c>
      <s:c r="F762" s="24">
        <s:f>'자료구성'!$B$2+TIME(INT($C$3/10000),INT(MOD($C$3,10000)/100),MOD($C$3,100))+(ROW()-ROW($C$3))/86400</s:f>
        <s:v>46247.55069444444</s:v>
      </s:c>
    </s:row>
    <s:row r="763">
      <s:c r="A763" s="0" t="n">
        <s:v>260813</s:v>
      </s:c>
      <s:c r="B763" s="0" t="inlineStr">
        <s:is>
          <s:t>이종훈</s:t>
        </s:is>
      </s:c>
      <s:c r="C763" s="0" t="n">
        <s:v>130021</s:v>
      </s:c>
      <s:c r="D763" s="0" t="n">
        <s:v>922</s:v>
      </s:c>
      <s:c r="F763" s="24">
        <s:f>'자료구성'!$B$2+TIME(INT($C$3/10000),INT(MOD($C$3,10000)/100),MOD($C$3,100))+(ROW()-ROW($C$3))/86400</s:f>
        <s:v>46247.55070601852</s:v>
      </s:c>
    </s:row>
    <s:row r="764">
      <s:c r="A764" s="0" t="n">
        <s:v>260813</s:v>
      </s:c>
      <s:c r="B764" s="0" t="inlineStr">
        <s:is>
          <s:t>이종훈</s:t>
        </s:is>
      </s:c>
      <s:c r="C764" s="0" t="n">
        <s:v>130021</s:v>
      </s:c>
      <s:c r="D764" s="0" t="n">
        <s:v>947</s:v>
      </s:c>
      <s:c r="F764" s="24">
        <s:f>'자료구성'!$B$2+TIME(INT($C$3/10000),INT(MOD($C$3,10000)/100),MOD($C$3,100))+(ROW()-ROW($C$3))/86400</s:f>
        <s:v>46247.550717592596</s:v>
      </s:c>
    </s:row>
    <s:row r="765">
      <s:c r="A765" s="0" t="n">
        <s:v>260813</s:v>
      </s:c>
      <s:c r="B765" s="0" t="inlineStr">
        <s:is>
          <s:t>이종훈</s:t>
        </s:is>
      </s:c>
      <s:c r="C765" s="0" t="n">
        <s:v>130021</s:v>
      </s:c>
      <s:c r="D765" s="0" t="n">
        <s:v>943</s:v>
      </s:c>
      <s:c r="F765" s="24">
        <s:f>'자료구성'!$B$2+TIME(INT($C$3/10000),INT(MOD($C$3,10000)/100),MOD($C$3,100))+(ROW()-ROW($C$3))/86400</s:f>
        <s:v>46247.550729166665</s:v>
      </s:c>
    </s:row>
    <s:row r="766">
      <s:c r="A766" s="0" t="n">
        <s:v>260813</s:v>
      </s:c>
      <s:c r="B766" s="0" t="inlineStr">
        <s:is>
          <s:t>이종훈</s:t>
        </s:is>
      </s:c>
      <s:c r="C766" s="0" t="n">
        <s:v>130021</s:v>
      </s:c>
      <s:c r="D766" s="0" t="n">
        <s:v>986</s:v>
      </s:c>
      <s:c r="F766" s="24">
        <s:f>'자료구성'!$B$2+TIME(INT($C$3/10000),INT(MOD($C$3,10000)/100),MOD($C$3,100))+(ROW()-ROW($C$3))/86400</s:f>
        <s:v>46247.55074074074</s:v>
      </s:c>
    </s:row>
    <s:row r="767">
      <s:c r="A767" s="0" t="n">
        <s:v>260813</s:v>
      </s:c>
      <s:c r="B767" s="0" t="inlineStr">
        <s:is>
          <s:t>이종훈</s:t>
        </s:is>
      </s:c>
      <s:c r="C767" s="0" t="n">
        <s:v>130021</s:v>
      </s:c>
      <s:c r="D767" s="0" t="n">
        <s:v>962</s:v>
      </s:c>
      <s:c r="F767" s="24">
        <s:f>'자료구성'!$B$2+TIME(INT($C$3/10000),INT(MOD($C$3,10000)/100),MOD($C$3,100))+(ROW()-ROW($C$3))/86400</s:f>
        <s:v>46247.55075231481</s:v>
      </s:c>
    </s:row>
    <s:row r="768">
      <s:c r="A768" s="0" t="n">
        <s:v>260813</s:v>
      </s:c>
      <s:c r="B768" s="0" t="inlineStr">
        <s:is>
          <s:t>이종훈</s:t>
        </s:is>
      </s:c>
      <s:c r="C768" s="0" t="n">
        <s:v>130021</s:v>
      </s:c>
      <s:c r="D768" s="0" t="n">
        <s:v>996</s:v>
      </s:c>
      <s:c r="F768" s="24">
        <s:f>'자료구성'!$B$2+TIME(INT($C$3/10000),INT(MOD($C$3,10000)/100),MOD($C$3,100))+(ROW()-ROW($C$3))/86400</s:f>
        <s:v>46247.55076388889</s:v>
      </s:c>
    </s:row>
    <s:row r="769">
      <s:c r="A769" s="0" t="n">
        <s:v>260813</s:v>
      </s:c>
      <s:c r="B769" s="0" t="inlineStr">
        <s:is>
          <s:t>이종훈</s:t>
        </s:is>
      </s:c>
      <s:c r="C769" s="0" t="n">
        <s:v>130021</s:v>
      </s:c>
      <s:c r="D769" s="0" t="n">
        <s:v>1052</s:v>
      </s:c>
      <s:c r="F769" s="24">
        <s:f>'자료구성'!$B$2+TIME(INT($C$3/10000),INT(MOD($C$3,10000)/100),MOD($C$3,100))+(ROW()-ROW($C$3))/86400</s:f>
        <s:v>46247.550775462965</s:v>
      </s:c>
    </s:row>
    <s:row r="770">
      <s:c r="A770" s="0" t="n">
        <s:v>260813</s:v>
      </s:c>
      <s:c r="B770" s="0" t="inlineStr">
        <s:is>
          <s:t>이종훈</s:t>
        </s:is>
      </s:c>
      <s:c r="C770" s="0" t="n">
        <s:v>130021</s:v>
      </s:c>
      <s:c r="D770" s="0" t="n">
        <s:v>1067</s:v>
      </s:c>
      <s:c r="F770" s="24">
        <s:f>'자료구성'!$B$2+TIME(INT($C$3/10000),INT(MOD($C$3,10000)/100),MOD($C$3,100))+(ROW()-ROW($C$3))/86400</s:f>
        <s:v>46247.550787037035</s:v>
      </s:c>
    </s:row>
    <s:row r="771">
      <s:c r="A771" s="0" t="n">
        <s:v>260813</s:v>
      </s:c>
      <s:c r="B771" s="0" t="inlineStr">
        <s:is>
          <s:t>이종훈</s:t>
        </s:is>
      </s:c>
      <s:c r="C771" s="0" t="n">
        <s:v>130021</s:v>
      </s:c>
      <s:c r="D771" s="0" t="n">
        <s:v>1105</s:v>
      </s:c>
      <s:c r="F771" s="24">
        <s:f>'자료구성'!$B$2+TIME(INT($C$3/10000),INT(MOD($C$3,10000)/100),MOD($C$3,100))+(ROW()-ROW($C$3))/86400</s:f>
        <s:v>46247.55079861111</s:v>
      </s:c>
    </s:row>
    <s:row r="772">
      <s:c r="A772" s="0" t="n">
        <s:v>260813</s:v>
      </s:c>
      <s:c r="B772" s="0" t="inlineStr">
        <s:is>
          <s:t>이종훈</s:t>
        </s:is>
      </s:c>
      <s:c r="C772" s="0" t="n">
        <s:v>130021</s:v>
      </s:c>
      <s:c r="D772" s="0" t="n">
        <s:v>1142</s:v>
      </s:c>
      <s:c r="F772" s="24">
        <s:f>'자료구성'!$B$2+TIME(INT($C$3/10000),INT(MOD($C$3,10000)/100),MOD($C$3,100))+(ROW()-ROW($C$3))/86400</s:f>
        <s:v>46247.55081018519</s:v>
      </s:c>
    </s:row>
    <s:row r="773">
      <s:c r="A773" s="0" t="n">
        <s:v>260813</s:v>
      </s:c>
      <s:c r="B773" s="0" t="inlineStr">
        <s:is>
          <s:t>이종훈</s:t>
        </s:is>
      </s:c>
      <s:c r="C773" s="0" t="n">
        <s:v>130021</s:v>
      </s:c>
      <s:c r="D773" s="0" t="n">
        <s:v>1178</s:v>
      </s:c>
      <s:c r="F773" s="24">
        <s:f>'자료구성'!$B$2+TIME(INT($C$3/10000),INT(MOD($C$3,10000)/100),MOD($C$3,100))+(ROW()-ROW($C$3))/86400</s:f>
        <s:v>46247.55082175926</s:v>
      </s:c>
    </s:row>
    <s:row r="774">
      <s:c r="A774" s="0" t="n">
        <s:v>260813</s:v>
      </s:c>
      <s:c r="B774" s="0" t="inlineStr">
        <s:is>
          <s:t>이종훈</s:t>
        </s:is>
      </s:c>
      <s:c r="C774" s="0" t="n">
        <s:v>130021</s:v>
      </s:c>
      <s:c r="D774" s="0" t="n">
        <s:v>1181</s:v>
      </s:c>
      <s:c r="F774" s="24">
        <s:f>'자료구성'!$B$2+TIME(INT($C$3/10000),INT(MOD($C$3,10000)/100),MOD($C$3,100))+(ROW()-ROW($C$3))/86400</s:f>
        <s:v>46247.550833333335</s:v>
      </s:c>
    </s:row>
    <s:row r="775">
      <s:c r="A775" s="0" t="n">
        <s:v>260813</s:v>
      </s:c>
      <s:c r="B775" s="0" t="inlineStr">
        <s:is>
          <s:t>이종훈</s:t>
        </s:is>
      </s:c>
      <s:c r="C775" s="0" t="n">
        <s:v>130021</s:v>
      </s:c>
      <s:c r="D775" s="0" t="n">
        <s:v>1185</s:v>
      </s:c>
      <s:c r="F775" s="24">
        <s:f>'자료구성'!$B$2+TIME(INT($C$3/10000),INT(MOD($C$3,10000)/100),MOD($C$3,100))+(ROW()-ROW($C$3))/86400</s:f>
        <s:v>46247.550844907404</s:v>
      </s:c>
    </s:row>
    <s:row r="776">
      <s:c r="A776" s="0" t="n">
        <s:v>260813</s:v>
      </s:c>
      <s:c r="B776" s="0" t="inlineStr">
        <s:is>
          <s:t>이종훈</s:t>
        </s:is>
      </s:c>
      <s:c r="C776" s="0" t="n">
        <s:v>130021</s:v>
      </s:c>
      <s:c r="D776" s="0" t="n">
        <s:v>1174</s:v>
      </s:c>
      <s:c r="F776" s="24">
        <s:f>'자료구성'!$B$2+TIME(INT($C$3/10000),INT(MOD($C$3,10000)/100),MOD($C$3,100))+(ROW()-ROW($C$3))/86400</s:f>
        <s:v>46247.55085648148</s:v>
      </s:c>
    </s:row>
    <s:row r="777">
      <s:c r="A777" s="0" t="n">
        <s:v>260813</s:v>
      </s:c>
      <s:c r="B777" s="0" t="inlineStr">
        <s:is>
          <s:t>이종훈</s:t>
        </s:is>
      </s:c>
      <s:c r="C777" s="0" t="n">
        <s:v>130021</s:v>
      </s:c>
      <s:c r="D777" s="0" t="n">
        <s:v>1169</s:v>
      </s:c>
      <s:c r="F777" s="24">
        <s:f>'자료구성'!$B$2+TIME(INT($C$3/10000),INT(MOD($C$3,10000)/100),MOD($C$3,100))+(ROW()-ROW($C$3))/86400</s:f>
        <s:v>46247.55086805556</s:v>
      </s:c>
    </s:row>
    <s:row r="778">
      <s:c r="A778" s="0" t="n">
        <s:v>260813</s:v>
      </s:c>
      <s:c r="B778" s="0" t="inlineStr">
        <s:is>
          <s:t>이종훈</s:t>
        </s:is>
      </s:c>
      <s:c r="C778" s="0" t="n">
        <s:v>130021</s:v>
      </s:c>
      <s:c r="D778" s="0" t="n">
        <s:v>1183</s:v>
      </s:c>
      <s:c r="F778" s="24">
        <s:f>'자료구성'!$B$2+TIME(INT($C$3/10000),INT(MOD($C$3,10000)/100),MOD($C$3,100))+(ROW()-ROW($C$3))/86400</s:f>
        <s:v>46247.55087962963</s:v>
      </s:c>
    </s:row>
    <s:row r="779">
      <s:c r="A779" s="0" t="n">
        <s:v>260813</s:v>
      </s:c>
      <s:c r="B779" s="0" t="inlineStr">
        <s:is>
          <s:t>이종훈</s:t>
        </s:is>
      </s:c>
      <s:c r="C779" s="0" t="n">
        <s:v>130021</s:v>
      </s:c>
      <s:c r="D779" s="0" t="n">
        <s:v>1173</s:v>
      </s:c>
      <s:c r="F779" s="24">
        <s:f>'자료구성'!$B$2+TIME(INT($C$3/10000),INT(MOD($C$3,10000)/100),MOD($C$3,100))+(ROW()-ROW($C$3))/86400</s:f>
        <s:v>46247.550891203704</s:v>
      </s:c>
    </s:row>
    <s:row r="780">
      <s:c r="A780" s="0" t="n">
        <s:v>260813</s:v>
      </s:c>
      <s:c r="B780" s="0" t="inlineStr">
        <s:is>
          <s:t>이종훈</s:t>
        </s:is>
      </s:c>
      <s:c r="C780" s="0" t="n">
        <s:v>130021</s:v>
      </s:c>
      <s:c r="D780" s="0" t="n">
        <s:v>1161</s:v>
      </s:c>
      <s:c r="F780" s="24">
        <s:f>'자료구성'!$B$2+TIME(INT($C$3/10000),INT(MOD($C$3,10000)/100),MOD($C$3,100))+(ROW()-ROW($C$3))/86400</s:f>
        <s:v>46247.55090277778</s:v>
      </s:c>
    </s:row>
    <s:row r="781">
      <s:c r="A781" s="0" t="n">
        <s:v>260813</s:v>
      </s:c>
      <s:c r="B781" s="0" t="inlineStr">
        <s:is>
          <s:t>이종훈</s:t>
        </s:is>
      </s:c>
      <s:c r="C781" s="0" t="n">
        <s:v>130021</s:v>
      </s:c>
      <s:c r="D781" s="0" t="n">
        <s:v>1131</s:v>
      </s:c>
      <s:c r="F781" s="24">
        <s:f>'자료구성'!$B$2+TIME(INT($C$3/10000),INT(MOD($C$3,10000)/100),MOD($C$3,100))+(ROW()-ROW($C$3))/86400</s:f>
        <s:v>46247.55091435185</s:v>
      </s:c>
    </s:row>
    <s:row r="782">
      <s:c r="A782" s="0" t="n">
        <s:v>260813</s:v>
      </s:c>
      <s:c r="B782" s="0" t="inlineStr">
        <s:is>
          <s:t>이종훈</s:t>
        </s:is>
      </s:c>
      <s:c r="C782" s="0" t="n">
        <s:v>130021</s:v>
      </s:c>
      <s:c r="D782" s="0" t="n">
        <s:v>1125</s:v>
      </s:c>
      <s:c r="F782" s="24">
        <s:f>'자료구성'!$B$2+TIME(INT($C$3/10000),INT(MOD($C$3,10000)/100),MOD($C$3,100))+(ROW()-ROW($C$3))/86400</s:f>
        <s:v>46247.55092592593</s:v>
      </s:c>
    </s:row>
    <s:row r="783">
      <s:c r="A783" s="0" t="n">
        <s:v>260813</s:v>
      </s:c>
      <s:c r="B783" s="0" t="inlineStr">
        <s:is>
          <s:t>이종훈</s:t>
        </s:is>
      </s:c>
      <s:c r="C783" s="0" t="n">
        <s:v>130021</s:v>
      </s:c>
      <s:c r="D783" s="0" t="n">
        <s:v>1130</s:v>
      </s:c>
      <s:c r="F783" s="24">
        <s:f>'자료구성'!$B$2+TIME(INT($C$3/10000),INT(MOD($C$3,10000)/100),MOD($C$3,100))+(ROW()-ROW($C$3))/86400</s:f>
        <s:v>46247.5509375</s:v>
      </s:c>
    </s:row>
    <s:row r="784">
      <s:c r="A784" s="0" t="n">
        <s:v>260813</s:v>
      </s:c>
      <s:c r="B784" s="0" t="inlineStr">
        <s:is>
          <s:t>이종훈</s:t>
        </s:is>
      </s:c>
      <s:c r="C784" s="0" t="n">
        <s:v>130021</s:v>
      </s:c>
      <s:c r="D784" s="0" t="n">
        <s:v>1113</s:v>
      </s:c>
      <s:c r="F784" s="24">
        <s:f>'자료구성'!$B$2+TIME(INT($C$3/10000),INT(MOD($C$3,10000)/100),MOD($C$3,100))+(ROW()-ROW($C$3))/86400</s:f>
        <s:v>46247.55094907407</s:v>
      </s:c>
    </s:row>
    <s:row r="785">
      <s:c r="A785" s="0" t="n">
        <s:v>260813</s:v>
      </s:c>
      <s:c r="B785" s="0" t="inlineStr">
        <s:is>
          <s:t>이종훈</s:t>
        </s:is>
      </s:c>
      <s:c r="C785" s="0" t="n">
        <s:v>130021</s:v>
      </s:c>
      <s:c r="D785" s="0" t="n">
        <s:v>1117</s:v>
      </s:c>
      <s:c r="F785" s="24">
        <s:f>'자료구성'!$B$2+TIME(INT($C$3/10000),INT(MOD($C$3,10000)/100),MOD($C$3,100))+(ROW()-ROW($C$3))/86400</s:f>
        <s:v>46247.55096064815</s:v>
      </s:c>
    </s:row>
    <s:row r="786">
      <s:c r="A786" s="0" t="n">
        <s:v>260813</s:v>
      </s:c>
      <s:c r="B786" s="0" t="inlineStr">
        <s:is>
          <s:t>이종훈</s:t>
        </s:is>
      </s:c>
      <s:c r="C786" s="0" t="n">
        <s:v>130021</s:v>
      </s:c>
      <s:c r="D786" s="0" t="n">
        <s:v>1097</s:v>
      </s:c>
      <s:c r="F786" s="24">
        <s:f>'자료구성'!$B$2+TIME(INT($C$3/10000),INT(MOD($C$3,10000)/100),MOD($C$3,100))+(ROW()-ROW($C$3))/86400</s:f>
        <s:v>46247.55097222222</s:v>
      </s:c>
    </s:row>
    <s:row r="787">
      <s:c r="A787" s="0" t="n">
        <s:v>260813</s:v>
      </s:c>
      <s:c r="B787" s="0" t="inlineStr">
        <s:is>
          <s:t>이종훈</s:t>
        </s:is>
      </s:c>
      <s:c r="C787" s="0" t="n">
        <s:v>130021</s:v>
      </s:c>
      <s:c r="D787" s="0" t="n">
        <s:v>1097</s:v>
      </s:c>
      <s:c r="F787" s="24">
        <s:f>'자료구성'!$B$2+TIME(INT($C$3/10000),INT(MOD($C$3,10000)/100),MOD($C$3,100))+(ROW()-ROW($C$3))/86400</s:f>
        <s:v>46247.550983796296</s:v>
      </s:c>
    </s:row>
    <s:row r="788">
      <s:c r="A788" s="0" t="n">
        <s:v>260813</s:v>
      </s:c>
      <s:c r="B788" s="0" t="inlineStr">
        <s:is>
          <s:t>이종훈</s:t>
        </s:is>
      </s:c>
      <s:c r="C788" s="0" t="n">
        <s:v>130021</s:v>
      </s:c>
      <s:c r="D788" s="0" t="n">
        <s:v>1087</s:v>
      </s:c>
      <s:c r="F788" s="24">
        <s:f>'자료구성'!$B$2+TIME(INT($C$3/10000),INT(MOD($C$3,10000)/100),MOD($C$3,100))+(ROW()-ROW($C$3))/86400</s:f>
        <s:v>46247.55099537037</s:v>
      </s:c>
    </s:row>
    <s:row r="789">
      <s:c r="A789" s="0" t="n">
        <s:v>260813</s:v>
      </s:c>
      <s:c r="B789" s="0" t="inlineStr">
        <s:is>
          <s:t>이종훈</s:t>
        </s:is>
      </s:c>
      <s:c r="C789" s="0" t="n">
        <s:v>130021</s:v>
      </s:c>
      <s:c r="D789" s="0" t="n">
        <s:v>1068</s:v>
      </s:c>
      <s:c r="F789" s="24">
        <s:f>'자료구성'!$B$2+TIME(INT($C$3/10000),INT(MOD($C$3,10000)/100),MOD($C$3,100))+(ROW()-ROW($C$3))/86400</s:f>
        <s:v>46247.55100694444</s:v>
      </s:c>
    </s:row>
    <s:row r="790">
      <s:c r="A790" s="0" t="n">
        <s:v>260813</s:v>
      </s:c>
      <s:c r="B790" s="0" t="inlineStr">
        <s:is>
          <s:t>이종훈</s:t>
        </s:is>
      </s:c>
      <s:c r="C790" s="0" t="n">
        <s:v>130021</s:v>
      </s:c>
      <s:c r="D790" s="0" t="n">
        <s:v>1064</s:v>
      </s:c>
      <s:c r="F790" s="24">
        <s:f>'자료구성'!$B$2+TIME(INT($C$3/10000),INT(MOD($C$3,10000)/100),MOD($C$3,100))+(ROW()-ROW($C$3))/86400</s:f>
        <s:v>46247.55101851852</s:v>
      </s:c>
    </s:row>
    <s:row r="791">
      <s:c r="A791" s="0" t="n">
        <s:v>260813</s:v>
      </s:c>
      <s:c r="B791" s="0" t="inlineStr">
        <s:is>
          <s:t>이종훈</s:t>
        </s:is>
      </s:c>
      <s:c r="C791" s="0" t="n">
        <s:v>130021</s:v>
      </s:c>
      <s:c r="D791" s="0" t="n">
        <s:v>1072</s:v>
      </s:c>
      <s:c r="F791" s="24">
        <s:f>'자료구성'!$B$2+TIME(INT($C$3/10000),INT(MOD($C$3,10000)/100),MOD($C$3,100))+(ROW()-ROW($C$3))/86400</s:f>
        <s:v>46247.551030092596</s:v>
      </s:c>
    </s:row>
    <s:row r="792">
      <s:c r="A792" s="0" t="n">
        <s:v>260813</s:v>
      </s:c>
      <s:c r="B792" s="0" t="inlineStr">
        <s:is>
          <s:t>이종훈</s:t>
        </s:is>
      </s:c>
      <s:c r="C792" s="0" t="n">
        <s:v>130021</s:v>
      </s:c>
      <s:c r="D792" s="0" t="n">
        <s:v>1130</s:v>
      </s:c>
      <s:c r="F792" s="24">
        <s:f>'자료구성'!$B$2+TIME(INT($C$3/10000),INT(MOD($C$3,10000)/100),MOD($C$3,100))+(ROW()-ROW($C$3))/86400</s:f>
        <s:v>46247.551041666666</s:v>
      </s:c>
    </s:row>
    <s:row r="793">
      <s:c r="A793" s="0" t="n">
        <s:v>260813</s:v>
      </s:c>
      <s:c r="B793" s="0" t="inlineStr">
        <s:is>
          <s:t>이종훈</s:t>
        </s:is>
      </s:c>
      <s:c r="C793" s="0" t="n">
        <s:v>130021</s:v>
      </s:c>
      <s:c r="D793" s="0" t="n">
        <s:v>1204</s:v>
      </s:c>
      <s:c r="F793" s="24">
        <s:f>'자료구성'!$B$2+TIME(INT($C$3/10000),INT(MOD($C$3,10000)/100),MOD($C$3,100))+(ROW()-ROW($C$3))/86400</s:f>
        <s:v>46247.55105324074</s:v>
      </s:c>
    </s:row>
    <s:row r="794">
      <s:c r="A794" s="0" t="n">
        <s:v>260813</s:v>
      </s:c>
      <s:c r="B794" s="0" t="inlineStr">
        <s:is>
          <s:t>이종훈</s:t>
        </s:is>
      </s:c>
      <s:c r="C794" s="0" t="n">
        <s:v>130021</s:v>
      </s:c>
      <s:c r="D794" s="0" t="n">
        <s:v>1241</s:v>
      </s:c>
      <s:c r="F794" s="24">
        <s:f>'자료구성'!$B$2+TIME(INT($C$3/10000),INT(MOD($C$3,10000)/100),MOD($C$3,100))+(ROW()-ROW($C$3))/86400</s:f>
        <s:v>46247.55106481481</s:v>
      </s:c>
    </s:row>
    <s:row r="795">
      <s:c r="A795" s="0" t="n">
        <s:v>260813</s:v>
      </s:c>
      <s:c r="B795" s="0" t="inlineStr">
        <s:is>
          <s:t>이종훈</s:t>
        </s:is>
      </s:c>
      <s:c r="C795" s="0" t="n">
        <s:v>130021</s:v>
      </s:c>
      <s:c r="D795" s="0" t="n">
        <s:v>1219</s:v>
      </s:c>
      <s:c r="F795" s="24">
        <s:f>'자료구성'!$B$2+TIME(INT($C$3/10000),INT(MOD($C$3,10000)/100),MOD($C$3,100))+(ROW()-ROW($C$3))/86400</s:f>
        <s:v>46247.55107638889</s:v>
      </s:c>
    </s:row>
    <s:row r="796">
      <s:c r="A796" s="0" t="n">
        <s:v>260813</s:v>
      </s:c>
      <s:c r="B796" s="0" t="inlineStr">
        <s:is>
          <s:t>이종훈</s:t>
        </s:is>
      </s:c>
      <s:c r="C796" s="0" t="n">
        <s:v>130021</s:v>
      </s:c>
      <s:c r="D796" s="0" t="n">
        <s:v>1216</s:v>
      </s:c>
      <s:c r="F796" s="24">
        <s:f>'자료구성'!$B$2+TIME(INT($C$3/10000),INT(MOD($C$3,10000)/100),MOD($C$3,100))+(ROW()-ROW($C$3))/86400</s:f>
        <s:v>46247.551087962966</s:v>
      </s:c>
    </s:row>
    <s:row r="797">
      <s:c r="A797" s="0" t="n">
        <s:v>260813</s:v>
      </s:c>
      <s:c r="B797" s="0" t="inlineStr">
        <s:is>
          <s:t>이종훈</s:t>
        </s:is>
      </s:c>
      <s:c r="C797" s="0" t="n">
        <s:v>130021</s:v>
      </s:c>
      <s:c r="D797" s="0" t="n">
        <s:v>1251</s:v>
      </s:c>
      <s:c r="F797" s="24">
        <s:f>'자료구성'!$B$2+TIME(INT($C$3/10000),INT(MOD($C$3,10000)/100),MOD($C$3,100))+(ROW()-ROW($C$3))/86400</s:f>
        <s:v>46247.551099537035</s:v>
      </s:c>
    </s:row>
    <s:row r="798">
      <s:c r="A798" s="0" t="n">
        <s:v>260813</s:v>
      </s:c>
      <s:c r="B798" s="0" t="inlineStr">
        <s:is>
          <s:t>이종훈</s:t>
        </s:is>
      </s:c>
      <s:c r="C798" s="0" t="n">
        <s:v>130021</s:v>
      </s:c>
      <s:c r="D798" s="0" t="n">
        <s:v>1276</s:v>
      </s:c>
      <s:c r="F798" s="24">
        <s:f>'자료구성'!$B$2+TIME(INT($C$3/10000),INT(MOD($C$3,10000)/100),MOD($C$3,100))+(ROW()-ROW($C$3))/86400</s:f>
        <s:v>46247.55111111111</s:v>
      </s:c>
    </s:row>
    <s:row r="799">
      <s:c r="A799" s="0" t="n">
        <s:v>260813</s:v>
      </s:c>
      <s:c r="B799" s="0" t="inlineStr">
        <s:is>
          <s:t>이종훈</s:t>
        </s:is>
      </s:c>
      <s:c r="C799" s="0" t="n">
        <s:v>130021</s:v>
      </s:c>
      <s:c r="D799" s="0" t="n">
        <s:v>1286</s:v>
      </s:c>
      <s:c r="F799" s="24">
        <s:f>'자료구성'!$B$2+TIME(INT($C$3/10000),INT(MOD($C$3,10000)/100),MOD($C$3,100))+(ROW()-ROW($C$3))/86400</s:f>
        <s:v>46247.55112268519</s:v>
      </s:c>
    </s:row>
    <s:row r="800">
      <s:c r="A800" s="0" t="n">
        <s:v>260813</s:v>
      </s:c>
      <s:c r="B800" s="0" t="inlineStr">
        <s:is>
          <s:t>이종훈</s:t>
        </s:is>
      </s:c>
      <s:c r="C800" s="0" t="n">
        <s:v>130021</s:v>
      </s:c>
      <s:c r="D800" s="0" t="n">
        <s:v>1332</s:v>
      </s:c>
      <s:c r="F800" s="24">
        <s:f>'자료구성'!$B$2+TIME(INT($C$3/10000),INT(MOD($C$3,10000)/100),MOD($C$3,100))+(ROW()-ROW($C$3))/86400</s:f>
        <s:v>46247.55113425926</s:v>
      </s:c>
    </s:row>
    <s:row r="801">
      <s:c r="A801" s="0" t="n">
        <s:v>260813</s:v>
      </s:c>
      <s:c r="B801" s="0" t="inlineStr">
        <s:is>
          <s:t>이종훈</s:t>
        </s:is>
      </s:c>
      <s:c r="C801" s="0" t="n">
        <s:v>130021</s:v>
      </s:c>
      <s:c r="D801" s="0" t="n">
        <s:v>1346</s:v>
      </s:c>
      <s:c r="F801" s="24">
        <s:f>'자료구성'!$B$2+TIME(INT($C$3/10000),INT(MOD($C$3,10000)/100),MOD($C$3,100))+(ROW()-ROW($C$3))/86400</s:f>
        <s:v>46247.551145833335</s:v>
      </s:c>
    </s:row>
    <s:row r="802">
      <s:c r="A802" s="0" t="n">
        <s:v>260813</s:v>
      </s:c>
      <s:c r="B802" s="0" t="inlineStr">
        <s:is>
          <s:t>이종훈</s:t>
        </s:is>
      </s:c>
      <s:c r="C802" s="0" t="n">
        <s:v>130021</s:v>
      </s:c>
      <s:c r="D802" s="0" t="n">
        <s:v>1362</s:v>
      </s:c>
      <s:c r="F802" s="24">
        <s:f>'자료구성'!$B$2+TIME(INT($C$3/10000),INT(MOD($C$3,10000)/100),MOD($C$3,100))+(ROW()-ROW($C$3))/86400</s:f>
        <s:v>46247.551157407404</s:v>
      </s:c>
    </s:row>
    <s:row r="803">
      <s:c r="A803" s="0" t="n">
        <s:v>260813</s:v>
      </s:c>
      <s:c r="B803" s="0" t="inlineStr">
        <s:is>
          <s:t>이종훈</s:t>
        </s:is>
      </s:c>
      <s:c r="C803" s="0" t="n">
        <s:v>130021</s:v>
      </s:c>
      <s:c r="D803" s="0" t="n">
        <s:v>1367</s:v>
      </s:c>
      <s:c r="F803" s="24">
        <s:f>'자료구성'!$B$2+TIME(INT($C$3/10000),INT(MOD($C$3,10000)/100),MOD($C$3,100))+(ROW()-ROW($C$3))/86400</s:f>
        <s:v>46247.55116898148</s:v>
      </s:c>
    </s:row>
    <s:row r="804">
      <s:c r="A804" s="0" t="n">
        <s:v>260813</s:v>
      </s:c>
      <s:c r="B804" s="0" t="inlineStr">
        <s:is>
          <s:t>이종훈</s:t>
        </s:is>
      </s:c>
      <s:c r="C804" s="0" t="n">
        <s:v>130021</s:v>
      </s:c>
      <s:c r="D804" s="0" t="n">
        <s:v>1381</s:v>
      </s:c>
      <s:c r="F804" s="24">
        <s:f>'자료구성'!$B$2+TIME(INT($C$3/10000),INT(MOD($C$3,10000)/100),MOD($C$3,100))+(ROW()-ROW($C$3))/86400</s:f>
        <s:v>46247.55118055556</s:v>
      </s:c>
    </s:row>
    <s:row r="805">
      <s:c r="A805" s="0" t="n">
        <s:v>260813</s:v>
      </s:c>
      <s:c r="B805" s="0" t="inlineStr">
        <s:is>
          <s:t>이종훈</s:t>
        </s:is>
      </s:c>
      <s:c r="C805" s="0" t="n">
        <s:v>130021</s:v>
      </s:c>
      <s:c r="D805" s="0" t="n">
        <s:v>1385</s:v>
      </s:c>
      <s:c r="F805" s="24">
        <s:f>'자료구성'!$B$2+TIME(INT($C$3/10000),INT(MOD($C$3,10000)/100),MOD($C$3,100))+(ROW()-ROW($C$3))/86400</s:f>
        <s:v>46247.55119212963</s:v>
      </s:c>
    </s:row>
    <s:row r="806">
      <s:c r="A806" s="0" t="n">
        <s:v>260813</s:v>
      </s:c>
      <s:c r="B806" s="0" t="inlineStr">
        <s:is>
          <s:t>이종훈</s:t>
        </s:is>
      </s:c>
      <s:c r="C806" s="0" t="n">
        <s:v>130021</s:v>
      </s:c>
      <s:c r="D806" s="0" t="n">
        <s:v>1390</s:v>
      </s:c>
      <s:c r="F806" s="24">
        <s:f>'자료구성'!$B$2+TIME(INT($C$3/10000),INT(MOD($C$3,10000)/100),MOD($C$3,100))+(ROW()-ROW($C$3))/86400</s:f>
        <s:v>46247.551203703704</s:v>
      </s:c>
    </s:row>
    <s:row r="807">
      <s:c r="A807" s="0" t="n">
        <s:v>260813</s:v>
      </s:c>
      <s:c r="B807" s="0" t="inlineStr">
        <s:is>
          <s:t>이종훈</s:t>
        </s:is>
      </s:c>
      <s:c r="C807" s="0" t="n">
        <s:v>130021</s:v>
      </s:c>
      <s:c r="D807" s="0" t="n">
        <s:v>1393</s:v>
      </s:c>
      <s:c r="F807" s="24">
        <s:f>'자료구성'!$B$2+TIME(INT($C$3/10000),INT(MOD($C$3,10000)/100),MOD($C$3,100))+(ROW()-ROW($C$3))/86400</s:f>
        <s:v>46247.55121527778</s:v>
      </s:c>
    </s:row>
    <s:row r="808">
      <s:c r="A808" s="0" t="n">
        <s:v>260813</s:v>
      </s:c>
      <s:c r="B808" s="0" t="inlineStr">
        <s:is>
          <s:t>이종훈</s:t>
        </s:is>
      </s:c>
      <s:c r="C808" s="0" t="n">
        <s:v>130021</s:v>
      </s:c>
      <s:c r="D808" s="0" t="n">
        <s:v>1390</s:v>
      </s:c>
      <s:c r="F808" s="24">
        <s:f>'자료구성'!$B$2+TIME(INT($C$3/10000),INT(MOD($C$3,10000)/100),MOD($C$3,100))+(ROW()-ROW($C$3))/86400</s:f>
        <s:v>46247.55122685185</s:v>
      </s:c>
    </s:row>
    <s:row r="809">
      <s:c r="A809" s="0" t="n">
        <s:v>260813</s:v>
      </s:c>
      <s:c r="B809" s="0" t="inlineStr">
        <s:is>
          <s:t>이종훈</s:t>
        </s:is>
      </s:c>
      <s:c r="C809" s="0" t="n">
        <s:v>130021</s:v>
      </s:c>
      <s:c r="D809" s="0" t="n">
        <s:v>1401</s:v>
      </s:c>
      <s:c r="F809" s="24">
        <s:f>'자료구성'!$B$2+TIME(INT($C$3/10000),INT(MOD($C$3,10000)/100),MOD($C$3,100))+(ROW()-ROW($C$3))/86400</s:f>
        <s:v>46247.55123842593</s:v>
      </s:c>
    </s:row>
    <s:row r="810">
      <s:c r="A810" s="0" t="n">
        <s:v>260813</s:v>
      </s:c>
      <s:c r="B810" s="0" t="inlineStr">
        <s:is>
          <s:t>이종훈</s:t>
        </s:is>
      </s:c>
      <s:c r="C810" s="0" t="n">
        <s:v>130021</s:v>
      </s:c>
      <s:c r="D810" s="0" t="n">
        <s:v>1413</s:v>
      </s:c>
      <s:c r="F810" s="24">
        <s:f>'자료구성'!$B$2+TIME(INT($C$3/10000),INT(MOD($C$3,10000)/100),MOD($C$3,100))+(ROW()-ROW($C$3))/86400</s:f>
        <s:v>46247.55125</s:v>
      </s:c>
    </s:row>
    <s:row r="811">
      <s:c r="A811" s="0" t="n">
        <s:v>260813</s:v>
      </s:c>
      <s:c r="B811" s="0" t="inlineStr">
        <s:is>
          <s:t>이종훈</s:t>
        </s:is>
      </s:c>
      <s:c r="C811" s="0" t="n">
        <s:v>130021</s:v>
      </s:c>
      <s:c r="D811" s="0" t="n">
        <s:v>1420</s:v>
      </s:c>
      <s:c r="F811" s="24">
        <s:f>'자료구성'!$B$2+TIME(INT($C$3/10000),INT(MOD($C$3,10000)/100),MOD($C$3,100))+(ROW()-ROW($C$3))/86400</s:f>
        <s:v>46247.55126157407</s:v>
      </s:c>
    </s:row>
    <s:row r="812">
      <s:c r="A812" s="0" t="n">
        <s:v>260813</s:v>
      </s:c>
      <s:c r="B812" s="0" t="inlineStr">
        <s:is>
          <s:t>이종훈</s:t>
        </s:is>
      </s:c>
      <s:c r="C812" s="0" t="n">
        <s:v>130021</s:v>
      </s:c>
      <s:c r="D812" s="0" t="n">
        <s:v>1421</s:v>
      </s:c>
      <s:c r="F812" s="24">
        <s:f>'자료구성'!$B$2+TIME(INT($C$3/10000),INT(MOD($C$3,10000)/100),MOD($C$3,100))+(ROW()-ROW($C$3))/86400</s:f>
        <s:v>46247.55127314815</s:v>
      </s:c>
    </s:row>
    <s:row r="813">
      <s:c r="A813" s="0" t="n">
        <s:v>260813</s:v>
      </s:c>
      <s:c r="B813" s="0" t="inlineStr">
        <s:is>
          <s:t>이종훈</s:t>
        </s:is>
      </s:c>
      <s:c r="C813" s="0" t="n">
        <s:v>130021</s:v>
      </s:c>
      <s:c r="D813" s="0" t="n">
        <s:v>1421</s:v>
      </s:c>
      <s:c r="F813" s="24">
        <s:f>'자료구성'!$B$2+TIME(INT($C$3/10000),INT(MOD($C$3,10000)/100),MOD($C$3,100))+(ROW()-ROW($C$3))/86400</s:f>
        <s:v>46247.55128472222</s:v>
      </s:c>
    </s:row>
    <s:row r="814">
      <s:c r="A814" s="0" t="n">
        <s:v>260813</s:v>
      </s:c>
      <s:c r="B814" s="0" t="inlineStr">
        <s:is>
          <s:t>이종훈</s:t>
        </s:is>
      </s:c>
      <s:c r="C814" s="0" t="n">
        <s:v>130021</s:v>
      </s:c>
      <s:c r="D814" s="0" t="n">
        <s:v>1398</s:v>
      </s:c>
      <s:c r="F814" s="24">
        <s:f>'자료구성'!$B$2+TIME(INT($C$3/10000),INT(MOD($C$3,10000)/100),MOD($C$3,100))+(ROW()-ROW($C$3))/86400</s:f>
        <s:v>46247.5512962963</s:v>
      </s:c>
    </s:row>
    <s:row r="815">
      <s:c r="A815" s="0" t="n">
        <s:v>260813</s:v>
      </s:c>
      <s:c r="B815" s="0" t="inlineStr">
        <s:is>
          <s:t>이종훈</s:t>
        </s:is>
      </s:c>
      <s:c r="C815" s="0" t="n">
        <s:v>130021</s:v>
      </s:c>
      <s:c r="D815" s="0" t="n">
        <s:v>1371</s:v>
      </s:c>
      <s:c r="F815" s="24">
        <s:f>'자료구성'!$B$2+TIME(INT($C$3/10000),INT(MOD($C$3,10000)/100),MOD($C$3,100))+(ROW()-ROW($C$3))/86400</s:f>
        <s:v>46247.55130787037</s:v>
      </s:c>
    </s:row>
    <s:row r="816">
      <s:c r="A816" s="0" t="n">
        <s:v>260813</s:v>
      </s:c>
      <s:c r="B816" s="0" t="inlineStr">
        <s:is>
          <s:t>이종훈</s:t>
        </s:is>
      </s:c>
      <s:c r="C816" s="0" t="n">
        <s:v>130021</s:v>
      </s:c>
      <s:c r="D816" s="0" t="n">
        <s:v>1350</s:v>
      </s:c>
      <s:c r="F816" s="24">
        <s:f>'자료구성'!$B$2+TIME(INT($C$3/10000),INT(MOD($C$3,10000)/100),MOD($C$3,100))+(ROW()-ROW($C$3))/86400</s:f>
        <s:v>46247.55131944444</s:v>
      </s:c>
    </s:row>
    <s:row r="817">
      <s:c r="A817" s="0" t="n">
        <s:v>260813</s:v>
      </s:c>
      <s:c r="B817" s="0" t="inlineStr">
        <s:is>
          <s:t>이종훈</s:t>
        </s:is>
      </s:c>
      <s:c r="C817" s="0" t="n">
        <s:v>130021</s:v>
      </s:c>
      <s:c r="D817" s="0" t="n">
        <s:v>1303</s:v>
      </s:c>
      <s:c r="F817" s="24">
        <s:f>'자료구성'!$B$2+TIME(INT($C$3/10000),INT(MOD($C$3,10000)/100),MOD($C$3,100))+(ROW()-ROW($C$3))/86400</s:f>
        <s:v>46247.55133101852</s:v>
      </s:c>
    </s:row>
    <s:row r="818">
      <s:c r="A818" s="0" t="n">
        <s:v>260813</s:v>
      </s:c>
      <s:c r="B818" s="0" t="inlineStr">
        <s:is>
          <s:t>이종훈</s:t>
        </s:is>
      </s:c>
      <s:c r="C818" s="0" t="n">
        <s:v>130021</s:v>
      </s:c>
      <s:c r="D818" s="0" t="n">
        <s:v>1268</s:v>
      </s:c>
      <s:c r="F818" s="24">
        <s:f>'자료구성'!$B$2+TIME(INT($C$3/10000),INT(MOD($C$3,10000)/100),MOD($C$3,100))+(ROW()-ROW($C$3))/86400</s:f>
        <s:v>46247.55134259259</s:v>
      </s:c>
    </s:row>
    <s:row r="819">
      <s:c r="A819" s="0" t="n">
        <s:v>260813</s:v>
      </s:c>
      <s:c r="B819" s="0" t="inlineStr">
        <s:is>
          <s:t>이종훈</s:t>
        </s:is>
      </s:c>
      <s:c r="C819" s="0" t="n">
        <s:v>130021</s:v>
      </s:c>
      <s:c r="D819" s="0" t="n">
        <s:v>1242</s:v>
      </s:c>
      <s:c r="F819" s="24">
        <s:f>'자료구성'!$B$2+TIME(INT($C$3/10000),INT(MOD($C$3,10000)/100),MOD($C$3,100))+(ROW()-ROW($C$3))/86400</s:f>
        <s:v>46247.551354166666</s:v>
      </s:c>
    </s:row>
    <s:row r="820">
      <s:c r="A820" s="0" t="n">
        <s:v>260813</s:v>
      </s:c>
      <s:c r="B820" s="0" t="inlineStr">
        <s:is>
          <s:t>이종훈</s:t>
        </s:is>
      </s:c>
      <s:c r="C820" s="0" t="n">
        <s:v>130021</s:v>
      </s:c>
      <s:c r="D820" s="0" t="n">
        <s:v>1214</s:v>
      </s:c>
      <s:c r="F820" s="24">
        <s:f>'자료구성'!$B$2+TIME(INT($C$3/10000),INT(MOD($C$3,10000)/100),MOD($C$3,100))+(ROW()-ROW($C$3))/86400</s:f>
        <s:v>46247.55136574074</s:v>
      </s:c>
    </s:row>
    <s:row r="821">
      <s:c r="A821" s="0" t="n">
        <s:v>260813</s:v>
      </s:c>
      <s:c r="B821" s="0" t="inlineStr">
        <s:is>
          <s:t>이종훈</s:t>
        </s:is>
      </s:c>
      <s:c r="C821" s="0" t="n">
        <s:v>130021</s:v>
      </s:c>
      <s:c r="D821" s="0" t="n">
        <s:v>1196</s:v>
      </s:c>
      <s:c r="F821" s="24">
        <s:f>'자료구성'!$B$2+TIME(INT($C$3/10000),INT(MOD($C$3,10000)/100),MOD($C$3,100))+(ROW()-ROW($C$3))/86400</s:f>
        <s:v>46247.55137731481</s:v>
      </s:c>
    </s:row>
    <s:row r="822">
      <s:c r="A822" s="0" t="n">
        <s:v>260813</s:v>
      </s:c>
      <s:c r="B822" s="0" t="inlineStr">
        <s:is>
          <s:t>이종훈</s:t>
        </s:is>
      </s:c>
      <s:c r="C822" s="0" t="n">
        <s:v>130021</s:v>
      </s:c>
      <s:c r="D822" s="0" t="n">
        <s:v>1159</s:v>
      </s:c>
      <s:c r="F822" s="24">
        <s:f>'자료구성'!$B$2+TIME(INT($C$3/10000),INT(MOD($C$3,10000)/100),MOD($C$3,100))+(ROW()-ROW($C$3))/86400</s:f>
        <s:v>46247.55138888889</s:v>
      </s:c>
    </s:row>
    <s:row r="823">
      <s:c r="A823" s="0" t="n">
        <s:v>260813</s:v>
      </s:c>
      <s:c r="B823" s="0" t="inlineStr">
        <s:is>
          <s:t>이종훈</s:t>
        </s:is>
      </s:c>
      <s:c r="C823" s="0" t="n">
        <s:v>130021</s:v>
      </s:c>
      <s:c r="D823" s="0" t="n">
        <s:v>1144</s:v>
      </s:c>
      <s:c r="F823" s="24">
        <s:f>'자료구성'!$B$2+TIME(INT($C$3/10000),INT(MOD($C$3,10000)/100),MOD($C$3,100))+(ROW()-ROW($C$3))/86400</s:f>
        <s:v>46247.551400462966</s:v>
      </s:c>
    </s:row>
    <s:row r="824">
      <s:c r="A824" s="0" t="n">
        <s:v>260813</s:v>
      </s:c>
      <s:c r="B824" s="0" t="inlineStr">
        <s:is>
          <s:t>이종훈</s:t>
        </s:is>
      </s:c>
      <s:c r="C824" s="0" t="n">
        <s:v>130021</s:v>
      </s:c>
      <s:c r="D824" s="0" t="n">
        <s:v>1141</s:v>
      </s:c>
      <s:c r="F824" s="24">
        <s:f>'자료구성'!$B$2+TIME(INT($C$3/10000),INT(MOD($C$3,10000)/100),MOD($C$3,100))+(ROW()-ROW($C$3))/86400</s:f>
        <s:v>46247.551412037035</s:v>
      </s:c>
    </s:row>
    <s:row r="825">
      <s:c r="A825" s="0" t="n">
        <s:v>260813</s:v>
      </s:c>
      <s:c r="B825" s="0" t="inlineStr">
        <s:is>
          <s:t>이종훈</s:t>
        </s:is>
      </s:c>
      <s:c r="C825" s="0" t="n">
        <s:v>130021</s:v>
      </s:c>
      <s:c r="D825" s="0" t="n">
        <s:v>1125</s:v>
      </s:c>
      <s:c r="F825" s="24">
        <s:f>'자료구성'!$B$2+TIME(INT($C$3/10000),INT(MOD($C$3,10000)/100),MOD($C$3,100))+(ROW()-ROW($C$3))/86400</s:f>
        <s:v>46247.55142361111</s:v>
      </s:c>
    </s:row>
    <s:row r="826">
      <s:c r="A826" s="0" t="n">
        <s:v>260813</s:v>
      </s:c>
      <s:c r="B826" s="0" t="inlineStr">
        <s:is>
          <s:t>이종훈</s:t>
        </s:is>
      </s:c>
      <s:c r="C826" s="0" t="n">
        <s:v>130021</s:v>
      </s:c>
      <s:c r="D826" s="0" t="n">
        <s:v>1117</s:v>
      </s:c>
      <s:c r="F826" s="24">
        <s:f>'자료구성'!$B$2+TIME(INT($C$3/10000),INT(MOD($C$3,10000)/100),MOD($C$3,100))+(ROW()-ROW($C$3))/86400</s:f>
        <s:v>46247.55143518518</s:v>
      </s:c>
    </s:row>
    <s:row r="827">
      <s:c r="A827" s="0" t="n">
        <s:v>260813</s:v>
      </s:c>
      <s:c r="B827" s="0" t="inlineStr">
        <s:is>
          <s:t>이종훈</s:t>
        </s:is>
      </s:c>
      <s:c r="C827" s="0" t="n">
        <s:v>130021</s:v>
      </s:c>
      <s:c r="D827" s="0" t="n">
        <s:v>1207</s:v>
      </s:c>
      <s:c r="F827" s="24">
        <s:f>'자료구성'!$B$2+TIME(INT($C$3/10000),INT(MOD($C$3,10000)/100),MOD($C$3,100))+(ROW()-ROW($C$3))/86400</s:f>
        <s:v>46247.55144675926</s:v>
      </s:c>
    </s:row>
    <s:row r="828">
      <s:c r="A828" s="0" t="n">
        <s:v>260813</s:v>
      </s:c>
      <s:c r="B828" s="0" t="inlineStr">
        <s:is>
          <s:t>이종훈</s:t>
        </s:is>
      </s:c>
      <s:c r="C828" s="0" t="n">
        <s:v>130021</s:v>
      </s:c>
      <s:c r="D828" s="0" t="n">
        <s:v>1258</s:v>
      </s:c>
      <s:c r="F828" s="24">
        <s:f>'자료구성'!$B$2+TIME(INT($C$3/10000),INT(MOD($C$3,10000)/100),MOD($C$3,100))+(ROW()-ROW($C$3))/86400</s:f>
        <s:v>46247.551458333335</s:v>
      </s:c>
    </s:row>
    <s:row r="829">
      <s:c r="A829" s="0" t="n">
        <s:v>260813</s:v>
      </s:c>
      <s:c r="B829" s="0" t="inlineStr">
        <s:is>
          <s:t>이종훈</s:t>
        </s:is>
      </s:c>
      <s:c r="C829" s="0" t="n">
        <s:v>130021</s:v>
      </s:c>
      <s:c r="D829" s="0" t="n">
        <s:v>1307</s:v>
      </s:c>
      <s:c r="F829" s="24">
        <s:f>'자료구성'!$B$2+TIME(INT($C$3/10000),INT(MOD($C$3,10000)/100),MOD($C$3,100))+(ROW()-ROW($C$3))/86400</s:f>
        <s:v>46247.551469907405</s:v>
      </s:c>
    </s:row>
    <s:row r="830">
      <s:c r="A830" s="0" t="n">
        <s:v>260813</s:v>
      </s:c>
      <s:c r="B830" s="0" t="inlineStr">
        <s:is>
          <s:t>이종훈</s:t>
        </s:is>
      </s:c>
      <s:c r="C830" s="0" t="n">
        <s:v>130021</s:v>
      </s:c>
      <s:c r="D830" s="0" t="n">
        <s:v>1391</s:v>
      </s:c>
      <s:c r="F830" s="24">
        <s:f>'자료구성'!$B$2+TIME(INT($C$3/10000),INT(MOD($C$3,10000)/100),MOD($C$3,100))+(ROW()-ROW($C$3))/86400</s:f>
        <s:v>46247.55148148148</s:v>
      </s:c>
    </s:row>
    <s:row r="831">
      <s:c r="A831" s="0" t="n">
        <s:v>260813</s:v>
      </s:c>
      <s:c r="B831" s="0" t="inlineStr">
        <s:is>
          <s:t>이종훈</s:t>
        </s:is>
      </s:c>
      <s:c r="C831" s="0" t="n">
        <s:v>130021</s:v>
      </s:c>
      <s:c r="D831" s="0" t="n">
        <s:v>1408</s:v>
      </s:c>
      <s:c r="F831" s="24">
        <s:f>'자료구성'!$B$2+TIME(INT($C$3/10000),INT(MOD($C$3,10000)/100),MOD($C$3,100))+(ROW()-ROW($C$3))/86400</s:f>
        <s:v>46247.55149305556</s:v>
      </s:c>
    </s:row>
    <s:row r="832">
      <s:c r="A832" s="0" t="n">
        <s:v>260813</s:v>
      </s:c>
      <s:c r="B832" s="0" t="inlineStr">
        <s:is>
          <s:t>이종훈</s:t>
        </s:is>
      </s:c>
      <s:c r="C832" s="0" t="n">
        <s:v>130021</s:v>
      </s:c>
      <s:c r="D832" s="0" t="n">
        <s:v>1428</s:v>
      </s:c>
      <s:c r="F832" s="24">
        <s:f>'자료구성'!$B$2+TIME(INT($C$3/10000),INT(MOD($C$3,10000)/100),MOD($C$3,100))+(ROW()-ROW($C$3))/86400</s:f>
        <s:v>46247.55150462963</s:v>
      </s:c>
    </s:row>
    <s:row r="833">
      <s:c r="A833" s="0" t="n">
        <s:v>260813</s:v>
      </s:c>
      <s:c r="B833" s="0" t="inlineStr">
        <s:is>
          <s:t>이종훈</s:t>
        </s:is>
      </s:c>
      <s:c r="C833" s="0" t="n">
        <s:v>130021</s:v>
      </s:c>
      <s:c r="D833" s="0" t="n">
        <s:v>1476</s:v>
      </s:c>
      <s:c r="F833" s="24">
        <s:f>'자료구성'!$B$2+TIME(INT($C$3/10000),INT(MOD($C$3,10000)/100),MOD($C$3,100))+(ROW()-ROW($C$3))/86400</s:f>
        <s:v>46247.551516203705</s:v>
      </s:c>
    </s:row>
    <s:row r="834">
      <s:c r="A834" s="0" t="n">
        <s:v>260813</s:v>
      </s:c>
      <s:c r="B834" s="0" t="inlineStr">
        <s:is>
          <s:t>이종훈</s:t>
        </s:is>
      </s:c>
      <s:c r="C834" s="0" t="n">
        <s:v>130021</s:v>
      </s:c>
      <s:c r="D834" s="0" t="n">
        <s:v>1538</s:v>
      </s:c>
      <s:c r="F834" s="24">
        <s:f>'자료구성'!$B$2+TIME(INT($C$3/10000),INT(MOD($C$3,10000)/100),MOD($C$3,100))+(ROW()-ROW($C$3))/86400</s:f>
        <s:v>46247.55152777778</s:v>
      </s:c>
    </s:row>
    <s:row r="835">
      <s:c r="A835" s="0" t="n">
        <s:v>260813</s:v>
      </s:c>
      <s:c r="B835" s="0" t="inlineStr">
        <s:is>
          <s:t>이종훈</s:t>
        </s:is>
      </s:c>
      <s:c r="C835" s="0" t="n">
        <s:v>130021</s:v>
      </s:c>
      <s:c r="D835" s="0" t="n">
        <s:v>1593</s:v>
      </s:c>
      <s:c r="F835" s="24">
        <s:f>'자료구성'!$B$2+TIME(INT($C$3/10000),INT(MOD($C$3,10000)/100),MOD($C$3,100))+(ROW()-ROW($C$3))/86400</s:f>
        <s:v>46247.55153935185</s:v>
      </s:c>
    </s:row>
    <s:row r="836">
      <s:c r="A836" s="0" t="n">
        <s:v>260813</s:v>
      </s:c>
      <s:c r="B836" s="0" t="inlineStr">
        <s:is>
          <s:t>이종훈</s:t>
        </s:is>
      </s:c>
      <s:c r="C836" s="0" t="n">
        <s:v>130021</s:v>
      </s:c>
      <s:c r="D836" s="0" t="n">
        <s:v>1646</s:v>
      </s:c>
      <s:c r="F836" s="24">
        <s:f>'자료구성'!$B$2+TIME(INT($C$3/10000),INT(MOD($C$3,10000)/100),MOD($C$3,100))+(ROW()-ROW($C$3))/86400</s:f>
        <s:v>46247.55155092593</s:v>
      </s:c>
    </s:row>
    <s:row r="837">
      <s:c r="A837" s="0" t="n">
        <s:v>260813</s:v>
      </s:c>
      <s:c r="B837" s="0" t="inlineStr">
        <s:is>
          <s:t>이종훈</s:t>
        </s:is>
      </s:c>
      <s:c r="C837" s="0" t="n">
        <s:v>130021</s:v>
      </s:c>
      <s:c r="D837" s="0" t="n">
        <s:v>1685</s:v>
      </s:c>
      <s:c r="F837" s="24">
        <s:f>'자료구성'!$B$2+TIME(INT($C$3/10000),INT(MOD($C$3,10000)/100),MOD($C$3,100))+(ROW()-ROW($C$3))/86400</s:f>
        <s:v>46247.5515625</s:v>
      </s:c>
    </s:row>
    <s:row r="838">
      <s:c r="A838" s="0" t="n">
        <s:v>260813</s:v>
      </s:c>
      <s:c r="B838" s="0" t="inlineStr">
        <s:is>
          <s:t>이종훈</s:t>
        </s:is>
      </s:c>
      <s:c r="C838" s="0" t="n">
        <s:v>130021</s:v>
      </s:c>
      <s:c r="D838" s="0" t="n">
        <s:v>1674</s:v>
      </s:c>
      <s:c r="F838" s="24">
        <s:f>'자료구성'!$B$2+TIME(INT($C$3/10000),INT(MOD($C$3,10000)/100),MOD($C$3,100))+(ROW()-ROW($C$3))/86400</s:f>
        <s:v>46247.551574074074</s:v>
      </s:c>
    </s:row>
    <s:row r="839">
      <s:c r="A839" s="0" t="n">
        <s:v>260813</s:v>
      </s:c>
      <s:c r="B839" s="0" t="inlineStr">
        <s:is>
          <s:t>이종훈</s:t>
        </s:is>
      </s:c>
      <s:c r="C839" s="0" t="n">
        <s:v>130021</s:v>
      </s:c>
      <s:c r="D839" s="0" t="n">
        <s:v>1660</s:v>
      </s:c>
      <s:c r="F839" s="24">
        <s:f>'자료구성'!$B$2+TIME(INT($C$3/10000),INT(MOD($C$3,10000)/100),MOD($C$3,100))+(ROW()-ROW($C$3))/86400</s:f>
        <s:v>46247.55158564815</s:v>
      </s:c>
    </s:row>
    <s:row r="840">
      <s:c r="A840" s="0" t="n">
        <s:v>260813</s:v>
      </s:c>
      <s:c r="B840" s="0" t="inlineStr">
        <s:is>
          <s:t>이종훈</s:t>
        </s:is>
      </s:c>
      <s:c r="C840" s="0" t="n">
        <s:v>130021</s:v>
      </s:c>
      <s:c r="D840" s="0" t="n">
        <s:v>1636</s:v>
      </s:c>
      <s:c r="F840" s="24">
        <s:f>'자료구성'!$B$2+TIME(INT($C$3/10000),INT(MOD($C$3,10000)/100),MOD($C$3,100))+(ROW()-ROW($C$3))/86400</s:f>
        <s:v>46247.55159722222</s:v>
      </s:c>
    </s:row>
    <s:row r="841">
      <s:c r="A841" s="0" t="n">
        <s:v>260813</s:v>
      </s:c>
      <s:c r="B841" s="0" t="inlineStr">
        <s:is>
          <s:t>이종훈</s:t>
        </s:is>
      </s:c>
      <s:c r="C841" s="0" t="n">
        <s:v>130021</s:v>
      </s:c>
      <s:c r="D841" s="0" t="n">
        <s:v>1630</s:v>
      </s:c>
      <s:c r="F841" s="24">
        <s:f>'자료구성'!$B$2+TIME(INT($C$3/10000),INT(MOD($C$3,10000)/100),MOD($C$3,100))+(ROW()-ROW($C$3))/86400</s:f>
        <s:v>46247.5516087963</s:v>
      </s:c>
    </s:row>
    <s:row r="842">
      <s:c r="A842" s="0" t="n">
        <s:v>260813</s:v>
      </s:c>
      <s:c r="B842" s="0" t="inlineStr">
        <s:is>
          <s:t>이종훈</s:t>
        </s:is>
      </s:c>
      <s:c r="C842" s="0" t="n">
        <s:v>130021</s:v>
      </s:c>
      <s:c r="D842" s="0" t="n">
        <s:v>1593</s:v>
      </s:c>
      <s:c r="F842" s="24">
        <s:f>'자료구성'!$B$2+TIME(INT($C$3/10000),INT(MOD($C$3,10000)/100),MOD($C$3,100))+(ROW()-ROW($C$3))/86400</s:f>
        <s:v>46247.551620370374</s:v>
      </s:c>
    </s:row>
    <s:row r="843">
      <s:c r="A843" s="0" t="n">
        <s:v>260813</s:v>
      </s:c>
      <s:c r="B843" s="0" t="inlineStr">
        <s:is>
          <s:t>이종훈</s:t>
        </s:is>
      </s:c>
      <s:c r="C843" s="0" t="n">
        <s:v>130021</s:v>
      </s:c>
      <s:c r="D843" s="0" t="n">
        <s:v>1560</s:v>
      </s:c>
      <s:c r="F843" s="24">
        <s:f>'자료구성'!$B$2+TIME(INT($C$3/10000),INT(MOD($C$3,10000)/100),MOD($C$3,100))+(ROW()-ROW($C$3))/86400</s:f>
        <s:v>46247.55163194444</s:v>
      </s:c>
    </s:row>
    <s:row r="844">
      <s:c r="A844" s="0" t="n">
        <s:v>260813</s:v>
      </s:c>
      <s:c r="B844" s="0" t="inlineStr">
        <s:is>
          <s:t>이종훈</s:t>
        </s:is>
      </s:c>
      <s:c r="C844" s="0" t="n">
        <s:v>130021</s:v>
      </s:c>
      <s:c r="D844" s="0" t="n">
        <s:v>1559</s:v>
      </s:c>
      <s:c r="F844" s="24">
        <s:f>'자료구성'!$B$2+TIME(INT($C$3/10000),INT(MOD($C$3,10000)/100),MOD($C$3,100))+(ROW()-ROW($C$3))/86400</s:f>
        <s:v>46247.55164351852</s:v>
      </s:c>
    </s:row>
    <s:row r="845">
      <s:c r="A845" s="0" t="n">
        <s:v>260813</s:v>
      </s:c>
      <s:c r="B845" s="0" t="inlineStr">
        <s:is>
          <s:t>이종훈</s:t>
        </s:is>
      </s:c>
      <s:c r="C845" s="0" t="n">
        <s:v>130021</s:v>
      </s:c>
      <s:c r="D845" s="0" t="n">
        <s:v>1554</s:v>
      </s:c>
      <s:c r="F845" s="24">
        <s:f>'자료구성'!$B$2+TIME(INT($C$3/10000),INT(MOD($C$3,10000)/100),MOD($C$3,100))+(ROW()-ROW($C$3))/86400</s:f>
        <s:v>46247.55165509259</s:v>
      </s:c>
    </s:row>
    <s:row r="846">
      <s:c r="A846" s="0" t="n">
        <s:v>260813</s:v>
      </s:c>
      <s:c r="B846" s="0" t="inlineStr">
        <s:is>
          <s:t>이종훈</s:t>
        </s:is>
      </s:c>
      <s:c r="C846" s="0" t="n">
        <s:v>130021</s:v>
      </s:c>
      <s:c r="D846" s="0" t="n">
        <s:v>1563</s:v>
      </s:c>
      <s:c r="F846" s="24">
        <s:f>'자료구성'!$B$2+TIME(INT($C$3/10000),INT(MOD($C$3,10000)/100),MOD($C$3,100))+(ROW()-ROW($C$3))/86400</s:f>
        <s:v>46247.551666666666</s:v>
      </s:c>
    </s:row>
    <s:row r="847">
      <s:c r="A847" s="0" t="n">
        <s:v>260813</s:v>
      </s:c>
      <s:c r="B847" s="0" t="inlineStr">
        <s:is>
          <s:t>이종훈</s:t>
        </s:is>
      </s:c>
      <s:c r="C847" s="0" t="n">
        <s:v>130021</s:v>
      </s:c>
      <s:c r="D847" s="0" t="n">
        <s:v>1610</s:v>
      </s:c>
      <s:c r="F847" s="24">
        <s:f>'자료구성'!$B$2+TIME(INT($C$3/10000),INT(MOD($C$3,10000)/100),MOD($C$3,100))+(ROW()-ROW($C$3))/86400</s:f>
        <s:v>46247.55167824074</s:v>
      </s:c>
    </s:row>
    <s:row r="848">
      <s:c r="A848" s="0" t="n">
        <s:v>260813</s:v>
      </s:c>
      <s:c r="B848" s="0" t="inlineStr">
        <s:is>
          <s:t>이종훈</s:t>
        </s:is>
      </s:c>
      <s:c r="C848" s="0" t="n">
        <s:v>130021</s:v>
      </s:c>
      <s:c r="D848" s="0" t="n">
        <s:v>1656</s:v>
      </s:c>
      <s:c r="F848" s="24">
        <s:f>'자료구성'!$B$2+TIME(INT($C$3/10000),INT(MOD($C$3,10000)/100),MOD($C$3,100))+(ROW()-ROW($C$3))/86400</s:f>
        <s:v>46247.55168981481</s:v>
      </s:c>
    </s:row>
    <s:row r="849">
      <s:c r="A849" s="0" t="n">
        <s:v>260813</s:v>
      </s:c>
      <s:c r="B849" s="0" t="inlineStr">
        <s:is>
          <s:t>이종훈</s:t>
        </s:is>
      </s:c>
      <s:c r="C849" s="0" t="n">
        <s:v>130021</s:v>
      </s:c>
      <s:c r="D849" s="0" t="n">
        <s:v>1686</s:v>
      </s:c>
      <s:c r="F849" s="24">
        <s:f>'자료구성'!$B$2+TIME(INT($C$3/10000),INT(MOD($C$3,10000)/100),MOD($C$3,100))+(ROW()-ROW($C$3))/86400</s:f>
        <s:v>46247.55170138889</s:v>
      </s:c>
    </s:row>
    <s:row r="850">
      <s:c r="A850" s="0" t="n">
        <s:v>260813</s:v>
      </s:c>
      <s:c r="B850" s="0" t="inlineStr">
        <s:is>
          <s:t>이종훈</s:t>
        </s:is>
      </s:c>
      <s:c r="C850" s="0" t="n">
        <s:v>130021</s:v>
      </s:c>
      <s:c r="D850" s="0" t="n">
        <s:v>1686</s:v>
      </s:c>
      <s:c r="F850" s="24">
        <s:f>'자료구성'!$B$2+TIME(INT($C$3/10000),INT(MOD($C$3,10000)/100),MOD($C$3,100))+(ROW()-ROW($C$3))/86400</s:f>
        <s:v>46247.551712962966</s:v>
      </s:c>
    </s:row>
    <s:row r="851">
      <s:c r="A851" s="0" t="n">
        <s:v>260813</s:v>
      </s:c>
      <s:c r="B851" s="0" t="inlineStr">
        <s:is>
          <s:t>이종훈</s:t>
        </s:is>
      </s:c>
      <s:c r="C851" s="0" t="n">
        <s:v>130021</s:v>
      </s:c>
      <s:c r="D851" s="0" t="n">
        <s:v>1682</s:v>
      </s:c>
      <s:c r="F851" s="24">
        <s:f>'자료구성'!$B$2+TIME(INT($C$3/10000),INT(MOD($C$3,10000)/100),MOD($C$3,100))+(ROW()-ROW($C$3))/86400</s:f>
        <s:v>46247.551724537036</s:v>
      </s:c>
    </s:row>
    <s:row r="852">
      <s:c r="A852" s="0" t="n">
        <s:v>260813</s:v>
      </s:c>
      <s:c r="B852" s="0" t="inlineStr">
        <s:is>
          <s:t>이종훈</s:t>
        </s:is>
      </s:c>
      <s:c r="C852" s="0" t="n">
        <s:v>130021</s:v>
      </s:c>
      <s:c r="D852" s="0" t="n">
        <s:v>1684</s:v>
      </s:c>
      <s:c r="F852" s="24">
        <s:f>'자료구성'!$B$2+TIME(INT($C$3/10000),INT(MOD($C$3,10000)/100),MOD($C$3,100))+(ROW()-ROW($C$3))/86400</s:f>
        <s:v>46247.55173611111</s:v>
      </s:c>
    </s:row>
    <s:row r="853">
      <s:c r="A853" s="0" t="n">
        <s:v>260813</s:v>
      </s:c>
      <s:c r="B853" s="0" t="inlineStr">
        <s:is>
          <s:t>이종훈</s:t>
        </s:is>
      </s:c>
      <s:c r="C853" s="0" t="n">
        <s:v>130021</s:v>
      </s:c>
      <s:c r="D853" s="0" t="n">
        <s:v>1670</s:v>
      </s:c>
      <s:c r="F853" s="24">
        <s:f>'자료구성'!$B$2+TIME(INT($C$3/10000),INT(MOD($C$3,10000)/100),MOD($C$3,100))+(ROW()-ROW($C$3))/86400</s:f>
        <s:v>46247.55174768518</s:v>
      </s:c>
    </s:row>
    <s:row r="854">
      <s:c r="A854" s="0" t="n">
        <s:v>260813</s:v>
      </s:c>
      <s:c r="B854" s="0" t="inlineStr">
        <s:is>
          <s:t>이종훈</s:t>
        </s:is>
      </s:c>
      <s:c r="C854" s="0" t="n">
        <s:v>130021</s:v>
      </s:c>
      <s:c r="D854" s="0" t="n">
        <s:v>1640</s:v>
      </s:c>
      <s:c r="F854" s="24">
        <s:f>'자료구성'!$B$2+TIME(INT($C$3/10000),INT(MOD($C$3,10000)/100),MOD($C$3,100))+(ROW()-ROW($C$3))/86400</s:f>
        <s:v>46247.55175925926</s:v>
      </s:c>
    </s:row>
    <s:row r="855">
      <s:c r="A855" s="0" t="n">
        <s:v>260813</s:v>
      </s:c>
      <s:c r="B855" s="0" t="inlineStr">
        <s:is>
          <s:t>이종훈</s:t>
        </s:is>
      </s:c>
      <s:c r="C855" s="0" t="n">
        <s:v>130021</s:v>
      </s:c>
      <s:c r="D855" s="0" t="n">
        <s:v>1601</s:v>
      </s:c>
      <s:c r="F855" s="24">
        <s:f>'자료구성'!$B$2+TIME(INT($C$3/10000),INT(MOD($C$3,10000)/100),MOD($C$3,100))+(ROW()-ROW($C$3))/86400</s:f>
        <s:v>46247.551770833335</s:v>
      </s:c>
    </s:row>
    <s:row r="856">
      <s:c r="A856" s="0" t="n">
        <s:v>260813</s:v>
      </s:c>
      <s:c r="B856" s="0" t="inlineStr">
        <s:is>
          <s:t>이종훈</s:t>
        </s:is>
      </s:c>
      <s:c r="C856" s="0" t="n">
        <s:v>130021</s:v>
      </s:c>
      <s:c r="D856" s="0" t="n">
        <s:v>1565</s:v>
      </s:c>
      <s:c r="F856" s="24">
        <s:f>'자료구성'!$B$2+TIME(INT($C$3/10000),INT(MOD($C$3,10000)/100),MOD($C$3,100))+(ROW()-ROW($C$3))/86400</s:f>
        <s:v>46247.551782407405</s:v>
      </s:c>
    </s:row>
    <s:row r="857">
      <s:c r="A857" s="0" t="n">
        <s:v>260813</s:v>
      </s:c>
      <s:c r="B857" s="0" t="inlineStr">
        <s:is>
          <s:t>이종훈</s:t>
        </s:is>
      </s:c>
      <s:c r="C857" s="0" t="n">
        <s:v>130021</s:v>
      </s:c>
      <s:c r="D857" s="0" t="n">
        <s:v>1533</s:v>
      </s:c>
      <s:c r="F857" s="24">
        <s:f>'자료구성'!$B$2+TIME(INT($C$3/10000),INT(MOD($C$3,10000)/100),MOD($C$3,100))+(ROW()-ROW($C$3))/86400</s:f>
        <s:v>46247.55179398148</s:v>
      </s:c>
    </s:row>
    <s:row r="858">
      <s:c r="A858" s="0" t="n">
        <s:v>260813</s:v>
      </s:c>
      <s:c r="B858" s="0" t="inlineStr">
        <s:is>
          <s:t>이종훈</s:t>
        </s:is>
      </s:c>
      <s:c r="C858" s="0" t="n">
        <s:v>130021</s:v>
      </s:c>
      <s:c r="D858" s="0" t="n">
        <s:v>1515</s:v>
      </s:c>
      <s:c r="F858" s="24">
        <s:f>'자료구성'!$B$2+TIME(INT($C$3/10000),INT(MOD($C$3,10000)/100),MOD($C$3,100))+(ROW()-ROW($C$3))/86400</s:f>
        <s:v>46247.55180555556</s:v>
      </s:c>
    </s:row>
    <s:row r="859">
      <s:c r="A859" s="0" t="n">
        <s:v>260813</s:v>
      </s:c>
      <s:c r="B859" s="0" t="inlineStr">
        <s:is>
          <s:t>이종훈</s:t>
        </s:is>
      </s:c>
      <s:c r="C859" s="0" t="n">
        <s:v>130021</s:v>
      </s:c>
      <s:c r="D859" s="0" t="n">
        <s:v>1511</s:v>
      </s:c>
      <s:c r="F859" s="24">
        <s:f>'자료구성'!$B$2+TIME(INT($C$3/10000),INT(MOD($C$3,10000)/100),MOD($C$3,100))+(ROW()-ROW($C$3))/86400</s:f>
        <s:v>46247.55181712963</s:v>
      </s:c>
    </s:row>
    <s:row r="860">
      <s:c r="A860" s="0" t="n">
        <s:v>260813</s:v>
      </s:c>
      <s:c r="B860" s="0" t="inlineStr">
        <s:is>
          <s:t>이종훈</s:t>
        </s:is>
      </s:c>
      <s:c r="C860" s="0" t="n">
        <s:v>130021</s:v>
      </s:c>
      <s:c r="D860" s="0" t="n">
        <s:v>1516</s:v>
      </s:c>
      <s:c r="F860" s="24">
        <s:f>'자료구성'!$B$2+TIME(INT($C$3/10000),INT(MOD($C$3,10000)/100),MOD($C$3,100))+(ROW()-ROW($C$3))/86400</s:f>
        <s:v>46247.551828703705</s:v>
      </s:c>
    </s:row>
    <s:row r="861">
      <s:c r="A861" s="0" t="n">
        <s:v>260813</s:v>
      </s:c>
      <s:c r="B861" s="0" t="inlineStr">
        <s:is>
          <s:t>이종훈</s:t>
        </s:is>
      </s:c>
      <s:c r="C861" s="0" t="n">
        <s:v>130021</s:v>
      </s:c>
      <s:c r="D861" s="0" t="n">
        <s:v>1500</s:v>
      </s:c>
      <s:c r="F861" s="24">
        <s:f>'자료구성'!$B$2+TIME(INT($C$3/10000),INT(MOD($C$3,10000)/100),MOD($C$3,100))+(ROW()-ROW($C$3))/86400</s:f>
        <s:v>46247.551840277774</s:v>
      </s:c>
    </s:row>
    <s:row r="862">
      <s:c r="A862" s="0" t="n">
        <s:v>260813</s:v>
      </s:c>
      <s:c r="B862" s="0" t="inlineStr">
        <s:is>
          <s:t>이종훈</s:t>
        </s:is>
      </s:c>
      <s:c r="C862" s="0" t="n">
        <s:v>130021</s:v>
      </s:c>
      <s:c r="D862" s="0" t="n">
        <s:v>1507</s:v>
      </s:c>
      <s:c r="F862" s="24">
        <s:f>'자료구성'!$B$2+TIME(INT($C$3/10000),INT(MOD($C$3,10000)/100),MOD($C$3,100))+(ROW()-ROW($C$3))/86400</s:f>
        <s:v>46247.55185185185</s:v>
      </s:c>
    </s:row>
    <s:row r="863">
      <s:c r="A863" s="0" t="n">
        <s:v>260813</s:v>
      </s:c>
      <s:c r="B863" s="0" t="inlineStr">
        <s:is>
          <s:t>이종훈</s:t>
        </s:is>
      </s:c>
      <s:c r="C863" s="0" t="n">
        <s:v>130021</s:v>
      </s:c>
      <s:c r="D863" s="0" t="n">
        <s:v>1512</s:v>
      </s:c>
      <s:c r="F863" s="24">
        <s:f>'자료구성'!$B$2+TIME(INT($C$3/10000),INT(MOD($C$3,10000)/100),MOD($C$3,100))+(ROW()-ROW($C$3))/86400</s:f>
        <s:v>46247.55186342593</s:v>
      </s:c>
    </s:row>
    <s:row r="864">
      <s:c r="A864" s="0" t="n">
        <s:v>260813</s:v>
      </s:c>
      <s:c r="B864" s="0" t="inlineStr">
        <s:is>
          <s:t>이종훈</s:t>
        </s:is>
      </s:c>
      <s:c r="C864" s="0" t="n">
        <s:v>130021</s:v>
      </s:c>
      <s:c r="D864" s="0" t="n">
        <s:v>1505</s:v>
      </s:c>
      <s:c r="F864" s="24">
        <s:f>'자료구성'!$B$2+TIME(INT($C$3/10000),INT(MOD($C$3,10000)/100),MOD($C$3,100))+(ROW()-ROW($C$3))/86400</s:f>
        <s:v>46247.551875</s:v>
      </s:c>
    </s:row>
    <s:row r="865">
      <s:c r="A865" s="0" t="n">
        <s:v>260813</s:v>
      </s:c>
      <s:c r="B865" s="0" t="inlineStr">
        <s:is>
          <s:t>이종훈</s:t>
        </s:is>
      </s:c>
      <s:c r="C865" s="0" t="n">
        <s:v>130021</s:v>
      </s:c>
      <s:c r="D865" s="0" t="n">
        <s:v>1472</s:v>
      </s:c>
      <s:c r="F865" s="24">
        <s:f>'자료구성'!$B$2+TIME(INT($C$3/10000),INT(MOD($C$3,10000)/100),MOD($C$3,100))+(ROW()-ROW($C$3))/86400</s:f>
        <s:v>46247.551886574074</s:v>
      </s:c>
    </s:row>
    <s:row r="866">
      <s:c r="A866" s="0" t="n">
        <s:v>260813</s:v>
      </s:c>
      <s:c r="B866" s="0" t="inlineStr">
        <s:is>
          <s:t>이종훈</s:t>
        </s:is>
      </s:c>
      <s:c r="C866" s="0" t="n">
        <s:v>130021</s:v>
      </s:c>
      <s:c r="D866" s="0" t="n">
        <s:v>1448</s:v>
      </s:c>
      <s:c r="F866" s="24">
        <s:f>'자료구성'!$B$2+TIME(INT($C$3/10000),INT(MOD($C$3,10000)/100),MOD($C$3,100))+(ROW()-ROW($C$3))/86400</s:f>
        <s:v>46247.55189814815</s:v>
      </s:c>
    </s:row>
    <s:row r="867">
      <s:c r="A867" s="0" t="n">
        <s:v>260813</s:v>
      </s:c>
      <s:c r="B867" s="0" t="inlineStr">
        <s:is>
          <s:t>이종훈</s:t>
        </s:is>
      </s:c>
      <s:c r="C867" s="0" t="n">
        <s:v>130021</s:v>
      </s:c>
      <s:c r="D867" s="0" t="n">
        <s:v>1433</s:v>
      </s:c>
      <s:c r="F867" s="24">
        <s:f>'자료구성'!$B$2+TIME(INT($C$3/10000),INT(MOD($C$3,10000)/100),MOD($C$3,100))+(ROW()-ROW($C$3))/86400</s:f>
        <s:v>46247.55190972222</s:v>
      </s:c>
    </s:row>
    <s:row r="868">
      <s:c r="A868" s="0" t="n">
        <s:v>260813</s:v>
      </s:c>
      <s:c r="B868" s="0" t="inlineStr">
        <s:is>
          <s:t>이종훈</s:t>
        </s:is>
      </s:c>
      <s:c r="C868" s="0" t="n">
        <s:v>130021</s:v>
      </s:c>
      <s:c r="D868" s="0" t="n">
        <s:v>1448</s:v>
      </s:c>
      <s:c r="F868" s="24">
        <s:f>'자료구성'!$B$2+TIME(INT($C$3/10000),INT(MOD($C$3,10000)/100),MOD($C$3,100))+(ROW()-ROW($C$3))/86400</s:f>
        <s:v>46247.5519212963</s:v>
      </s:c>
    </s:row>
    <s:row r="869">
      <s:c r="A869" s="0" t="n">
        <s:v>260813</s:v>
      </s:c>
      <s:c r="B869" s="0" t="inlineStr">
        <s:is>
          <s:t>이종훈</s:t>
        </s:is>
      </s:c>
      <s:c r="C869" s="0" t="n">
        <s:v>130021</s:v>
      </s:c>
      <s:c r="D869" s="0" t="n">
        <s:v>1426</s:v>
      </s:c>
      <s:c r="F869" s="24">
        <s:f>'자료구성'!$B$2+TIME(INT($C$3/10000),INT(MOD($C$3,10000)/100),MOD($C$3,100))+(ROW()-ROW($C$3))/86400</s:f>
        <s:v>46247.551932870374</s:v>
      </s:c>
    </s:row>
    <s:row r="870">
      <s:c r="A870" s="0" t="n">
        <s:v>260813</s:v>
      </s:c>
      <s:c r="B870" s="0" t="inlineStr">
        <s:is>
          <s:t>이종훈</s:t>
        </s:is>
      </s:c>
      <s:c r="C870" s="0" t="n">
        <s:v>130021</s:v>
      </s:c>
      <s:c r="D870" s="0" t="n">
        <s:v>1409</s:v>
      </s:c>
      <s:c r="F870" s="24">
        <s:f>'자료구성'!$B$2+TIME(INT($C$3/10000),INT(MOD($C$3,10000)/100),MOD($C$3,100))+(ROW()-ROW($C$3))/86400</s:f>
        <s:v>46247.55194444444</s:v>
      </s:c>
    </s:row>
    <s:row r="871">
      <s:c r="A871" s="0" t="n">
        <s:v>260813</s:v>
      </s:c>
      <s:c r="B871" s="0" t="inlineStr">
        <s:is>
          <s:t>이종훈</s:t>
        </s:is>
      </s:c>
      <s:c r="C871" s="0" t="n">
        <s:v>130021</s:v>
      </s:c>
      <s:c r="D871" s="0" t="n">
        <s:v>1399</s:v>
      </s:c>
      <s:c r="F871" s="24">
        <s:f>'자료구성'!$B$2+TIME(INT($C$3/10000),INT(MOD($C$3,10000)/100),MOD($C$3,100))+(ROW()-ROW($C$3))/86400</s:f>
        <s:v>46247.55195601852</s:v>
      </s:c>
    </s:row>
    <s:row r="872">
      <s:c r="A872" s="0" t="n">
        <s:v>260813</s:v>
      </s:c>
      <s:c r="B872" s="0" t="inlineStr">
        <s:is>
          <s:t>이종훈</s:t>
        </s:is>
      </s:c>
      <s:c r="C872" s="0" t="n">
        <s:v>130021</s:v>
      </s:c>
      <s:c r="D872" s="0" t="n">
        <s:v>1396</s:v>
      </s:c>
      <s:c r="F872" s="24">
        <s:f>'자료구성'!$B$2+TIME(INT($C$3/10000),INT(MOD($C$3,10000)/100),MOD($C$3,100))+(ROW()-ROW($C$3))/86400</s:f>
        <s:v>46247.55196759259</s:v>
      </s:c>
    </s:row>
    <s:row r="873">
      <s:c r="A873" s="0" t="n">
        <s:v>260813</s:v>
      </s:c>
      <s:c r="B873" s="0" t="inlineStr">
        <s:is>
          <s:t>이종훈</s:t>
        </s:is>
      </s:c>
      <s:c r="C873" s="0" t="n">
        <s:v>130021</s:v>
      </s:c>
      <s:c r="D873" s="0" t="n">
        <s:v>1404</s:v>
      </s:c>
      <s:c r="F873" s="24">
        <s:f>'자료구성'!$B$2+TIME(INT($C$3/10000),INT(MOD($C$3,10000)/100),MOD($C$3,100))+(ROW()-ROW($C$3))/86400</s:f>
        <s:v>46247.55197916667</s:v>
      </s:c>
    </s:row>
    <s:row r="874">
      <s:c r="A874" s="0" t="n">
        <s:v>260813</s:v>
      </s:c>
      <s:c r="B874" s="0" t="inlineStr">
        <s:is>
          <s:t>이종훈</s:t>
        </s:is>
      </s:c>
      <s:c r="C874" s="0" t="n">
        <s:v>130021</s:v>
      </s:c>
      <s:c r="D874" s="0" t="n">
        <s:v>1400</s:v>
      </s:c>
      <s:c r="F874" s="24">
        <s:f>'자료구성'!$B$2+TIME(INT($C$3/10000),INT(MOD($C$3,10000)/100),MOD($C$3,100))+(ROW()-ROW($C$3))/86400</s:f>
        <s:v>46247.55199074074</s:v>
      </s:c>
    </s:row>
    <s:row r="875">
      <s:c r="A875" s="0" t="n">
        <s:v>260813</s:v>
      </s:c>
      <s:c r="B875" s="0" t="inlineStr">
        <s:is>
          <s:t>이종훈</s:t>
        </s:is>
      </s:c>
      <s:c r="C875" s="0" t="n">
        <s:v>130021</s:v>
      </s:c>
      <s:c r="D875" s="0" t="n">
        <s:v>1396</s:v>
      </s:c>
      <s:c r="F875" s="24">
        <s:f>'자료구성'!$B$2+TIME(INT($C$3/10000),INT(MOD($C$3,10000)/100),MOD($C$3,100))+(ROW()-ROW($C$3))/86400</s:f>
        <s:v>46247.55200231481</s:v>
      </s:c>
    </s:row>
    <s:row r="876">
      <s:c r="A876" s="0" t="n">
        <s:v>260813</s:v>
      </s:c>
      <s:c r="B876" s="0" t="inlineStr">
        <s:is>
          <s:t>이종훈</s:t>
        </s:is>
      </s:c>
      <s:c r="C876" s="0" t="n">
        <s:v>130021</s:v>
      </s:c>
      <s:c r="D876" s="0" t="n">
        <s:v>1410</s:v>
      </s:c>
      <s:c r="F876" s="24">
        <s:f>'자료구성'!$B$2+TIME(INT($C$3/10000),INT(MOD($C$3,10000)/100),MOD($C$3,100))+(ROW()-ROW($C$3))/86400</s:f>
        <s:v>46247.55201388889</s:v>
      </s:c>
    </s:row>
    <s:row r="877">
      <s:c r="A877" s="0" t="n">
        <s:v>260813</s:v>
      </s:c>
      <s:c r="B877" s="0" t="inlineStr">
        <s:is>
          <s:t>이종훈</s:t>
        </s:is>
      </s:c>
      <s:c r="C877" s="0" t="n">
        <s:v>130021</s:v>
      </s:c>
      <s:c r="D877" s="0" t="n">
        <s:v>1441</s:v>
      </s:c>
      <s:c r="F877" s="24">
        <s:f>'자료구성'!$B$2+TIME(INT($C$3/10000),INT(MOD($C$3,10000)/100),MOD($C$3,100))+(ROW()-ROW($C$3))/86400</s:f>
        <s:v>46247.55202546297</s:v>
      </s:c>
    </s:row>
    <s:row r="878">
      <s:c r="A878" s="0" t="n">
        <s:v>260813</s:v>
      </s:c>
      <s:c r="B878" s="0" t="inlineStr">
        <s:is>
          <s:t>이종훈</s:t>
        </s:is>
      </s:c>
      <s:c r="C878" s="0" t="n">
        <s:v>130021</s:v>
      </s:c>
      <s:c r="D878" s="0" t="n">
        <s:v>1448</s:v>
      </s:c>
      <s:c r="F878" s="24">
        <s:f>'자료구성'!$B$2+TIME(INT($C$3/10000),INT(MOD($C$3,10000)/100),MOD($C$3,100))+(ROW()-ROW($C$3))/86400</s:f>
        <s:v>46247.552037037036</s:v>
      </s:c>
    </s:row>
    <s:row r="879">
      <s:c r="A879" s="0" t="n">
        <s:v>260813</s:v>
      </s:c>
      <s:c r="B879" s="0" t="inlineStr">
        <s:is>
          <s:t>이종훈</s:t>
        </s:is>
      </s:c>
      <s:c r="C879" s="0" t="n">
        <s:v>130021</s:v>
      </s:c>
      <s:c r="D879" s="0" t="n">
        <s:v>1445</s:v>
      </s:c>
      <s:c r="F879" s="24">
        <s:f>'자료구성'!$B$2+TIME(INT($C$3/10000),INT(MOD($C$3,10000)/100),MOD($C$3,100))+(ROW()-ROW($C$3))/86400</s:f>
        <s:v>46247.55204861111</s:v>
      </s:c>
    </s:row>
    <s:row r="880">
      <s:c r="A880" s="0" t="n">
        <s:v>260813</s:v>
      </s:c>
      <s:c r="B880" s="0" t="inlineStr">
        <s:is>
          <s:t>이종훈</s:t>
        </s:is>
      </s:c>
      <s:c r="C880" s="0" t="n">
        <s:v>130021</s:v>
      </s:c>
      <s:c r="D880" s="0" t="n">
        <s:v>1432</s:v>
      </s:c>
      <s:c r="F880" s="24">
        <s:f>'자료구성'!$B$2+TIME(INT($C$3/10000),INT(MOD($C$3,10000)/100),MOD($C$3,100))+(ROW()-ROW($C$3))/86400</s:f>
        <s:v>46247.55206018518</s:v>
      </s:c>
    </s:row>
    <s:row r="881">
      <s:c r="A881" s="0" t="n">
        <s:v>260813</s:v>
      </s:c>
      <s:c r="B881" s="0" t="inlineStr">
        <s:is>
          <s:t>이종훈</s:t>
        </s:is>
      </s:c>
      <s:c r="C881" s="0" t="n">
        <s:v>130021</s:v>
      </s:c>
      <s:c r="D881" s="0" t="n">
        <s:v>1417</s:v>
      </s:c>
      <s:c r="F881" s="24">
        <s:f>'자료구성'!$B$2+TIME(INT($C$3/10000),INT(MOD($C$3,10000)/100),MOD($C$3,100))+(ROW()-ROW($C$3))/86400</s:f>
        <s:v>46247.55207175926</s:v>
      </s:c>
    </s:row>
    <s:row r="882">
      <s:c r="A882" s="0" t="n">
        <s:v>260813</s:v>
      </s:c>
      <s:c r="B882" s="0" t="inlineStr">
        <s:is>
          <s:t>이종훈</s:t>
        </s:is>
      </s:c>
      <s:c r="C882" s="0" t="n">
        <s:v>130021</s:v>
      </s:c>
      <s:c r="D882" s="0" t="n">
        <s:v>1413</s:v>
      </s:c>
      <s:c r="F882" s="24">
        <s:f>'자료구성'!$B$2+TIME(INT($C$3/10000),INT(MOD($C$3,10000)/100),MOD($C$3,100))+(ROW()-ROW($C$3))/86400</s:f>
        <s:v>46247.552083333336</s:v>
      </s:c>
    </s:row>
    <s:row r="883">
      <s:c r="A883" s="0" t="n">
        <s:v>260813</s:v>
      </s:c>
      <s:c r="B883" s="0" t="inlineStr">
        <s:is>
          <s:t>이종훈</s:t>
        </s:is>
      </s:c>
      <s:c r="C883" s="0" t="n">
        <s:v>130021</s:v>
      </s:c>
      <s:c r="D883" s="0" t="n">
        <s:v>1386</s:v>
      </s:c>
      <s:c r="F883" s="24">
        <s:f>'자료구성'!$B$2+TIME(INT($C$3/10000),INT(MOD($C$3,10000)/100),MOD($C$3,100))+(ROW()-ROW($C$3))/86400</s:f>
        <s:v>46247.552094907405</s:v>
      </s:c>
    </s:row>
    <s:row r="884">
      <s:c r="A884" s="0" t="n">
        <s:v>260813</s:v>
      </s:c>
      <s:c r="B884" s="0" t="inlineStr">
        <s:is>
          <s:t>이종훈</s:t>
        </s:is>
      </s:c>
      <s:c r="C884" s="0" t="n">
        <s:v>130021</s:v>
      </s:c>
      <s:c r="D884" s="0" t="n">
        <s:v>1366</s:v>
      </s:c>
      <s:c r="F884" s="24">
        <s:f>'자료구성'!$B$2+TIME(INT($C$3/10000),INT(MOD($C$3,10000)/100),MOD($C$3,100))+(ROW()-ROW($C$3))/86400</s:f>
        <s:v>46247.55210648148</s:v>
      </s:c>
    </s:row>
    <s:row r="885">
      <s:c r="A885" s="0" t="n">
        <s:v>260813</s:v>
      </s:c>
      <s:c r="B885" s="0" t="inlineStr">
        <s:is>
          <s:t>이종훈</s:t>
        </s:is>
      </s:c>
      <s:c r="C885" s="0" t="n">
        <s:v>130021</s:v>
      </s:c>
      <s:c r="D885" s="0" t="n">
        <s:v>1334</s:v>
      </s:c>
      <s:c r="F885" s="24">
        <s:f>'자료구성'!$B$2+TIME(INT($C$3/10000),INT(MOD($C$3,10000)/100),MOD($C$3,100))+(ROW()-ROW($C$3))/86400</s:f>
        <s:v>46247.55211805556</s:v>
      </s:c>
    </s:row>
    <s:row r="886">
      <s:c r="A886" s="0" t="n">
        <s:v>260813</s:v>
      </s:c>
      <s:c r="B886" s="0" t="inlineStr">
        <s:is>
          <s:t>이종훈</s:t>
        </s:is>
      </s:c>
      <s:c r="C886" s="0" t="n">
        <s:v>130021</s:v>
      </s:c>
      <s:c r="D886" s="0" t="n">
        <s:v>1279</s:v>
      </s:c>
      <s:c r="F886" s="24">
        <s:f>'자료구성'!$B$2+TIME(INT($C$3/10000),INT(MOD($C$3,10000)/100),MOD($C$3,100))+(ROW()-ROW($C$3))/86400</s:f>
        <s:v>46247.55212962963</s:v>
      </s:c>
    </s:row>
    <s:row r="887">
      <s:c r="A887" s="0" t="n">
        <s:v>260813</s:v>
      </s:c>
      <s:c r="B887" s="0" t="inlineStr">
        <s:is>
          <s:t>이종훈</s:t>
        </s:is>
      </s:c>
      <s:c r="C887" s="0" t="n">
        <s:v>130021</s:v>
      </s:c>
      <s:c r="D887" s="0" t="n">
        <s:v>1236</s:v>
      </s:c>
      <s:c r="F887" s="24">
        <s:f>'자료구성'!$B$2+TIME(INT($C$3/10000),INT(MOD($C$3,10000)/100),MOD($C$3,100))+(ROW()-ROW($C$3))/86400</s:f>
        <s:v>46247.552141203705</s:v>
      </s:c>
    </s:row>
    <s:row r="888">
      <s:c r="A888" s="0" t="n">
        <s:v>260813</s:v>
      </s:c>
      <s:c r="B888" s="0" t="inlineStr">
        <s:is>
          <s:t>이종훈</s:t>
        </s:is>
      </s:c>
      <s:c r="C888" s="0" t="n">
        <s:v>130021</s:v>
      </s:c>
      <s:c r="D888" s="0" t="n">
        <s:v>1197</s:v>
      </s:c>
      <s:c r="F888" s="24">
        <s:f>'자료구성'!$B$2+TIME(INT($C$3/10000),INT(MOD($C$3,10000)/100),MOD($C$3,100))+(ROW()-ROW($C$3))/86400</s:f>
        <s:v>46247.552152777775</s:v>
      </s:c>
    </s:row>
    <s:row r="889">
      <s:c r="A889" s="0" t="n">
        <s:v>260813</s:v>
      </s:c>
      <s:c r="B889" s="0" t="inlineStr">
        <s:is>
          <s:t>이종훈</s:t>
        </s:is>
      </s:c>
      <s:c r="C889" s="0" t="n">
        <s:v>130021</s:v>
      </s:c>
      <s:c r="D889" s="0" t="n">
        <s:v>1162</s:v>
      </s:c>
      <s:c r="F889" s="24">
        <s:f>'자료구성'!$B$2+TIME(INT($C$3/10000),INT(MOD($C$3,10000)/100),MOD($C$3,100))+(ROW()-ROW($C$3))/86400</s:f>
        <s:v>46247.55216435185</s:v>
      </s:c>
    </s:row>
    <s:row r="890">
      <s:c r="A890" s="0" t="n">
        <s:v>260813</s:v>
      </s:c>
      <s:c r="B890" s="0" t="inlineStr">
        <s:is>
          <s:t>이종훈</s:t>
        </s:is>
      </s:c>
      <s:c r="C890" s="0" t="n">
        <s:v>130021</s:v>
      </s:c>
      <s:c r="D890" s="0" t="n">
        <s:v>1116</s:v>
      </s:c>
      <s:c r="F890" s="24">
        <s:f>'자료구성'!$B$2+TIME(INT($C$3/10000),INT(MOD($C$3,10000)/100),MOD($C$3,100))+(ROW()-ROW($C$3))/86400</s:f>
        <s:v>46247.55217592593</s:v>
      </s:c>
    </s:row>
    <s:row r="891">
      <s:c r="A891" s="0" t="n">
        <s:v>260813</s:v>
      </s:c>
      <s:c r="B891" s="0" t="inlineStr">
        <s:is>
          <s:t>이종훈</s:t>
        </s:is>
      </s:c>
      <s:c r="C891" s="0" t="n">
        <s:v>130021</s:v>
      </s:c>
      <s:c r="D891" s="0" t="n">
        <s:v>1078</s:v>
      </s:c>
      <s:c r="F891" s="24">
        <s:f>'자료구성'!$B$2+TIME(INT($C$3/10000),INT(MOD($C$3,10000)/100),MOD($C$3,100))+(ROW()-ROW($C$3))/86400</s:f>
        <s:v>46247.5521875</s:v>
      </s:c>
    </s:row>
    <s:row r="892">
      <s:c r="A892" s="0" t="n">
        <s:v>260813</s:v>
      </s:c>
      <s:c r="B892" s="0" t="inlineStr">
        <s:is>
          <s:t>이종훈</s:t>
        </s:is>
      </s:c>
      <s:c r="C892" s="0" t="n">
        <s:v>130021</s:v>
      </s:c>
      <s:c r="D892" s="0" t="n">
        <s:v>1057</s:v>
      </s:c>
      <s:c r="F892" s="24">
        <s:f>'자료구성'!$B$2+TIME(INT($C$3/10000),INT(MOD($C$3,10000)/100),MOD($C$3,100))+(ROW()-ROW($C$3))/86400</s:f>
        <s:v>46247.552199074074</s:v>
      </s:c>
    </s:row>
    <s:row r="893">
      <s:c r="A893" s="0" t="n">
        <s:v>260813</s:v>
      </s:c>
      <s:c r="B893" s="0" t="inlineStr">
        <s:is>
          <s:t>이종훈</s:t>
        </s:is>
      </s:c>
      <s:c r="C893" s="0" t="n">
        <s:v>130021</s:v>
      </s:c>
      <s:c r="D893" s="0" t="n">
        <s:v>1044</s:v>
      </s:c>
      <s:c r="F893" s="24">
        <s:f>'자료구성'!$B$2+TIME(INT($C$3/10000),INT(MOD($C$3,10000)/100),MOD($C$3,100))+(ROW()-ROW($C$3))/86400</s:f>
        <s:v>46247.55221064815</s:v>
      </s:c>
    </s:row>
    <s:row r="894">
      <s:c r="A894" s="0" t="n">
        <s:v>260813</s:v>
      </s:c>
      <s:c r="B894" s="0" t="inlineStr">
        <s:is>
          <s:t>이종훈</s:t>
        </s:is>
      </s:c>
      <s:c r="C894" s="0" t="n">
        <s:v>130021</s:v>
      </s:c>
      <s:c r="D894" s="0" t="n">
        <s:v>1020</s:v>
      </s:c>
      <s:c r="F894" s="24">
        <s:f>'자료구성'!$B$2+TIME(INT($C$3/10000),INT(MOD($C$3,10000)/100),MOD($C$3,100))+(ROW()-ROW($C$3))/86400</s:f>
        <s:v>46247.55222222222</s:v>
      </s:c>
    </s:row>
    <s:row r="895">
      <s:c r="A895" s="0" t="n">
        <s:v>260813</s:v>
      </s:c>
      <s:c r="B895" s="0" t="inlineStr">
        <s:is>
          <s:t>이종훈</s:t>
        </s:is>
      </s:c>
      <s:c r="C895" s="0" t="n">
        <s:v>130021</s:v>
      </s:c>
      <s:c r="D895" s="0" t="n">
        <s:v>1012</s:v>
      </s:c>
      <s:c r="F895" s="24">
        <s:f>'자료구성'!$B$2+TIME(INT($C$3/10000),INT(MOD($C$3,10000)/100),MOD($C$3,100))+(ROW()-ROW($C$3))/86400</s:f>
        <s:v>46247.5522337963</s:v>
      </s:c>
    </s:row>
    <s:row r="896">
      <s:c r="A896" s="0" t="n">
        <s:v>260813</s:v>
      </s:c>
      <s:c r="B896" s="0" t="inlineStr">
        <s:is>
          <s:t>이종훈</s:t>
        </s:is>
      </s:c>
      <s:c r="C896" s="0" t="n">
        <s:v>130021</s:v>
      </s:c>
      <s:c r="D896" s="0" t="n">
        <s:v>1018</s:v>
      </s:c>
      <s:c r="F896" s="24">
        <s:f>'자료구성'!$B$2+TIME(INT($C$3/10000),INT(MOD($C$3,10000)/100),MOD($C$3,100))+(ROW()-ROW($C$3))/86400</s:f>
        <s:v>46247.55224537037</s:v>
      </s:c>
    </s:row>
    <s:row r="897">
      <s:c r="A897" s="0" t="n">
        <s:v>260813</s:v>
      </s:c>
      <s:c r="B897" s="0" t="inlineStr">
        <s:is>
          <s:t>이종훈</s:t>
        </s:is>
      </s:c>
      <s:c r="C897" s="0" t="n">
        <s:v>130021</s:v>
      </s:c>
      <s:c r="D897" s="0" t="n">
        <s:v>1024</s:v>
      </s:c>
      <s:c r="F897" s="24">
        <s:f>'자료구성'!$B$2+TIME(INT($C$3/10000),INT(MOD($C$3,10000)/100),MOD($C$3,100))+(ROW()-ROW($C$3))/86400</s:f>
        <s:v>46247.552256944444</s:v>
      </s:c>
    </s:row>
    <s:row r="898">
      <s:c r="A898" s="0" t="n">
        <s:v>260813</s:v>
      </s:c>
      <s:c r="B898" s="0" t="inlineStr">
        <s:is>
          <s:t>이종훈</s:t>
        </s:is>
      </s:c>
      <s:c r="C898" s="0" t="n">
        <s:v>130021</s:v>
      </s:c>
      <s:c r="D898" s="0" t="n">
        <s:v>1025</s:v>
      </s:c>
      <s:c r="F898" s="24">
        <s:f>'자료구성'!$B$2+TIME(INT($C$3/10000),INT(MOD($C$3,10000)/100),MOD($C$3,100))+(ROW()-ROW($C$3))/86400</s:f>
        <s:v>46247.55226851852</s:v>
      </s:c>
    </s:row>
    <s:row r="899">
      <s:c r="A899" s="0" t="n">
        <s:v>260813</s:v>
      </s:c>
      <s:c r="B899" s="0" t="inlineStr">
        <s:is>
          <s:t>이종훈</s:t>
        </s:is>
      </s:c>
      <s:c r="C899" s="0" t="n">
        <s:v>130021</s:v>
      </s:c>
      <s:c r="D899" s="0" t="n">
        <s:v>1037</s:v>
      </s:c>
      <s:c r="F899" s="24">
        <s:f>'자료구성'!$B$2+TIME(INT($C$3/10000),INT(MOD($C$3,10000)/100),MOD($C$3,100))+(ROW()-ROW($C$3))/86400</s:f>
        <s:v>46247.55228009259</s:v>
      </s:c>
    </s:row>
    <s:row r="900">
      <s:c r="A900" s="0" t="n">
        <s:v>260813</s:v>
      </s:c>
      <s:c r="B900" s="0" t="inlineStr">
        <s:is>
          <s:t>이종훈</s:t>
        </s:is>
      </s:c>
      <s:c r="C900" s="0" t="n">
        <s:v>130021</s:v>
      </s:c>
      <s:c r="D900" s="0" t="n">
        <s:v>1032</s:v>
      </s:c>
      <s:c r="F900" s="24">
        <s:f>'자료구성'!$B$2+TIME(INT($C$3/10000),INT(MOD($C$3,10000)/100),MOD($C$3,100))+(ROW()-ROW($C$3))/86400</s:f>
        <s:v>46247.55229166667</s:v>
      </s:c>
    </s:row>
    <s:row r="901">
      <s:c r="A901" s="0" t="n">
        <s:v>260813</s:v>
      </s:c>
      <s:c r="B901" s="0" t="inlineStr">
        <s:is>
          <s:t>이종훈</s:t>
        </s:is>
      </s:c>
      <s:c r="C901" s="0" t="n">
        <s:v>130021</s:v>
      </s:c>
      <s:c r="D901" s="0" t="n">
        <s:v>1030</s:v>
      </s:c>
      <s:c r="F901" s="24">
        <s:f>'자료구성'!$B$2+TIME(INT($C$3/10000),INT(MOD($C$3,10000)/100),MOD($C$3,100))+(ROW()-ROW($C$3))/86400</s:f>
        <s:v>46247.552303240744</s:v>
      </s:c>
    </s:row>
    <s:row r="902">
      <s:c r="A902" s="0" t="n">
        <s:v>260813</s:v>
      </s:c>
      <s:c r="B902" s="0" t="inlineStr">
        <s:is>
          <s:t>이종훈</s:t>
        </s:is>
      </s:c>
      <s:c r="C902" s="0" t="n">
        <s:v>130021</s:v>
      </s:c>
      <s:c r="D902" s="0" t="n">
        <s:v>1028</s:v>
      </s:c>
      <s:c r="F902" s="24">
        <s:f>'자료구성'!$B$2+TIME(INT($C$3/10000),INT(MOD($C$3,10000)/100),MOD($C$3,100))+(ROW()-ROW($C$3))/86400</s:f>
        <s:v>46247.55231481481</s:v>
      </s:c>
    </s:row>
  </s:sheetData>
  <s:mergeCells count="1">
    <s:mergeCell ref="A1:E1"/>
  </s:mergeCells>
  <s:pageMargins left="0.7" right="0.7" top="0.75" bottom="0.75" header="0.3" footer="0.3"/>
  <s:legacyDrawing r:id="anysvml"/>
</s:worksheet>
</file>

<file path=xl/worksheets/sheet4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/>
  </s:sheetPr>
  <s:dimension ref="A1:F902"/>
  <s:sheetViews>
    <s:sheetView workbookViewId="0">
      <s:pane ySplit="2" topLeftCell="A874" activePane="bottomLeft" state="frozen"/>
      <s:selection pane="bottomLeft" activeCell="D3" sqref="D3:D902"/>
    </s:sheetView>
  </s:sheetViews>
  <s:sheetFormatPr baseColWidth="8" defaultRowHeight="16.5"/>
  <s:cols>
    <s:col width="25" customWidth="1" style="7" min="6" max="6"/>
  </s:cols>
  <s:sheetData>
    <s:row r="1">
      <s:c r="A1" s="4" t="inlineStr">
        <s:is>
          <s:t>버드나무A</s:t>
        </s:is>
      </s:c>
    </s:row>
    <s:row r="2" ht="17.25" customHeight="1" s="7" thickBot="1">
      <s:c r="A2" s="2" t="inlineStr">
        <s:is>
          <s:t>조사일자</s:t>
        </s:is>
      </s:c>
      <s:c r="B2" s="3" t="inlineStr">
        <s:is>
          <s:t>조사자명</s:t>
        </s:is>
      </s:c>
      <s:c r="C2" s="3" t="inlineStr">
        <s:is>
          <s:t>조사시작시간</s:t>
        </s:is>
      </s:c>
      <s:c r="D2" s="3" t="inlineStr">
        <s:is>
          <s:t>음이온발생량</s:t>
        </s:is>
      </s:c>
      <s:c r="E2" s="1" t="inlineStr">
        <s:is>
          <s:t>비고</s:t>
        </s:is>
      </s:c>
      <s:c r="F2" s="3" t="inlineStr">
        <s:is>
          <s:t>측정일시</s:t>
        </s:is>
      </s:c>
    </s:row>
    <s:row r="3">
      <s:c r="A3" s="0" t="n">
        <s:v>260813</s:v>
      </s:c>
      <s:c r="B3" s="0" t="inlineStr">
        <s:is>
          <s:t>이종훈</s:t>
        </s:is>
      </s:c>
      <s:c r="C3" s="0" t="n">
        <s:v>123517</s:v>
      </s:c>
      <s:c r="D3" s="0" t="n">
        <s:v>1020</s:v>
      </s:c>
      <s:c r="F3" s="24">
        <s:f>'자료구성'!$B$2+TIME(INT($C$3/10000),INT(MOD($C$3,10000)/100),MOD($C$3,100))+(ROW()-ROW($C$3))/86400</s:f>
        <s:v>46247.524502314816</s:v>
      </s:c>
    </s:row>
    <s:row r="4">
      <s:c r="A4" s="0" t="n">
        <s:v>260813</s:v>
      </s:c>
      <s:c r="B4" s="0" t="inlineStr">
        <s:is>
          <s:t>이종훈</s:t>
        </s:is>
      </s:c>
      <s:c r="C4" s="0" t="n">
        <s:v>123517</s:v>
      </s:c>
      <s:c r="D4" s="0" t="n">
        <s:v>1042</s:v>
      </s:c>
      <s:c r="F4" s="24">
        <s:f>'자료구성'!$B$2+TIME(INT($C$3/10000),INT(MOD($C$3,10000)/100),MOD($C$3,100))+(ROW()-ROW($C$3))/86400</s:f>
        <s:v>46247.524513888886</s:v>
      </s:c>
    </s:row>
    <s:row r="5">
      <s:c r="A5" s="0" t="n">
        <s:v>260813</s:v>
      </s:c>
      <s:c r="B5" s="0" t="inlineStr">
        <s:is>
          <s:t>이종훈</s:t>
        </s:is>
      </s:c>
      <s:c r="C5" s="0" t="n">
        <s:v>123517</s:v>
      </s:c>
      <s:c r="D5" s="0" t="n">
        <s:v>1085</s:v>
      </s:c>
      <s:c r="F5" s="24">
        <s:f>'자료구성'!$B$2+TIME(INT($C$3/10000),INT(MOD($C$3,10000)/100),MOD($C$3,100))+(ROW()-ROW($C$3))/86400</s:f>
        <s:v>46247.52452546296</s:v>
      </s:c>
    </s:row>
    <s:row r="6">
      <s:c r="A6" s="0" t="n">
        <s:v>260813</s:v>
      </s:c>
      <s:c r="B6" s="0" t="inlineStr">
        <s:is>
          <s:t>이종훈</s:t>
        </s:is>
      </s:c>
      <s:c r="C6" s="0" t="n">
        <s:v>123517</s:v>
      </s:c>
      <s:c r="D6" s="0" t="n">
        <s:v>1107</s:v>
      </s:c>
      <s:c r="F6" s="24">
        <s:f>'자료구성'!$B$2+TIME(INT($C$3/10000),INT(MOD($C$3,10000)/100),MOD($C$3,100))+(ROW()-ROW($C$3))/86400</s:f>
        <s:v>46247.52453703704</s:v>
      </s:c>
    </s:row>
    <s:row r="7">
      <s:c r="A7" s="0" t="n">
        <s:v>260813</s:v>
      </s:c>
      <s:c r="B7" s="0" t="inlineStr">
        <s:is>
          <s:t>이종훈</s:t>
        </s:is>
      </s:c>
      <s:c r="C7" s="0" t="n">
        <s:v>123517</s:v>
      </s:c>
      <s:c r="D7" s="0" t="n">
        <s:v>1153</s:v>
      </s:c>
      <s:c r="F7" s="24">
        <s:f>'자료구성'!$B$2+TIME(INT($C$3/10000),INT(MOD($C$3,10000)/100),MOD($C$3,100))+(ROW()-ROW($C$3))/86400</s:f>
        <s:v>46247.52454861111</s:v>
      </s:c>
    </s:row>
    <s:row r="8">
      <s:c r="A8" s="0" t="n">
        <s:v>260813</s:v>
      </s:c>
      <s:c r="B8" s="0" t="inlineStr">
        <s:is>
          <s:t>이종훈</s:t>
        </s:is>
      </s:c>
      <s:c r="C8" s="0" t="n">
        <s:v>123517</s:v>
      </s:c>
      <s:c r="D8" s="0" t="n">
        <s:v>1172</s:v>
      </s:c>
      <s:c r="F8" s="24">
        <s:f>'자료구성'!$B$2+TIME(INT($C$3/10000),INT(MOD($C$3,10000)/100),MOD($C$3,100))+(ROW()-ROW($C$3))/86400</s:f>
        <s:v>46247.524560185186</s:v>
      </s:c>
    </s:row>
    <s:row r="9">
      <s:c r="A9" s="0" t="n">
        <s:v>260813</s:v>
      </s:c>
      <s:c r="B9" s="0" t="inlineStr">
        <s:is>
          <s:t>이종훈</s:t>
        </s:is>
      </s:c>
      <s:c r="C9" s="0" t="n">
        <s:v>123517</s:v>
      </s:c>
      <s:c r="D9" s="0" t="n">
        <s:v>1215</s:v>
      </s:c>
      <s:c r="F9" s="24">
        <s:f>'자료구성'!$B$2+TIME(INT($C$3/10000),INT(MOD($C$3,10000)/100),MOD($C$3,100))+(ROW()-ROW($C$3))/86400</s:f>
        <s:v>46247.52457175926</s:v>
      </s:c>
    </s:row>
    <s:row r="10">
      <s:c r="A10" s="0" t="n">
        <s:v>260813</s:v>
      </s:c>
      <s:c r="B10" s="0" t="inlineStr">
        <s:is>
          <s:t>이종훈</s:t>
        </s:is>
      </s:c>
      <s:c r="C10" s="0" t="n">
        <s:v>123517</s:v>
      </s:c>
      <s:c r="D10" s="0" t="n">
        <s:v>1254</s:v>
      </s:c>
      <s:c r="F10" s="24">
        <s:f>'자료구성'!$B$2+TIME(INT($C$3/10000),INT(MOD($C$3,10000)/100),MOD($C$3,100))+(ROW()-ROW($C$3))/86400</s:f>
        <s:v>46247.52458333333</s:v>
      </s:c>
    </s:row>
    <s:row r="11">
      <s:c r="A11" s="0" t="n">
        <s:v>260813</s:v>
      </s:c>
      <s:c r="B11" s="0" t="inlineStr">
        <s:is>
          <s:t>이종훈</s:t>
        </s:is>
      </s:c>
      <s:c r="C11" s="0" t="n">
        <s:v>123517</s:v>
      </s:c>
      <s:c r="D11" s="0" t="n">
        <s:v>1299</s:v>
      </s:c>
      <s:c r="F11" s="24">
        <s:f>'자료구성'!$B$2+TIME(INT($C$3/10000),INT(MOD($C$3,10000)/100),MOD($C$3,100))+(ROW()-ROW($C$3))/86400</s:f>
        <s:v>46247.52459490741</s:v>
      </s:c>
    </s:row>
    <s:row r="12">
      <s:c r="A12" s="0" t="n">
        <s:v>260813</s:v>
      </s:c>
      <s:c r="B12" s="0" t="inlineStr">
        <s:is>
          <s:t>이종훈</s:t>
        </s:is>
      </s:c>
      <s:c r="C12" s="0" t="n">
        <s:v>123517</s:v>
      </s:c>
      <s:c r="D12" s="0" t="n">
        <s:v>1323</s:v>
      </s:c>
      <s:c r="F12" s="24">
        <s:f>'자료구성'!$B$2+TIME(INT($C$3/10000),INT(MOD($C$3,10000)/100),MOD($C$3,100))+(ROW()-ROW($C$3))/86400</s:f>
        <s:v>46247.52460648148</s:v>
      </s:c>
    </s:row>
    <s:row r="13">
      <s:c r="A13" s="0" t="n">
        <s:v>260813</s:v>
      </s:c>
      <s:c r="B13" s="0" t="inlineStr">
        <s:is>
          <s:t>이종훈</s:t>
        </s:is>
      </s:c>
      <s:c r="C13" s="0" t="n">
        <s:v>123517</s:v>
      </s:c>
      <s:c r="D13" s="0" t="n">
        <s:v>1317</s:v>
      </s:c>
      <s:c r="F13" s="24">
        <s:f>'자료구성'!$B$2+TIME(INT($C$3/10000),INT(MOD($C$3,10000)/100),MOD($C$3,100))+(ROW()-ROW($C$3))/86400</s:f>
        <s:v>46247.524618055555</s:v>
      </s:c>
    </s:row>
    <s:row r="14">
      <s:c r="A14" s="0" t="n">
        <s:v>260813</s:v>
      </s:c>
      <s:c r="B14" s="0" t="inlineStr">
        <s:is>
          <s:t>이종훈</s:t>
        </s:is>
      </s:c>
      <s:c r="C14" s="0" t="n">
        <s:v>123517</s:v>
      </s:c>
      <s:c r="D14" s="0" t="n">
        <s:v>1299</s:v>
      </s:c>
      <s:c r="F14" s="24">
        <s:f>'자료구성'!$B$2+TIME(INT($C$3/10000),INT(MOD($C$3,10000)/100),MOD($C$3,100))+(ROW()-ROW($C$3))/86400</s:f>
        <s:v>46247.52462962963</s:v>
      </s:c>
    </s:row>
    <s:row r="15">
      <s:c r="A15" s="0" t="n">
        <s:v>260813</s:v>
      </s:c>
      <s:c r="B15" s="0" t="inlineStr">
        <s:is>
          <s:t>이종훈</s:t>
        </s:is>
      </s:c>
      <s:c r="C15" s="0" t="n">
        <s:v>123517</s:v>
      </s:c>
      <s:c r="D15" s="0" t="n">
        <s:v>1297</s:v>
      </s:c>
      <s:c r="F15" s="24">
        <s:f>'자료구성'!$B$2+TIME(INT($C$3/10000),INT(MOD($C$3,10000)/100),MOD($C$3,100))+(ROW()-ROW($C$3))/86400</s:f>
        <s:v>46247.5246412037</s:v>
      </s:c>
    </s:row>
    <s:row r="16">
      <s:c r="A16" s="0" t="n">
        <s:v>260813</s:v>
      </s:c>
      <s:c r="B16" s="0" t="inlineStr">
        <s:is>
          <s:t>이종훈</s:t>
        </s:is>
      </s:c>
      <s:c r="C16" s="0" t="n">
        <s:v>123517</s:v>
      </s:c>
      <s:c r="D16" s="0" t="n">
        <s:v>1300</s:v>
      </s:c>
      <s:c r="F16" s="24">
        <s:f>'자료구성'!$B$2+TIME(INT($C$3/10000),INT(MOD($C$3,10000)/100),MOD($C$3,100))+(ROW()-ROW($C$3))/86400</s:f>
        <s:v>46247.52465277778</s:v>
      </s:c>
    </s:row>
    <s:row r="17">
      <s:c r="A17" s="0" t="n">
        <s:v>260813</s:v>
      </s:c>
      <s:c r="B17" s="0" t="inlineStr">
        <s:is>
          <s:t>이종훈</s:t>
        </s:is>
      </s:c>
      <s:c r="C17" s="0" t="n">
        <s:v>123517</s:v>
      </s:c>
      <s:c r="D17" s="0" t="n">
        <s:v>1337</s:v>
      </s:c>
      <s:c r="F17" s="24">
        <s:f>'자료구성'!$B$2+TIME(INT($C$3/10000),INT(MOD($C$3,10000)/100),MOD($C$3,100))+(ROW()-ROW($C$3))/86400</s:f>
        <s:v>46247.524664351855</s:v>
      </s:c>
    </s:row>
    <s:row r="18">
      <s:c r="A18" s="0" t="n">
        <s:v>260813</s:v>
      </s:c>
      <s:c r="B18" s="0" t="inlineStr">
        <s:is>
          <s:t>이종훈</s:t>
        </s:is>
      </s:c>
      <s:c r="C18" s="0" t="n">
        <s:v>123517</s:v>
      </s:c>
      <s:c r="D18" s="0" t="n">
        <s:v>1383</s:v>
      </s:c>
      <s:c r="F18" s="24">
        <s:f>'자료구성'!$B$2+TIME(INT($C$3/10000),INT(MOD($C$3,10000)/100),MOD($C$3,100))+(ROW()-ROW($C$3))/86400</s:f>
        <s:v>46247.524675925924</s:v>
      </s:c>
    </s:row>
    <s:row r="19">
      <s:c r="A19" s="0" t="n">
        <s:v>260813</s:v>
      </s:c>
      <s:c r="B19" s="0" t="inlineStr">
        <s:is>
          <s:t>이종훈</s:t>
        </s:is>
      </s:c>
      <s:c r="C19" s="0" t="n">
        <s:v>123517</s:v>
      </s:c>
      <s:c r="D19" s="0" t="n">
        <s:v>1404</s:v>
      </s:c>
      <s:c r="F19" s="24">
        <s:f>'자료구성'!$B$2+TIME(INT($C$3/10000),INT(MOD($C$3,10000)/100),MOD($C$3,100))+(ROW()-ROW($C$3))/86400</s:f>
        <s:v>46247.5246875</s:v>
      </s:c>
    </s:row>
    <s:row r="20">
      <s:c r="A20" s="0" t="n">
        <s:v>260813</s:v>
      </s:c>
      <s:c r="B20" s="0" t="inlineStr">
        <s:is>
          <s:t>이종훈</s:t>
        </s:is>
      </s:c>
      <s:c r="C20" s="0" t="n">
        <s:v>123517</s:v>
      </s:c>
      <s:c r="D20" s="0" t="n">
        <s:v>1420</s:v>
      </s:c>
      <s:c r="F20" s="24">
        <s:f>'자료구성'!$B$2+TIME(INT($C$3/10000),INT(MOD($C$3,10000)/100),MOD($C$3,100))+(ROW()-ROW($C$3))/86400</s:f>
        <s:v>46247.52469907407</s:v>
      </s:c>
    </s:row>
    <s:row r="21">
      <s:c r="A21" s="0" t="n">
        <s:v>260813</s:v>
      </s:c>
      <s:c r="B21" s="0" t="inlineStr">
        <s:is>
          <s:t>이종훈</s:t>
        </s:is>
      </s:c>
      <s:c r="C21" s="0" t="n">
        <s:v>123517</s:v>
      </s:c>
      <s:c r="D21" s="0" t="n">
        <s:v>1426</s:v>
      </s:c>
      <s:c r="F21" s="24">
        <s:f>'자료구성'!$B$2+TIME(INT($C$3/10000),INT(MOD($C$3,10000)/100),MOD($C$3,100))+(ROW()-ROW($C$3))/86400</s:f>
        <s:v>46247.52471064815</s:v>
      </s:c>
    </s:row>
    <s:row r="22">
      <s:c r="A22" s="0" t="n">
        <s:v>260813</s:v>
      </s:c>
      <s:c r="B22" s="0" t="inlineStr">
        <s:is>
          <s:t>이종훈</s:t>
        </s:is>
      </s:c>
      <s:c r="C22" s="0" t="n">
        <s:v>123517</s:v>
      </s:c>
      <s:c r="D22" s="0" t="n">
        <s:v>1434</s:v>
      </s:c>
      <s:c r="F22" s="24">
        <s:f>'자료구성'!$B$2+TIME(INT($C$3/10000),INT(MOD($C$3,10000)/100),MOD($C$3,100))+(ROW()-ROW($C$3))/86400</s:f>
        <s:v>46247.524722222224</s:v>
      </s:c>
    </s:row>
    <s:row r="23">
      <s:c r="A23" s="0" t="n">
        <s:v>260813</s:v>
      </s:c>
      <s:c r="B23" s="0" t="inlineStr">
        <s:is>
          <s:t>이종훈</s:t>
        </s:is>
      </s:c>
      <s:c r="C23" s="0" t="n">
        <s:v>123517</s:v>
      </s:c>
      <s:c r="D23" s="0" t="n">
        <s:v>1475</s:v>
      </s:c>
      <s:c r="F23" s="24">
        <s:f>'자료구성'!$B$2+TIME(INT($C$3/10000),INT(MOD($C$3,10000)/100),MOD($C$3,100))+(ROW()-ROW($C$3))/86400</s:f>
        <s:v>46247.524733796294</s:v>
      </s:c>
    </s:row>
    <s:row r="24">
      <s:c r="A24" s="0" t="n">
        <s:v>260813</s:v>
      </s:c>
      <s:c r="B24" s="0" t="inlineStr">
        <s:is>
          <s:t>이종훈</s:t>
        </s:is>
      </s:c>
      <s:c r="C24" s="0" t="n">
        <s:v>123517</s:v>
      </s:c>
      <s:c r="D24" s="0" t="n">
        <s:v>1553</s:v>
      </s:c>
      <s:c r="F24" s="24">
        <s:f>'자료구성'!$B$2+TIME(INT($C$3/10000),INT(MOD($C$3,10000)/100),MOD($C$3,100))+(ROW()-ROW($C$3))/86400</s:f>
        <s:v>46247.52474537037</s:v>
      </s:c>
    </s:row>
    <s:row r="25">
      <s:c r="A25" s="0" t="n">
        <s:v>260813</s:v>
      </s:c>
      <s:c r="B25" s="0" t="inlineStr">
        <s:is>
          <s:t>이종훈</s:t>
        </s:is>
      </s:c>
      <s:c r="C25" s="0" t="n">
        <s:v>123517</s:v>
      </s:c>
      <s:c r="D25" s="0" t="n">
        <s:v>1660</s:v>
      </s:c>
      <s:c r="F25" s="24">
        <s:f>'자료구성'!$B$2+TIME(INT($C$3/10000),INT(MOD($C$3,10000)/100),MOD($C$3,100))+(ROW()-ROW($C$3))/86400</s:f>
        <s:v>46247.52475694445</s:v>
      </s:c>
    </s:row>
    <s:row r="26">
      <s:c r="A26" s="0" t="n">
        <s:v>260813</s:v>
      </s:c>
      <s:c r="B26" s="0" t="inlineStr">
        <s:is>
          <s:t>이종훈</s:t>
        </s:is>
      </s:c>
      <s:c r="C26" s="0" t="n">
        <s:v>123517</s:v>
      </s:c>
      <s:c r="D26" s="0" t="n">
        <s:v>1733</s:v>
      </s:c>
      <s:c r="F26" s="24">
        <s:f>'자료구성'!$B$2+TIME(INT($C$3/10000),INT(MOD($C$3,10000)/100),MOD($C$3,100))+(ROW()-ROW($C$3))/86400</s:f>
        <s:v>46247.52476851852</s:v>
      </s:c>
    </s:row>
    <s:row r="27">
      <s:c r="A27" s="0" t="n">
        <s:v>260813</s:v>
      </s:c>
      <s:c r="B27" s="0" t="inlineStr">
        <s:is>
          <s:t>이종훈</s:t>
        </s:is>
      </s:c>
      <s:c r="C27" s="0" t="n">
        <s:v>123517</s:v>
      </s:c>
      <s:c r="D27" s="0" t="n">
        <s:v>1819</s:v>
      </s:c>
      <s:c r="F27" s="24">
        <s:f>'자료구성'!$B$2+TIME(INT($C$3/10000),INT(MOD($C$3,10000)/100),MOD($C$3,100))+(ROW()-ROW($C$3))/86400</s:f>
        <s:v>46247.52478009259</s:v>
      </s:c>
    </s:row>
    <s:row r="28">
      <s:c r="A28" s="0" t="n">
        <s:v>260813</s:v>
      </s:c>
      <s:c r="B28" s="0" t="inlineStr">
        <s:is>
          <s:t>이종훈</s:t>
        </s:is>
      </s:c>
      <s:c r="C28" s="0" t="n">
        <s:v>123517</s:v>
      </s:c>
      <s:c r="D28" s="0" t="n">
        <s:v>1841</s:v>
      </s:c>
      <s:c r="F28" s="24">
        <s:f>'자료구성'!$B$2+TIME(INT($C$3/10000),INT(MOD($C$3,10000)/100),MOD($C$3,100))+(ROW()-ROW($C$3))/86400</s:f>
        <s:v>46247.52479166666</s:v>
      </s:c>
    </s:row>
    <s:row r="29">
      <s:c r="A29" s="0" t="n">
        <s:v>260813</s:v>
      </s:c>
      <s:c r="B29" s="0" t="inlineStr">
        <s:is>
          <s:t>이종훈</s:t>
        </s:is>
      </s:c>
      <s:c r="C29" s="0" t="n">
        <s:v>123517</s:v>
      </s:c>
      <s:c r="D29" s="0" t="n">
        <s:v>1845</s:v>
      </s:c>
      <s:c r="F29" s="24">
        <s:f>'자료구성'!$B$2+TIME(INT($C$3/10000),INT(MOD($C$3,10000)/100),MOD($C$3,100))+(ROW()-ROW($C$3))/86400</s:f>
        <s:v>46247.52480324074</s:v>
      </s:c>
    </s:row>
    <s:row r="30">
      <s:c r="A30" s="0" t="n">
        <s:v>260813</s:v>
      </s:c>
      <s:c r="B30" s="0" t="inlineStr">
        <s:is>
          <s:t>이종훈</s:t>
        </s:is>
      </s:c>
      <s:c r="C30" s="0" t="n">
        <s:v>123517</s:v>
      </s:c>
      <s:c r="D30" s="0" t="n">
        <s:v>1870</s:v>
      </s:c>
      <s:c r="F30" s="24">
        <s:f>'자료구성'!$B$2+TIME(INT($C$3/10000),INT(MOD($C$3,10000)/100),MOD($C$3,100))+(ROW()-ROW($C$3))/86400</s:f>
        <s:v>46247.52481481482</s:v>
      </s:c>
    </s:row>
    <s:row r="31">
      <s:c r="A31" s="0" t="n">
        <s:v>260813</s:v>
      </s:c>
      <s:c r="B31" s="0" t="inlineStr">
        <s:is>
          <s:t>이종훈</s:t>
        </s:is>
      </s:c>
      <s:c r="C31" s="0" t="n">
        <s:v>123517</s:v>
      </s:c>
      <s:c r="D31" s="0" t="n">
        <s:v>1960</s:v>
      </s:c>
      <s:c r="F31" s="24">
        <s:f>'자료구성'!$B$2+TIME(INT($C$3/10000),INT(MOD($C$3,10000)/100),MOD($C$3,100))+(ROW()-ROW($C$3))/86400</s:f>
        <s:v>46247.524826388886</s:v>
      </s:c>
    </s:row>
    <s:row r="32">
      <s:c r="A32" s="0" t="n">
        <s:v>260813</s:v>
      </s:c>
      <s:c r="B32" s="0" t="inlineStr">
        <s:is>
          <s:t>이종훈</s:t>
        </s:is>
      </s:c>
      <s:c r="C32" s="0" t="n">
        <s:v>123517</s:v>
      </s:c>
      <s:c r="D32" s="0" t="n">
        <s:v>1989</s:v>
      </s:c>
      <s:c r="F32" s="24">
        <s:f>'자료구성'!$B$2+TIME(INT($C$3/10000),INT(MOD($C$3,10000)/100),MOD($C$3,100))+(ROW()-ROW($C$3))/86400</s:f>
        <s:v>46247.52483796296</s:v>
      </s:c>
    </s:row>
    <s:row r="33">
      <s:c r="A33" s="0" t="n">
        <s:v>260813</s:v>
      </s:c>
      <s:c r="B33" s="0" t="inlineStr">
        <s:is>
          <s:t>이종훈</s:t>
        </s:is>
      </s:c>
      <s:c r="C33" s="0" t="n">
        <s:v>123517</s:v>
      </s:c>
      <s:c r="D33" s="0" t="n">
        <s:v>2004</s:v>
      </s:c>
      <s:c r="F33" s="24">
        <s:f>'자료구성'!$B$2+TIME(INT($C$3/10000),INT(MOD($C$3,10000)/100),MOD($C$3,100))+(ROW()-ROW($C$3))/86400</s:f>
        <s:v>46247.52484953704</s:v>
      </s:c>
    </s:row>
    <s:row r="34">
      <s:c r="A34" s="0" t="n">
        <s:v>260813</s:v>
      </s:c>
      <s:c r="B34" s="0" t="inlineStr">
        <s:is>
          <s:t>이종훈</s:t>
        </s:is>
      </s:c>
      <s:c r="C34" s="0" t="n">
        <s:v>123517</s:v>
      </s:c>
      <s:c r="D34" s="0" t="n">
        <s:v>2024</s:v>
      </s:c>
      <s:c r="F34" s="24">
        <s:f>'자료구성'!$B$2+TIME(INT($C$3/10000),INT(MOD($C$3,10000)/100),MOD($C$3,100))+(ROW()-ROW($C$3))/86400</s:f>
        <s:v>46247.52486111111</s:v>
      </s:c>
    </s:row>
    <s:row r="35">
      <s:c r="A35" s="0" t="n">
        <s:v>260813</s:v>
      </s:c>
      <s:c r="B35" s="0" t="inlineStr">
        <s:is>
          <s:t>이종훈</s:t>
        </s:is>
      </s:c>
      <s:c r="C35" s="0" t="n">
        <s:v>123517</s:v>
      </s:c>
      <s:c r="D35" s="0" t="n">
        <s:v>2041</s:v>
      </s:c>
      <s:c r="F35" s="24">
        <s:f>'자료구성'!$B$2+TIME(INT($C$3/10000),INT(MOD($C$3,10000)/100),MOD($C$3,100))+(ROW()-ROW($C$3))/86400</s:f>
        <s:v>46247.524872685186</s:v>
      </s:c>
    </s:row>
    <s:row r="36">
      <s:c r="A36" s="0" t="n">
        <s:v>260813</s:v>
      </s:c>
      <s:c r="B36" s="0" t="inlineStr">
        <s:is>
          <s:t>이종훈</s:t>
        </s:is>
      </s:c>
      <s:c r="C36" s="0" t="n">
        <s:v>123517</s:v>
      </s:c>
      <s:c r="D36" s="0" t="n">
        <s:v>2043</s:v>
      </s:c>
      <s:c r="F36" s="24">
        <s:f>'자료구성'!$B$2+TIME(INT($C$3/10000),INT(MOD($C$3,10000)/100),MOD($C$3,100))+(ROW()-ROW($C$3))/86400</s:f>
        <s:v>46247.52488425926</s:v>
      </s:c>
    </s:row>
    <s:row r="37">
      <s:c r="A37" s="0" t="n">
        <s:v>260813</s:v>
      </s:c>
      <s:c r="B37" s="0" t="inlineStr">
        <s:is>
          <s:t>이종훈</s:t>
        </s:is>
      </s:c>
      <s:c r="C37" s="0" t="n">
        <s:v>123517</s:v>
      </s:c>
      <s:c r="D37" s="0" t="n">
        <s:v>2050</s:v>
      </s:c>
      <s:c r="F37" s="24">
        <s:f>'자료구성'!$B$2+TIME(INT($C$3/10000),INT(MOD($C$3,10000)/100),MOD($C$3,100))+(ROW()-ROW($C$3))/86400</s:f>
        <s:v>46247.52489583333</s:v>
      </s:c>
    </s:row>
    <s:row r="38">
      <s:c r="A38" s="0" t="n">
        <s:v>260813</s:v>
      </s:c>
      <s:c r="B38" s="0" t="inlineStr">
        <s:is>
          <s:t>이종훈</s:t>
        </s:is>
      </s:c>
      <s:c r="C38" s="0" t="n">
        <s:v>123517</s:v>
      </s:c>
      <s:c r="D38" s="0" t="n">
        <s:v>2069</s:v>
      </s:c>
      <s:c r="F38" s="24">
        <s:f>'자료구성'!$B$2+TIME(INT($C$3/10000),INT(MOD($C$3,10000)/100),MOD($C$3,100))+(ROW()-ROW($C$3))/86400</s:f>
        <s:v>46247.52490740741</s:v>
      </s:c>
    </s:row>
    <s:row r="39">
      <s:c r="A39" s="0" t="n">
        <s:v>260813</s:v>
      </s:c>
      <s:c r="B39" s="0" t="inlineStr">
        <s:is>
          <s:t>이종훈</s:t>
        </s:is>
      </s:c>
      <s:c r="C39" s="0" t="n">
        <s:v>123517</s:v>
      </s:c>
      <s:c r="D39" s="0" t="n">
        <s:v>2056</s:v>
      </s:c>
      <s:c r="F39" s="24">
        <s:f>'자료구성'!$B$2+TIME(INT($C$3/10000),INT(MOD($C$3,10000)/100),MOD($C$3,100))+(ROW()-ROW($C$3))/86400</s:f>
        <s:v>46247.52491898148</s:v>
      </s:c>
    </s:row>
    <s:row r="40">
      <s:c r="A40" s="0" t="n">
        <s:v>260813</s:v>
      </s:c>
      <s:c r="B40" s="0" t="inlineStr">
        <s:is>
          <s:t>이종훈</s:t>
        </s:is>
      </s:c>
      <s:c r="C40" s="0" t="n">
        <s:v>123517</s:v>
      </s:c>
      <s:c r="D40" s="0" t="n">
        <s:v>2058</s:v>
      </s:c>
      <s:c r="F40" s="24">
        <s:f>'자료구성'!$B$2+TIME(INT($C$3/10000),INT(MOD($C$3,10000)/100),MOD($C$3,100))+(ROW()-ROW($C$3))/86400</s:f>
        <s:v>46247.524930555555</s:v>
      </s:c>
    </s:row>
    <s:row r="41">
      <s:c r="A41" s="0" t="n">
        <s:v>260813</s:v>
      </s:c>
      <s:c r="B41" s="0" t="inlineStr">
        <s:is>
          <s:t>이종훈</s:t>
        </s:is>
      </s:c>
      <s:c r="C41" s="0" t="n">
        <s:v>123517</s:v>
      </s:c>
      <s:c r="D41" s="0" t="n">
        <s:v>2070</s:v>
      </s:c>
      <s:c r="F41" s="24">
        <s:f>'자료구성'!$B$2+TIME(INT($C$3/10000),INT(MOD($C$3,10000)/100),MOD($C$3,100))+(ROW()-ROW($C$3))/86400</s:f>
        <s:v>46247.52494212963</s:v>
      </s:c>
    </s:row>
    <s:row r="42">
      <s:c r="A42" s="0" t="n">
        <s:v>260813</s:v>
      </s:c>
      <s:c r="B42" s="0" t="inlineStr">
        <s:is>
          <s:t>이종훈</s:t>
        </s:is>
      </s:c>
      <s:c r="C42" s="0" t="n">
        <s:v>123517</s:v>
      </s:c>
      <s:c r="D42" s="0" t="n">
        <s:v>2054</s:v>
      </s:c>
      <s:c r="F42" s="24">
        <s:f>'자료구성'!$B$2+TIME(INT($C$3/10000),INT(MOD($C$3,10000)/100),MOD($C$3,100))+(ROW()-ROW($C$3))/86400</s:f>
        <s:v>46247.5249537037</s:v>
      </s:c>
    </s:row>
    <s:row r="43">
      <s:c r="A43" s="0" t="n">
        <s:v>260813</s:v>
      </s:c>
      <s:c r="B43" s="0" t="inlineStr">
        <s:is>
          <s:t>이종훈</s:t>
        </s:is>
      </s:c>
      <s:c r="C43" s="0" t="n">
        <s:v>123517</s:v>
      </s:c>
      <s:c r="D43" s="0" t="n">
        <s:v>2026</s:v>
      </s:c>
      <s:c r="F43" s="24">
        <s:f>'자료구성'!$B$2+TIME(INT($C$3/10000),INT(MOD($C$3,10000)/100),MOD($C$3,100))+(ROW()-ROW($C$3))/86400</s:f>
        <s:v>46247.52496527778</s:v>
      </s:c>
    </s:row>
    <s:row r="44">
      <s:c r="A44" s="0" t="n">
        <s:v>260813</s:v>
      </s:c>
      <s:c r="B44" s="0" t="inlineStr">
        <s:is>
          <s:t>이종훈</s:t>
        </s:is>
      </s:c>
      <s:c r="C44" s="0" t="n">
        <s:v>123517</s:v>
      </s:c>
      <s:c r="D44" s="0" t="n">
        <s:v>1958</s:v>
      </s:c>
      <s:c r="F44" s="24">
        <s:f>'자료구성'!$B$2+TIME(INT($C$3/10000),INT(MOD($C$3,10000)/100),MOD($C$3,100))+(ROW()-ROW($C$3))/86400</s:f>
        <s:v>46247.524976851855</s:v>
      </s:c>
    </s:row>
    <s:row r="45">
      <s:c r="A45" s="0" t="n">
        <s:v>260813</s:v>
      </s:c>
      <s:c r="B45" s="0" t="inlineStr">
        <s:is>
          <s:t>이종훈</s:t>
        </s:is>
      </s:c>
      <s:c r="C45" s="0" t="n">
        <s:v>123517</s:v>
      </s:c>
      <s:c r="D45" s="0" t="n">
        <s:v>1871</s:v>
      </s:c>
      <s:c r="F45" s="24">
        <s:f>'자료구성'!$B$2+TIME(INT($C$3/10000),INT(MOD($C$3,10000)/100),MOD($C$3,100))+(ROW()-ROW($C$3))/86400</s:f>
        <s:v>46247.524988425925</s:v>
      </s:c>
    </s:row>
    <s:row r="46">
      <s:c r="A46" s="0" t="n">
        <s:v>260813</s:v>
      </s:c>
      <s:c r="B46" s="0" t="inlineStr">
        <s:is>
          <s:t>이종훈</s:t>
        </s:is>
      </s:c>
      <s:c r="C46" s="0" t="n">
        <s:v>123517</s:v>
      </s:c>
      <s:c r="D46" s="0" t="n">
        <s:v>1802</s:v>
      </s:c>
      <s:c r="F46" s="24">
        <s:f>'자료구성'!$B$2+TIME(INT($C$3/10000),INT(MOD($C$3,10000)/100),MOD($C$3,100))+(ROW()-ROW($C$3))/86400</s:f>
        <s:v>46247.525</s:v>
      </s:c>
    </s:row>
    <s:row r="47">
      <s:c r="A47" s="0" t="n">
        <s:v>260813</s:v>
      </s:c>
      <s:c r="B47" s="0" t="inlineStr">
        <s:is>
          <s:t>이종훈</s:t>
        </s:is>
      </s:c>
      <s:c r="C47" s="0" t="n">
        <s:v>123517</s:v>
      </s:c>
      <s:c r="D47" s="0" t="n">
        <s:v>1735</s:v>
      </s:c>
      <s:c r="F47" s="24">
        <s:f>'자료구성'!$B$2+TIME(INT($C$3/10000),INT(MOD($C$3,10000)/100),MOD($C$3,100))+(ROW()-ROW($C$3))/86400</s:f>
        <s:v>46247.52501157407</s:v>
      </s:c>
    </s:row>
    <s:row r="48">
      <s:c r="A48" s="0" t="n">
        <s:v>260813</s:v>
      </s:c>
      <s:c r="B48" s="0" t="inlineStr">
        <s:is>
          <s:t>이종훈</s:t>
        </s:is>
      </s:c>
      <s:c r="C48" s="0" t="n">
        <s:v>123517</s:v>
      </s:c>
      <s:c r="D48" s="0" t="n">
        <s:v>1668</s:v>
      </s:c>
      <s:c r="F48" s="24">
        <s:f>'자료구성'!$B$2+TIME(INT($C$3/10000),INT(MOD($C$3,10000)/100),MOD($C$3,100))+(ROW()-ROW($C$3))/86400</s:f>
        <s:v>46247.52502314815</s:v>
      </s:c>
    </s:row>
    <s:row r="49">
      <s:c r="A49" s="0" t="n">
        <s:v>260813</s:v>
      </s:c>
      <s:c r="B49" s="0" t="inlineStr">
        <s:is>
          <s:t>이종훈</s:t>
        </s:is>
      </s:c>
      <s:c r="C49" s="0" t="n">
        <s:v>123517</s:v>
      </s:c>
      <s:c r="D49" s="0" t="n">
        <s:v>1615</s:v>
      </s:c>
      <s:c r="F49" s="24">
        <s:f>'자료구성'!$B$2+TIME(INT($C$3/10000),INT(MOD($C$3,10000)/100),MOD($C$3,100))+(ROW()-ROW($C$3))/86400</s:f>
        <s:v>46247.525034722225</s:v>
      </s:c>
    </s:row>
    <s:row r="50">
      <s:c r="A50" s="0" t="n">
        <s:v>260813</s:v>
      </s:c>
      <s:c r="B50" s="0" t="inlineStr">
        <s:is>
          <s:t>이종훈</s:t>
        </s:is>
      </s:c>
      <s:c r="C50" s="0" t="n">
        <s:v>123517</s:v>
      </s:c>
      <s:c r="D50" s="0" t="n">
        <s:v>1551</s:v>
      </s:c>
      <s:c r="F50" s="24">
        <s:f>'자료구성'!$B$2+TIME(INT($C$3/10000),INT(MOD($C$3,10000)/100),MOD($C$3,100))+(ROW()-ROW($C$3))/86400</s:f>
        <s:v>46247.525046296294</s:v>
      </s:c>
    </s:row>
    <s:row r="51">
      <s:c r="A51" s="0" t="n">
        <s:v>260813</s:v>
      </s:c>
      <s:c r="B51" s="0" t="inlineStr">
        <s:is>
          <s:t>이종훈</s:t>
        </s:is>
      </s:c>
      <s:c r="C51" s="0" t="n">
        <s:v>123517</s:v>
      </s:c>
      <s:c r="D51" s="0" t="n">
        <s:v>1525</s:v>
      </s:c>
      <s:c r="F51" s="24">
        <s:f>'자료구성'!$B$2+TIME(INT($C$3/10000),INT(MOD($C$3,10000)/100),MOD($C$3,100))+(ROW()-ROW($C$3))/86400</s:f>
        <s:v>46247.52505787037</s:v>
      </s:c>
    </s:row>
    <s:row r="52">
      <s:c r="A52" s="0" t="n">
        <s:v>260813</s:v>
      </s:c>
      <s:c r="B52" s="0" t="inlineStr">
        <s:is>
          <s:t>이종훈</s:t>
        </s:is>
      </s:c>
      <s:c r="C52" s="0" t="n">
        <s:v>123517</s:v>
      </s:c>
      <s:c r="D52" s="0" t="n">
        <s:v>1592</s:v>
      </s:c>
      <s:c r="F52" s="24">
        <s:f>'자료구성'!$B$2+TIME(INT($C$3/10000),INT(MOD($C$3,10000)/100),MOD($C$3,100))+(ROW()-ROW($C$3))/86400</s:f>
        <s:v>46247.52506944445</s:v>
      </s:c>
    </s:row>
    <s:row r="53">
      <s:c r="A53" s="0" t="n">
        <s:v>260813</s:v>
      </s:c>
      <s:c r="B53" s="0" t="inlineStr">
        <s:is>
          <s:t>이종훈</s:t>
        </s:is>
      </s:c>
      <s:c r="C53" s="0" t="n">
        <s:v>123517</s:v>
      </s:c>
      <s:c r="D53" s="0" t="n">
        <s:v>1636</s:v>
      </s:c>
      <s:c r="F53" s="24">
        <s:f>'자료구성'!$B$2+TIME(INT($C$3/10000),INT(MOD($C$3,10000)/100),MOD($C$3,100))+(ROW()-ROW($C$3))/86400</s:f>
        <s:v>46247.52508101852</s:v>
      </s:c>
    </s:row>
    <s:row r="54">
      <s:c r="A54" s="0" t="n">
        <s:v>260813</s:v>
      </s:c>
      <s:c r="B54" s="0" t="inlineStr">
        <s:is>
          <s:t>이종훈</s:t>
        </s:is>
      </s:c>
      <s:c r="C54" s="0" t="n">
        <s:v>123517</s:v>
      </s:c>
      <s:c r="D54" s="0" t="n">
        <s:v>1680</s:v>
      </s:c>
      <s:c r="F54" s="24">
        <s:f>'자료구성'!$B$2+TIME(INT($C$3/10000),INT(MOD($C$3,10000)/100),MOD($C$3,100))+(ROW()-ROW($C$3))/86400</s:f>
        <s:v>46247.525092592594</s:v>
      </s:c>
    </s:row>
    <s:row r="55">
      <s:c r="A55" s="0" t="n">
        <s:v>260813</s:v>
      </s:c>
      <s:c r="B55" s="0" t="inlineStr">
        <s:is>
          <s:t>이종훈</s:t>
        </s:is>
      </s:c>
      <s:c r="C55" s="0" t="n">
        <s:v>123517</s:v>
      </s:c>
      <s:c r="D55" s="0" t="n">
        <s:v>1714</s:v>
      </s:c>
      <s:c r="F55" s="24">
        <s:f>'자료구성'!$B$2+TIME(INT($C$3/10000),INT(MOD($C$3,10000)/100),MOD($C$3,100))+(ROW()-ROW($C$3))/86400</s:f>
        <s:v>46247.52510416666</s:v>
      </s:c>
    </s:row>
    <s:row r="56">
      <s:c r="A56" s="0" t="n">
        <s:v>260813</s:v>
      </s:c>
      <s:c r="B56" s="0" t="inlineStr">
        <s:is>
          <s:t>이종훈</s:t>
        </s:is>
      </s:c>
      <s:c r="C56" s="0" t="n">
        <s:v>123517</s:v>
      </s:c>
      <s:c r="D56" s="0" t="n">
        <s:v>1723</s:v>
      </s:c>
      <s:c r="F56" s="24">
        <s:f>'자료구성'!$B$2+TIME(INT($C$3/10000),INT(MOD($C$3,10000)/100),MOD($C$3,100))+(ROW()-ROW($C$3))/86400</s:f>
        <s:v>46247.52511574074</s:v>
      </s:c>
    </s:row>
    <s:row r="57">
      <s:c r="A57" s="0" t="n">
        <s:v>260813</s:v>
      </s:c>
      <s:c r="B57" s="0" t="inlineStr">
        <s:is>
          <s:t>이종훈</s:t>
        </s:is>
      </s:c>
      <s:c r="C57" s="0" t="n">
        <s:v>123517</s:v>
      </s:c>
      <s:c r="D57" s="0" t="n">
        <s:v>1723</s:v>
      </s:c>
      <s:c r="F57" s="24">
        <s:f>'자료구성'!$B$2+TIME(INT($C$3/10000),INT(MOD($C$3,10000)/100),MOD($C$3,100))+(ROW()-ROW($C$3))/86400</s:f>
        <s:v>46247.52512731482</s:v>
      </s:c>
    </s:row>
    <s:row r="58">
      <s:c r="A58" s="0" t="n">
        <s:v>260813</s:v>
      </s:c>
      <s:c r="B58" s="0" t="inlineStr">
        <s:is>
          <s:t>이종훈</s:t>
        </s:is>
      </s:c>
      <s:c r="C58" s="0" t="n">
        <s:v>123517</s:v>
      </s:c>
      <s:c r="D58" s="0" t="n">
        <s:v>1762</s:v>
      </s:c>
      <s:c r="F58" s="24">
        <s:f>'자료구성'!$B$2+TIME(INT($C$3/10000),INT(MOD($C$3,10000)/100),MOD($C$3,100))+(ROW()-ROW($C$3))/86400</s:f>
        <s:v>46247.52513888889</s:v>
      </s:c>
    </s:row>
    <s:row r="59">
      <s:c r="A59" s="0" t="n">
        <s:v>260813</s:v>
      </s:c>
      <s:c r="B59" s="0" t="inlineStr">
        <s:is>
          <s:t>이종훈</s:t>
        </s:is>
      </s:c>
      <s:c r="C59" s="0" t="n">
        <s:v>123517</s:v>
      </s:c>
      <s:c r="D59" s="0" t="n">
        <s:v>1759</s:v>
      </s:c>
      <s:c r="F59" s="24">
        <s:f>'자료구성'!$B$2+TIME(INT($C$3/10000),INT(MOD($C$3,10000)/100),MOD($C$3,100))+(ROW()-ROW($C$3))/86400</s:f>
        <s:v>46247.52515046296</s:v>
      </s:c>
    </s:row>
    <s:row r="60">
      <s:c r="A60" s="0" t="n">
        <s:v>260813</s:v>
      </s:c>
      <s:c r="B60" s="0" t="inlineStr">
        <s:is>
          <s:t>이종훈</s:t>
        </s:is>
      </s:c>
      <s:c r="C60" s="0" t="n">
        <s:v>123517</s:v>
      </s:c>
      <s:c r="D60" s="0" t="n">
        <s:v>1753</s:v>
      </s:c>
      <s:c r="F60" s="24">
        <s:f>'자료구성'!$B$2+TIME(INT($C$3/10000),INT(MOD($C$3,10000)/100),MOD($C$3,100))+(ROW()-ROW($C$3))/86400</s:f>
        <s:v>46247.52516203704</s:v>
      </s:c>
    </s:row>
    <s:row r="61">
      <s:c r="A61" s="0" t="n">
        <s:v>260813</s:v>
      </s:c>
      <s:c r="B61" s="0" t="inlineStr">
        <s:is>
          <s:t>이종훈</s:t>
        </s:is>
      </s:c>
      <s:c r="C61" s="0" t="n">
        <s:v>123517</s:v>
      </s:c>
      <s:c r="D61" s="0" t="n">
        <s:v>1774</s:v>
      </s:c>
      <s:c r="F61" s="24">
        <s:f>'자료구성'!$B$2+TIME(INT($C$3/10000),INT(MOD($C$3,10000)/100),MOD($C$3,100))+(ROW()-ROW($C$3))/86400</s:f>
        <s:v>46247.52517361111</s:v>
      </s:c>
    </s:row>
    <s:row r="62">
      <s:c r="A62" s="0" t="n">
        <s:v>260813</s:v>
      </s:c>
      <s:c r="B62" s="0" t="inlineStr">
        <s:is>
          <s:t>이종훈</s:t>
        </s:is>
      </s:c>
      <s:c r="C62" s="0" t="n">
        <s:v>123517</s:v>
      </s:c>
      <s:c r="D62" s="0" t="n">
        <s:v>1879</s:v>
      </s:c>
      <s:c r="F62" s="24">
        <s:f>'자료구성'!$B$2+TIME(INT($C$3/10000),INT(MOD($C$3,10000)/100),MOD($C$3,100))+(ROW()-ROW($C$3))/86400</s:f>
        <s:v>46247.525185185186</s:v>
      </s:c>
    </s:row>
    <s:row r="63">
      <s:c r="A63" s="0" t="n">
        <s:v>260813</s:v>
      </s:c>
      <s:c r="B63" s="0" t="inlineStr">
        <s:is>
          <s:t>이종훈</s:t>
        </s:is>
      </s:c>
      <s:c r="C63" s="0" t="n">
        <s:v>123517</s:v>
      </s:c>
      <s:c r="D63" s="0" t="n">
        <s:v>1929</s:v>
      </s:c>
      <s:c r="F63" s="24">
        <s:f>'자료구성'!$B$2+TIME(INT($C$3/10000),INT(MOD($C$3,10000)/100),MOD($C$3,100))+(ROW()-ROW($C$3))/86400</s:f>
        <s:v>46247.525196759256</s:v>
      </s:c>
    </s:row>
    <s:row r="64">
      <s:c r="A64" s="0" t="n">
        <s:v>260813</s:v>
      </s:c>
      <s:c r="B64" s="0" t="inlineStr">
        <s:is>
          <s:t>이종훈</s:t>
        </s:is>
      </s:c>
      <s:c r="C64" s="0" t="n">
        <s:v>123517</s:v>
      </s:c>
      <s:c r="D64" s="0" t="n">
        <s:v>1951</s:v>
      </s:c>
      <s:c r="F64" s="24">
        <s:f>'자료구성'!$B$2+TIME(INT($C$3/10000),INT(MOD($C$3,10000)/100),MOD($C$3,100))+(ROW()-ROW($C$3))/86400</s:f>
        <s:v>46247.52520833333</s:v>
      </s:c>
    </s:row>
    <s:row r="65">
      <s:c r="A65" s="0" t="n">
        <s:v>260813</s:v>
      </s:c>
      <s:c r="B65" s="0" t="inlineStr">
        <s:is>
          <s:t>이종훈</s:t>
        </s:is>
      </s:c>
      <s:c r="C65" s="0" t="n">
        <s:v>123517</s:v>
      </s:c>
      <s:c r="D65" s="0" t="n">
        <s:v>1975</s:v>
      </s:c>
      <s:c r="F65" s="24">
        <s:f>'자료구성'!$B$2+TIME(INT($C$3/10000),INT(MOD($C$3,10000)/100),MOD($C$3,100))+(ROW()-ROW($C$3))/86400</s:f>
        <s:v>46247.52521990741</s:v>
      </s:c>
    </s:row>
    <s:row r="66">
      <s:c r="A66" s="0" t="n">
        <s:v>260813</s:v>
      </s:c>
      <s:c r="B66" s="0" t="inlineStr">
        <s:is>
          <s:t>이종훈</s:t>
        </s:is>
      </s:c>
      <s:c r="C66" s="0" t="n">
        <s:v>123517</s:v>
      </s:c>
      <s:c r="D66" s="0" t="n">
        <s:v>1960</s:v>
      </s:c>
      <s:c r="F66" s="24">
        <s:f>'자료구성'!$B$2+TIME(INT($C$3/10000),INT(MOD($C$3,10000)/100),MOD($C$3,100))+(ROW()-ROW($C$3))/86400</s:f>
        <s:v>46247.52523148148</s:v>
      </s:c>
    </s:row>
    <s:row r="67">
      <s:c r="A67" s="0" t="n">
        <s:v>260813</s:v>
      </s:c>
      <s:c r="B67" s="0" t="inlineStr">
        <s:is>
          <s:t>이종훈</s:t>
        </s:is>
      </s:c>
      <s:c r="C67" s="0" t="n">
        <s:v>123517</s:v>
      </s:c>
      <s:c r="D67" s="0" t="n">
        <s:v>1930</s:v>
      </s:c>
      <s:c r="F67" s="24">
        <s:f>'자료구성'!$B$2+TIME(INT($C$3/10000),INT(MOD($C$3,10000)/100),MOD($C$3,100))+(ROW()-ROW($C$3))/86400</s:f>
        <s:v>46247.525243055556</s:v>
      </s:c>
    </s:row>
    <s:row r="68">
      <s:c r="A68" s="0" t="n">
        <s:v>260813</s:v>
      </s:c>
      <s:c r="B68" s="0" t="inlineStr">
        <s:is>
          <s:t>이종훈</s:t>
        </s:is>
      </s:c>
      <s:c r="C68" s="0" t="n">
        <s:v>123517</s:v>
      </s:c>
      <s:c r="D68" s="0" t="n">
        <s:v>1931</s:v>
      </s:c>
      <s:c r="F68" s="24">
        <s:f>'자료구성'!$B$2+TIME(INT($C$3/10000),INT(MOD($C$3,10000)/100),MOD($C$3,100))+(ROW()-ROW($C$3))/86400</s:f>
        <s:v>46247.52525462963</s:v>
      </s:c>
    </s:row>
    <s:row r="69">
      <s:c r="A69" s="0" t="n">
        <s:v>260813</s:v>
      </s:c>
      <s:c r="B69" s="0" t="inlineStr">
        <s:is>
          <s:t>이종훈</s:t>
        </s:is>
      </s:c>
      <s:c r="C69" s="0" t="n">
        <s:v>123517</s:v>
      </s:c>
      <s:c r="D69" s="0" t="n">
        <s:v>1935</s:v>
      </s:c>
      <s:c r="F69" s="24">
        <s:f>'자료구성'!$B$2+TIME(INT($C$3/10000),INT(MOD($C$3,10000)/100),MOD($C$3,100))+(ROW()-ROW($C$3))/86400</s:f>
        <s:v>46247.5252662037</s:v>
      </s:c>
    </s:row>
    <s:row r="70">
      <s:c r="A70" s="0" t="n">
        <s:v>260813</s:v>
      </s:c>
      <s:c r="B70" s="0" t="inlineStr">
        <s:is>
          <s:t>이종훈</s:t>
        </s:is>
      </s:c>
      <s:c r="C70" s="0" t="n">
        <s:v>123517</s:v>
      </s:c>
      <s:c r="D70" s="0" t="n">
        <s:v>1931</s:v>
      </s:c>
      <s:c r="F70" s="24">
        <s:f>'자료구성'!$B$2+TIME(INT($C$3/10000),INT(MOD($C$3,10000)/100),MOD($C$3,100))+(ROW()-ROW($C$3))/86400</s:f>
        <s:v>46247.52527777778</s:v>
      </s:c>
    </s:row>
    <s:row r="71">
      <s:c r="A71" s="0" t="n">
        <s:v>260813</s:v>
      </s:c>
      <s:c r="B71" s="0" t="inlineStr">
        <s:is>
          <s:t>이종훈</s:t>
        </s:is>
      </s:c>
      <s:c r="C71" s="0" t="n">
        <s:v>123517</s:v>
      </s:c>
      <s:c r="D71" s="0" t="n">
        <s:v>1936</s:v>
      </s:c>
      <s:c r="F71" s="24">
        <s:f>'자료구성'!$B$2+TIME(INT($C$3/10000),INT(MOD($C$3,10000)/100),MOD($C$3,100))+(ROW()-ROW($C$3))/86400</s:f>
        <s:v>46247.525289351855</s:v>
      </s:c>
    </s:row>
    <s:row r="72">
      <s:c r="A72" s="0" t="n">
        <s:v>260813</s:v>
      </s:c>
      <s:c r="B72" s="0" t="inlineStr">
        <s:is>
          <s:t>이종훈</s:t>
        </s:is>
      </s:c>
      <s:c r="C72" s="0" t="n">
        <s:v>123517</s:v>
      </s:c>
      <s:c r="D72" s="0" t="n">
        <s:v>1929</s:v>
      </s:c>
      <s:c r="F72" s="24">
        <s:f>'자료구성'!$B$2+TIME(INT($C$3/10000),INT(MOD($C$3,10000)/100),MOD($C$3,100))+(ROW()-ROW($C$3))/86400</s:f>
        <s:v>46247.525300925925</s:v>
      </s:c>
    </s:row>
    <s:row r="73">
      <s:c r="A73" s="0" t="n">
        <s:v>260813</s:v>
      </s:c>
      <s:c r="B73" s="0" t="inlineStr">
        <s:is>
          <s:t>이종훈</s:t>
        </s:is>
      </s:c>
      <s:c r="C73" s="0" t="n">
        <s:v>123517</s:v>
      </s:c>
      <s:c r="D73" s="0" t="n">
        <s:v>1915</s:v>
      </s:c>
      <s:c r="F73" s="24">
        <s:f>'자료구성'!$B$2+TIME(INT($C$3/10000),INT(MOD($C$3,10000)/100),MOD($C$3,100))+(ROW()-ROW($C$3))/86400</s:f>
        <s:v>46247.5253125</s:v>
      </s:c>
    </s:row>
    <s:row r="74">
      <s:c r="A74" s="0" t="n">
        <s:v>260813</s:v>
      </s:c>
      <s:c r="B74" s="0" t="inlineStr">
        <s:is>
          <s:t>이종훈</s:t>
        </s:is>
      </s:c>
      <s:c r="C74" s="0" t="n">
        <s:v>123517</s:v>
      </s:c>
      <s:c r="D74" s="0" t="n">
        <s:v>1931</s:v>
      </s:c>
      <s:c r="F74" s="24">
        <s:f>'자료구성'!$B$2+TIME(INT($C$3/10000),INT(MOD($C$3,10000)/100),MOD($C$3,100))+(ROW()-ROW($C$3))/86400</s:f>
        <s:v>46247.52532407407</s:v>
      </s:c>
    </s:row>
    <s:row r="75">
      <s:c r="A75" s="0" t="n">
        <s:v>260813</s:v>
      </s:c>
      <s:c r="B75" s="0" t="inlineStr">
        <s:is>
          <s:t>이종훈</s:t>
        </s:is>
      </s:c>
      <s:c r="C75" s="0" t="n">
        <s:v>123517</s:v>
      </s:c>
      <s:c r="D75" s="0" t="n">
        <s:v>1947</s:v>
      </s:c>
      <s:c r="F75" s="24">
        <s:f>'자료구성'!$B$2+TIME(INT($C$3/10000),INT(MOD($C$3,10000)/100),MOD($C$3,100))+(ROW()-ROW($C$3))/86400</s:f>
        <s:v>46247.52533564815</s:v>
      </s:c>
    </s:row>
    <s:row r="76">
      <s:c r="A76" s="0" t="n">
        <s:v>260813</s:v>
      </s:c>
      <s:c r="B76" s="0" t="inlineStr">
        <s:is>
          <s:t>이종훈</s:t>
        </s:is>
      </s:c>
      <s:c r="C76" s="0" t="n">
        <s:v>123517</s:v>
      </s:c>
      <s:c r="D76" s="0" t="n">
        <s:v>1925</s:v>
      </s:c>
      <s:c r="F76" s="24">
        <s:f>'자료구성'!$B$2+TIME(INT($C$3/10000),INT(MOD($C$3,10000)/100),MOD($C$3,100))+(ROW()-ROW($C$3))/86400</s:f>
        <s:v>46247.525347222225</s:v>
      </s:c>
    </s:row>
    <s:row r="77">
      <s:c r="A77" s="0" t="n">
        <s:v>260813</s:v>
      </s:c>
      <s:c r="B77" s="0" t="inlineStr">
        <s:is>
          <s:t>이종훈</s:t>
        </s:is>
      </s:c>
      <s:c r="C77" s="0" t="n">
        <s:v>123517</s:v>
      </s:c>
      <s:c r="D77" s="0" t="n">
        <s:v>1902</s:v>
      </s:c>
      <s:c r="F77" s="24">
        <s:f>'자료구성'!$B$2+TIME(INT($C$3/10000),INT(MOD($C$3,10000)/100),MOD($C$3,100))+(ROW()-ROW($C$3))/86400</s:f>
        <s:v>46247.525358796294</s:v>
      </s:c>
    </s:row>
    <s:row r="78">
      <s:c r="A78" s="0" t="n">
        <s:v>260813</s:v>
      </s:c>
      <s:c r="B78" s="0" t="inlineStr">
        <s:is>
          <s:t>이종훈</s:t>
        </s:is>
      </s:c>
      <s:c r="C78" s="0" t="n">
        <s:v>123517</s:v>
      </s:c>
      <s:c r="D78" s="0" t="n">
        <s:v>1873</s:v>
      </s:c>
      <s:c r="F78" s="24">
        <s:f>'자료구성'!$B$2+TIME(INT($C$3/10000),INT(MOD($C$3,10000)/100),MOD($C$3,100))+(ROW()-ROW($C$3))/86400</s:f>
        <s:v>46247.52537037037</s:v>
      </s:c>
    </s:row>
    <s:row r="79">
      <s:c r="A79" s="0" t="n">
        <s:v>260813</s:v>
      </s:c>
      <s:c r="B79" s="0" t="inlineStr">
        <s:is>
          <s:t>이종훈</s:t>
        </s:is>
      </s:c>
      <s:c r="C79" s="0" t="n">
        <s:v>123517</s:v>
      </s:c>
      <s:c r="D79" s="0" t="n">
        <s:v>1867</s:v>
      </s:c>
      <s:c r="F79" s="24">
        <s:f>'자료구성'!$B$2+TIME(INT($C$3/10000),INT(MOD($C$3,10000)/100),MOD($C$3,100))+(ROW()-ROW($C$3))/86400</s:f>
        <s:v>46247.52538194445</s:v>
      </s:c>
    </s:row>
    <s:row r="80">
      <s:c r="A80" s="0" t="n">
        <s:v>260813</s:v>
      </s:c>
      <s:c r="B80" s="0" t="inlineStr">
        <s:is>
          <s:t>이종훈</s:t>
        </s:is>
      </s:c>
      <s:c r="C80" s="0" t="n">
        <s:v>123517</s:v>
      </s:c>
      <s:c r="D80" s="0" t="n">
        <s:v>1874</s:v>
      </s:c>
      <s:c r="F80" s="24">
        <s:f>'자료구성'!$B$2+TIME(INT($C$3/10000),INT(MOD($C$3,10000)/100),MOD($C$3,100))+(ROW()-ROW($C$3))/86400</s:f>
        <s:v>46247.52539351852</s:v>
      </s:c>
    </s:row>
    <s:row r="81">
      <s:c r="A81" s="0" t="n">
        <s:v>260813</s:v>
      </s:c>
      <s:c r="B81" s="0" t="inlineStr">
        <s:is>
          <s:t>이종훈</s:t>
        </s:is>
      </s:c>
      <s:c r="C81" s="0" t="n">
        <s:v>123517</s:v>
      </s:c>
      <s:c r="D81" s="0" t="n">
        <s:v>1871</s:v>
      </s:c>
      <s:c r="F81" s="24">
        <s:f>'자료구성'!$B$2+TIME(INT($C$3/10000),INT(MOD($C$3,10000)/100),MOD($C$3,100))+(ROW()-ROW($C$3))/86400</s:f>
        <s:v>46247.525405092594</s:v>
      </s:c>
    </s:row>
    <s:row r="82">
      <s:c r="A82" s="0" t="n">
        <s:v>260813</s:v>
      </s:c>
      <s:c r="B82" s="0" t="inlineStr">
        <s:is>
          <s:t>이종훈</s:t>
        </s:is>
      </s:c>
      <s:c r="C82" s="0" t="n">
        <s:v>123517</s:v>
      </s:c>
      <s:c r="D82" s="0" t="n">
        <s:v>1871</s:v>
      </s:c>
      <s:c r="F82" s="24">
        <s:f>'자료구성'!$B$2+TIME(INT($C$3/10000),INT(MOD($C$3,10000)/100),MOD($C$3,100))+(ROW()-ROW($C$3))/86400</s:f>
        <s:v>46247.525416666664</s:v>
      </s:c>
    </s:row>
    <s:row r="83">
      <s:c r="A83" s="0" t="n">
        <s:v>260813</s:v>
      </s:c>
      <s:c r="B83" s="0" t="inlineStr">
        <s:is>
          <s:t>이종훈</s:t>
        </s:is>
      </s:c>
      <s:c r="C83" s="0" t="n">
        <s:v>123517</s:v>
      </s:c>
      <s:c r="D83" s="0" t="n">
        <s:v>1888</s:v>
      </s:c>
      <s:c r="F83" s="24">
        <s:f>'자료구성'!$B$2+TIME(INT($C$3/10000),INT(MOD($C$3,10000)/100),MOD($C$3,100))+(ROW()-ROW($C$3))/86400</s:f>
        <s:v>46247.52542824074</s:v>
      </s:c>
    </s:row>
    <s:row r="84">
      <s:c r="A84" s="0" t="n">
        <s:v>260813</s:v>
      </s:c>
      <s:c r="B84" s="0" t="inlineStr">
        <s:is>
          <s:t>이종훈</s:t>
        </s:is>
      </s:c>
      <s:c r="C84" s="0" t="n">
        <s:v>123517</s:v>
      </s:c>
      <s:c r="D84" s="0" t="n">
        <s:v>1941</s:v>
      </s:c>
      <s:c r="F84" s="24">
        <s:f>'자료구성'!$B$2+TIME(INT($C$3/10000),INT(MOD($C$3,10000)/100),MOD($C$3,100))+(ROW()-ROW($C$3))/86400</s:f>
        <s:v>46247.52543981482</s:v>
      </s:c>
    </s:row>
    <s:row r="85">
      <s:c r="A85" s="0" t="n">
        <s:v>260813</s:v>
      </s:c>
      <s:c r="B85" s="0" t="inlineStr">
        <s:is>
          <s:t>이종훈</s:t>
        </s:is>
      </s:c>
      <s:c r="C85" s="0" t="n">
        <s:v>123517</s:v>
      </s:c>
      <s:c r="D85" s="0" t="n">
        <s:v>1997</s:v>
      </s:c>
      <s:c r="F85" s="24">
        <s:f>'자료구성'!$B$2+TIME(INT($C$3/10000),INT(MOD($C$3,10000)/100),MOD($C$3,100))+(ROW()-ROW($C$3))/86400</s:f>
        <s:v>46247.52545138889</s:v>
      </s:c>
    </s:row>
    <s:row r="86">
      <s:c r="A86" s="0" t="n">
        <s:v>260813</s:v>
      </s:c>
      <s:c r="B86" s="0" t="inlineStr">
        <s:is>
          <s:t>이종훈</s:t>
        </s:is>
      </s:c>
      <s:c r="C86" s="0" t="n">
        <s:v>123517</s:v>
      </s:c>
      <s:c r="D86" s="0" t="n">
        <s:v>2011</s:v>
      </s:c>
      <s:c r="F86" s="24">
        <s:f>'자료구성'!$B$2+TIME(INT($C$3/10000),INT(MOD($C$3,10000)/100),MOD($C$3,100))+(ROW()-ROW($C$3))/86400</s:f>
        <s:v>46247.52546296296</s:v>
      </s:c>
    </s:row>
    <s:row r="87">
      <s:c r="A87" s="0" t="n">
        <s:v>260813</s:v>
      </s:c>
      <s:c r="B87" s="0" t="inlineStr">
        <s:is>
          <s:t>이종훈</s:t>
        </s:is>
      </s:c>
      <s:c r="C87" s="0" t="n">
        <s:v>123517</s:v>
      </s:c>
      <s:c r="D87" s="0" t="n">
        <s:v>2015</s:v>
      </s:c>
      <s:c r="F87" s="24">
        <s:f>'자료구성'!$B$2+TIME(INT($C$3/10000),INT(MOD($C$3,10000)/100),MOD($C$3,100))+(ROW()-ROW($C$3))/86400</s:f>
        <s:v>46247.52547453704</s:v>
      </s:c>
    </s:row>
    <s:row r="88">
      <s:c r="A88" s="0" t="n">
        <s:v>260813</s:v>
      </s:c>
      <s:c r="B88" s="0" t="inlineStr">
        <s:is>
          <s:t>이종훈</s:t>
        </s:is>
      </s:c>
      <s:c r="C88" s="0" t="n">
        <s:v>123517</s:v>
      </s:c>
      <s:c r="D88" s="0" t="n">
        <s:v>2032</s:v>
      </s:c>
      <s:c r="F88" s="24">
        <s:f>'자료구성'!$B$2+TIME(INT($C$3/10000),INT(MOD($C$3,10000)/100),MOD($C$3,100))+(ROW()-ROW($C$3))/86400</s:f>
        <s:v>46247.52548611111</s:v>
      </s:c>
    </s:row>
    <s:row r="89">
      <s:c r="A89" s="0" t="n">
        <s:v>260813</s:v>
      </s:c>
      <s:c r="B89" s="0" t="inlineStr">
        <s:is>
          <s:t>이종훈</s:t>
        </s:is>
      </s:c>
      <s:c r="C89" s="0" t="n">
        <s:v>123517</s:v>
      </s:c>
      <s:c r="D89" s="0" t="n">
        <s:v>2060</s:v>
      </s:c>
      <s:c r="F89" s="24">
        <s:f>'자료구성'!$B$2+TIME(INT($C$3/10000),INT(MOD($C$3,10000)/100),MOD($C$3,100))+(ROW()-ROW($C$3))/86400</s:f>
        <s:v>46247.52549768519</s:v>
      </s:c>
    </s:row>
    <s:row r="90">
      <s:c r="A90" s="0" t="n">
        <s:v>260813</s:v>
      </s:c>
      <s:c r="B90" s="0" t="inlineStr">
        <s:is>
          <s:t>이종훈</s:t>
        </s:is>
      </s:c>
      <s:c r="C90" s="0" t="n">
        <s:v>123517</s:v>
      </s:c>
      <s:c r="D90" s="0" t="n">
        <s:v>2067</s:v>
      </s:c>
      <s:c r="F90" s="24">
        <s:f>'자료구성'!$B$2+TIME(INT($C$3/10000),INT(MOD($C$3,10000)/100),MOD($C$3,100))+(ROW()-ROW($C$3))/86400</s:f>
        <s:v>46247.525509259256</s:v>
      </s:c>
    </s:row>
    <s:row r="91">
      <s:c r="A91" s="0" t="n">
        <s:v>260813</s:v>
      </s:c>
      <s:c r="B91" s="0" t="inlineStr">
        <s:is>
          <s:t>이종훈</s:t>
        </s:is>
      </s:c>
      <s:c r="C91" s="0" t="n">
        <s:v>123517</s:v>
      </s:c>
      <s:c r="D91" s="0" t="n">
        <s:v>2058</s:v>
      </s:c>
      <s:c r="F91" s="24">
        <s:f>'자료구성'!$B$2+TIME(INT($C$3/10000),INT(MOD($C$3,10000)/100),MOD($C$3,100))+(ROW()-ROW($C$3))/86400</s:f>
        <s:v>46247.52552083333</s:v>
      </s:c>
    </s:row>
    <s:row r="92">
      <s:c r="A92" s="0" t="n">
        <s:v>260813</s:v>
      </s:c>
      <s:c r="B92" s="0" t="inlineStr">
        <s:is>
          <s:t>이종훈</s:t>
        </s:is>
      </s:c>
      <s:c r="C92" s="0" t="n">
        <s:v>123517</s:v>
      </s:c>
      <s:c r="D92" s="0" t="n">
        <s:v>2042</s:v>
      </s:c>
      <s:c r="F92" s="24">
        <s:f>'자료구성'!$B$2+TIME(INT($C$3/10000),INT(MOD($C$3,10000)/100),MOD($C$3,100))+(ROW()-ROW($C$3))/86400</s:f>
        <s:v>46247.52553240741</s:v>
      </s:c>
    </s:row>
    <s:row r="93">
      <s:c r="A93" s="0" t="n">
        <s:v>260813</s:v>
      </s:c>
      <s:c r="B93" s="0" t="inlineStr">
        <s:is>
          <s:t>이종훈</s:t>
        </s:is>
      </s:c>
      <s:c r="C93" s="0" t="n">
        <s:v>123517</s:v>
      </s:c>
      <s:c r="D93" s="0" t="n">
        <s:v>2022</s:v>
      </s:c>
      <s:c r="F93" s="24">
        <s:f>'자료구성'!$B$2+TIME(INT($C$3/10000),INT(MOD($C$3,10000)/100),MOD($C$3,100))+(ROW()-ROW($C$3))/86400</s:f>
        <s:v>46247.52554398148</s:v>
      </s:c>
    </s:row>
    <s:row r="94">
      <s:c r="A94" s="0" t="n">
        <s:v>260813</s:v>
      </s:c>
      <s:c r="B94" s="0" t="inlineStr">
        <s:is>
          <s:t>이종훈</s:t>
        </s:is>
      </s:c>
      <s:c r="C94" s="0" t="n">
        <s:v>123517</s:v>
      </s:c>
      <s:c r="D94" s="0" t="n">
        <s:v>2056</s:v>
      </s:c>
      <s:c r="F94" s="24">
        <s:f>'자료구성'!$B$2+TIME(INT($C$3/10000),INT(MOD($C$3,10000)/100),MOD($C$3,100))+(ROW()-ROW($C$3))/86400</s:f>
        <s:v>46247.525555555556</s:v>
      </s:c>
    </s:row>
    <s:row r="95">
      <s:c r="A95" s="0" t="n">
        <s:v>260813</s:v>
      </s:c>
      <s:c r="B95" s="0" t="inlineStr">
        <s:is>
          <s:t>이종훈</s:t>
        </s:is>
      </s:c>
      <s:c r="C95" s="0" t="n">
        <s:v>123517</s:v>
      </s:c>
      <s:c r="D95" s="0" t="n">
        <s:v>2109</s:v>
      </s:c>
      <s:c r="F95" s="24">
        <s:f>'자료구성'!$B$2+TIME(INT($C$3/10000),INT(MOD($C$3,10000)/100),MOD($C$3,100))+(ROW()-ROW($C$3))/86400</s:f>
        <s:v>46247.52556712963</s:v>
      </s:c>
    </s:row>
    <s:row r="96">
      <s:c r="A96" s="0" t="n">
        <s:v>260813</s:v>
      </s:c>
      <s:c r="B96" s="0" t="inlineStr">
        <s:is>
          <s:t>이종훈</s:t>
        </s:is>
      </s:c>
      <s:c r="C96" s="0" t="n">
        <s:v>123517</s:v>
      </s:c>
      <s:c r="D96" s="0" t="n">
        <s:v>2149</s:v>
      </s:c>
      <s:c r="F96" s="24">
        <s:f>'자료구성'!$B$2+TIME(INT($C$3/10000),INT(MOD($C$3,10000)/100),MOD($C$3,100))+(ROW()-ROW($C$3))/86400</s:f>
        <s:v>46247.5255787037</s:v>
      </s:c>
    </s:row>
    <s:row r="97">
      <s:c r="A97" s="0" t="n">
        <s:v>260813</s:v>
      </s:c>
      <s:c r="B97" s="0" t="inlineStr">
        <s:is>
          <s:t>이종훈</s:t>
        </s:is>
      </s:c>
      <s:c r="C97" s="0" t="n">
        <s:v>123517</s:v>
      </s:c>
      <s:c r="D97" s="0" t="n">
        <s:v>2159</s:v>
      </s:c>
      <s:c r="F97" s="24">
        <s:f>'자료구성'!$B$2+TIME(INT($C$3/10000),INT(MOD($C$3,10000)/100),MOD($C$3,100))+(ROW()-ROW($C$3))/86400</s:f>
        <s:v>46247.52559027778</s:v>
      </s:c>
    </s:row>
    <s:row r="98">
      <s:c r="A98" s="0" t="n">
        <s:v>260813</s:v>
      </s:c>
      <s:c r="B98" s="0" t="inlineStr">
        <s:is>
          <s:t>이종훈</s:t>
        </s:is>
      </s:c>
      <s:c r="C98" s="0" t="n">
        <s:v>123517</s:v>
      </s:c>
      <s:c r="D98" s="0" t="n">
        <s:v>2196</s:v>
      </s:c>
      <s:c r="F98" s="24">
        <s:f>'자료구성'!$B$2+TIME(INT($C$3/10000),INT(MOD($C$3,10000)/100),MOD($C$3,100))+(ROW()-ROW($C$3))/86400</s:f>
        <s:v>46247.52560185185</s:v>
      </s:c>
    </s:row>
    <s:row r="99">
      <s:c r="A99" s="0" t="n">
        <s:v>260813</s:v>
      </s:c>
      <s:c r="B99" s="0" t="inlineStr">
        <s:is>
          <s:t>이종훈</s:t>
        </s:is>
      </s:c>
      <s:c r="C99" s="0" t="n">
        <s:v>123517</s:v>
      </s:c>
      <s:c r="D99" s="0" t="n">
        <s:v>2211</s:v>
      </s:c>
      <s:c r="F99" s="24">
        <s:f>'자료구성'!$B$2+TIME(INT($C$3/10000),INT(MOD($C$3,10000)/100),MOD($C$3,100))+(ROW()-ROW($C$3))/86400</s:f>
        <s:v>46247.525613425925</s:v>
      </s:c>
    </s:row>
    <s:row r="100">
      <s:c r="A100" s="0" t="n">
        <s:v>260813</s:v>
      </s:c>
      <s:c r="B100" s="0" t="inlineStr">
        <s:is>
          <s:t>이종훈</s:t>
        </s:is>
      </s:c>
      <s:c r="C100" s="0" t="n">
        <s:v>123517</s:v>
      </s:c>
      <s:c r="D100" s="0" t="n">
        <s:v>2222</s:v>
      </s:c>
      <s:c r="F100" s="24">
        <s:f>'자료구성'!$B$2+TIME(INT($C$3/10000),INT(MOD($C$3,10000)/100),MOD($C$3,100))+(ROW()-ROW($C$3))/86400</s:f>
        <s:v>46247.525625</s:v>
      </s:c>
    </s:row>
    <s:row r="101">
      <s:c r="A101" s="0" t="n">
        <s:v>260813</s:v>
      </s:c>
      <s:c r="B101" s="0" t="inlineStr">
        <s:is>
          <s:t>이종훈</s:t>
        </s:is>
      </s:c>
      <s:c r="C101" s="0" t="n">
        <s:v>123517</s:v>
      </s:c>
      <s:c r="D101" s="0" t="n">
        <s:v>2210</s:v>
      </s:c>
      <s:c r="F101" s="24">
        <s:f>'자료구성'!$B$2+TIME(INT($C$3/10000),INT(MOD($C$3,10000)/100),MOD($C$3,100))+(ROW()-ROW($C$3))/86400</s:f>
        <s:v>46247.52563657407</s:v>
      </s:c>
    </s:row>
    <s:row r="102">
      <s:c r="A102" s="0" t="n">
        <s:v>260813</s:v>
      </s:c>
      <s:c r="B102" s="0" t="inlineStr">
        <s:is>
          <s:t>이종훈</s:t>
        </s:is>
      </s:c>
      <s:c r="C102" s="0" t="n">
        <s:v>123517</s:v>
      </s:c>
      <s:c r="D102" s="0" t="n">
        <s:v>2173</s:v>
      </s:c>
      <s:c r="F102" s="24">
        <s:f>'자료구성'!$B$2+TIME(INT($C$3/10000),INT(MOD($C$3,10000)/100),MOD($C$3,100))+(ROW()-ROW($C$3))/86400</s:f>
        <s:v>46247.52564814815</s:v>
      </s:c>
    </s:row>
    <s:row r="103">
      <s:c r="A103" s="0" t="n">
        <s:v>260813</s:v>
      </s:c>
      <s:c r="B103" s="0" t="inlineStr">
        <s:is>
          <s:t>이종훈</s:t>
        </s:is>
      </s:c>
      <s:c r="C103" s="0" t="n">
        <s:v>123517</s:v>
      </s:c>
      <s:c r="D103" s="0" t="n">
        <s:v>2132</s:v>
      </s:c>
      <s:c r="F103" s="24">
        <s:f>'자료구성'!$B$2+TIME(INT($C$3/10000),INT(MOD($C$3,10000)/100),MOD($C$3,100))+(ROW()-ROW($C$3))/86400</s:f>
        <s:v>46247.525659722225</s:v>
      </s:c>
    </s:row>
    <s:row r="104">
      <s:c r="A104" s="0" t="n">
        <s:v>260813</s:v>
      </s:c>
      <s:c r="B104" s="0" t="inlineStr">
        <s:is>
          <s:t>이종훈</s:t>
        </s:is>
      </s:c>
      <s:c r="C104" s="0" t="n">
        <s:v>123517</s:v>
      </s:c>
      <s:c r="D104" s="0" t="n">
        <s:v>2131</s:v>
      </s:c>
      <s:c r="F104" s="24">
        <s:f>'자료구성'!$B$2+TIME(INT($C$3/10000),INT(MOD($C$3,10000)/100),MOD($C$3,100))+(ROW()-ROW($C$3))/86400</s:f>
        <s:v>46247.525671296295</s:v>
      </s:c>
    </s:row>
    <s:row r="105">
      <s:c r="A105" s="0" t="n">
        <s:v>260813</s:v>
      </s:c>
      <s:c r="B105" s="0" t="inlineStr">
        <s:is>
          <s:t>이종훈</s:t>
        </s:is>
      </s:c>
      <s:c r="C105" s="0" t="n">
        <s:v>123517</s:v>
      </s:c>
      <s:c r="D105" s="0" t="n">
        <s:v>2109</s:v>
      </s:c>
      <s:c r="F105" s="24">
        <s:f>'자료구성'!$B$2+TIME(INT($C$3/10000),INT(MOD($C$3,10000)/100),MOD($C$3,100))+(ROW()-ROW($C$3))/86400</s:f>
        <s:v>46247.52568287037</s:v>
      </s:c>
    </s:row>
    <s:row r="106">
      <s:c r="A106" s="0" t="n">
        <s:v>260813</s:v>
      </s:c>
      <s:c r="B106" s="0" t="inlineStr">
        <s:is>
          <s:t>이종훈</s:t>
        </s:is>
      </s:c>
      <s:c r="C106" s="0" t="n">
        <s:v>123517</s:v>
      </s:c>
      <s:c r="D106" s="0" t="n">
        <s:v>2125</s:v>
      </s:c>
      <s:c r="F106" s="24">
        <s:f>'자료구성'!$B$2+TIME(INT($C$3/10000),INT(MOD($C$3,10000)/100),MOD($C$3,100))+(ROW()-ROW($C$3))/86400</s:f>
        <s:v>46247.52569444444</s:v>
      </s:c>
    </s:row>
    <s:row r="107">
      <s:c r="A107" s="0" t="n">
        <s:v>260813</s:v>
      </s:c>
      <s:c r="B107" s="0" t="inlineStr">
        <s:is>
          <s:t>이종훈</s:t>
        </s:is>
      </s:c>
      <s:c r="C107" s="0" t="n">
        <s:v>123517</s:v>
      </s:c>
      <s:c r="D107" s="0" t="n">
        <s:v>2170</s:v>
      </s:c>
      <s:c r="F107" s="24">
        <s:f>'자료구성'!$B$2+TIME(INT($C$3/10000),INT(MOD($C$3,10000)/100),MOD($C$3,100))+(ROW()-ROW($C$3))/86400</s:f>
        <s:v>46247.52570601852</s:v>
      </s:c>
    </s:row>
    <s:row r="108">
      <s:c r="A108" s="0" t="n">
        <s:v>260813</s:v>
      </s:c>
      <s:c r="B108" s="0" t="inlineStr">
        <s:is>
          <s:t>이종훈</s:t>
        </s:is>
      </s:c>
      <s:c r="C108" s="0" t="n">
        <s:v>123517</s:v>
      </s:c>
      <s:c r="D108" s="0" t="n">
        <s:v>2202</s:v>
      </s:c>
      <s:c r="F108" s="24">
        <s:f>'자료구성'!$B$2+TIME(INT($C$3/10000),INT(MOD($C$3,10000)/100),MOD($C$3,100))+(ROW()-ROW($C$3))/86400</s:f>
        <s:v>46247.525717592594</s:v>
      </s:c>
    </s:row>
    <s:row r="109">
      <s:c r="A109" s="0" t="n">
        <s:v>260813</s:v>
      </s:c>
      <s:c r="B109" s="0" t="inlineStr">
        <s:is>
          <s:t>이종훈</s:t>
        </s:is>
      </s:c>
      <s:c r="C109" s="0" t="n">
        <s:v>123517</s:v>
      </s:c>
      <s:c r="D109" s="0" t="n">
        <s:v>2254</s:v>
      </s:c>
      <s:c r="F109" s="24">
        <s:f>'자료구성'!$B$2+TIME(INT($C$3/10000),INT(MOD($C$3,10000)/100),MOD($C$3,100))+(ROW()-ROW($C$3))/86400</s:f>
        <s:v>46247.525729166664</s:v>
      </s:c>
    </s:row>
    <s:row r="110">
      <s:c r="A110" s="0" t="n">
        <s:v>260813</s:v>
      </s:c>
      <s:c r="B110" s="0" t="inlineStr">
        <s:is>
          <s:t>이종훈</s:t>
        </s:is>
      </s:c>
      <s:c r="C110" s="0" t="n">
        <s:v>123517</s:v>
      </s:c>
      <s:c r="D110" s="0" t="n">
        <s:v>2322</s:v>
      </s:c>
      <s:c r="F110" s="24">
        <s:f>'자료구성'!$B$2+TIME(INT($C$3/10000),INT(MOD($C$3,10000)/100),MOD($C$3,100))+(ROW()-ROW($C$3))/86400</s:f>
        <s:v>46247.52574074074</s:v>
      </s:c>
    </s:row>
    <s:row r="111">
      <s:c r="A111" s="0" t="n">
        <s:v>260813</s:v>
      </s:c>
      <s:c r="B111" s="0" t="inlineStr">
        <s:is>
          <s:t>이종훈</s:t>
        </s:is>
      </s:c>
      <s:c r="C111" s="0" t="n">
        <s:v>123517</s:v>
      </s:c>
      <s:c r="D111" s="0" t="n">
        <s:v>2332</s:v>
      </s:c>
      <s:c r="F111" s="24">
        <s:f>'자료구성'!$B$2+TIME(INT($C$3/10000),INT(MOD($C$3,10000)/100),MOD($C$3,100))+(ROW()-ROW($C$3))/86400</s:f>
        <s:v>46247.52575231482</s:v>
      </s:c>
    </s:row>
    <s:row r="112">
      <s:c r="A112" s="0" t="n">
        <s:v>260813</s:v>
      </s:c>
      <s:c r="B112" s="0" t="inlineStr">
        <s:is>
          <s:t>이종훈</s:t>
        </s:is>
      </s:c>
      <s:c r="C112" s="0" t="n">
        <s:v>123517</s:v>
      </s:c>
      <s:c r="D112" s="0" t="n">
        <s:v>2345</s:v>
      </s:c>
      <s:c r="F112" s="24">
        <s:f>'자료구성'!$B$2+TIME(INT($C$3/10000),INT(MOD($C$3,10000)/100),MOD($C$3,100))+(ROW()-ROW($C$3))/86400</s:f>
        <s:v>46247.52576388889</s:v>
      </s:c>
    </s:row>
    <s:row r="113">
      <s:c r="A113" s="0" t="n">
        <s:v>260813</s:v>
      </s:c>
      <s:c r="B113" s="0" t="inlineStr">
        <s:is>
          <s:t>이종훈</s:t>
        </s:is>
      </s:c>
      <s:c r="C113" s="0" t="n">
        <s:v>123517</s:v>
      </s:c>
      <s:c r="D113" s="0" t="n">
        <s:v>2341</s:v>
      </s:c>
      <s:c r="F113" s="24">
        <s:f>'자료구성'!$B$2+TIME(INT($C$3/10000),INT(MOD($C$3,10000)/100),MOD($C$3,100))+(ROW()-ROW($C$3))/86400</s:f>
        <s:v>46247.525775462964</s:v>
      </s:c>
    </s:row>
    <s:row r="114">
      <s:c r="A114" s="0" t="n">
        <s:v>260813</s:v>
      </s:c>
      <s:c r="B114" s="0" t="inlineStr">
        <s:is>
          <s:t>이종훈</s:t>
        </s:is>
      </s:c>
      <s:c r="C114" s="0" t="n">
        <s:v>123517</s:v>
      </s:c>
      <s:c r="D114" s="0" t="n">
        <s:v>2336</s:v>
      </s:c>
      <s:c r="F114" s="24">
        <s:f>'자료구성'!$B$2+TIME(INT($C$3/10000),INT(MOD($C$3,10000)/100),MOD($C$3,100))+(ROW()-ROW($C$3))/86400</s:f>
        <s:v>46247.52578703704</s:v>
      </s:c>
    </s:row>
    <s:row r="115">
      <s:c r="A115" s="0" t="n">
        <s:v>260813</s:v>
      </s:c>
      <s:c r="B115" s="0" t="inlineStr">
        <s:is>
          <s:t>이종훈</s:t>
        </s:is>
      </s:c>
      <s:c r="C115" s="0" t="n">
        <s:v>123517</s:v>
      </s:c>
      <s:c r="D115" s="0" t="n">
        <s:v>2339</s:v>
      </s:c>
      <s:c r="F115" s="24">
        <s:f>'자료구성'!$B$2+TIME(INT($C$3/10000),INT(MOD($C$3,10000)/100),MOD($C$3,100))+(ROW()-ROW($C$3))/86400</s:f>
        <s:v>46247.52579861111</s:v>
      </s:c>
    </s:row>
    <s:row r="116">
      <s:c r="A116" s="0" t="n">
        <s:v>260813</s:v>
      </s:c>
      <s:c r="B116" s="0" t="inlineStr">
        <s:is>
          <s:t>이종훈</s:t>
        </s:is>
      </s:c>
      <s:c r="C116" s="0" t="n">
        <s:v>123517</s:v>
      </s:c>
      <s:c r="D116" s="0" t="n">
        <s:v>2339</s:v>
      </s:c>
      <s:c r="F116" s="24">
        <s:f>'자료구성'!$B$2+TIME(INT($C$3/10000),INT(MOD($C$3,10000)/100),MOD($C$3,100))+(ROW()-ROW($C$3))/86400</s:f>
        <s:v>46247.52581018519</s:v>
      </s:c>
    </s:row>
    <s:row r="117">
      <s:c r="A117" s="0" t="n">
        <s:v>260813</s:v>
      </s:c>
      <s:c r="B117" s="0" t="inlineStr">
        <s:is>
          <s:t>이종훈</s:t>
        </s:is>
      </s:c>
      <s:c r="C117" s="0" t="n">
        <s:v>123517</s:v>
      </s:c>
      <s:c r="D117" s="0" t="n">
        <s:v>2358</s:v>
      </s:c>
      <s:c r="F117" s="24">
        <s:f>'자료구성'!$B$2+TIME(INT($C$3/10000),INT(MOD($C$3,10000)/100),MOD($C$3,100))+(ROW()-ROW($C$3))/86400</s:f>
        <s:v>46247.525821759256</s:v>
      </s:c>
    </s:row>
    <s:row r="118">
      <s:c r="A118" s="0" t="n">
        <s:v>260813</s:v>
      </s:c>
      <s:c r="B118" s="0" t="inlineStr">
        <s:is>
          <s:t>이종훈</s:t>
        </s:is>
      </s:c>
      <s:c r="C118" s="0" t="n">
        <s:v>123517</s:v>
      </s:c>
      <s:c r="D118" s="0" t="n">
        <s:v>2331</s:v>
      </s:c>
      <s:c r="F118" s="24">
        <s:f>'자료구성'!$B$2+TIME(INT($C$3/10000),INT(MOD($C$3,10000)/100),MOD($C$3,100))+(ROW()-ROW($C$3))/86400</s:f>
        <s:v>46247.52583333333</s:v>
      </s:c>
    </s:row>
    <s:row r="119">
      <s:c r="A119" s="0" t="n">
        <s:v>260813</s:v>
      </s:c>
      <s:c r="B119" s="0" t="inlineStr">
        <s:is>
          <s:t>이종훈</s:t>
        </s:is>
      </s:c>
      <s:c r="C119" s="0" t="n">
        <s:v>123517</s:v>
      </s:c>
      <s:c r="D119" s="0" t="n">
        <s:v>2297</s:v>
      </s:c>
      <s:c r="F119" s="24">
        <s:f>'자료구성'!$B$2+TIME(INT($C$3/10000),INT(MOD($C$3,10000)/100),MOD($C$3,100))+(ROW()-ROW($C$3))/86400</s:f>
        <s:v>46247.52584490741</s:v>
      </s:c>
    </s:row>
    <s:row r="120">
      <s:c r="A120" s="0" t="n">
        <s:v>260813</s:v>
      </s:c>
      <s:c r="B120" s="0" t="inlineStr">
        <s:is>
          <s:t>이종훈</s:t>
        </s:is>
      </s:c>
      <s:c r="C120" s="0" t="n">
        <s:v>123517</s:v>
      </s:c>
      <s:c r="D120" s="0" t="n">
        <s:v>2255</s:v>
      </s:c>
      <s:c r="F120" s="24">
        <s:f>'자료구성'!$B$2+TIME(INT($C$3/10000),INT(MOD($C$3,10000)/100),MOD($C$3,100))+(ROW()-ROW($C$3))/86400</s:f>
        <s:v>46247.52585648148</s:v>
      </s:c>
    </s:row>
    <s:row r="121">
      <s:c r="A121" s="0" t="n">
        <s:v>260813</s:v>
      </s:c>
      <s:c r="B121" s="0" t="inlineStr">
        <s:is>
          <s:t>이종훈</s:t>
        </s:is>
      </s:c>
      <s:c r="C121" s="0" t="n">
        <s:v>123517</s:v>
      </s:c>
      <s:c r="D121" s="0" t="n">
        <s:v>2236</s:v>
      </s:c>
      <s:c r="F121" s="24">
        <s:f>'자료구성'!$B$2+TIME(INT($C$3/10000),INT(MOD($C$3,10000)/100),MOD($C$3,100))+(ROW()-ROW($C$3))/86400</s:f>
        <s:v>46247.525868055556</s:v>
      </s:c>
    </s:row>
    <s:row r="122">
      <s:c r="A122" s="0" t="n">
        <s:v>260813</s:v>
      </s:c>
      <s:c r="B122" s="0" t="inlineStr">
        <s:is>
          <s:t>이종훈</s:t>
        </s:is>
      </s:c>
      <s:c r="C122" s="0" t="n">
        <s:v>123517</s:v>
      </s:c>
      <s:c r="D122" s="0" t="n">
        <s:v>2244</s:v>
      </s:c>
      <s:c r="F122" s="24">
        <s:f>'자료구성'!$B$2+TIME(INT($C$3/10000),INT(MOD($C$3,10000)/100),MOD($C$3,100))+(ROW()-ROW($C$3))/86400</s:f>
        <s:v>46247.52587962963</s:v>
      </s:c>
    </s:row>
    <s:row r="123">
      <s:c r="A123" s="0" t="n">
        <s:v>260813</s:v>
      </s:c>
      <s:c r="B123" s="0" t="inlineStr">
        <s:is>
          <s:t>이종훈</s:t>
        </s:is>
      </s:c>
      <s:c r="C123" s="0" t="n">
        <s:v>123517</s:v>
      </s:c>
      <s:c r="D123" s="0" t="n">
        <s:v>2241</s:v>
      </s:c>
      <s:c r="F123" s="24">
        <s:f>'자료구성'!$B$2+TIME(INT($C$3/10000),INT(MOD($C$3,10000)/100),MOD($C$3,100))+(ROW()-ROW($C$3))/86400</s:f>
        <s:v>46247.5258912037</s:v>
      </s:c>
    </s:row>
    <s:row r="124">
      <s:c r="A124" s="0" t="n">
        <s:v>260813</s:v>
      </s:c>
      <s:c r="B124" s="0" t="inlineStr">
        <s:is>
          <s:t>이종훈</s:t>
        </s:is>
      </s:c>
      <s:c r="C124" s="0" t="n">
        <s:v>123517</s:v>
      </s:c>
      <s:c r="D124" s="0" t="n">
        <s:v>2259</s:v>
      </s:c>
      <s:c r="F124" s="24">
        <s:f>'자료구성'!$B$2+TIME(INT($C$3/10000),INT(MOD($C$3,10000)/100),MOD($C$3,100))+(ROW()-ROW($C$3))/86400</s:f>
        <s:v>46247.52590277778</s:v>
      </s:c>
    </s:row>
    <s:row r="125">
      <s:c r="A125" s="0" t="n">
        <s:v>260813</s:v>
      </s:c>
      <s:c r="B125" s="0" t="inlineStr">
        <s:is>
          <s:t>이종훈</s:t>
        </s:is>
      </s:c>
      <s:c r="C125" s="0" t="n">
        <s:v>123517</s:v>
      </s:c>
      <s:c r="D125" s="0" t="n">
        <s:v>2277</s:v>
      </s:c>
      <s:c r="F125" s="24">
        <s:f>'자료구성'!$B$2+TIME(INT($C$3/10000),INT(MOD($C$3,10000)/100),MOD($C$3,100))+(ROW()-ROW($C$3))/86400</s:f>
        <s:v>46247.52591435185</s:v>
      </s:c>
    </s:row>
    <s:row r="126">
      <s:c r="A126" s="0" t="n">
        <s:v>260813</s:v>
      </s:c>
      <s:c r="B126" s="0" t="inlineStr">
        <s:is>
          <s:t>이종훈</s:t>
        </s:is>
      </s:c>
      <s:c r="C126" s="0" t="n">
        <s:v>123517</s:v>
      </s:c>
      <s:c r="D126" s="0" t="n">
        <s:v>2281</s:v>
      </s:c>
      <s:c r="F126" s="24">
        <s:f>'자료구성'!$B$2+TIME(INT($C$3/10000),INT(MOD($C$3,10000)/100),MOD($C$3,100))+(ROW()-ROW($C$3))/86400</s:f>
        <s:v>46247.525925925926</s:v>
      </s:c>
    </s:row>
    <s:row r="127">
      <s:c r="A127" s="0" t="n">
        <s:v>260813</s:v>
      </s:c>
      <s:c r="B127" s="0" t="inlineStr">
        <s:is>
          <s:t>이종훈</s:t>
        </s:is>
      </s:c>
      <s:c r="C127" s="0" t="n">
        <s:v>123517</s:v>
      </s:c>
      <s:c r="D127" s="0" t="n">
        <s:v>2298</s:v>
      </s:c>
      <s:c r="F127" s="24">
        <s:f>'자료구성'!$B$2+TIME(INT($C$3/10000),INT(MOD($C$3,10000)/100),MOD($C$3,100))+(ROW()-ROW($C$3))/86400</s:f>
        <s:v>46247.5259375</s:v>
      </s:c>
    </s:row>
    <s:row r="128">
      <s:c r="A128" s="0" t="n">
        <s:v>260813</s:v>
      </s:c>
      <s:c r="B128" s="0" t="inlineStr">
        <s:is>
          <s:t>이종훈</s:t>
        </s:is>
      </s:c>
      <s:c r="C128" s="0" t="n">
        <s:v>123517</s:v>
      </s:c>
      <s:c r="D128" s="0" t="n">
        <s:v>2335</s:v>
      </s:c>
      <s:c r="F128" s="24">
        <s:f>'자료구성'!$B$2+TIME(INT($C$3/10000),INT(MOD($C$3,10000)/100),MOD($C$3,100))+(ROW()-ROW($C$3))/86400</s:f>
        <s:v>46247.52594907407</s:v>
      </s:c>
    </s:row>
    <s:row r="129">
      <s:c r="A129" s="0" t="n">
        <s:v>260813</s:v>
      </s:c>
      <s:c r="B129" s="0" t="inlineStr">
        <s:is>
          <s:t>이종훈</s:t>
        </s:is>
      </s:c>
      <s:c r="C129" s="0" t="n">
        <s:v>123517</s:v>
      </s:c>
      <s:c r="D129" s="0" t="n">
        <s:v>2328</s:v>
      </s:c>
      <s:c r="F129" s="24">
        <s:f>'자료구성'!$B$2+TIME(INT($C$3/10000),INT(MOD($C$3,10000)/100),MOD($C$3,100))+(ROW()-ROW($C$3))/86400</s:f>
        <s:v>46247.52596064815</s:v>
      </s:c>
    </s:row>
    <s:row r="130">
      <s:c r="A130" s="0" t="n">
        <s:v>260813</s:v>
      </s:c>
      <s:c r="B130" s="0" t="inlineStr">
        <s:is>
          <s:t>이종훈</s:t>
        </s:is>
      </s:c>
      <s:c r="C130" s="0" t="n">
        <s:v>123517</s:v>
      </s:c>
      <s:c r="D130" s="0" t="n">
        <s:v>2352</s:v>
      </s:c>
      <s:c r="F130" s="24">
        <s:f>'자료구성'!$B$2+TIME(INT($C$3/10000),INT(MOD($C$3,10000)/100),MOD($C$3,100))+(ROW()-ROW($C$3))/86400</s:f>
        <s:v>46247.525972222225</s:v>
      </s:c>
    </s:row>
    <s:row r="131">
      <s:c r="A131" s="0" t="n">
        <s:v>260813</s:v>
      </s:c>
      <s:c r="B131" s="0" t="inlineStr">
        <s:is>
          <s:t>이종훈</s:t>
        </s:is>
      </s:c>
      <s:c r="C131" s="0" t="n">
        <s:v>123517</s:v>
      </s:c>
      <s:c r="D131" s="0" t="n">
        <s:v>2399</s:v>
      </s:c>
      <s:c r="F131" s="24">
        <s:f>'자료구성'!$B$2+TIME(INT($C$3/10000),INT(MOD($C$3,10000)/100),MOD($C$3,100))+(ROW()-ROW($C$3))/86400</s:f>
        <s:v>46247.525983796295</s:v>
      </s:c>
    </s:row>
    <s:row r="132">
      <s:c r="A132" s="0" t="n">
        <s:v>260813</s:v>
      </s:c>
      <s:c r="B132" s="0" t="inlineStr">
        <s:is>
          <s:t>이종훈</s:t>
        </s:is>
      </s:c>
      <s:c r="C132" s="0" t="n">
        <s:v>123517</s:v>
      </s:c>
      <s:c r="D132" s="0" t="n">
        <s:v>2460</s:v>
      </s:c>
      <s:c r="F132" s="24">
        <s:f>'자료구성'!$B$2+TIME(INT($C$3/10000),INT(MOD($C$3,10000)/100),MOD($C$3,100))+(ROW()-ROW($C$3))/86400</s:f>
        <s:v>46247.52599537037</s:v>
      </s:c>
    </s:row>
    <s:row r="133">
      <s:c r="A133" s="0" t="n">
        <s:v>260813</s:v>
      </s:c>
      <s:c r="B133" s="0" t="inlineStr">
        <s:is>
          <s:t>이종훈</s:t>
        </s:is>
      </s:c>
      <s:c r="C133" s="0" t="n">
        <s:v>123517</s:v>
      </s:c>
      <s:c r="D133" s="0" t="n">
        <s:v>2475</s:v>
      </s:c>
      <s:c r="F133" s="24">
        <s:f>'자료구성'!$B$2+TIME(INT($C$3/10000),INT(MOD($C$3,10000)/100),MOD($C$3,100))+(ROW()-ROW($C$3))/86400</s:f>
        <s:v>46247.52600694444</s:v>
      </s:c>
    </s:row>
    <s:row r="134">
      <s:c r="A134" s="0" t="n">
        <s:v>260813</s:v>
      </s:c>
      <s:c r="B134" s="0" t="inlineStr">
        <s:is>
          <s:t>이종훈</s:t>
        </s:is>
      </s:c>
      <s:c r="C134" s="0" t="n">
        <s:v>123517</s:v>
      </s:c>
      <s:c r="D134" s="0" t="n">
        <s:v>2461</s:v>
      </s:c>
      <s:c r="F134" s="24">
        <s:f>'자료구성'!$B$2+TIME(INT($C$3/10000),INT(MOD($C$3,10000)/100),MOD($C$3,100))+(ROW()-ROW($C$3))/86400</s:f>
        <s:v>46247.52601851852</s:v>
      </s:c>
    </s:row>
    <s:row r="135">
      <s:c r="A135" s="0" t="n">
        <s:v>260813</s:v>
      </s:c>
      <s:c r="B135" s="0" t="inlineStr">
        <s:is>
          <s:t>이종훈</s:t>
        </s:is>
      </s:c>
      <s:c r="C135" s="0" t="n">
        <s:v>123517</s:v>
      </s:c>
      <s:c r="D135" s="0" t="n">
        <s:v>2391</s:v>
      </s:c>
      <s:c r="F135" s="24">
        <s:f>'자료구성'!$B$2+TIME(INT($C$3/10000),INT(MOD($C$3,10000)/100),MOD($C$3,100))+(ROW()-ROW($C$3))/86400</s:f>
        <s:v>46247.526030092595</s:v>
      </s:c>
    </s:row>
    <s:row r="136">
      <s:c r="A136" s="0" t="n">
        <s:v>260813</s:v>
      </s:c>
      <s:c r="B136" s="0" t="inlineStr">
        <s:is>
          <s:t>이종훈</s:t>
        </s:is>
      </s:c>
      <s:c r="C136" s="0" t="n">
        <s:v>123517</s:v>
      </s:c>
      <s:c r="D136" s="0" t="n">
        <s:v>2323</s:v>
      </s:c>
      <s:c r="F136" s="24">
        <s:f>'자료구성'!$B$2+TIME(INT($C$3/10000),INT(MOD($C$3,10000)/100),MOD($C$3,100))+(ROW()-ROW($C$3))/86400</s:f>
        <s:v>46247.526041666664</s:v>
      </s:c>
    </s:row>
    <s:row r="137">
      <s:c r="A137" s="0" t="n">
        <s:v>260813</s:v>
      </s:c>
      <s:c r="B137" s="0" t="inlineStr">
        <s:is>
          <s:t>이종훈</s:t>
        </s:is>
      </s:c>
      <s:c r="C137" s="0" t="n">
        <s:v>123517</s:v>
      </s:c>
      <s:c r="D137" s="0" t="n">
        <s:v>2238</s:v>
      </s:c>
      <s:c r="F137" s="24">
        <s:f>'자료구성'!$B$2+TIME(INT($C$3/10000),INT(MOD($C$3,10000)/100),MOD($C$3,100))+(ROW()-ROW($C$3))/86400</s:f>
        <s:v>46247.52605324074</s:v>
      </s:c>
    </s:row>
    <s:row r="138">
      <s:c r="A138" s="0" t="n">
        <s:v>260813</s:v>
      </s:c>
      <s:c r="B138" s="0" t="inlineStr">
        <s:is>
          <s:t>이종훈</s:t>
        </s:is>
      </s:c>
      <s:c r="C138" s="0" t="n">
        <s:v>123517</s:v>
      </s:c>
      <s:c r="D138" s="0" t="n">
        <s:v>2165</s:v>
      </s:c>
      <s:c r="F138" s="24">
        <s:f>'자료구성'!$B$2+TIME(INT($C$3/10000),INT(MOD($C$3,10000)/100),MOD($C$3,100))+(ROW()-ROW($C$3))/86400</s:f>
        <s:v>46247.52606481482</s:v>
      </s:c>
    </s:row>
    <s:row r="139">
      <s:c r="A139" s="0" t="n">
        <s:v>260813</s:v>
      </s:c>
      <s:c r="B139" s="0" t="inlineStr">
        <s:is>
          <s:t>이종훈</s:t>
        </s:is>
      </s:c>
      <s:c r="C139" s="0" t="n">
        <s:v>123517</s:v>
      </s:c>
      <s:c r="D139" s="0" t="n">
        <s:v>2087</s:v>
      </s:c>
      <s:c r="F139" s="24">
        <s:f>'자료구성'!$B$2+TIME(INT($C$3/10000),INT(MOD($C$3,10000)/100),MOD($C$3,100))+(ROW()-ROW($C$3))/86400</s:f>
        <s:v>46247.52607638889</s:v>
      </s:c>
    </s:row>
    <s:row r="140">
      <s:c r="A140" s="0" t="n">
        <s:v>260813</s:v>
      </s:c>
      <s:c r="B140" s="0" t="inlineStr">
        <s:is>
          <s:t>이종훈</s:t>
        </s:is>
      </s:c>
      <s:c r="C140" s="0" t="n">
        <s:v>123517</s:v>
      </s:c>
      <s:c r="D140" s="0" t="n">
        <s:v>2024</s:v>
      </s:c>
      <s:c r="F140" s="24">
        <s:f>'자료구성'!$B$2+TIME(INT($C$3/10000),INT(MOD($C$3,10000)/100),MOD($C$3,100))+(ROW()-ROW($C$3))/86400</s:f>
        <s:v>46247.526087962964</s:v>
      </s:c>
    </s:row>
    <s:row r="141">
      <s:c r="A141" s="0" t="n">
        <s:v>260813</s:v>
      </s:c>
      <s:c r="B141" s="0" t="inlineStr">
        <s:is>
          <s:t>이종훈</s:t>
        </s:is>
      </s:c>
      <s:c r="C141" s="0" t="n">
        <s:v>123517</s:v>
      </s:c>
      <s:c r="D141" s="0" t="n">
        <s:v>1954</s:v>
      </s:c>
      <s:c r="F141" s="24">
        <s:f>'자료구성'!$B$2+TIME(INT($C$3/10000),INT(MOD($C$3,10000)/100),MOD($C$3,100))+(ROW()-ROW($C$3))/86400</s:f>
        <s:v>46247.52609953703</s:v>
      </s:c>
    </s:row>
    <s:row r="142">
      <s:c r="A142" s="0" t="n">
        <s:v>260813</s:v>
      </s:c>
      <s:c r="B142" s="0" t="inlineStr">
        <s:is>
          <s:t>이종훈</s:t>
        </s:is>
      </s:c>
      <s:c r="C142" s="0" t="n">
        <s:v>123517</s:v>
      </s:c>
      <s:c r="D142" s="0" t="n">
        <s:v>1893</s:v>
      </s:c>
      <s:c r="F142" s="24">
        <s:f>'자료구성'!$B$2+TIME(INT($C$3/10000),INT(MOD($C$3,10000)/100),MOD($C$3,100))+(ROW()-ROW($C$3))/86400</s:f>
        <s:v>46247.52611111111</s:v>
      </s:c>
    </s:row>
    <s:row r="143">
      <s:c r="A143" s="0" t="n">
        <s:v>260813</s:v>
      </s:c>
      <s:c r="B143" s="0" t="inlineStr">
        <s:is>
          <s:t>이종훈</s:t>
        </s:is>
      </s:c>
      <s:c r="C143" s="0" t="n">
        <s:v>123517</s:v>
      </s:c>
      <s:c r="D143" s="0" t="n">
        <s:v>1830</s:v>
      </s:c>
      <s:c r="F143" s="24">
        <s:f>'자료구성'!$B$2+TIME(INT($C$3/10000),INT(MOD($C$3,10000)/100),MOD($C$3,100))+(ROW()-ROW($C$3))/86400</s:f>
        <s:v>46247.52612268519</s:v>
      </s:c>
    </s:row>
    <s:row r="144">
      <s:c r="A144" s="0" t="n">
        <s:v>260813</s:v>
      </s:c>
      <s:c r="B144" s="0" t="inlineStr">
        <s:is>
          <s:t>이종훈</s:t>
        </s:is>
      </s:c>
      <s:c r="C144" s="0" t="n">
        <s:v>123517</s:v>
      </s:c>
      <s:c r="D144" s="0" t="n">
        <s:v>1780</s:v>
      </s:c>
      <s:c r="F144" s="24">
        <s:f>'자료구성'!$B$2+TIME(INT($C$3/10000),INT(MOD($C$3,10000)/100),MOD($C$3,100))+(ROW()-ROW($C$3))/86400</s:f>
        <s:v>46247.52613425926</s:v>
      </s:c>
    </s:row>
    <s:row r="145">
      <s:c r="A145" s="0" t="n">
        <s:v>260813</s:v>
      </s:c>
      <s:c r="B145" s="0" t="inlineStr">
        <s:is>
          <s:t>이종훈</s:t>
        </s:is>
      </s:c>
      <s:c r="C145" s="0" t="n">
        <s:v>123517</s:v>
      </s:c>
      <s:c r="D145" s="0" t="n">
        <s:v>1726</s:v>
      </s:c>
      <s:c r="F145" s="24">
        <s:f>'자료구성'!$B$2+TIME(INT($C$3/10000),INT(MOD($C$3,10000)/100),MOD($C$3,100))+(ROW()-ROW($C$3))/86400</s:f>
        <s:v>46247.52614583333</s:v>
      </s:c>
    </s:row>
    <s:row r="146">
      <s:c r="A146" s="0" t="n">
        <s:v>260813</s:v>
      </s:c>
      <s:c r="B146" s="0" t="inlineStr">
        <s:is>
          <s:t>이종훈</s:t>
        </s:is>
      </s:c>
      <s:c r="C146" s="0" t="n">
        <s:v>123517</s:v>
      </s:c>
      <s:c r="D146" s="0" t="n">
        <s:v>1685</s:v>
      </s:c>
      <s:c r="F146" s="24">
        <s:f>'자료구성'!$B$2+TIME(INT($C$3/10000),INT(MOD($C$3,10000)/100),MOD($C$3,100))+(ROW()-ROW($C$3))/86400</s:f>
        <s:v>46247.52615740741</s:v>
      </s:c>
    </s:row>
    <s:row r="147">
      <s:c r="A147" s="0" t="n">
        <s:v>260813</s:v>
      </s:c>
      <s:c r="B147" s="0" t="inlineStr">
        <s:is>
          <s:t>이종훈</s:t>
        </s:is>
      </s:c>
      <s:c r="C147" s="0" t="n">
        <s:v>123517</s:v>
      </s:c>
      <s:c r="D147" s="0" t="n">
        <s:v>1630</s:v>
      </s:c>
      <s:c r="F147" s="24">
        <s:f>'자료구성'!$B$2+TIME(INT($C$3/10000),INT(MOD($C$3,10000)/100),MOD($C$3,100))+(ROW()-ROW($C$3))/86400</s:f>
        <s:v>46247.52616898148</s:v>
      </s:c>
    </s:row>
    <s:row r="148">
      <s:c r="A148" s="0" t="n">
        <s:v>260813</s:v>
      </s:c>
      <s:c r="B148" s="0" t="inlineStr">
        <s:is>
          <s:t>이종훈</s:t>
        </s:is>
      </s:c>
      <s:c r="C148" s="0" t="n">
        <s:v>123517</s:v>
      </s:c>
      <s:c r="D148" s="0" t="n">
        <s:v>1599</s:v>
      </s:c>
      <s:c r="F148" s="24">
        <s:f>'자료구성'!$B$2+TIME(INT($C$3/10000),INT(MOD($C$3,10000)/100),MOD($C$3,100))+(ROW()-ROW($C$3))/86400</s:f>
        <s:v>46247.52618055556</s:v>
      </s:c>
    </s:row>
    <s:row r="149">
      <s:c r="A149" s="0" t="n">
        <s:v>260813</s:v>
      </s:c>
      <s:c r="B149" s="0" t="inlineStr">
        <s:is>
          <s:t>이종훈</s:t>
        </s:is>
      </s:c>
      <s:c r="C149" s="0" t="n">
        <s:v>123517</s:v>
      </s:c>
      <s:c r="D149" s="0" t="n">
        <s:v>1584</s:v>
      </s:c>
      <s:c r="F149" s="24">
        <s:f>'자료구성'!$B$2+TIME(INT($C$3/10000),INT(MOD($C$3,10000)/100),MOD($C$3,100))+(ROW()-ROW($C$3))/86400</s:f>
        <s:v>46247.526192129626</s:v>
      </s:c>
    </s:row>
    <s:row r="150">
      <s:c r="A150" s="0" t="n">
        <s:v>260813</s:v>
      </s:c>
      <s:c r="B150" s="0" t="inlineStr">
        <s:is>
          <s:t>이종훈</s:t>
        </s:is>
      </s:c>
      <s:c r="C150" s="0" t="n">
        <s:v>123517</s:v>
      </s:c>
      <s:c r="D150" s="0" t="n">
        <s:v>1556</s:v>
      </s:c>
      <s:c r="F150" s="24">
        <s:f>'자료구성'!$B$2+TIME(INT($C$3/10000),INT(MOD($C$3,10000)/100),MOD($C$3,100))+(ROW()-ROW($C$3))/86400</s:f>
        <s:v>46247.5262037037</s:v>
      </s:c>
    </s:row>
    <s:row r="151">
      <s:c r="A151" s="0" t="n">
        <s:v>260813</s:v>
      </s:c>
      <s:c r="B151" s="0" t="inlineStr">
        <s:is>
          <s:t>이종훈</s:t>
        </s:is>
      </s:c>
      <s:c r="C151" s="0" t="n">
        <s:v>123517</s:v>
      </s:c>
      <s:c r="D151" s="0" t="n">
        <s:v>1521</s:v>
      </s:c>
      <s:c r="F151" s="24">
        <s:f>'자료구성'!$B$2+TIME(INT($C$3/10000),INT(MOD($C$3,10000)/100),MOD($C$3,100))+(ROW()-ROW($C$3))/86400</s:f>
        <s:v>46247.52621527778</s:v>
      </s:c>
    </s:row>
    <s:row r="152">
      <s:c r="A152" s="0" t="n">
        <s:v>260813</s:v>
      </s:c>
      <s:c r="B152" s="0" t="inlineStr">
        <s:is>
          <s:t>이종훈</s:t>
        </s:is>
      </s:c>
      <s:c r="C152" s="0" t="n">
        <s:v>123517</s:v>
      </s:c>
      <s:c r="D152" s="0" t="n">
        <s:v>1520</s:v>
      </s:c>
      <s:c r="F152" s="24">
        <s:f>'자료구성'!$B$2+TIME(INT($C$3/10000),INT(MOD($C$3,10000)/100),MOD($C$3,100))+(ROW()-ROW($C$3))/86400</s:f>
        <s:v>46247.52622685185</s:v>
      </s:c>
    </s:row>
    <s:row r="153">
      <s:c r="A153" s="0" t="n">
        <s:v>260813</s:v>
      </s:c>
      <s:c r="B153" s="0" t="inlineStr">
        <s:is>
          <s:t>이종훈</s:t>
        </s:is>
      </s:c>
      <s:c r="C153" s="0" t="n">
        <s:v>123517</s:v>
      </s:c>
      <s:c r="D153" s="0" t="n">
        <s:v>1492</s:v>
      </s:c>
      <s:c r="F153" s="24">
        <s:f>'자료구성'!$B$2+TIME(INT($C$3/10000),INT(MOD($C$3,10000)/100),MOD($C$3,100))+(ROW()-ROW($C$3))/86400</s:f>
        <s:v>46247.526238425926</s:v>
      </s:c>
    </s:row>
    <s:row r="154">
      <s:c r="A154" s="0" t="n">
        <s:v>260813</s:v>
      </s:c>
      <s:c r="B154" s="0" t="inlineStr">
        <s:is>
          <s:t>이종훈</s:t>
        </s:is>
      </s:c>
      <s:c r="C154" s="0" t="n">
        <s:v>123517</s:v>
      </s:c>
      <s:c r="D154" s="0" t="n">
        <s:v>1471</s:v>
      </s:c>
      <s:c r="F154" s="24">
        <s:f>'자료구성'!$B$2+TIME(INT($C$3/10000),INT(MOD($C$3,10000)/100),MOD($C$3,100))+(ROW()-ROW($C$3))/86400</s:f>
        <s:v>46247.52625</s:v>
      </s:c>
    </s:row>
    <s:row r="155">
      <s:c r="A155" s="0" t="n">
        <s:v>260813</s:v>
      </s:c>
      <s:c r="B155" s="0" t="inlineStr">
        <s:is>
          <s:t>이종훈</s:t>
        </s:is>
      </s:c>
      <s:c r="C155" s="0" t="n">
        <s:v>123517</s:v>
      </s:c>
      <s:c r="D155" s="0" t="n">
        <s:v>1447</s:v>
      </s:c>
      <s:c r="F155" s="24">
        <s:f>'자료구성'!$B$2+TIME(INT($C$3/10000),INT(MOD($C$3,10000)/100),MOD($C$3,100))+(ROW()-ROW($C$3))/86400</s:f>
        <s:v>46247.52626157407</s:v>
      </s:c>
    </s:row>
    <s:row r="156">
      <s:c r="A156" s="0" t="n">
        <s:v>260813</s:v>
      </s:c>
      <s:c r="B156" s="0" t="inlineStr">
        <s:is>
          <s:t>이종훈</s:t>
        </s:is>
      </s:c>
      <s:c r="C156" s="0" t="n">
        <s:v>123517</s:v>
      </s:c>
      <s:c r="D156" s="0" t="n">
        <s:v>1431</s:v>
      </s:c>
      <s:c r="F156" s="24">
        <s:f>'자료구성'!$B$2+TIME(INT($C$3/10000),INT(MOD($C$3,10000)/100),MOD($C$3,100))+(ROW()-ROW($C$3))/86400</s:f>
        <s:v>46247.52627314815</s:v>
      </s:c>
    </s:row>
    <s:row r="157">
      <s:c r="A157" s="0" t="n">
        <s:v>260813</s:v>
      </s:c>
      <s:c r="B157" s="0" t="inlineStr">
        <s:is>
          <s:t>이종훈</s:t>
        </s:is>
      </s:c>
      <s:c r="C157" s="0" t="n">
        <s:v>123517</s:v>
      </s:c>
      <s:c r="D157" s="0" t="n">
        <s:v>1418</s:v>
      </s:c>
      <s:c r="F157" s="24">
        <s:f>'자료구성'!$B$2+TIME(INT($C$3/10000),INT(MOD($C$3,10000)/100),MOD($C$3,100))+(ROW()-ROW($C$3))/86400</s:f>
        <s:v>46247.526284722226</s:v>
      </s:c>
    </s:row>
    <s:row r="158">
      <s:c r="A158" s="0" t="n">
        <s:v>260813</s:v>
      </s:c>
      <s:c r="B158" s="0" t="inlineStr">
        <s:is>
          <s:t>이종훈</s:t>
        </s:is>
      </s:c>
      <s:c r="C158" s="0" t="n">
        <s:v>123517</s:v>
      </s:c>
      <s:c r="D158" s="0" t="n">
        <s:v>1421</s:v>
      </s:c>
      <s:c r="F158" s="24">
        <s:f>'자료구성'!$B$2+TIME(INT($C$3/10000),INT(MOD($C$3,10000)/100),MOD($C$3,100))+(ROW()-ROW($C$3))/86400</s:f>
        <s:v>46247.526296296295</s:v>
      </s:c>
    </s:row>
    <s:row r="159">
      <s:c r="A159" s="0" t="n">
        <s:v>260813</s:v>
      </s:c>
      <s:c r="B159" s="0" t="inlineStr">
        <s:is>
          <s:t>이종훈</s:t>
        </s:is>
      </s:c>
      <s:c r="C159" s="0" t="n">
        <s:v>123517</s:v>
      </s:c>
      <s:c r="D159" s="0" t="n">
        <s:v>1416</s:v>
      </s:c>
      <s:c r="F159" s="24">
        <s:f>'자료구성'!$B$2+TIME(INT($C$3/10000),INT(MOD($C$3,10000)/100),MOD($C$3,100))+(ROW()-ROW($C$3))/86400</s:f>
        <s:v>46247.52630787037</s:v>
      </s:c>
    </s:row>
    <s:row r="160">
      <s:c r="A160" s="0" t="n">
        <s:v>260813</s:v>
      </s:c>
      <s:c r="B160" s="0" t="inlineStr">
        <s:is>
          <s:t>이종훈</s:t>
        </s:is>
      </s:c>
      <s:c r="C160" s="0" t="n">
        <s:v>123517</s:v>
      </s:c>
      <s:c r="D160" s="0" t="n">
        <s:v>1397</s:v>
      </s:c>
      <s:c r="F160" s="24">
        <s:f>'자료구성'!$B$2+TIME(INT($C$3/10000),INT(MOD($C$3,10000)/100),MOD($C$3,100))+(ROW()-ROW($C$3))/86400</s:f>
        <s:v>46247.52631944444</s:v>
      </s:c>
    </s:row>
    <s:row r="161">
      <s:c r="A161" s="0" t="n">
        <s:v>260813</s:v>
      </s:c>
      <s:c r="B161" s="0" t="inlineStr">
        <s:is>
          <s:t>이종훈</s:t>
        </s:is>
      </s:c>
      <s:c r="C161" s="0" t="n">
        <s:v>123517</s:v>
      </s:c>
      <s:c r="D161" s="0" t="n">
        <s:v>1384</s:v>
      </s:c>
      <s:c r="F161" s="24">
        <s:f>'자료구성'!$B$2+TIME(INT($C$3/10000),INT(MOD($C$3,10000)/100),MOD($C$3,100))+(ROW()-ROW($C$3))/86400</s:f>
        <s:v>46247.52633101852</s:v>
      </s:c>
    </s:row>
    <s:row r="162">
      <s:c r="A162" s="0" t="n">
        <s:v>260813</s:v>
      </s:c>
      <s:c r="B162" s="0" t="inlineStr">
        <s:is>
          <s:t>이종훈</s:t>
        </s:is>
      </s:c>
      <s:c r="C162" s="0" t="n">
        <s:v>123517</s:v>
      </s:c>
      <s:c r="D162" s="0" t="n">
        <s:v>1374</s:v>
      </s:c>
      <s:c r="F162" s="24">
        <s:f>'자료구성'!$B$2+TIME(INT($C$3/10000),INT(MOD($C$3,10000)/100),MOD($C$3,100))+(ROW()-ROW($C$3))/86400</s:f>
        <s:v>46247.526342592595</s:v>
      </s:c>
    </s:row>
    <s:row r="163">
      <s:c r="A163" s="0" t="n">
        <s:v>260813</s:v>
      </s:c>
      <s:c r="B163" s="0" t="inlineStr">
        <s:is>
          <s:t>이종훈</s:t>
        </s:is>
      </s:c>
      <s:c r="C163" s="0" t="n">
        <s:v>123517</s:v>
      </s:c>
      <s:c r="D163" s="0" t="n">
        <s:v>1354</s:v>
      </s:c>
      <s:c r="F163" s="24">
        <s:f>'자료구성'!$B$2+TIME(INT($C$3/10000),INT(MOD($C$3,10000)/100),MOD($C$3,100))+(ROW()-ROW($C$3))/86400</s:f>
        <s:v>46247.526354166665</s:v>
      </s:c>
    </s:row>
    <s:row r="164">
      <s:c r="A164" s="0" t="n">
        <s:v>260813</s:v>
      </s:c>
      <s:c r="B164" s="0" t="inlineStr">
        <s:is>
          <s:t>이종훈</s:t>
        </s:is>
      </s:c>
      <s:c r="C164" s="0" t="n">
        <s:v>123517</s:v>
      </s:c>
      <s:c r="D164" s="0" t="n">
        <s:v>1340</s:v>
      </s:c>
      <s:c r="F164" s="24">
        <s:f>'자료구성'!$B$2+TIME(INT($C$3/10000),INT(MOD($C$3,10000)/100),MOD($C$3,100))+(ROW()-ROW($C$3))/86400</s:f>
        <s:v>46247.52636574074</s:v>
      </s:c>
    </s:row>
    <s:row r="165">
      <s:c r="A165" s="0" t="n">
        <s:v>260813</s:v>
      </s:c>
      <s:c r="B165" s="0" t="inlineStr">
        <s:is>
          <s:t>이종훈</s:t>
        </s:is>
      </s:c>
      <s:c r="C165" s="0" t="n">
        <s:v>123517</s:v>
      </s:c>
      <s:c r="D165" s="0" t="n">
        <s:v>1315</s:v>
      </s:c>
      <s:c r="F165" s="24">
        <s:f>'자료구성'!$B$2+TIME(INT($C$3/10000),INT(MOD($C$3,10000)/100),MOD($C$3,100))+(ROW()-ROW($C$3))/86400</s:f>
        <s:v>46247.52637731482</s:v>
      </s:c>
    </s:row>
    <s:row r="166">
      <s:c r="A166" s="0" t="n">
        <s:v>260813</s:v>
      </s:c>
      <s:c r="B166" s="0" t="inlineStr">
        <s:is>
          <s:t>이종훈</s:t>
        </s:is>
      </s:c>
      <s:c r="C166" s="0" t="n">
        <s:v>123517</s:v>
      </s:c>
      <s:c r="D166" s="0" t="n">
        <s:v>1310</s:v>
      </s:c>
      <s:c r="F166" s="24">
        <s:f>'자료구성'!$B$2+TIME(INT($C$3/10000),INT(MOD($C$3,10000)/100),MOD($C$3,100))+(ROW()-ROW($C$3))/86400</s:f>
        <s:v>46247.52638888889</s:v>
      </s:c>
    </s:row>
    <s:row r="167">
      <s:c r="A167" s="0" t="n">
        <s:v>260813</s:v>
      </s:c>
      <s:c r="B167" s="0" t="inlineStr">
        <s:is>
          <s:t>이종훈</s:t>
        </s:is>
      </s:c>
      <s:c r="C167" s="0" t="n">
        <s:v>123517</s:v>
      </s:c>
      <s:c r="D167" s="0" t="n">
        <s:v>1298</s:v>
      </s:c>
      <s:c r="F167" s="24">
        <s:f>'자료구성'!$B$2+TIME(INT($C$3/10000),INT(MOD($C$3,10000)/100),MOD($C$3,100))+(ROW()-ROW($C$3))/86400</s:f>
        <s:v>46247.526400462964</s:v>
      </s:c>
    </s:row>
    <s:row r="168">
      <s:c r="A168" s="0" t="n">
        <s:v>260813</s:v>
      </s:c>
      <s:c r="B168" s="0" t="inlineStr">
        <s:is>
          <s:t>이종훈</s:t>
        </s:is>
      </s:c>
      <s:c r="C168" s="0" t="n">
        <s:v>123517</s:v>
      </s:c>
      <s:c r="D168" s="0" t="n">
        <s:v>1277</s:v>
      </s:c>
      <s:c r="F168" s="24">
        <s:f>'자료구성'!$B$2+TIME(INT($C$3/10000),INT(MOD($C$3,10000)/100),MOD($C$3,100))+(ROW()-ROW($C$3))/86400</s:f>
        <s:v>46247.526412037034</s:v>
      </s:c>
    </s:row>
    <s:row r="169">
      <s:c r="A169" s="0" t="n">
        <s:v>260813</s:v>
      </s:c>
      <s:c r="B169" s="0" t="inlineStr">
        <s:is>
          <s:t>이종훈</s:t>
        </s:is>
      </s:c>
      <s:c r="C169" s="0" t="n">
        <s:v>123517</s:v>
      </s:c>
      <s:c r="D169" s="0" t="n">
        <s:v>1265</s:v>
      </s:c>
      <s:c r="F169" s="24">
        <s:f>'자료구성'!$B$2+TIME(INT($C$3/10000),INT(MOD($C$3,10000)/100),MOD($C$3,100))+(ROW()-ROW($C$3))/86400</s:f>
        <s:v>46247.52642361111</s:v>
      </s:c>
    </s:row>
    <s:row r="170">
      <s:c r="A170" s="0" t="n">
        <s:v>260813</s:v>
      </s:c>
      <s:c r="B170" s="0" t="inlineStr">
        <s:is>
          <s:t>이종훈</s:t>
        </s:is>
      </s:c>
      <s:c r="C170" s="0" t="n">
        <s:v>123517</s:v>
      </s:c>
      <s:c r="D170" s="0" t="n">
        <s:v>1252</s:v>
      </s:c>
      <s:c r="F170" s="24">
        <s:f>'자료구성'!$B$2+TIME(INT($C$3/10000),INT(MOD($C$3,10000)/100),MOD($C$3,100))+(ROW()-ROW($C$3))/86400</s:f>
        <s:v>46247.52643518519</s:v>
      </s:c>
    </s:row>
    <s:row r="171">
      <s:c r="A171" s="0" t="n">
        <s:v>260813</s:v>
      </s:c>
      <s:c r="B171" s="0" t="inlineStr">
        <s:is>
          <s:t>이종훈</s:t>
        </s:is>
      </s:c>
      <s:c r="C171" s="0" t="n">
        <s:v>123517</s:v>
      </s:c>
      <s:c r="D171" s="0" t="n">
        <s:v>1249</s:v>
      </s:c>
      <s:c r="F171" s="24">
        <s:f>'자료구성'!$B$2+TIME(INT($C$3/10000),INT(MOD($C$3,10000)/100),MOD($C$3,100))+(ROW()-ROW($C$3))/86400</s:f>
        <s:v>46247.52644675926</s:v>
      </s:c>
    </s:row>
    <s:row r="172">
      <s:c r="A172" s="0" t="n">
        <s:v>260813</s:v>
      </s:c>
      <s:c r="B172" s="0" t="inlineStr">
        <s:is>
          <s:t>이종훈</s:t>
        </s:is>
      </s:c>
      <s:c r="C172" s="0" t="n">
        <s:v>123517</s:v>
      </s:c>
      <s:c r="D172" s="0" t="n">
        <s:v>1239</s:v>
      </s:c>
      <s:c r="F172" s="24">
        <s:f>'자료구성'!$B$2+TIME(INT($C$3/10000),INT(MOD($C$3,10000)/100),MOD($C$3,100))+(ROW()-ROW($C$3))/86400</s:f>
        <s:v>46247.526458333334</s:v>
      </s:c>
    </s:row>
    <s:row r="173">
      <s:c r="A173" s="0" t="n">
        <s:v>260813</s:v>
      </s:c>
      <s:c r="B173" s="0" t="inlineStr">
        <s:is>
          <s:t>이종훈</s:t>
        </s:is>
      </s:c>
      <s:c r="C173" s="0" t="n">
        <s:v>123517</s:v>
      </s:c>
      <s:c r="D173" s="0" t="n">
        <s:v>1241</s:v>
      </s:c>
      <s:c r="F173" s="24">
        <s:f>'자료구성'!$B$2+TIME(INT($C$3/10000),INT(MOD($C$3,10000)/100),MOD($C$3,100))+(ROW()-ROW($C$3))/86400</s:f>
        <s:v>46247.52646990741</s:v>
      </s:c>
    </s:row>
    <s:row r="174">
      <s:c r="A174" s="0" t="n">
        <s:v>260813</s:v>
      </s:c>
      <s:c r="B174" s="0" t="inlineStr">
        <s:is>
          <s:t>이종훈</s:t>
        </s:is>
      </s:c>
      <s:c r="C174" s="0" t="n">
        <s:v>123517</s:v>
      </s:c>
      <s:c r="D174" s="0" t="n">
        <s:v>1228</s:v>
      </s:c>
      <s:c r="F174" s="24">
        <s:f>'자료구성'!$B$2+TIME(INT($C$3/10000),INT(MOD($C$3,10000)/100),MOD($C$3,100))+(ROW()-ROW($C$3))/86400</s:f>
        <s:v>46247.52648148148</s:v>
      </s:c>
    </s:row>
    <s:row r="175">
      <s:c r="A175" s="0" t="n">
        <s:v>260813</s:v>
      </s:c>
      <s:c r="B175" s="0" t="inlineStr">
        <s:is>
          <s:t>이종훈</s:t>
        </s:is>
      </s:c>
      <s:c r="C175" s="0" t="n">
        <s:v>123517</s:v>
      </s:c>
      <s:c r="D175" s="0" t="n">
        <s:v>1229</s:v>
      </s:c>
      <s:c r="F175" s="24">
        <s:f>'자료구성'!$B$2+TIME(INT($C$3/10000),INT(MOD($C$3,10000)/100),MOD($C$3,100))+(ROW()-ROW($C$3))/86400</s:f>
        <s:v>46247.52649305556</s:v>
      </s:c>
    </s:row>
    <s:row r="176">
      <s:c r="A176" s="0" t="n">
        <s:v>260813</s:v>
      </s:c>
      <s:c r="B176" s="0" t="inlineStr">
        <s:is>
          <s:t>이종훈</s:t>
        </s:is>
      </s:c>
      <s:c r="C176" s="0" t="n">
        <s:v>123517</s:v>
      </s:c>
      <s:c r="D176" s="0" t="n">
        <s:v>1239</s:v>
      </s:c>
      <s:c r="F176" s="24">
        <s:f>'자료구성'!$B$2+TIME(INT($C$3/10000),INT(MOD($C$3,10000)/100),MOD($C$3,100))+(ROW()-ROW($C$3))/86400</s:f>
        <s:v>46247.526504629626</s:v>
      </s:c>
    </s:row>
    <s:row r="177">
      <s:c r="A177" s="0" t="n">
        <s:v>260813</s:v>
      </s:c>
      <s:c r="B177" s="0" t="inlineStr">
        <s:is>
          <s:t>이종훈</s:t>
        </s:is>
      </s:c>
      <s:c r="C177" s="0" t="n">
        <s:v>123517</s:v>
      </s:c>
      <s:c r="D177" s="0" t="n">
        <s:v>1255</s:v>
      </s:c>
      <s:c r="F177" s="24">
        <s:f>'자료구성'!$B$2+TIME(INT($C$3/10000),INT(MOD($C$3,10000)/100),MOD($C$3,100))+(ROW()-ROW($C$3))/86400</s:f>
        <s:v>46247.5265162037</s:v>
      </s:c>
    </s:row>
    <s:row r="178">
      <s:c r="A178" s="0" t="n">
        <s:v>260813</s:v>
      </s:c>
      <s:c r="B178" s="0" t="inlineStr">
        <s:is>
          <s:t>이종훈</s:t>
        </s:is>
      </s:c>
      <s:c r="C178" s="0" t="n">
        <s:v>123517</s:v>
      </s:c>
      <s:c r="D178" s="0" t="n">
        <s:v>1250</s:v>
      </s:c>
      <s:c r="F178" s="24">
        <s:f>'자료구성'!$B$2+TIME(INT($C$3/10000),INT(MOD($C$3,10000)/100),MOD($C$3,100))+(ROW()-ROW($C$3))/86400</s:f>
        <s:v>46247.52652777778</s:v>
      </s:c>
    </s:row>
    <s:row r="179">
      <s:c r="A179" s="0" t="n">
        <s:v>260813</s:v>
      </s:c>
      <s:c r="B179" s="0" t="inlineStr">
        <s:is>
          <s:t>이종훈</s:t>
        </s:is>
      </s:c>
      <s:c r="C179" s="0" t="n">
        <s:v>123517</s:v>
      </s:c>
      <s:c r="D179" s="0" t="n">
        <s:v>1256</s:v>
      </s:c>
      <s:c r="F179" s="24">
        <s:f>'자료구성'!$B$2+TIME(INT($C$3/10000),INT(MOD($C$3,10000)/100),MOD($C$3,100))+(ROW()-ROW($C$3))/86400</s:f>
        <s:v>46247.52653935185</s:v>
      </s:c>
    </s:row>
    <s:row r="180">
      <s:c r="A180" s="0" t="n">
        <s:v>260813</s:v>
      </s:c>
      <s:c r="B180" s="0" t="inlineStr">
        <s:is>
          <s:t>이종훈</s:t>
        </s:is>
      </s:c>
      <s:c r="C180" s="0" t="n">
        <s:v>123517</s:v>
      </s:c>
      <s:c r="D180" s="0" t="n">
        <s:v>1247</s:v>
      </s:c>
      <s:c r="F180" s="24">
        <s:f>'자료구성'!$B$2+TIME(INT($C$3/10000),INT(MOD($C$3,10000)/100),MOD($C$3,100))+(ROW()-ROW($C$3))/86400</s:f>
        <s:v>46247.526550925926</s:v>
      </s:c>
    </s:row>
    <s:row r="181">
      <s:c r="A181" s="0" t="n">
        <s:v>260813</s:v>
      </s:c>
      <s:c r="B181" s="0" t="inlineStr">
        <s:is>
          <s:t>이종훈</s:t>
        </s:is>
      </s:c>
      <s:c r="C181" s="0" t="n">
        <s:v>123517</s:v>
      </s:c>
      <s:c r="D181" s="0" t="n">
        <s:v>1259</s:v>
      </s:c>
      <s:c r="F181" s="24">
        <s:f>'자료구성'!$B$2+TIME(INT($C$3/10000),INT(MOD($C$3,10000)/100),MOD($C$3,100))+(ROW()-ROW($C$3))/86400</s:f>
        <s:v>46247.5265625</s:v>
      </s:c>
    </s:row>
    <s:row r="182">
      <s:c r="A182" s="0" t="n">
        <s:v>260813</s:v>
      </s:c>
      <s:c r="B182" s="0" t="inlineStr">
        <s:is>
          <s:t>이종훈</s:t>
        </s:is>
      </s:c>
      <s:c r="C182" s="0" t="n">
        <s:v>123517</s:v>
      </s:c>
      <s:c r="D182" s="0" t="n">
        <s:v>1265</s:v>
      </s:c>
      <s:c r="F182" s="24">
        <s:f>'자료구성'!$B$2+TIME(INT($C$3/10000),INT(MOD($C$3,10000)/100),MOD($C$3,100))+(ROW()-ROW($C$3))/86400</s:f>
        <s:v>46247.52657407407</s:v>
      </s:c>
    </s:row>
    <s:row r="183">
      <s:c r="A183" s="0" t="n">
        <s:v>260813</s:v>
      </s:c>
      <s:c r="B183" s="0" t="inlineStr">
        <s:is>
          <s:t>이종훈</s:t>
        </s:is>
      </s:c>
      <s:c r="C183" s="0" t="n">
        <s:v>123517</s:v>
      </s:c>
      <s:c r="D183" s="0" t="n">
        <s:v>1267</s:v>
      </s:c>
      <s:c r="F183" s="24">
        <s:f>'자료구성'!$B$2+TIME(INT($C$3/10000),INT(MOD($C$3,10000)/100),MOD($C$3,100))+(ROW()-ROW($C$3))/86400</s:f>
        <s:v>46247.52658564815</s:v>
      </s:c>
    </s:row>
    <s:row r="184">
      <s:c r="A184" s="0" t="n">
        <s:v>260813</s:v>
      </s:c>
      <s:c r="B184" s="0" t="inlineStr">
        <s:is>
          <s:t>이종훈</s:t>
        </s:is>
      </s:c>
      <s:c r="C184" s="0" t="n">
        <s:v>123517</s:v>
      </s:c>
      <s:c r="D184" s="0" t="n">
        <s:v>1281</s:v>
      </s:c>
      <s:c r="F184" s="24">
        <s:f>'자료구성'!$B$2+TIME(INT($C$3/10000),INT(MOD($C$3,10000)/100),MOD($C$3,100))+(ROW()-ROW($C$3))/86400</s:f>
        <s:v>46247.52659722222</s:v>
      </s:c>
    </s:row>
    <s:row r="185">
      <s:c r="A185" s="0" t="n">
        <s:v>260813</s:v>
      </s:c>
      <s:c r="B185" s="0" t="inlineStr">
        <s:is>
          <s:t>이종훈</s:t>
        </s:is>
      </s:c>
      <s:c r="C185" s="0" t="n">
        <s:v>123517</s:v>
      </s:c>
      <s:c r="D185" s="0" t="n">
        <s:v>1271</s:v>
      </s:c>
      <s:c r="F185" s="24">
        <s:f>'자료구성'!$B$2+TIME(INT($C$3/10000),INT(MOD($C$3,10000)/100),MOD($C$3,100))+(ROW()-ROW($C$3))/86400</s:f>
        <s:v>46247.526608796295</s:v>
      </s:c>
    </s:row>
    <s:row r="186">
      <s:c r="A186" s="0" t="n">
        <s:v>260813</s:v>
      </s:c>
      <s:c r="B186" s="0" t="inlineStr">
        <s:is>
          <s:t>이종훈</s:t>
        </s:is>
      </s:c>
      <s:c r="C186" s="0" t="n">
        <s:v>123517</s:v>
      </s:c>
      <s:c r="D186" s="0" t="n">
        <s:v>1266</s:v>
      </s:c>
      <s:c r="F186" s="24">
        <s:f>'자료구성'!$B$2+TIME(INT($C$3/10000),INT(MOD($C$3,10000)/100),MOD($C$3,100))+(ROW()-ROW($C$3))/86400</s:f>
        <s:v>46247.52662037037</s:v>
      </s:c>
    </s:row>
    <s:row r="187">
      <s:c r="A187" s="0" t="n">
        <s:v>260813</s:v>
      </s:c>
      <s:c r="B187" s="0" t="inlineStr">
        <s:is>
          <s:t>이종훈</s:t>
        </s:is>
      </s:c>
      <s:c r="C187" s="0" t="n">
        <s:v>123517</s:v>
      </s:c>
      <s:c r="D187" s="0" t="n">
        <s:v>1260</s:v>
      </s:c>
      <s:c r="F187" s="24">
        <s:f>'자료구성'!$B$2+TIME(INT($C$3/10000),INT(MOD($C$3,10000)/100),MOD($C$3,100))+(ROW()-ROW($C$3))/86400</s:f>
        <s:v>46247.52663194444</s:v>
      </s:c>
    </s:row>
    <s:row r="188">
      <s:c r="A188" s="0" t="n">
        <s:v>260813</s:v>
      </s:c>
      <s:c r="B188" s="0" t="inlineStr">
        <s:is>
          <s:t>이종훈</s:t>
        </s:is>
      </s:c>
      <s:c r="C188" s="0" t="n">
        <s:v>123517</s:v>
      </s:c>
      <s:c r="D188" s="0" t="n">
        <s:v>1260</s:v>
      </s:c>
      <s:c r="F188" s="24">
        <s:f>'자료구성'!$B$2+TIME(INT($C$3/10000),INT(MOD($C$3,10000)/100),MOD($C$3,100))+(ROW()-ROW($C$3))/86400</s:f>
        <s:v>46247.52664351852</s:v>
      </s:c>
    </s:row>
    <s:row r="189">
      <s:c r="A189" s="0" t="n">
        <s:v>260813</s:v>
      </s:c>
      <s:c r="B189" s="0" t="inlineStr">
        <s:is>
          <s:t>이종훈</s:t>
        </s:is>
      </s:c>
      <s:c r="C189" s="0" t="n">
        <s:v>123517</s:v>
      </s:c>
      <s:c r="D189" s="0" t="n">
        <s:v>1272</s:v>
      </s:c>
      <s:c r="F189" s="24">
        <s:f>'자료구성'!$B$2+TIME(INT($C$3/10000),INT(MOD($C$3,10000)/100),MOD($C$3,100))+(ROW()-ROW($C$3))/86400</s:f>
        <s:v>46247.526655092595</s:v>
      </s:c>
    </s:row>
    <s:row r="190">
      <s:c r="A190" s="0" t="n">
        <s:v>260813</s:v>
      </s:c>
      <s:c r="B190" s="0" t="inlineStr">
        <s:is>
          <s:t>이종훈</s:t>
        </s:is>
      </s:c>
      <s:c r="C190" s="0" t="n">
        <s:v>123517</s:v>
      </s:c>
      <s:c r="D190" s="0" t="n">
        <s:v>1276</s:v>
      </s:c>
      <s:c r="F190" s="24">
        <s:f>'자료구성'!$B$2+TIME(INT($C$3/10000),INT(MOD($C$3,10000)/100),MOD($C$3,100))+(ROW()-ROW($C$3))/86400</s:f>
        <s:v>46247.526666666665</s:v>
      </s:c>
    </s:row>
    <s:row r="191">
      <s:c r="A191" s="0" t="n">
        <s:v>260813</s:v>
      </s:c>
      <s:c r="B191" s="0" t="inlineStr">
        <s:is>
          <s:t>이종훈</s:t>
        </s:is>
      </s:c>
      <s:c r="C191" s="0" t="n">
        <s:v>123517</s:v>
      </s:c>
      <s:c r="D191" s="0" t="n">
        <s:v>1284</s:v>
      </s:c>
      <s:c r="F191" s="24">
        <s:f>'자료구성'!$B$2+TIME(INT($C$3/10000),INT(MOD($C$3,10000)/100),MOD($C$3,100))+(ROW()-ROW($C$3))/86400</s:f>
        <s:v>46247.52667824074</s:v>
      </s:c>
    </s:row>
    <s:row r="192">
      <s:c r="A192" s="0" t="n">
        <s:v>260813</s:v>
      </s:c>
      <s:c r="B192" s="0" t="inlineStr">
        <s:is>
          <s:t>이종훈</s:t>
        </s:is>
      </s:c>
      <s:c r="C192" s="0" t="n">
        <s:v>123517</s:v>
      </s:c>
      <s:c r="D192" s="0" t="n">
        <s:v>1283</s:v>
      </s:c>
      <s:c r="F192" s="24">
        <s:f>'자료구성'!$B$2+TIME(INT($C$3/10000),INT(MOD($C$3,10000)/100),MOD($C$3,100))+(ROW()-ROW($C$3))/86400</s:f>
        <s:v>46247.52668981482</s:v>
      </s:c>
    </s:row>
    <s:row r="193">
      <s:c r="A193" s="0" t="n">
        <s:v>260813</s:v>
      </s:c>
      <s:c r="B193" s="0" t="inlineStr">
        <s:is>
          <s:t>이종훈</s:t>
        </s:is>
      </s:c>
      <s:c r="C193" s="0" t="n">
        <s:v>123517</s:v>
      </s:c>
      <s:c r="D193" s="0" t="n">
        <s:v>1287</s:v>
      </s:c>
      <s:c r="F193" s="24">
        <s:f>'자료구성'!$B$2+TIME(INT($C$3/10000),INT(MOD($C$3,10000)/100),MOD($C$3,100))+(ROW()-ROW($C$3))/86400</s:f>
        <s:v>46247.52670138889</s:v>
      </s:c>
    </s:row>
    <s:row r="194">
      <s:c r="A194" s="0" t="n">
        <s:v>260813</s:v>
      </s:c>
      <s:c r="B194" s="0" t="inlineStr">
        <s:is>
          <s:t>이종훈</s:t>
        </s:is>
      </s:c>
      <s:c r="C194" s="0" t="n">
        <s:v>123517</s:v>
      </s:c>
      <s:c r="D194" s="0" t="n">
        <s:v>1301</s:v>
      </s:c>
      <s:c r="F194" s="24">
        <s:f>'자료구성'!$B$2+TIME(INT($C$3/10000),INT(MOD($C$3,10000)/100),MOD($C$3,100))+(ROW()-ROW($C$3))/86400</s:f>
        <s:v>46247.526712962965</s:v>
      </s:c>
    </s:row>
    <s:row r="195">
      <s:c r="A195" s="0" t="n">
        <s:v>260813</s:v>
      </s:c>
      <s:c r="B195" s="0" t="inlineStr">
        <s:is>
          <s:t>이종훈</s:t>
        </s:is>
      </s:c>
      <s:c r="C195" s="0" t="n">
        <s:v>123517</s:v>
      </s:c>
      <s:c r="D195" s="0" t="n">
        <s:v>1317</s:v>
      </s:c>
      <s:c r="F195" s="24">
        <s:f>'자료구성'!$B$2+TIME(INT($C$3/10000),INT(MOD($C$3,10000)/100),MOD($C$3,100))+(ROW()-ROW($C$3))/86400</s:f>
        <s:v>46247.526724537034</s:v>
      </s:c>
    </s:row>
    <s:row r="196">
      <s:c r="A196" s="0" t="n">
        <s:v>260813</s:v>
      </s:c>
      <s:c r="B196" s="0" t="inlineStr">
        <s:is>
          <s:t>이종훈</s:t>
        </s:is>
      </s:c>
      <s:c r="C196" s="0" t="n">
        <s:v>123517</s:v>
      </s:c>
      <s:c r="D196" s="0" t="n">
        <s:v>1324</s:v>
      </s:c>
      <s:c r="F196" s="24">
        <s:f>'자료구성'!$B$2+TIME(INT($C$3/10000),INT(MOD($C$3,10000)/100),MOD($C$3,100))+(ROW()-ROW($C$3))/86400</s:f>
        <s:v>46247.52673611111</s:v>
      </s:c>
    </s:row>
    <s:row r="197">
      <s:c r="A197" s="0" t="n">
        <s:v>260813</s:v>
      </s:c>
      <s:c r="B197" s="0" t="inlineStr">
        <s:is>
          <s:t>이종훈</s:t>
        </s:is>
      </s:c>
      <s:c r="C197" s="0" t="n">
        <s:v>123517</s:v>
      </s:c>
      <s:c r="D197" s="0" t="n">
        <s:v>1354</s:v>
      </s:c>
      <s:c r="F197" s="24">
        <s:f>'자료구성'!$B$2+TIME(INT($C$3/10000),INT(MOD($C$3,10000)/100),MOD($C$3,100))+(ROW()-ROW($C$3))/86400</s:f>
        <s:v>46247.52674768519</s:v>
      </s:c>
    </s:row>
    <s:row r="198">
      <s:c r="A198" s="0" t="n">
        <s:v>260813</s:v>
      </s:c>
      <s:c r="B198" s="0" t="inlineStr">
        <s:is>
          <s:t>이종훈</s:t>
        </s:is>
      </s:c>
      <s:c r="C198" s="0" t="n">
        <s:v>123517</s:v>
      </s:c>
      <s:c r="D198" s="0" t="n">
        <s:v>1383</s:v>
      </s:c>
      <s:c r="F198" s="24">
        <s:f>'자료구성'!$B$2+TIME(INT($C$3/10000),INT(MOD($C$3,10000)/100),MOD($C$3,100))+(ROW()-ROW($C$3))/86400</s:f>
        <s:v>46247.52675925926</s:v>
      </s:c>
    </s:row>
    <s:row r="199">
      <s:c r="A199" s="0" t="n">
        <s:v>260813</s:v>
      </s:c>
      <s:c r="B199" s="0" t="inlineStr">
        <s:is>
          <s:t>이종훈</s:t>
        </s:is>
      </s:c>
      <s:c r="C199" s="0" t="n">
        <s:v>123517</s:v>
      </s:c>
      <s:c r="D199" s="0" t="n">
        <s:v>1384</s:v>
      </s:c>
      <s:c r="F199" s="24">
        <s:f>'자료구성'!$B$2+TIME(INT($C$3/10000),INT(MOD($C$3,10000)/100),MOD($C$3,100))+(ROW()-ROW($C$3))/86400</s:f>
        <s:v>46247.526770833334</s:v>
      </s:c>
    </s:row>
    <s:row r="200">
      <s:c r="A200" s="0" t="n">
        <s:v>260813</s:v>
      </s:c>
      <s:c r="B200" s="0" t="inlineStr">
        <s:is>
          <s:t>이종훈</s:t>
        </s:is>
      </s:c>
      <s:c r="C200" s="0" t="n">
        <s:v>123517</s:v>
      </s:c>
      <s:c r="D200" s="0" t="n">
        <s:v>1388</s:v>
      </s:c>
      <s:c r="F200" s="24">
        <s:f>'자료구성'!$B$2+TIME(INT($C$3/10000),INT(MOD($C$3,10000)/100),MOD($C$3,100))+(ROW()-ROW($C$3))/86400</s:f>
        <s:v>46247.52678240741</s:v>
      </s:c>
    </s:row>
    <s:row r="201">
      <s:c r="A201" s="0" t="n">
        <s:v>260813</s:v>
      </s:c>
      <s:c r="B201" s="0" t="inlineStr">
        <s:is>
          <s:t>이종훈</s:t>
        </s:is>
      </s:c>
      <s:c r="C201" s="0" t="n">
        <s:v>123517</s:v>
      </s:c>
      <s:c r="D201" s="0" t="n">
        <s:v>1388</s:v>
      </s:c>
      <s:c r="F201" s="24">
        <s:f>'자료구성'!$B$2+TIME(INT($C$3/10000),INT(MOD($C$3,10000)/100),MOD($C$3,100))+(ROW()-ROW($C$3))/86400</s:f>
        <s:v>46247.52679398148</s:v>
      </s:c>
    </s:row>
    <s:row r="202">
      <s:c r="A202" s="0" t="n">
        <s:v>260813</s:v>
      </s:c>
      <s:c r="B202" s="0" t="inlineStr">
        <s:is>
          <s:t>이종훈</s:t>
        </s:is>
      </s:c>
      <s:c r="C202" s="0" t="n">
        <s:v>123517</s:v>
      </s:c>
      <s:c r="D202" s="0" t="n">
        <s:v>1410</s:v>
      </s:c>
      <s:c r="F202" s="24">
        <s:f>'자료구성'!$B$2+TIME(INT($C$3/10000),INT(MOD($C$3,10000)/100),MOD($C$3,100))+(ROW()-ROW($C$3))/86400</s:f>
        <s:v>46247.52680555556</s:v>
      </s:c>
    </s:row>
    <s:row r="203">
      <s:c r="A203" s="0" t="n">
        <s:v>260813</s:v>
      </s:c>
      <s:c r="B203" s="0" t="inlineStr">
        <s:is>
          <s:t>이종훈</s:t>
        </s:is>
      </s:c>
      <s:c r="C203" s="0" t="n">
        <s:v>123517</s:v>
      </s:c>
      <s:c r="D203" s="0" t="n">
        <s:v>1436</s:v>
      </s:c>
      <s:c r="F203" s="24">
        <s:f>'자료구성'!$B$2+TIME(INT($C$3/10000),INT(MOD($C$3,10000)/100),MOD($C$3,100))+(ROW()-ROW($C$3))/86400</s:f>
        <s:v>46247.52681712963</s:v>
      </s:c>
    </s:row>
    <s:row r="204">
      <s:c r="A204" s="0" t="n">
        <s:v>260813</s:v>
      </s:c>
      <s:c r="B204" s="0" t="inlineStr">
        <s:is>
          <s:t>이종훈</s:t>
        </s:is>
      </s:c>
      <s:c r="C204" s="0" t="n">
        <s:v>123517</s:v>
      </s:c>
      <s:c r="D204" s="0" t="n">
        <s:v>1436</s:v>
      </s:c>
      <s:c r="F204" s="24">
        <s:f>'자료구성'!$B$2+TIME(INT($C$3/10000),INT(MOD($C$3,10000)/100),MOD($C$3,100))+(ROW()-ROW($C$3))/86400</s:f>
        <s:v>46247.5268287037</s:v>
      </s:c>
    </s:row>
    <s:row r="205">
      <s:c r="A205" s="0" t="n">
        <s:v>260813</s:v>
      </s:c>
      <s:c r="B205" s="0" t="inlineStr">
        <s:is>
          <s:t>이종훈</s:t>
        </s:is>
      </s:c>
      <s:c r="C205" s="0" t="n">
        <s:v>123517</s:v>
      </s:c>
      <s:c r="D205" s="0" t="n">
        <s:v>1480</s:v>
      </s:c>
      <s:c r="F205" s="24">
        <s:f>'자료구성'!$B$2+TIME(INT($C$3/10000),INT(MOD($C$3,10000)/100),MOD($C$3,100))+(ROW()-ROW($C$3))/86400</s:f>
        <s:v>46247.52684027778</s:v>
      </s:c>
    </s:row>
    <s:row r="206">
      <s:c r="A206" s="0" t="n">
        <s:v>260813</s:v>
      </s:c>
      <s:c r="B206" s="0" t="inlineStr">
        <s:is>
          <s:t>이종훈</s:t>
        </s:is>
      </s:c>
      <s:c r="C206" s="0" t="n">
        <s:v>123517</s:v>
      </s:c>
      <s:c r="D206" s="0" t="n">
        <s:v>1507</s:v>
      </s:c>
      <s:c r="F206" s="24">
        <s:f>'자료구성'!$B$2+TIME(INT($C$3/10000),INT(MOD($C$3,10000)/100),MOD($C$3,100))+(ROW()-ROW($C$3))/86400</s:f>
        <s:v>46247.52685185185</s:v>
      </s:c>
    </s:row>
    <s:row r="207">
      <s:c r="A207" s="0" t="n">
        <s:v>260813</s:v>
      </s:c>
      <s:c r="B207" s="0" t="inlineStr">
        <s:is>
          <s:t>이종훈</s:t>
        </s:is>
      </s:c>
      <s:c r="C207" s="0" t="n">
        <s:v>123517</s:v>
      </s:c>
      <s:c r="D207" s="0" t="n">
        <s:v>1545</s:v>
      </s:c>
      <s:c r="F207" s="24">
        <s:f>'자료구성'!$B$2+TIME(INT($C$3/10000),INT(MOD($C$3,10000)/100),MOD($C$3,100))+(ROW()-ROW($C$3))/86400</s:f>
        <s:v>46247.52686342593</s:v>
      </s:c>
    </s:row>
    <s:row r="208">
      <s:c r="A208" s="0" t="n">
        <s:v>260813</s:v>
      </s:c>
      <s:c r="B208" s="0" t="inlineStr">
        <s:is>
          <s:t>이종훈</s:t>
        </s:is>
      </s:c>
      <s:c r="C208" s="0" t="n">
        <s:v>123517</s:v>
      </s:c>
      <s:c r="D208" s="0" t="n">
        <s:v>1592</s:v>
      </s:c>
      <s:c r="F208" s="24">
        <s:f>'자료구성'!$B$2+TIME(INT($C$3/10000),INT(MOD($C$3,10000)/100),MOD($C$3,100))+(ROW()-ROW($C$3))/86400</s:f>
        <s:v>46247.526875</s:v>
      </s:c>
    </s:row>
    <s:row r="209">
      <s:c r="A209" s="0" t="n">
        <s:v>260813</s:v>
      </s:c>
      <s:c r="B209" s="0" t="inlineStr">
        <s:is>
          <s:t>이종훈</s:t>
        </s:is>
      </s:c>
      <s:c r="C209" s="0" t="n">
        <s:v>123517</s:v>
      </s:c>
      <s:c r="D209" s="0" t="n">
        <s:v>1641</s:v>
      </s:c>
      <s:c r="F209" s="24">
        <s:f>'자료구성'!$B$2+TIME(INT($C$3/10000),INT(MOD($C$3,10000)/100),MOD($C$3,100))+(ROW()-ROW($C$3))/86400</s:f>
        <s:v>46247.52688657407</s:v>
      </s:c>
    </s:row>
    <s:row r="210">
      <s:c r="A210" s="0" t="n">
        <s:v>260813</s:v>
      </s:c>
      <s:c r="B210" s="0" t="inlineStr">
        <s:is>
          <s:t>이종훈</s:t>
        </s:is>
      </s:c>
      <s:c r="C210" s="0" t="n">
        <s:v>123517</s:v>
      </s:c>
      <s:c r="D210" s="0" t="n">
        <s:v>1755</s:v>
      </s:c>
      <s:c r="F210" s="24">
        <s:f>'자료구성'!$B$2+TIME(INT($C$3/10000),INT(MOD($C$3,10000)/100),MOD($C$3,100))+(ROW()-ROW($C$3))/86400</s:f>
        <s:v>46247.52689814815</s:v>
      </s:c>
    </s:row>
    <s:row r="211">
      <s:c r="A211" s="0" t="n">
        <s:v>260813</s:v>
      </s:c>
      <s:c r="B211" s="0" t="inlineStr">
        <s:is>
          <s:t>이종훈</s:t>
        </s:is>
      </s:c>
      <s:c r="C211" s="0" t="n">
        <s:v>123517</s:v>
      </s:c>
      <s:c r="D211" s="0" t="n">
        <s:v>1834</s:v>
      </s:c>
      <s:c r="F211" s="24">
        <s:f>'자료구성'!$B$2+TIME(INT($C$3/10000),INT(MOD($C$3,10000)/100),MOD($C$3,100))+(ROW()-ROW($C$3))/86400</s:f>
        <s:v>46247.52690972222</s:v>
      </s:c>
    </s:row>
    <s:row r="212">
      <s:c r="A212" s="0" t="n">
        <s:v>260813</s:v>
      </s:c>
      <s:c r="B212" s="0" t="inlineStr">
        <s:is>
          <s:t>이종훈</s:t>
        </s:is>
      </s:c>
      <s:c r="C212" s="0" t="n">
        <s:v>123517</s:v>
      </s:c>
      <s:c r="D212" s="0" t="n">
        <s:v>1917</s:v>
      </s:c>
      <s:c r="F212" s="24">
        <s:f>'자료구성'!$B$2+TIME(INT($C$3/10000),INT(MOD($C$3,10000)/100),MOD($C$3,100))+(ROW()-ROW($C$3))/86400</s:f>
        <s:v>46247.526921296296</s:v>
      </s:c>
    </s:row>
    <s:row r="213">
      <s:c r="A213" s="0" t="n">
        <s:v>260813</s:v>
      </s:c>
      <s:c r="B213" s="0" t="inlineStr">
        <s:is>
          <s:t>이종훈</s:t>
        </s:is>
      </s:c>
      <s:c r="C213" s="0" t="n">
        <s:v>123517</s:v>
      </s:c>
      <s:c r="D213" s="0" t="n">
        <s:v>2006</s:v>
      </s:c>
      <s:c r="F213" s="24">
        <s:f>'자료구성'!$B$2+TIME(INT($C$3/10000),INT(MOD($C$3,10000)/100),MOD($C$3,100))+(ROW()-ROW($C$3))/86400</s:f>
        <s:v>46247.52693287037</s:v>
      </s:c>
    </s:row>
    <s:row r="214">
      <s:c r="A214" s="0" t="n">
        <s:v>260813</s:v>
      </s:c>
      <s:c r="B214" s="0" t="inlineStr">
        <s:is>
          <s:t>이종훈</s:t>
        </s:is>
      </s:c>
      <s:c r="C214" s="0" t="n">
        <s:v>123517</s:v>
      </s:c>
      <s:c r="D214" s="0" t="n">
        <s:v>2037</s:v>
      </s:c>
      <s:c r="F214" s="24">
        <s:f>'자료구성'!$B$2+TIME(INT($C$3/10000),INT(MOD($C$3,10000)/100),MOD($C$3,100))+(ROW()-ROW($C$3))/86400</s:f>
        <s:v>46247.52694444444</s:v>
      </s:c>
    </s:row>
    <s:row r="215">
      <s:c r="A215" s="0" t="n">
        <s:v>260813</s:v>
      </s:c>
      <s:c r="B215" s="0" t="inlineStr">
        <s:is>
          <s:t>이종훈</s:t>
        </s:is>
      </s:c>
      <s:c r="C215" s="0" t="n">
        <s:v>123517</s:v>
      </s:c>
      <s:c r="D215" s="0" t="n">
        <s:v>2034</s:v>
      </s:c>
      <s:c r="F215" s="24">
        <s:f>'자료구성'!$B$2+TIME(INT($C$3/10000),INT(MOD($C$3,10000)/100),MOD($C$3,100))+(ROW()-ROW($C$3))/86400</s:f>
        <s:v>46247.52695601852</s:v>
      </s:c>
    </s:row>
    <s:row r="216">
      <s:c r="A216" s="0" t="n">
        <s:v>260813</s:v>
      </s:c>
      <s:c r="B216" s="0" t="inlineStr">
        <s:is>
          <s:t>이종훈</s:t>
        </s:is>
      </s:c>
      <s:c r="C216" s="0" t="n">
        <s:v>123517</s:v>
      </s:c>
      <s:c r="D216" s="0" t="n">
        <s:v>2054</s:v>
      </s:c>
      <s:c r="F216" s="24">
        <s:f>'자료구성'!$B$2+TIME(INT($C$3/10000),INT(MOD($C$3,10000)/100),MOD($C$3,100))+(ROW()-ROW($C$3))/86400</s:f>
        <s:v>46247.526967592596</s:v>
      </s:c>
    </s:row>
    <s:row r="217">
      <s:c r="A217" s="0" t="n">
        <s:v>260813</s:v>
      </s:c>
      <s:c r="B217" s="0" t="inlineStr">
        <s:is>
          <s:t>이종훈</s:t>
        </s:is>
      </s:c>
      <s:c r="C217" s="0" t="n">
        <s:v>123517</s:v>
      </s:c>
      <s:c r="D217" s="0" t="n">
        <s:v>2079</s:v>
      </s:c>
      <s:c r="F217" s="24">
        <s:f>'자료구성'!$B$2+TIME(INT($C$3/10000),INT(MOD($C$3,10000)/100),MOD($C$3,100))+(ROW()-ROW($C$3))/86400</s:f>
        <s:v>46247.526979166665</s:v>
      </s:c>
    </s:row>
    <s:row r="218">
      <s:c r="A218" s="0" t="n">
        <s:v>260813</s:v>
      </s:c>
      <s:c r="B218" s="0" t="inlineStr">
        <s:is>
          <s:t>이종훈</s:t>
        </s:is>
      </s:c>
      <s:c r="C218" s="0" t="n">
        <s:v>123517</s:v>
      </s:c>
      <s:c r="D218" s="0" t="n">
        <s:v>2061</s:v>
      </s:c>
      <s:c r="F218" s="24">
        <s:f>'자료구성'!$B$2+TIME(INT($C$3/10000),INT(MOD($C$3,10000)/100),MOD($C$3,100))+(ROW()-ROW($C$3))/86400</s:f>
        <s:v>46247.52699074074</s:v>
      </s:c>
    </s:row>
    <s:row r="219">
      <s:c r="A219" s="0" t="n">
        <s:v>260813</s:v>
      </s:c>
      <s:c r="B219" s="0" t="inlineStr">
        <s:is>
          <s:t>이종훈</s:t>
        </s:is>
      </s:c>
      <s:c r="C219" s="0" t="n">
        <s:v>123517</s:v>
      </s:c>
      <s:c r="D219" s="0" t="n">
        <s:v>2066</s:v>
      </s:c>
      <s:c r="F219" s="24">
        <s:f>'자료구성'!$B$2+TIME(INT($C$3/10000),INT(MOD($C$3,10000)/100),MOD($C$3,100))+(ROW()-ROW($C$3))/86400</s:f>
        <s:v>46247.52700231481</s:v>
      </s:c>
    </s:row>
    <s:row r="220">
      <s:c r="A220" s="0" t="n">
        <s:v>260813</s:v>
      </s:c>
      <s:c r="B220" s="0" t="inlineStr">
        <s:is>
          <s:t>이종훈</s:t>
        </s:is>
      </s:c>
      <s:c r="C220" s="0" t="n">
        <s:v>123517</s:v>
      </s:c>
      <s:c r="D220" s="0" t="n">
        <s:v>2026</s:v>
      </s:c>
      <s:c r="F220" s="24">
        <s:f>'자료구성'!$B$2+TIME(INT($C$3/10000),INT(MOD($C$3,10000)/100),MOD($C$3,100))+(ROW()-ROW($C$3))/86400</s:f>
        <s:v>46247.52701388889</s:v>
      </s:c>
    </s:row>
    <s:row r="221">
      <s:c r="A221" s="0" t="n">
        <s:v>260813</s:v>
      </s:c>
      <s:c r="B221" s="0" t="inlineStr">
        <s:is>
          <s:t>이종훈</s:t>
        </s:is>
      </s:c>
      <s:c r="C221" s="0" t="n">
        <s:v>123517</s:v>
      </s:c>
      <s:c r="D221" s="0" t="n">
        <s:v>1990</s:v>
      </s:c>
      <s:c r="F221" s="24">
        <s:f>'자료구성'!$B$2+TIME(INT($C$3/10000),INT(MOD($C$3,10000)/100),MOD($C$3,100))+(ROW()-ROW($C$3))/86400</s:f>
        <s:v>46247.527025462965</s:v>
      </s:c>
    </s:row>
    <s:row r="222">
      <s:c r="A222" s="0" t="n">
        <s:v>260813</s:v>
      </s:c>
      <s:c r="B222" s="0" t="inlineStr">
        <s:is>
          <s:t>이종훈</s:t>
        </s:is>
      </s:c>
      <s:c r="C222" s="0" t="n">
        <s:v>123517</s:v>
      </s:c>
      <s:c r="D222" s="0" t="n">
        <s:v>1945</s:v>
      </s:c>
      <s:c r="F222" s="24">
        <s:f>'자료구성'!$B$2+TIME(INT($C$3/10000),INT(MOD($C$3,10000)/100),MOD($C$3,100))+(ROW()-ROW($C$3))/86400</s:f>
        <s:v>46247.527037037034</s:v>
      </s:c>
    </s:row>
    <s:row r="223">
      <s:c r="A223" s="0" t="n">
        <s:v>260813</s:v>
      </s:c>
      <s:c r="B223" s="0" t="inlineStr">
        <s:is>
          <s:t>이종훈</s:t>
        </s:is>
      </s:c>
      <s:c r="C223" s="0" t="n">
        <s:v>123517</s:v>
      </s:c>
      <s:c r="D223" s="0" t="n">
        <s:v>1908</s:v>
      </s:c>
      <s:c r="F223" s="24">
        <s:f>'자료구성'!$B$2+TIME(INT($C$3/10000),INT(MOD($C$3,10000)/100),MOD($C$3,100))+(ROW()-ROW($C$3))/86400</s:f>
        <s:v>46247.52704861111</s:v>
      </s:c>
    </s:row>
    <s:row r="224">
      <s:c r="A224" s="0" t="n">
        <s:v>260813</s:v>
      </s:c>
      <s:c r="B224" s="0" t="inlineStr">
        <s:is>
          <s:t>이종훈</s:t>
        </s:is>
      </s:c>
      <s:c r="C224" s="0" t="n">
        <s:v>123517</s:v>
      </s:c>
      <s:c r="D224" s="0" t="n">
        <s:v>1890</s:v>
      </s:c>
      <s:c r="F224" s="24">
        <s:f>'자료구성'!$B$2+TIME(INT($C$3/10000),INT(MOD($C$3,10000)/100),MOD($C$3,100))+(ROW()-ROW($C$3))/86400</s:f>
        <s:v>46247.52706018519</s:v>
      </s:c>
    </s:row>
    <s:row r="225">
      <s:c r="A225" s="0" t="n">
        <s:v>260813</s:v>
      </s:c>
      <s:c r="B225" s="0" t="inlineStr">
        <s:is>
          <s:t>이종훈</s:t>
        </s:is>
      </s:c>
      <s:c r="C225" s="0" t="n">
        <s:v>123517</s:v>
      </s:c>
      <s:c r="D225" s="0" t="n">
        <s:v>1860</s:v>
      </s:c>
      <s:c r="F225" s="24">
        <s:f>'자료구성'!$B$2+TIME(INT($C$3/10000),INT(MOD($C$3,10000)/100),MOD($C$3,100))+(ROW()-ROW($C$3))/86400</s:f>
        <s:v>46247.52707175926</s:v>
      </s:c>
    </s:row>
    <s:row r="226">
      <s:c r="A226" s="0" t="n">
        <s:v>260813</s:v>
      </s:c>
      <s:c r="B226" s="0" t="inlineStr">
        <s:is>
          <s:t>이종훈</s:t>
        </s:is>
      </s:c>
      <s:c r="C226" s="0" t="n">
        <s:v>123517</s:v>
      </s:c>
      <s:c r="D226" s="0" t="n">
        <s:v>1814</s:v>
      </s:c>
      <s:c r="F226" s="24">
        <s:f>'자료구성'!$B$2+TIME(INT($C$3/10000),INT(MOD($C$3,10000)/100),MOD($C$3,100))+(ROW()-ROW($C$3))/86400</s:f>
        <s:v>46247.527083333334</s:v>
      </s:c>
    </s:row>
    <s:row r="227">
      <s:c r="A227" s="0" t="n">
        <s:v>260813</s:v>
      </s:c>
      <s:c r="B227" s="0" t="inlineStr">
        <s:is>
          <s:t>이종훈</s:t>
        </s:is>
      </s:c>
      <s:c r="C227" s="0" t="n">
        <s:v>123517</s:v>
      </s:c>
      <s:c r="D227" s="0" t="n">
        <s:v>1801</s:v>
      </s:c>
      <s:c r="F227" s="24">
        <s:f>'자료구성'!$B$2+TIME(INT($C$3/10000),INT(MOD($C$3,10000)/100),MOD($C$3,100))+(ROW()-ROW($C$3))/86400</s:f>
        <s:v>46247.527094907404</s:v>
      </s:c>
    </s:row>
    <s:row r="228">
      <s:c r="A228" s="0" t="n">
        <s:v>260813</s:v>
      </s:c>
      <s:c r="B228" s="0" t="inlineStr">
        <s:is>
          <s:t>이종훈</s:t>
        </s:is>
      </s:c>
      <s:c r="C228" s="0" t="n">
        <s:v>123517</s:v>
      </s:c>
      <s:c r="D228" s="0" t="n">
        <s:v>1835</s:v>
      </s:c>
      <s:c r="F228" s="24">
        <s:f>'자료구성'!$B$2+TIME(INT($C$3/10000),INT(MOD($C$3,10000)/100),MOD($C$3,100))+(ROW()-ROW($C$3))/86400</s:f>
        <s:v>46247.52710648148</s:v>
      </s:c>
    </s:row>
    <s:row r="229">
      <s:c r="A229" s="0" t="n">
        <s:v>260813</s:v>
      </s:c>
      <s:c r="B229" s="0" t="inlineStr">
        <s:is>
          <s:t>이종훈</s:t>
        </s:is>
      </s:c>
      <s:c r="C229" s="0" t="n">
        <s:v>123517</s:v>
      </s:c>
      <s:c r="D229" s="0" t="n">
        <s:v>1870</s:v>
      </s:c>
      <s:c r="F229" s="24">
        <s:f>'자료구성'!$B$2+TIME(INT($C$3/10000),INT(MOD($C$3,10000)/100),MOD($C$3,100))+(ROW()-ROW($C$3))/86400</s:f>
        <s:v>46247.52711805556</s:v>
      </s:c>
    </s:row>
    <s:row r="230">
      <s:c r="A230" s="0" t="n">
        <s:v>260813</s:v>
      </s:c>
      <s:c r="B230" s="0" t="inlineStr">
        <s:is>
          <s:t>이종훈</s:t>
        </s:is>
      </s:c>
      <s:c r="C230" s="0" t="n">
        <s:v>123517</s:v>
      </s:c>
      <s:c r="D230" s="0" t="n">
        <s:v>1917</s:v>
      </s:c>
      <s:c r="F230" s="24">
        <s:f>'자료구성'!$B$2+TIME(INT($C$3/10000),INT(MOD($C$3,10000)/100),MOD($C$3,100))+(ROW()-ROW($C$3))/86400</s:f>
        <s:v>46247.52712962963</s:v>
      </s:c>
    </s:row>
    <s:row r="231">
      <s:c r="A231" s="0" t="n">
        <s:v>260813</s:v>
      </s:c>
      <s:c r="B231" s="0" t="inlineStr">
        <s:is>
          <s:t>이종훈</s:t>
        </s:is>
      </s:c>
      <s:c r="C231" s="0" t="n">
        <s:v>123517</s:v>
      </s:c>
      <s:c r="D231" s="0" t="n">
        <s:v>2058</s:v>
      </s:c>
      <s:c r="F231" s="24">
        <s:f>'자료구성'!$B$2+TIME(INT($C$3/10000),INT(MOD($C$3,10000)/100),MOD($C$3,100))+(ROW()-ROW($C$3))/86400</s:f>
        <s:v>46247.527141203704</s:v>
      </s:c>
    </s:row>
    <s:row r="232">
      <s:c r="A232" s="0" t="n">
        <s:v>260813</s:v>
      </s:c>
      <s:c r="B232" s="0" t="inlineStr">
        <s:is>
          <s:t>이종훈</s:t>
        </s:is>
      </s:c>
      <s:c r="C232" s="0" t="n">
        <s:v>123517</s:v>
      </s:c>
      <s:c r="D232" s="0" t="n">
        <s:v>2185</s:v>
      </s:c>
      <s:c r="F232" s="24">
        <s:f>'자료구성'!$B$2+TIME(INT($C$3/10000),INT(MOD($C$3,10000)/100),MOD($C$3,100))+(ROW()-ROW($C$3))/86400</s:f>
        <s:v>46247.52715277778</s:v>
      </s:c>
    </s:row>
    <s:row r="233">
      <s:c r="A233" s="0" t="n">
        <s:v>260813</s:v>
      </s:c>
      <s:c r="B233" s="0" t="inlineStr">
        <s:is>
          <s:t>이종훈</s:t>
        </s:is>
      </s:c>
      <s:c r="C233" s="0" t="n">
        <s:v>123517</s:v>
      </s:c>
      <s:c r="D233" s="0" t="n">
        <s:v>2167</s:v>
      </s:c>
      <s:c r="F233" s="24">
        <s:f>'자료구성'!$B$2+TIME(INT($C$3/10000),INT(MOD($C$3,10000)/100),MOD($C$3,100))+(ROW()-ROW($C$3))/86400</s:f>
        <s:v>46247.52716435185</s:v>
      </s:c>
    </s:row>
    <s:row r="234">
      <s:c r="A234" s="0" t="n">
        <s:v>260813</s:v>
      </s:c>
      <s:c r="B234" s="0" t="inlineStr">
        <s:is>
          <s:t>이종훈</s:t>
        </s:is>
      </s:c>
      <s:c r="C234" s="0" t="n">
        <s:v>123517</s:v>
      </s:c>
      <s:c r="D234" s="0" t="n">
        <s:v>2111</s:v>
      </s:c>
      <s:c r="F234" s="24">
        <s:f>'자료구성'!$B$2+TIME(INT($C$3/10000),INT(MOD($C$3,10000)/100),MOD($C$3,100))+(ROW()-ROW($C$3))/86400</s:f>
        <s:v>46247.52717592593</s:v>
      </s:c>
    </s:row>
    <s:row r="235">
      <s:c r="A235" s="0" t="n">
        <s:v>260813</s:v>
      </s:c>
      <s:c r="B235" s="0" t="inlineStr">
        <s:is>
          <s:t>이종훈</s:t>
        </s:is>
      </s:c>
      <s:c r="C235" s="0" t="n">
        <s:v>123517</s:v>
      </s:c>
      <s:c r="D235" s="0" t="n">
        <s:v>2175</s:v>
      </s:c>
      <s:c r="F235" s="24">
        <s:f>'자료구성'!$B$2+TIME(INT($C$3/10000),INT(MOD($C$3,10000)/100),MOD($C$3,100))+(ROW()-ROW($C$3))/86400</s:f>
        <s:v>46247.5271875</s:v>
      </s:c>
    </s:row>
    <s:row r="236">
      <s:c r="A236" s="0" t="n">
        <s:v>260813</s:v>
      </s:c>
      <s:c r="B236" s="0" t="inlineStr">
        <s:is>
          <s:t>이종훈</s:t>
        </s:is>
      </s:c>
      <s:c r="C236" s="0" t="n">
        <s:v>123517</s:v>
      </s:c>
      <s:c r="D236" s="0" t="n">
        <s:v>2291</s:v>
      </s:c>
      <s:c r="F236" s="24">
        <s:f>'자료구성'!$B$2+TIME(INT($C$3/10000),INT(MOD($C$3,10000)/100),MOD($C$3,100))+(ROW()-ROW($C$3))/86400</s:f>
        <s:v>46247.52719907407</s:v>
      </s:c>
    </s:row>
    <s:row r="237">
      <s:c r="A237" s="0" t="n">
        <s:v>260813</s:v>
      </s:c>
      <s:c r="B237" s="0" t="inlineStr">
        <s:is>
          <s:t>이종훈</s:t>
        </s:is>
      </s:c>
      <s:c r="C237" s="0" t="n">
        <s:v>123517</s:v>
      </s:c>
      <s:c r="D237" s="0" t="n">
        <s:v>2456</s:v>
      </s:c>
      <s:c r="F237" s="24">
        <s:f>'자료구성'!$B$2+TIME(INT($C$3/10000),INT(MOD($C$3,10000)/100),MOD($C$3,100))+(ROW()-ROW($C$3))/86400</s:f>
        <s:v>46247.52721064815</s:v>
      </s:c>
    </s:row>
    <s:row r="238">
      <s:c r="A238" s="0" t="n">
        <s:v>260813</s:v>
      </s:c>
      <s:c r="B238" s="0" t="inlineStr">
        <s:is>
          <s:t>이종훈</s:t>
        </s:is>
      </s:c>
      <s:c r="C238" s="0" t="n">
        <s:v>123517</s:v>
      </s:c>
      <s:c r="D238" s="0" t="n">
        <s:v>2640</s:v>
      </s:c>
      <s:c r="F238" s="24">
        <s:f>'자료구성'!$B$2+TIME(INT($C$3/10000),INT(MOD($C$3,10000)/100),MOD($C$3,100))+(ROW()-ROW($C$3))/86400</s:f>
        <s:v>46247.52722222222</s:v>
      </s:c>
    </s:row>
    <s:row r="239">
      <s:c r="A239" s="0" t="n">
        <s:v>260813</s:v>
      </s:c>
      <s:c r="B239" s="0" t="inlineStr">
        <s:is>
          <s:t>이종훈</s:t>
        </s:is>
      </s:c>
      <s:c r="C239" s="0" t="n">
        <s:v>123517</s:v>
      </s:c>
      <s:c r="D239" s="0" t="n">
        <s:v>2808</s:v>
      </s:c>
      <s:c r="F239" s="24">
        <s:f>'자료구성'!$B$2+TIME(INT($C$3/10000),INT(MOD($C$3,10000)/100),MOD($C$3,100))+(ROW()-ROW($C$3))/86400</s:f>
        <s:v>46247.527233796296</s:v>
      </s:c>
    </s:row>
    <s:row r="240">
      <s:c r="A240" s="0" t="n">
        <s:v>260813</s:v>
      </s:c>
      <s:c r="B240" s="0" t="inlineStr">
        <s:is>
          <s:t>이종훈</s:t>
        </s:is>
      </s:c>
      <s:c r="C240" s="0" t="n">
        <s:v>123517</s:v>
      </s:c>
      <s:c r="D240" s="0" t="n">
        <s:v>2939</s:v>
      </s:c>
      <s:c r="F240" s="24">
        <s:f>'자료구성'!$B$2+TIME(INT($C$3/10000),INT(MOD($C$3,10000)/100),MOD($C$3,100))+(ROW()-ROW($C$3))/86400</s:f>
        <s:v>46247.52724537037</s:v>
      </s:c>
    </s:row>
    <s:row r="241">
      <s:c r="A241" s="0" t="n">
        <s:v>260813</s:v>
      </s:c>
      <s:c r="B241" s="0" t="inlineStr">
        <s:is>
          <s:t>이종훈</s:t>
        </s:is>
      </s:c>
      <s:c r="C241" s="0" t="n">
        <s:v>123517</s:v>
      </s:c>
      <s:c r="D241" s="0" t="n">
        <s:v>3002</s:v>
      </s:c>
      <s:c r="F241" s="24">
        <s:f>'자료구성'!$B$2+TIME(INT($C$3/10000),INT(MOD($C$3,10000)/100),MOD($C$3,100))+(ROW()-ROW($C$3))/86400</s:f>
        <s:v>46247.52725694444</s:v>
      </s:c>
    </s:row>
    <s:row r="242">
      <s:c r="A242" s="0" t="n">
        <s:v>260813</s:v>
      </s:c>
      <s:c r="B242" s="0" t="inlineStr">
        <s:is>
          <s:t>이종훈</s:t>
        </s:is>
      </s:c>
      <s:c r="C242" s="0" t="n">
        <s:v>123517</s:v>
      </s:c>
      <s:c r="D242" s="0" t="n">
        <s:v>2901</s:v>
      </s:c>
      <s:c r="F242" s="24">
        <s:f>'자료구성'!$B$2+TIME(INT($C$3/10000),INT(MOD($C$3,10000)/100),MOD($C$3,100))+(ROW()-ROW($C$3))/86400</s:f>
        <s:v>46247.52726851852</s:v>
      </s:c>
    </s:row>
    <s:row r="243">
      <s:c r="A243" s="0" t="n">
        <s:v>260813</s:v>
      </s:c>
      <s:c r="B243" s="0" t="inlineStr">
        <s:is>
          <s:t>이종훈</s:t>
        </s:is>
      </s:c>
      <s:c r="C243" s="0" t="n">
        <s:v>123517</s:v>
      </s:c>
      <s:c r="D243" s="0" t="n">
        <s:v>2724</s:v>
      </s:c>
      <s:c r="F243" s="24">
        <s:f>'자료구성'!$B$2+TIME(INT($C$3/10000),INT(MOD($C$3,10000)/100),MOD($C$3,100))+(ROW()-ROW($C$3))/86400</s:f>
        <s:v>46247.527280092596</s:v>
      </s:c>
    </s:row>
    <s:row r="244">
      <s:c r="A244" s="0" t="n">
        <s:v>260813</s:v>
      </s:c>
      <s:c r="B244" s="0" t="inlineStr">
        <s:is>
          <s:t>이종훈</s:t>
        </s:is>
      </s:c>
      <s:c r="C244" s="0" t="n">
        <s:v>123517</s:v>
      </s:c>
      <s:c r="D244" s="0" t="n">
        <s:v>2562</s:v>
      </s:c>
      <s:c r="F244" s="24">
        <s:f>'자료구성'!$B$2+TIME(INT($C$3/10000),INT(MOD($C$3,10000)/100),MOD($C$3,100))+(ROW()-ROW($C$3))/86400</s:f>
        <s:v>46247.527291666665</s:v>
      </s:c>
    </s:row>
    <s:row r="245">
      <s:c r="A245" s="0" t="n">
        <s:v>260813</s:v>
      </s:c>
      <s:c r="B245" s="0" t="inlineStr">
        <s:is>
          <s:t>이종훈</s:t>
        </s:is>
      </s:c>
      <s:c r="C245" s="0" t="n">
        <s:v>123517</s:v>
      </s:c>
      <s:c r="D245" s="0" t="n">
        <s:v>2422</s:v>
      </s:c>
      <s:c r="F245" s="24">
        <s:f>'자료구성'!$B$2+TIME(INT($C$3/10000),INT(MOD($C$3,10000)/100),MOD($C$3,100))+(ROW()-ROW($C$3))/86400</s:f>
        <s:v>46247.52730324074</s:v>
      </s:c>
    </s:row>
    <s:row r="246">
      <s:c r="A246" s="0" t="n">
        <s:v>260813</s:v>
      </s:c>
      <s:c r="B246" s="0" t="inlineStr">
        <s:is>
          <s:t>이종훈</s:t>
        </s:is>
      </s:c>
      <s:c r="C246" s="0" t="n">
        <s:v>123517</s:v>
      </s:c>
      <s:c r="D246" s="0" t="n">
        <s:v>2286</s:v>
      </s:c>
      <s:c r="F246" s="24">
        <s:f>'자료구성'!$B$2+TIME(INT($C$3/10000),INT(MOD($C$3,10000)/100),MOD($C$3,100))+(ROW()-ROW($C$3))/86400</s:f>
        <s:v>46247.52731481481</s:v>
      </s:c>
    </s:row>
    <s:row r="247">
      <s:c r="A247" s="0" t="n">
        <s:v>260813</s:v>
      </s:c>
      <s:c r="B247" s="0" t="inlineStr">
        <s:is>
          <s:t>이종훈</s:t>
        </s:is>
      </s:c>
      <s:c r="C247" s="0" t="n">
        <s:v>123517</s:v>
      </s:c>
      <s:c r="D247" s="0" t="n">
        <s:v>2159</s:v>
      </s:c>
      <s:c r="F247" s="24">
        <s:f>'자료구성'!$B$2+TIME(INT($C$3/10000),INT(MOD($C$3,10000)/100),MOD($C$3,100))+(ROW()-ROW($C$3))/86400</s:f>
        <s:v>46247.52732638889</s:v>
      </s:c>
    </s:row>
    <s:row r="248">
      <s:c r="A248" s="0" t="n">
        <s:v>260813</s:v>
      </s:c>
      <s:c r="B248" s="0" t="inlineStr">
        <s:is>
          <s:t>이종훈</s:t>
        </s:is>
      </s:c>
      <s:c r="C248" s="0" t="n">
        <s:v>123517</s:v>
      </s:c>
      <s:c r="D248" s="0" t="n">
        <s:v>2077</s:v>
      </s:c>
      <s:c r="F248" s="24">
        <s:f>'자료구성'!$B$2+TIME(INT($C$3/10000),INT(MOD($C$3,10000)/100),MOD($C$3,100))+(ROW()-ROW($C$3))/86400</s:f>
        <s:v>46247.527337962965</s:v>
      </s:c>
    </s:row>
    <s:row r="249">
      <s:c r="A249" s="0" t="n">
        <s:v>260813</s:v>
      </s:c>
      <s:c r="B249" s="0" t="inlineStr">
        <s:is>
          <s:t>이종훈</s:t>
        </s:is>
      </s:c>
      <s:c r="C249" s="0" t="n">
        <s:v>123517</s:v>
      </s:c>
      <s:c r="D249" s="0" t="n">
        <s:v>2001</s:v>
      </s:c>
      <s:c r="F249" s="24">
        <s:f>'자료구성'!$B$2+TIME(INT($C$3/10000),INT(MOD($C$3,10000)/100),MOD($C$3,100))+(ROW()-ROW($C$3))/86400</s:f>
        <s:v>46247.527349537035</s:v>
      </s:c>
    </s:row>
    <s:row r="250">
      <s:c r="A250" s="0" t="n">
        <s:v>260813</s:v>
      </s:c>
      <s:c r="B250" s="0" t="inlineStr">
        <s:is>
          <s:t>이종훈</s:t>
        </s:is>
      </s:c>
      <s:c r="C250" s="0" t="n">
        <s:v>123517</s:v>
      </s:c>
      <s:c r="D250" s="0" t="n">
        <s:v>1924</s:v>
      </s:c>
      <s:c r="F250" s="24">
        <s:f>'자료구성'!$B$2+TIME(INT($C$3/10000),INT(MOD($C$3,10000)/100),MOD($C$3,100))+(ROW()-ROW($C$3))/86400</s:f>
        <s:v>46247.52736111111</s:v>
      </s:c>
    </s:row>
    <s:row r="251">
      <s:c r="A251" s="0" t="n">
        <s:v>260813</s:v>
      </s:c>
      <s:c r="B251" s="0" t="inlineStr">
        <s:is>
          <s:t>이종훈</s:t>
        </s:is>
      </s:c>
      <s:c r="C251" s="0" t="n">
        <s:v>123517</s:v>
      </s:c>
      <s:c r="D251" s="0" t="n">
        <s:v>1863</s:v>
      </s:c>
      <s:c r="F251" s="24">
        <s:f>'자료구성'!$B$2+TIME(INT($C$3/10000),INT(MOD($C$3,10000)/100),MOD($C$3,100))+(ROW()-ROW($C$3))/86400</s:f>
        <s:v>46247.52737268519</s:v>
      </s:c>
    </s:row>
    <s:row r="252">
      <s:c r="A252" s="0" t="n">
        <s:v>260813</s:v>
      </s:c>
      <s:c r="B252" s="0" t="inlineStr">
        <s:is>
          <s:t>이종훈</s:t>
        </s:is>
      </s:c>
      <s:c r="C252" s="0" t="n">
        <s:v>123517</s:v>
      </s:c>
      <s:c r="D252" s="0" t="n">
        <s:v>1815</s:v>
      </s:c>
      <s:c r="F252" s="24">
        <s:f>'자료구성'!$B$2+TIME(INT($C$3/10000),INT(MOD($C$3,10000)/100),MOD($C$3,100))+(ROW()-ROW($C$3))/86400</s:f>
        <s:v>46247.52738425926</s:v>
      </s:c>
    </s:row>
    <s:row r="253">
      <s:c r="A253" s="0" t="n">
        <s:v>260813</s:v>
      </s:c>
      <s:c r="B253" s="0" t="inlineStr">
        <s:is>
          <s:t>이종훈</s:t>
        </s:is>
      </s:c>
      <s:c r="C253" s="0" t="n">
        <s:v>123517</s:v>
      </s:c>
      <s:c r="D253" s="0" t="n">
        <s:v>1808</s:v>
      </s:c>
      <s:c r="F253" s="24">
        <s:f>'자료구성'!$B$2+TIME(INT($C$3/10000),INT(MOD($C$3,10000)/100),MOD($C$3,100))+(ROW()-ROW($C$3))/86400</s:f>
        <s:v>46247.527395833335</s:v>
      </s:c>
    </s:row>
    <s:row r="254">
      <s:c r="A254" s="0" t="n">
        <s:v>260813</s:v>
      </s:c>
      <s:c r="B254" s="0" t="inlineStr">
        <s:is>
          <s:t>이종훈</s:t>
        </s:is>
      </s:c>
      <s:c r="C254" s="0" t="n">
        <s:v>123517</s:v>
      </s:c>
      <s:c r="D254" s="0" t="n">
        <s:v>1836</s:v>
      </s:c>
      <s:c r="F254" s="24">
        <s:f>'자료구성'!$B$2+TIME(INT($C$3/10000),INT(MOD($C$3,10000)/100),MOD($C$3,100))+(ROW()-ROW($C$3))/86400</s:f>
        <s:v>46247.527407407404</s:v>
      </s:c>
    </s:row>
    <s:row r="255">
      <s:c r="A255" s="0" t="n">
        <s:v>260813</s:v>
      </s:c>
      <s:c r="B255" s="0" t="inlineStr">
        <s:is>
          <s:t>이종훈</s:t>
        </s:is>
      </s:c>
      <s:c r="C255" s="0" t="n">
        <s:v>123517</s:v>
      </s:c>
      <s:c r="D255" s="0" t="n">
        <s:v>1892</s:v>
      </s:c>
      <s:c r="F255" s="24">
        <s:f>'자료구성'!$B$2+TIME(INT($C$3/10000),INT(MOD($C$3,10000)/100),MOD($C$3,100))+(ROW()-ROW($C$3))/86400</s:f>
        <s:v>46247.52741898148</s:v>
      </s:c>
    </s:row>
    <s:row r="256">
      <s:c r="A256" s="0" t="n">
        <s:v>260813</s:v>
      </s:c>
      <s:c r="B256" s="0" t="inlineStr">
        <s:is>
          <s:t>이종훈</s:t>
        </s:is>
      </s:c>
      <s:c r="C256" s="0" t="n">
        <s:v>123517</s:v>
      </s:c>
      <s:c r="D256" s="0" t="n">
        <s:v>1925</s:v>
      </s:c>
      <s:c r="F256" s="24">
        <s:f>'자료구성'!$B$2+TIME(INT($C$3/10000),INT(MOD($C$3,10000)/100),MOD($C$3,100))+(ROW()-ROW($C$3))/86400</s:f>
        <s:v>46247.52743055556</s:v>
      </s:c>
    </s:row>
    <s:row r="257">
      <s:c r="A257" s="0" t="n">
        <s:v>260813</s:v>
      </s:c>
      <s:c r="B257" s="0" t="inlineStr">
        <s:is>
          <s:t>이종훈</s:t>
        </s:is>
      </s:c>
      <s:c r="C257" s="0" t="n">
        <s:v>123517</s:v>
      </s:c>
      <s:c r="D257" s="0" t="n">
        <s:v>1947</s:v>
      </s:c>
      <s:c r="F257" s="24">
        <s:f>'자료구성'!$B$2+TIME(INT($C$3/10000),INT(MOD($C$3,10000)/100),MOD($C$3,100))+(ROW()-ROW($C$3))/86400</s:f>
        <s:v>46247.52744212963</s:v>
      </s:c>
    </s:row>
    <s:row r="258">
      <s:c r="A258" s="0" t="n">
        <s:v>260813</s:v>
      </s:c>
      <s:c r="B258" s="0" t="inlineStr">
        <s:is>
          <s:t>이종훈</s:t>
        </s:is>
      </s:c>
      <s:c r="C258" s="0" t="n">
        <s:v>123517</s:v>
      </s:c>
      <s:c r="D258" s="0" t="n">
        <s:v>1984</s:v>
      </s:c>
      <s:c r="F258" s="24">
        <s:f>'자료구성'!$B$2+TIME(INT($C$3/10000),INT(MOD($C$3,10000)/100),MOD($C$3,100))+(ROW()-ROW($C$3))/86400</s:f>
        <s:v>46247.527453703704</s:v>
      </s:c>
    </s:row>
    <s:row r="259">
      <s:c r="A259" s="0" t="n">
        <s:v>260813</s:v>
      </s:c>
      <s:c r="B259" s="0" t="inlineStr">
        <s:is>
          <s:t>이종훈</s:t>
        </s:is>
      </s:c>
      <s:c r="C259" s="0" t="n">
        <s:v>123517</s:v>
      </s:c>
      <s:c r="D259" s="0" t="n">
        <s:v>1995</s:v>
      </s:c>
      <s:c r="F259" s="24">
        <s:f>'자료구성'!$B$2+TIME(INT($C$3/10000),INT(MOD($C$3,10000)/100),MOD($C$3,100))+(ROW()-ROW($C$3))/86400</s:f>
        <s:v>46247.52746527778</s:v>
      </s:c>
    </s:row>
    <s:row r="260">
      <s:c r="A260" s="0" t="n">
        <s:v>260813</s:v>
      </s:c>
      <s:c r="B260" s="0" t="inlineStr">
        <s:is>
          <s:t>이종훈</s:t>
        </s:is>
      </s:c>
      <s:c r="C260" s="0" t="n">
        <s:v>123517</s:v>
      </s:c>
      <s:c r="D260" s="0" t="n">
        <s:v>1999</s:v>
      </s:c>
      <s:c r="F260" s="24">
        <s:f>'자료구성'!$B$2+TIME(INT($C$3/10000),INT(MOD($C$3,10000)/100),MOD($C$3,100))+(ROW()-ROW($C$3))/86400</s:f>
        <s:v>46247.52747685185</s:v>
      </s:c>
    </s:row>
    <s:row r="261">
      <s:c r="A261" s="0" t="n">
        <s:v>260813</s:v>
      </s:c>
      <s:c r="B261" s="0" t="inlineStr">
        <s:is>
          <s:t>이종훈</s:t>
        </s:is>
      </s:c>
      <s:c r="C261" s="0" t="n">
        <s:v>123517</s:v>
      </s:c>
      <s:c r="D261" s="0" t="n">
        <s:v>1999</s:v>
      </s:c>
      <s:c r="F261" s="24">
        <s:f>'자료구성'!$B$2+TIME(INT($C$3/10000),INT(MOD($C$3,10000)/100),MOD($C$3,100))+(ROW()-ROW($C$3))/86400</s:f>
        <s:v>46247.52748842593</s:v>
      </s:c>
    </s:row>
    <s:row r="262">
      <s:c r="A262" s="0" t="n">
        <s:v>260813</s:v>
      </s:c>
      <s:c r="B262" s="0" t="inlineStr">
        <s:is>
          <s:t>이종훈</s:t>
        </s:is>
      </s:c>
      <s:c r="C262" s="0" t="n">
        <s:v>123517</s:v>
      </s:c>
      <s:c r="D262" s="0" t="n">
        <s:v>1990</s:v>
      </s:c>
      <s:c r="F262" s="24">
        <s:f>'자료구성'!$B$2+TIME(INT($C$3/10000),INT(MOD($C$3,10000)/100),MOD($C$3,100))+(ROW()-ROW($C$3))/86400</s:f>
        <s:v>46247.5275</s:v>
      </s:c>
    </s:row>
    <s:row r="263">
      <s:c r="A263" s="0" t="n">
        <s:v>260813</s:v>
      </s:c>
      <s:c r="B263" s="0" t="inlineStr">
        <s:is>
          <s:t>이종훈</s:t>
        </s:is>
      </s:c>
      <s:c r="C263" s="0" t="n">
        <s:v>123517</s:v>
      </s:c>
      <s:c r="D263" s="0" t="n">
        <s:v>2001</s:v>
      </s:c>
      <s:c r="F263" s="24">
        <s:f>'자료구성'!$B$2+TIME(INT($C$3/10000),INT(MOD($C$3,10000)/100),MOD($C$3,100))+(ROW()-ROW($C$3))/86400</s:f>
        <s:v>46247.52751157407</s:v>
      </s:c>
    </s:row>
    <s:row r="264">
      <s:c r="A264" s="0" t="n">
        <s:v>260813</s:v>
      </s:c>
      <s:c r="B264" s="0" t="inlineStr">
        <s:is>
          <s:t>이종훈</s:t>
        </s:is>
      </s:c>
      <s:c r="C264" s="0" t="n">
        <s:v>123517</s:v>
      </s:c>
      <s:c r="D264" s="0" t="n">
        <s:v>2040</s:v>
      </s:c>
      <s:c r="F264" s="24">
        <s:f>'자료구성'!$B$2+TIME(INT($C$3/10000),INT(MOD($C$3,10000)/100),MOD($C$3,100))+(ROW()-ROW($C$3))/86400</s:f>
        <s:v>46247.52752314815</s:v>
      </s:c>
    </s:row>
    <s:row r="265">
      <s:c r="A265" s="0" t="n">
        <s:v>260813</s:v>
      </s:c>
      <s:c r="B265" s="0" t="inlineStr">
        <s:is>
          <s:t>이종훈</s:t>
        </s:is>
      </s:c>
      <s:c r="C265" s="0" t="n">
        <s:v>123517</s:v>
      </s:c>
      <s:c r="D265" s="0" t="n">
        <s:v>2038</s:v>
      </s:c>
      <s:c r="F265" s="24">
        <s:f>'자료구성'!$B$2+TIME(INT($C$3/10000),INT(MOD($C$3,10000)/100),MOD($C$3,100))+(ROW()-ROW($C$3))/86400</s:f>
        <s:v>46247.52753472222</s:v>
      </s:c>
    </s:row>
    <s:row r="266">
      <s:c r="A266" s="0" t="n">
        <s:v>260813</s:v>
      </s:c>
      <s:c r="B266" s="0" t="inlineStr">
        <s:is>
          <s:t>이종훈</s:t>
        </s:is>
      </s:c>
      <s:c r="C266" s="0" t="n">
        <s:v>123517</s:v>
      </s:c>
      <s:c r="D266" s="0" t="n">
        <s:v>2013</s:v>
      </s:c>
      <s:c r="F266" s="24">
        <s:f>'자료구성'!$B$2+TIME(INT($C$3/10000),INT(MOD($C$3,10000)/100),MOD($C$3,100))+(ROW()-ROW($C$3))/86400</s:f>
        <s:v>46247.527546296296</s:v>
      </s:c>
    </s:row>
    <s:row r="267">
      <s:c r="A267" s="0" t="n">
        <s:v>260813</s:v>
      </s:c>
      <s:c r="B267" s="0" t="inlineStr">
        <s:is>
          <s:t>이종훈</s:t>
        </s:is>
      </s:c>
      <s:c r="C267" s="0" t="n">
        <s:v>123517</s:v>
      </s:c>
      <s:c r="D267" s="0" t="n">
        <s:v>2001</s:v>
      </s:c>
      <s:c r="F267" s="24">
        <s:f>'자료구성'!$B$2+TIME(INT($C$3/10000),INT(MOD($C$3,10000)/100),MOD($C$3,100))+(ROW()-ROW($C$3))/86400</s:f>
        <s:v>46247.52755787037</s:v>
      </s:c>
    </s:row>
    <s:row r="268">
      <s:c r="A268" s="0" t="n">
        <s:v>260813</s:v>
      </s:c>
      <s:c r="B268" s="0" t="inlineStr">
        <s:is>
          <s:t>이종훈</s:t>
        </s:is>
      </s:c>
      <s:c r="C268" s="0" t="n">
        <s:v>123517</s:v>
      </s:c>
      <s:c r="D268" s="0" t="n">
        <s:v>2004</s:v>
      </s:c>
      <s:c r="F268" s="24">
        <s:f>'자료구성'!$B$2+TIME(INT($C$3/10000),INT(MOD($C$3,10000)/100),MOD($C$3,100))+(ROW()-ROW($C$3))/86400</s:f>
        <s:v>46247.52756944444</s:v>
      </s:c>
    </s:row>
    <s:row r="269">
      <s:c r="A269" s="0" t="n">
        <s:v>260813</s:v>
      </s:c>
      <s:c r="B269" s="0" t="inlineStr">
        <s:is>
          <s:t>이종훈</s:t>
        </s:is>
      </s:c>
      <s:c r="C269" s="0" t="n">
        <s:v>123517</s:v>
      </s:c>
      <s:c r="D269" s="0" t="n">
        <s:v>2006</s:v>
      </s:c>
      <s:c r="F269" s="24">
        <s:f>'자료구성'!$B$2+TIME(INT($C$3/10000),INT(MOD($C$3,10000)/100),MOD($C$3,100))+(ROW()-ROW($C$3))/86400</s:f>
        <s:v>46247.52758101852</s:v>
      </s:c>
    </s:row>
    <s:row r="270">
      <s:c r="A270" s="0" t="n">
        <s:v>260813</s:v>
      </s:c>
      <s:c r="B270" s="0" t="inlineStr">
        <s:is>
          <s:t>이종훈</s:t>
        </s:is>
      </s:c>
      <s:c r="C270" s="0" t="n">
        <s:v>123517</s:v>
      </s:c>
      <s:c r="D270" s="0" t="n">
        <s:v>1998</s:v>
      </s:c>
      <s:c r="F270" s="24">
        <s:f>'자료구성'!$B$2+TIME(INT($C$3/10000),INT(MOD($C$3,10000)/100),MOD($C$3,100))+(ROW()-ROW($C$3))/86400</s:f>
        <s:v>46247.527592592596</s:v>
      </s:c>
    </s:row>
    <s:row r="271">
      <s:c r="A271" s="0" t="n">
        <s:v>260813</s:v>
      </s:c>
      <s:c r="B271" s="0" t="inlineStr">
        <s:is>
          <s:t>이종훈</s:t>
        </s:is>
      </s:c>
      <s:c r="C271" s="0" t="n">
        <s:v>123517</s:v>
      </s:c>
      <s:c r="D271" s="0" t="n">
        <s:v>1970</s:v>
      </s:c>
      <s:c r="F271" s="24">
        <s:f>'자료구성'!$B$2+TIME(INT($C$3/10000),INT(MOD($C$3,10000)/100),MOD($C$3,100))+(ROW()-ROW($C$3))/86400</s:f>
        <s:v>46247.527604166666</s:v>
      </s:c>
    </s:row>
    <s:row r="272">
      <s:c r="A272" s="0" t="n">
        <s:v>260813</s:v>
      </s:c>
      <s:c r="B272" s="0" t="inlineStr">
        <s:is>
          <s:t>이종훈</s:t>
        </s:is>
      </s:c>
      <s:c r="C272" s="0" t="n">
        <s:v>123517</s:v>
      </s:c>
      <s:c r="D272" s="0" t="n">
        <s:v>1948</s:v>
      </s:c>
      <s:c r="F272" s="24">
        <s:f>'자료구성'!$B$2+TIME(INT($C$3/10000),INT(MOD($C$3,10000)/100),MOD($C$3,100))+(ROW()-ROW($C$3))/86400</s:f>
        <s:v>46247.52761574074</s:v>
      </s:c>
    </s:row>
    <s:row r="273">
      <s:c r="A273" s="0" t="n">
        <s:v>260813</s:v>
      </s:c>
      <s:c r="B273" s="0" t="inlineStr">
        <s:is>
          <s:t>이종훈</s:t>
        </s:is>
      </s:c>
      <s:c r="C273" s="0" t="n">
        <s:v>123517</s:v>
      </s:c>
      <s:c r="D273" s="0" t="n">
        <s:v>1941</s:v>
      </s:c>
      <s:c r="F273" s="24">
        <s:f>'자료구성'!$B$2+TIME(INT($C$3/10000),INT(MOD($C$3,10000)/100),MOD($C$3,100))+(ROW()-ROW($C$3))/86400</s:f>
        <s:v>46247.52762731481</s:v>
      </s:c>
    </s:row>
    <s:row r="274">
      <s:c r="A274" s="0" t="n">
        <s:v>260813</s:v>
      </s:c>
      <s:c r="B274" s="0" t="inlineStr">
        <s:is>
          <s:t>이종훈</s:t>
        </s:is>
      </s:c>
      <s:c r="C274" s="0" t="n">
        <s:v>123517</s:v>
      </s:c>
      <s:c r="D274" s="0" t="n">
        <s:v>1944</s:v>
      </s:c>
      <s:c r="F274" s="24">
        <s:f>'자료구성'!$B$2+TIME(INT($C$3/10000),INT(MOD($C$3,10000)/100),MOD($C$3,100))+(ROW()-ROW($C$3))/86400</s:f>
        <s:v>46247.52763888889</s:v>
      </s:c>
    </s:row>
    <s:row r="275">
      <s:c r="A275" s="0" t="n">
        <s:v>260813</s:v>
      </s:c>
      <s:c r="B275" s="0" t="inlineStr">
        <s:is>
          <s:t>이종훈</s:t>
        </s:is>
      </s:c>
      <s:c r="C275" s="0" t="n">
        <s:v>123517</s:v>
      </s:c>
      <s:c r="D275" s="0" t="n">
        <s:v>1937</s:v>
      </s:c>
      <s:c r="F275" s="24">
        <s:f>'자료구성'!$B$2+TIME(INT($C$3/10000),INT(MOD($C$3,10000)/100),MOD($C$3,100))+(ROW()-ROW($C$3))/86400</s:f>
        <s:v>46247.527650462966</s:v>
      </s:c>
    </s:row>
    <s:row r="276">
      <s:c r="A276" s="0" t="n">
        <s:v>260813</s:v>
      </s:c>
      <s:c r="B276" s="0" t="inlineStr">
        <s:is>
          <s:t>이종훈</s:t>
        </s:is>
      </s:c>
      <s:c r="C276" s="0" t="n">
        <s:v>123517</s:v>
      </s:c>
      <s:c r="D276" s="0" t="n">
        <s:v>1925</s:v>
      </s:c>
      <s:c r="F276" s="24">
        <s:f>'자료구성'!$B$2+TIME(INT($C$3/10000),INT(MOD($C$3,10000)/100),MOD($C$3,100))+(ROW()-ROW($C$3))/86400</s:f>
        <s:v>46247.527662037035</s:v>
      </s:c>
    </s:row>
    <s:row r="277">
      <s:c r="A277" s="0" t="n">
        <s:v>260813</s:v>
      </s:c>
      <s:c r="B277" s="0" t="inlineStr">
        <s:is>
          <s:t>이종훈</s:t>
        </s:is>
      </s:c>
      <s:c r="C277" s="0" t="n">
        <s:v>123517</s:v>
      </s:c>
      <s:c r="D277" s="0" t="n">
        <s:v>1889</s:v>
      </s:c>
      <s:c r="F277" s="24">
        <s:f>'자료구성'!$B$2+TIME(INT($C$3/10000),INT(MOD($C$3,10000)/100),MOD($C$3,100))+(ROW()-ROW($C$3))/86400</s:f>
        <s:v>46247.52767361111</s:v>
      </s:c>
    </s:row>
    <s:row r="278">
      <s:c r="A278" s="0" t="n">
        <s:v>260813</s:v>
      </s:c>
      <s:c r="B278" s="0" t="inlineStr">
        <s:is>
          <s:t>이종훈</s:t>
        </s:is>
      </s:c>
      <s:c r="C278" s="0" t="n">
        <s:v>123517</s:v>
      </s:c>
      <s:c r="D278" s="0" t="n">
        <s:v>1855</s:v>
      </s:c>
      <s:c r="F278" s="24">
        <s:f>'자료구성'!$B$2+TIME(INT($C$3/10000),INT(MOD($C$3,10000)/100),MOD($C$3,100))+(ROW()-ROW($C$3))/86400</s:f>
        <s:v>46247.52768518519</s:v>
      </s:c>
    </s:row>
    <s:row r="279">
      <s:c r="A279" s="0" t="n">
        <s:v>260813</s:v>
      </s:c>
      <s:c r="B279" s="0" t="inlineStr">
        <s:is>
          <s:t>이종훈</s:t>
        </s:is>
      </s:c>
      <s:c r="C279" s="0" t="n">
        <s:v>123517</s:v>
      </s:c>
      <s:c r="D279" s="0" t="n">
        <s:v>1857</s:v>
      </s:c>
      <s:c r="F279" s="24">
        <s:f>'자료구성'!$B$2+TIME(INT($C$3/10000),INT(MOD($C$3,10000)/100),MOD($C$3,100))+(ROW()-ROW($C$3))/86400</s:f>
        <s:v>46247.52769675926</s:v>
      </s:c>
    </s:row>
    <s:row r="280">
      <s:c r="A280" s="0" t="n">
        <s:v>260813</s:v>
      </s:c>
      <s:c r="B280" s="0" t="inlineStr">
        <s:is>
          <s:t>이종훈</s:t>
        </s:is>
      </s:c>
      <s:c r="C280" s="0" t="n">
        <s:v>123517</s:v>
      </s:c>
      <s:c r="D280" s="0" t="n">
        <s:v>1865</s:v>
      </s:c>
      <s:c r="F280" s="24">
        <s:f>'자료구성'!$B$2+TIME(INT($C$3/10000),INT(MOD($C$3,10000)/100),MOD($C$3,100))+(ROW()-ROW($C$3))/86400</s:f>
        <s:v>46247.527708333335</s:v>
      </s:c>
    </s:row>
    <s:row r="281">
      <s:c r="A281" s="0" t="n">
        <s:v>260813</s:v>
      </s:c>
      <s:c r="B281" s="0" t="inlineStr">
        <s:is>
          <s:t>이종훈</s:t>
        </s:is>
      </s:c>
      <s:c r="C281" s="0" t="n">
        <s:v>123517</s:v>
      </s:c>
      <s:c r="D281" s="0" t="n">
        <s:v>1981</s:v>
      </s:c>
      <s:c r="F281" s="24">
        <s:f>'자료구성'!$B$2+TIME(INT($C$3/10000),INT(MOD($C$3,10000)/100),MOD($C$3,100))+(ROW()-ROW($C$3))/86400</s:f>
        <s:v>46247.527719907404</s:v>
      </s:c>
    </s:row>
    <s:row r="282">
      <s:c r="A282" s="0" t="n">
        <s:v>260813</s:v>
      </s:c>
      <s:c r="B282" s="0" t="inlineStr">
        <s:is>
          <s:t>이종훈</s:t>
        </s:is>
      </s:c>
      <s:c r="C282" s="0" t="n">
        <s:v>123517</s:v>
      </s:c>
      <s:c r="D282" s="0" t="n">
        <s:v>2039</s:v>
      </s:c>
      <s:c r="F282" s="24">
        <s:f>'자료구성'!$B$2+TIME(INT($C$3/10000),INT(MOD($C$3,10000)/100),MOD($C$3,100))+(ROW()-ROW($C$3))/86400</s:f>
        <s:v>46247.52773148148</s:v>
      </s:c>
    </s:row>
    <s:row r="283">
      <s:c r="A283" s="0" t="n">
        <s:v>260813</s:v>
      </s:c>
      <s:c r="B283" s="0" t="inlineStr">
        <s:is>
          <s:t>이종훈</s:t>
        </s:is>
      </s:c>
      <s:c r="C283" s="0" t="n">
        <s:v>123517</s:v>
      </s:c>
      <s:c r="D283" s="0" t="n">
        <s:v>2080</s:v>
      </s:c>
      <s:c r="F283" s="24">
        <s:f>'자료구성'!$B$2+TIME(INT($C$3/10000),INT(MOD($C$3,10000)/100),MOD($C$3,100))+(ROW()-ROW($C$3))/86400</s:f>
        <s:v>46247.52774305556</s:v>
      </s:c>
    </s:row>
    <s:row r="284">
      <s:c r="A284" s="0" t="n">
        <s:v>260813</s:v>
      </s:c>
      <s:c r="B284" s="0" t="inlineStr">
        <s:is>
          <s:t>이종훈</s:t>
        </s:is>
      </s:c>
      <s:c r="C284" s="0" t="n">
        <s:v>123517</s:v>
      </s:c>
      <s:c r="D284" s="0" t="n">
        <s:v>2139</s:v>
      </s:c>
      <s:c r="F284" s="24">
        <s:f>'자료구성'!$B$2+TIME(INT($C$3/10000),INT(MOD($C$3,10000)/100),MOD($C$3,100))+(ROW()-ROW($C$3))/86400</s:f>
        <s:v>46247.52775462963</s:v>
      </s:c>
    </s:row>
    <s:row r="285">
      <s:c r="A285" s="0" t="n">
        <s:v>260813</s:v>
      </s:c>
      <s:c r="B285" s="0" t="inlineStr">
        <s:is>
          <s:t>이종훈</s:t>
        </s:is>
      </s:c>
      <s:c r="C285" s="0" t="n">
        <s:v>123517</s:v>
      </s:c>
      <s:c r="D285" s="0" t="n">
        <s:v>2159</s:v>
      </s:c>
      <s:c r="F285" s="24">
        <s:f>'자료구성'!$B$2+TIME(INT($C$3/10000),INT(MOD($C$3,10000)/100),MOD($C$3,100))+(ROW()-ROW($C$3))/86400</s:f>
        <s:v>46247.527766203704</s:v>
      </s:c>
    </s:row>
    <s:row r="286">
      <s:c r="A286" s="0" t="n">
        <s:v>260813</s:v>
      </s:c>
      <s:c r="B286" s="0" t="inlineStr">
        <s:is>
          <s:t>이종훈</s:t>
        </s:is>
      </s:c>
      <s:c r="C286" s="0" t="n">
        <s:v>123517</s:v>
      </s:c>
      <s:c r="D286" s="0" t="n">
        <s:v>2158</s:v>
      </s:c>
      <s:c r="F286" s="24">
        <s:f>'자료구성'!$B$2+TIME(INT($C$3/10000),INT(MOD($C$3,10000)/100),MOD($C$3,100))+(ROW()-ROW($C$3))/86400</s:f>
        <s:v>46247.52777777778</s:v>
      </s:c>
    </s:row>
    <s:row r="287">
      <s:c r="A287" s="0" t="n">
        <s:v>260813</s:v>
      </s:c>
      <s:c r="B287" s="0" t="inlineStr">
        <s:is>
          <s:t>이종훈</s:t>
        </s:is>
      </s:c>
      <s:c r="C287" s="0" t="n">
        <s:v>123517</s:v>
      </s:c>
      <s:c r="D287" s="0" t="n">
        <s:v>2199</s:v>
      </s:c>
      <s:c r="F287" s="24">
        <s:f>'자료구성'!$B$2+TIME(INT($C$3/10000),INT(MOD($C$3,10000)/100),MOD($C$3,100))+(ROW()-ROW($C$3))/86400</s:f>
        <s:v>46247.52778935185</s:v>
      </s:c>
    </s:row>
    <s:row r="288">
      <s:c r="A288" s="0" t="n">
        <s:v>260813</s:v>
      </s:c>
      <s:c r="B288" s="0" t="inlineStr">
        <s:is>
          <s:t>이종훈</s:t>
        </s:is>
      </s:c>
      <s:c r="C288" s="0" t="n">
        <s:v>123517</s:v>
      </s:c>
      <s:c r="D288" s="0" t="n">
        <s:v>2247</s:v>
      </s:c>
      <s:c r="F288" s="24">
        <s:f>'자료구성'!$B$2+TIME(INT($C$3/10000),INT(MOD($C$3,10000)/100),MOD($C$3,100))+(ROW()-ROW($C$3))/86400</s:f>
        <s:v>46247.52780092593</s:v>
      </s:c>
    </s:row>
    <s:row r="289">
      <s:c r="A289" s="0" t="n">
        <s:v>260813</s:v>
      </s:c>
      <s:c r="B289" s="0" t="inlineStr">
        <s:is>
          <s:t>이종훈</s:t>
        </s:is>
      </s:c>
      <s:c r="C289" s="0" t="n">
        <s:v>123517</s:v>
      </s:c>
      <s:c r="D289" s="0" t="n">
        <s:v>2234</s:v>
      </s:c>
      <s:c r="F289" s="24">
        <s:f>'자료구성'!$B$2+TIME(INT($C$3/10000),INT(MOD($C$3,10000)/100),MOD($C$3,100))+(ROW()-ROW($C$3))/86400</s:f>
        <s:v>46247.5278125</s:v>
      </s:c>
    </s:row>
    <s:row r="290">
      <s:c r="A290" s="0" t="n">
        <s:v>260813</s:v>
      </s:c>
      <s:c r="B290" s="0" t="inlineStr">
        <s:is>
          <s:t>이종훈</s:t>
        </s:is>
      </s:c>
      <s:c r="C290" s="0" t="n">
        <s:v>123517</s:v>
      </s:c>
      <s:c r="D290" s="0" t="n">
        <s:v>2263</s:v>
      </s:c>
      <s:c r="F290" s="24">
        <s:f>'자료구성'!$B$2+TIME(INT($C$3/10000),INT(MOD($C$3,10000)/100),MOD($C$3,100))+(ROW()-ROW($C$3))/86400</s:f>
        <s:v>46247.52782407407</s:v>
      </s:c>
    </s:row>
    <s:row r="291">
      <s:c r="A291" s="0" t="n">
        <s:v>260813</s:v>
      </s:c>
      <s:c r="B291" s="0" t="inlineStr">
        <s:is>
          <s:t>이종훈</s:t>
        </s:is>
      </s:c>
      <s:c r="C291" s="0" t="n">
        <s:v>123517</s:v>
      </s:c>
      <s:c r="D291" s="0" t="n">
        <s:v>2208</s:v>
      </s:c>
      <s:c r="F291" s="24">
        <s:f>'자료구성'!$B$2+TIME(INT($C$3/10000),INT(MOD($C$3,10000)/100),MOD($C$3,100))+(ROW()-ROW($C$3))/86400</s:f>
        <s:v>46247.52783564815</s:v>
      </s:c>
    </s:row>
    <s:row r="292">
      <s:c r="A292" s="0" t="n">
        <s:v>260813</s:v>
      </s:c>
      <s:c r="B292" s="0" t="inlineStr">
        <s:is>
          <s:t>이종훈</s:t>
        </s:is>
      </s:c>
      <s:c r="C292" s="0" t="n">
        <s:v>123517</s:v>
      </s:c>
      <s:c r="D292" s="0" t="n">
        <s:v>2153</s:v>
      </s:c>
      <s:c r="F292" s="24">
        <s:f>'자료구성'!$B$2+TIME(INT($C$3/10000),INT(MOD($C$3,10000)/100),MOD($C$3,100))+(ROW()-ROW($C$3))/86400</s:f>
        <s:v>46247.52784722222</s:v>
      </s:c>
    </s:row>
    <s:row r="293">
      <s:c r="A293" s="0" t="n">
        <s:v>260813</s:v>
      </s:c>
      <s:c r="B293" s="0" t="inlineStr">
        <s:is>
          <s:t>이종훈</s:t>
        </s:is>
      </s:c>
      <s:c r="C293" s="0" t="n">
        <s:v>123517</s:v>
      </s:c>
      <s:c r="D293" s="0" t="n">
        <s:v>2166</s:v>
      </s:c>
      <s:c r="F293" s="24">
        <s:f>'자료구성'!$B$2+TIME(INT($C$3/10000),INT(MOD($C$3,10000)/100),MOD($C$3,100))+(ROW()-ROW($C$3))/86400</s:f>
        <s:v>46247.5278587963</s:v>
      </s:c>
    </s:row>
    <s:row r="294">
      <s:c r="A294" s="0" t="n">
        <s:v>260813</s:v>
      </s:c>
      <s:c r="B294" s="0" t="inlineStr">
        <s:is>
          <s:t>이종훈</s:t>
        </s:is>
      </s:c>
      <s:c r="C294" s="0" t="n">
        <s:v>123517</s:v>
      </s:c>
      <s:c r="D294" s="0" t="n">
        <s:v>2157</s:v>
      </s:c>
      <s:c r="F294" s="24">
        <s:f>'자료구성'!$B$2+TIME(INT($C$3/10000),INT(MOD($C$3,10000)/100),MOD($C$3,100))+(ROW()-ROW($C$3))/86400</s:f>
        <s:v>46247.52787037037</s:v>
      </s:c>
    </s:row>
    <s:row r="295">
      <s:c r="A295" s="0" t="n">
        <s:v>260813</s:v>
      </s:c>
      <s:c r="B295" s="0" t="inlineStr">
        <s:is>
          <s:t>이종훈</s:t>
        </s:is>
      </s:c>
      <s:c r="C295" s="0" t="n">
        <s:v>123517</s:v>
      </s:c>
      <s:c r="D295" s="0" t="n">
        <s:v>2127</s:v>
      </s:c>
      <s:c r="F295" s="24">
        <s:f>'자료구성'!$B$2+TIME(INT($C$3/10000),INT(MOD($C$3,10000)/100),MOD($C$3,100))+(ROW()-ROW($C$3))/86400</s:f>
        <s:v>46247.52788194444</s:v>
      </s:c>
    </s:row>
    <s:row r="296">
      <s:c r="A296" s="0" t="n">
        <s:v>260813</s:v>
      </s:c>
      <s:c r="B296" s="0" t="inlineStr">
        <s:is>
          <s:t>이종훈</s:t>
        </s:is>
      </s:c>
      <s:c r="C296" s="0" t="n">
        <s:v>123517</s:v>
      </s:c>
      <s:c r="D296" s="0" t="n">
        <s:v>2105</s:v>
      </s:c>
      <s:c r="F296" s="24">
        <s:f>'자료구성'!$B$2+TIME(INT($C$3/10000),INT(MOD($C$3,10000)/100),MOD($C$3,100))+(ROW()-ROW($C$3))/86400</s:f>
        <s:v>46247.52789351852</s:v>
      </s:c>
    </s:row>
    <s:row r="297">
      <s:c r="A297" s="0" t="n">
        <s:v>260813</s:v>
      </s:c>
      <s:c r="B297" s="0" t="inlineStr">
        <s:is>
          <s:t>이종훈</s:t>
        </s:is>
      </s:c>
      <s:c r="C297" s="0" t="n">
        <s:v>123517</s:v>
      </s:c>
      <s:c r="D297" s="0" t="n">
        <s:v>2125</s:v>
      </s:c>
      <s:c r="F297" s="24">
        <s:f>'자료구성'!$B$2+TIME(INT($C$3/10000),INT(MOD($C$3,10000)/100),MOD($C$3,100))+(ROW()-ROW($C$3))/86400</s:f>
        <s:v>46247.52790509259</s:v>
      </s:c>
    </s:row>
    <s:row r="298">
      <s:c r="A298" s="0" t="n">
        <s:v>260813</s:v>
      </s:c>
      <s:c r="B298" s="0" t="inlineStr">
        <s:is>
          <s:t>이종훈</s:t>
        </s:is>
      </s:c>
      <s:c r="C298" s="0" t="n">
        <s:v>123517</s:v>
      </s:c>
      <s:c r="D298" s="0" t="n">
        <s:v>2151</s:v>
      </s:c>
      <s:c r="F298" s="24">
        <s:f>'자료구성'!$B$2+TIME(INT($C$3/10000),INT(MOD($C$3,10000)/100),MOD($C$3,100))+(ROW()-ROW($C$3))/86400</s:f>
        <s:v>46247.527916666666</s:v>
      </s:c>
    </s:row>
    <s:row r="299">
      <s:c r="A299" s="0" t="n">
        <s:v>260813</s:v>
      </s:c>
      <s:c r="B299" s="0" t="inlineStr">
        <s:is>
          <s:t>이종훈</s:t>
        </s:is>
      </s:c>
      <s:c r="C299" s="0" t="n">
        <s:v>123517</s:v>
      </s:c>
      <s:c r="D299" s="0" t="n">
        <s:v>2206</s:v>
      </s:c>
      <s:c r="F299" s="24">
        <s:f>'자료구성'!$B$2+TIME(INT($C$3/10000),INT(MOD($C$3,10000)/100),MOD($C$3,100))+(ROW()-ROW($C$3))/86400</s:f>
        <s:v>46247.52792824074</s:v>
      </s:c>
    </s:row>
    <s:row r="300">
      <s:c r="A300" s="0" t="n">
        <s:v>260813</s:v>
      </s:c>
      <s:c r="B300" s="0" t="inlineStr">
        <s:is>
          <s:t>이종훈</s:t>
        </s:is>
      </s:c>
      <s:c r="C300" s="0" t="n">
        <s:v>123517</s:v>
      </s:c>
      <s:c r="D300" s="0" t="n">
        <s:v>2310</s:v>
      </s:c>
      <s:c r="F300" s="24">
        <s:f>'자료구성'!$B$2+TIME(INT($C$3/10000),INT(MOD($C$3,10000)/100),MOD($C$3,100))+(ROW()-ROW($C$3))/86400</s:f>
        <s:v>46247.52793981481</s:v>
      </s:c>
    </s:row>
    <s:row r="301">
      <s:c r="A301" s="0" t="n">
        <s:v>260813</s:v>
      </s:c>
      <s:c r="B301" s="0" t="inlineStr">
        <s:is>
          <s:t>이종훈</s:t>
        </s:is>
      </s:c>
      <s:c r="C301" s="0" t="n">
        <s:v>123517</s:v>
      </s:c>
      <s:c r="D301" s="0" t="n">
        <s:v>2387</s:v>
      </s:c>
      <s:c r="F301" s="24">
        <s:f>'자료구성'!$B$2+TIME(INT($C$3/10000),INT(MOD($C$3,10000)/100),MOD($C$3,100))+(ROW()-ROW($C$3))/86400</s:f>
        <s:v>46247.52795138889</s:v>
      </s:c>
    </s:row>
    <s:row r="302">
      <s:c r="A302" s="0" t="n">
        <s:v>260813</s:v>
      </s:c>
      <s:c r="B302" s="0" t="inlineStr">
        <s:is>
          <s:t>이종훈</s:t>
        </s:is>
      </s:c>
      <s:c r="C302" s="0" t="n">
        <s:v>123517</s:v>
      </s:c>
      <s:c r="D302" s="0" t="n">
        <s:v>2513</s:v>
      </s:c>
      <s:c r="F302" s="24">
        <s:f>'자료구성'!$B$2+TIME(INT($C$3/10000),INT(MOD($C$3,10000)/100),MOD($C$3,100))+(ROW()-ROW($C$3))/86400</s:f>
        <s:v>46247.527962962966</s:v>
      </s:c>
    </s:row>
    <s:row r="303">
      <s:c r="A303" s="0" t="n">
        <s:v>260813</s:v>
      </s:c>
      <s:c r="B303" s="0" t="inlineStr">
        <s:is>
          <s:t>이종훈</s:t>
        </s:is>
      </s:c>
      <s:c r="C303" s="0" t="n">
        <s:v>123517</s:v>
      </s:c>
      <s:c r="D303" s="0" t="n">
        <s:v>2641</s:v>
      </s:c>
      <s:c r="F303" s="24">
        <s:f>'자료구성'!$B$2+TIME(INT($C$3/10000),INT(MOD($C$3,10000)/100),MOD($C$3,100))+(ROW()-ROW($C$3))/86400</s:f>
        <s:v>46247.527974537035</s:v>
      </s:c>
    </s:row>
    <s:row r="304">
      <s:c r="A304" s="0" t="n">
        <s:v>260813</s:v>
      </s:c>
      <s:c r="B304" s="0" t="inlineStr">
        <s:is>
          <s:t>이종훈</s:t>
        </s:is>
      </s:c>
      <s:c r="C304" s="0" t="n">
        <s:v>123517</s:v>
      </s:c>
      <s:c r="D304" s="0" t="n">
        <s:v>2819</s:v>
      </s:c>
      <s:c r="F304" s="24">
        <s:f>'자료구성'!$B$2+TIME(INT($C$3/10000),INT(MOD($C$3,10000)/100),MOD($C$3,100))+(ROW()-ROW($C$3))/86400</s:f>
        <s:v>46247.52798611111</s:v>
      </s:c>
    </s:row>
    <s:row r="305">
      <s:c r="A305" s="0" t="n">
        <s:v>260813</s:v>
      </s:c>
      <s:c r="B305" s="0" t="inlineStr">
        <s:is>
          <s:t>이종훈</s:t>
        </s:is>
      </s:c>
      <s:c r="C305" s="0" t="n">
        <s:v>123517</s:v>
      </s:c>
      <s:c r="D305" s="0" t="n">
        <s:v>2983</s:v>
      </s:c>
      <s:c r="F305" s="24">
        <s:f>'자료구성'!$B$2+TIME(INT($C$3/10000),INT(MOD($C$3,10000)/100),MOD($C$3,100))+(ROW()-ROW($C$3))/86400</s:f>
        <s:v>46247.52799768518</s:v>
      </s:c>
    </s:row>
    <s:row r="306">
      <s:c r="A306" s="0" t="n">
        <s:v>260813</s:v>
      </s:c>
      <s:c r="B306" s="0" t="inlineStr">
        <s:is>
          <s:t>이종훈</s:t>
        </s:is>
      </s:c>
      <s:c r="C306" s="0" t="n">
        <s:v>123517</s:v>
      </s:c>
      <s:c r="D306" s="0" t="n">
        <s:v>3058</s:v>
      </s:c>
      <s:c r="F306" s="24">
        <s:f>'자료구성'!$B$2+TIME(INT($C$3/10000),INT(MOD($C$3,10000)/100),MOD($C$3,100))+(ROW()-ROW($C$3))/86400</s:f>
        <s:v>46247.52800925926</s:v>
      </s:c>
    </s:row>
    <s:row r="307">
      <s:c r="A307" s="0" t="n">
        <s:v>260813</s:v>
      </s:c>
      <s:c r="B307" s="0" t="inlineStr">
        <s:is>
          <s:t>이종훈</s:t>
        </s:is>
      </s:c>
      <s:c r="C307" s="0" t="n">
        <s:v>123517</s:v>
      </s:c>
      <s:c r="D307" s="0" t="n">
        <s:v>3142</s:v>
      </s:c>
      <s:c r="F307" s="24">
        <s:f>'자료구성'!$B$2+TIME(INT($C$3/10000),INT(MOD($C$3,10000)/100),MOD($C$3,100))+(ROW()-ROW($C$3))/86400</s:f>
        <s:v>46247.528020833335</s:v>
      </s:c>
    </s:row>
    <s:row r="308">
      <s:c r="A308" s="0" t="n">
        <s:v>260813</s:v>
      </s:c>
      <s:c r="B308" s="0" t="inlineStr">
        <s:is>
          <s:t>이종훈</s:t>
        </s:is>
      </s:c>
      <s:c r="C308" s="0" t="n">
        <s:v>123517</s:v>
      </s:c>
      <s:c r="D308" s="0" t="n">
        <s:v>3167</s:v>
      </s:c>
      <s:c r="F308" s="24">
        <s:f>'자료구성'!$B$2+TIME(INT($C$3/10000),INT(MOD($C$3,10000)/100),MOD($C$3,100))+(ROW()-ROW($C$3))/86400</s:f>
        <s:v>46247.528032407405</s:v>
      </s:c>
    </s:row>
    <s:row r="309">
      <s:c r="A309" s="0" t="n">
        <s:v>260813</s:v>
      </s:c>
      <s:c r="B309" s="0" t="inlineStr">
        <s:is>
          <s:t>이종훈</s:t>
        </s:is>
      </s:c>
      <s:c r="C309" s="0" t="n">
        <s:v>123517</s:v>
      </s:c>
      <s:c r="D309" s="0" t="n">
        <s:v>3140</s:v>
      </s:c>
      <s:c r="F309" s="24">
        <s:f>'자료구성'!$B$2+TIME(INT($C$3/10000),INT(MOD($C$3,10000)/100),MOD($C$3,100))+(ROW()-ROW($C$3))/86400</s:f>
        <s:v>46247.52804398148</s:v>
      </s:c>
    </s:row>
    <s:row r="310">
      <s:c r="A310" s="0" t="n">
        <s:v>260813</s:v>
      </s:c>
      <s:c r="B310" s="0" t="inlineStr">
        <s:is>
          <s:t>이종훈</s:t>
        </s:is>
      </s:c>
      <s:c r="C310" s="0" t="n">
        <s:v>123517</s:v>
      </s:c>
      <s:c r="D310" s="0" t="n">
        <s:v>3076</s:v>
      </s:c>
      <s:c r="F310" s="24">
        <s:f>'자료구성'!$B$2+TIME(INT($C$3/10000),INT(MOD($C$3,10000)/100),MOD($C$3,100))+(ROW()-ROW($C$3))/86400</s:f>
        <s:v>46247.52805555556</s:v>
      </s:c>
    </s:row>
    <s:row r="311">
      <s:c r="A311" s="0" t="n">
        <s:v>260813</s:v>
      </s:c>
      <s:c r="B311" s="0" t="inlineStr">
        <s:is>
          <s:t>이종훈</s:t>
        </s:is>
      </s:c>
      <s:c r="C311" s="0" t="n">
        <s:v>123517</s:v>
      </s:c>
      <s:c r="D311" s="0" t="n">
        <s:v>3007</s:v>
      </s:c>
      <s:c r="F311" s="24">
        <s:f>'자료구성'!$B$2+TIME(INT($C$3/10000),INT(MOD($C$3,10000)/100),MOD($C$3,100))+(ROW()-ROW($C$3))/86400</s:f>
        <s:v>46247.52806712963</s:v>
      </s:c>
    </s:row>
    <s:row r="312">
      <s:c r="A312" s="0" t="n">
        <s:v>260813</s:v>
      </s:c>
      <s:c r="B312" s="0" t="inlineStr">
        <s:is>
          <s:t>이종훈</s:t>
        </s:is>
      </s:c>
      <s:c r="C312" s="0" t="n">
        <s:v>123517</s:v>
      </s:c>
      <s:c r="D312" s="0" t="n">
        <s:v>2938</s:v>
      </s:c>
      <s:c r="F312" s="24">
        <s:f>'자료구성'!$B$2+TIME(INT($C$3/10000),INT(MOD($C$3,10000)/100),MOD($C$3,100))+(ROW()-ROW($C$3))/86400</s:f>
        <s:v>46247.528078703705</s:v>
      </s:c>
    </s:row>
    <s:row r="313">
      <s:c r="A313" s="0" t="n">
        <s:v>260813</s:v>
      </s:c>
      <s:c r="B313" s="0" t="inlineStr">
        <s:is>
          <s:t>이종훈</s:t>
        </s:is>
      </s:c>
      <s:c r="C313" s="0" t="n">
        <s:v>123517</s:v>
      </s:c>
      <s:c r="D313" s="0" t="n">
        <s:v>2879</s:v>
      </s:c>
      <s:c r="F313" s="24">
        <s:f>'자료구성'!$B$2+TIME(INT($C$3/10000),INT(MOD($C$3,10000)/100),MOD($C$3,100))+(ROW()-ROW($C$3))/86400</s:f>
        <s:v>46247.52809027778</s:v>
      </s:c>
    </s:row>
    <s:row r="314">
      <s:c r="A314" s="0" t="n">
        <s:v>260813</s:v>
      </s:c>
      <s:c r="B314" s="0" t="inlineStr">
        <s:is>
          <s:t>이종훈</s:t>
        </s:is>
      </s:c>
      <s:c r="C314" s="0" t="n">
        <s:v>123517</s:v>
      </s:c>
      <s:c r="D314" s="0" t="n">
        <s:v>2765</s:v>
      </s:c>
      <s:c r="F314" s="24">
        <s:f>'자료구성'!$B$2+TIME(INT($C$3/10000),INT(MOD($C$3,10000)/100),MOD($C$3,100))+(ROW()-ROW($C$3))/86400</s:f>
        <s:v>46247.52810185185</s:v>
      </s:c>
    </s:row>
    <s:row r="315">
      <s:c r="A315" s="0" t="n">
        <s:v>260813</s:v>
      </s:c>
      <s:c r="B315" s="0" t="inlineStr">
        <s:is>
          <s:t>이종훈</s:t>
        </s:is>
      </s:c>
      <s:c r="C315" s="0" t="n">
        <s:v>123517</s:v>
      </s:c>
      <s:c r="D315" s="0" t="n">
        <s:v>2670</s:v>
      </s:c>
      <s:c r="F315" s="24">
        <s:f>'자료구성'!$B$2+TIME(INT($C$3/10000),INT(MOD($C$3,10000)/100),MOD($C$3,100))+(ROW()-ROW($C$3))/86400</s:f>
        <s:v>46247.52811342593</s:v>
      </s:c>
    </s:row>
    <s:row r="316">
      <s:c r="A316" s="0" t="n">
        <s:v>260813</s:v>
      </s:c>
      <s:c r="B316" s="0" t="inlineStr">
        <s:is>
          <s:t>이종훈</s:t>
        </s:is>
      </s:c>
      <s:c r="C316" s="0" t="n">
        <s:v>123517</s:v>
      </s:c>
      <s:c r="D316" s="0" t="n">
        <s:v>2593</s:v>
      </s:c>
      <s:c r="F316" s="24">
        <s:f>'자료구성'!$B$2+TIME(INT($C$3/10000),INT(MOD($C$3,10000)/100),MOD($C$3,100))+(ROW()-ROW($C$3))/86400</s:f>
        <s:v>46247.528125</s:v>
      </s:c>
    </s:row>
    <s:row r="317">
      <s:c r="A317" s="0" t="n">
        <s:v>260813</s:v>
      </s:c>
      <s:c r="B317" s="0" t="inlineStr">
        <s:is>
          <s:t>이종훈</s:t>
        </s:is>
      </s:c>
      <s:c r="C317" s="0" t="n">
        <s:v>123517</s:v>
      </s:c>
      <s:c r="D317" s="0" t="n">
        <s:v>2490</s:v>
      </s:c>
      <s:c r="F317" s="24">
        <s:f>'자료구성'!$B$2+TIME(INT($C$3/10000),INT(MOD($C$3,10000)/100),MOD($C$3,100))+(ROW()-ROW($C$3))/86400</s:f>
        <s:v>46247.528136574074</s:v>
      </s:c>
    </s:row>
    <s:row r="318">
      <s:c r="A318" s="0" t="n">
        <s:v>260813</s:v>
      </s:c>
      <s:c r="B318" s="0" t="inlineStr">
        <s:is>
          <s:t>이종훈</s:t>
        </s:is>
      </s:c>
      <s:c r="C318" s="0" t="n">
        <s:v>123517</s:v>
      </s:c>
      <s:c r="D318" s="0" t="n">
        <s:v>2443</s:v>
      </s:c>
      <s:c r="F318" s="24">
        <s:f>'자료구성'!$B$2+TIME(INT($C$3/10000),INT(MOD($C$3,10000)/100),MOD($C$3,100))+(ROW()-ROW($C$3))/86400</s:f>
        <s:v>46247.52814814815</s:v>
      </s:c>
    </s:row>
    <s:row r="319">
      <s:c r="A319" s="0" t="n">
        <s:v>260813</s:v>
      </s:c>
      <s:c r="B319" s="0" t="inlineStr">
        <s:is>
          <s:t>이종훈</s:t>
        </s:is>
      </s:c>
      <s:c r="C319" s="0" t="n">
        <s:v>123517</s:v>
      </s:c>
      <s:c r="D319" s="0" t="n">
        <s:v>2378</s:v>
      </s:c>
      <s:c r="F319" s="24">
        <s:f>'자료구성'!$B$2+TIME(INT($C$3/10000),INT(MOD($C$3,10000)/100),MOD($C$3,100))+(ROW()-ROW($C$3))/86400</s:f>
        <s:v>46247.52815972222</s:v>
      </s:c>
    </s:row>
    <s:row r="320">
      <s:c r="A320" s="0" t="n">
        <s:v>260813</s:v>
      </s:c>
      <s:c r="B320" s="0" t="inlineStr">
        <s:is>
          <s:t>이종훈</s:t>
        </s:is>
      </s:c>
      <s:c r="C320" s="0" t="n">
        <s:v>123517</s:v>
      </s:c>
      <s:c r="D320" s="0" t="n">
        <s:v>2300</s:v>
      </s:c>
      <s:c r="F320" s="24">
        <s:f>'자료구성'!$B$2+TIME(INT($C$3/10000),INT(MOD($C$3,10000)/100),MOD($C$3,100))+(ROW()-ROW($C$3))/86400</s:f>
        <s:v>46247.5281712963</s:v>
      </s:c>
    </s:row>
    <s:row r="321">
      <s:c r="A321" s="0" t="n">
        <s:v>260813</s:v>
      </s:c>
      <s:c r="B321" s="0" t="inlineStr">
        <s:is>
          <s:t>이종훈</s:t>
        </s:is>
      </s:c>
      <s:c r="C321" s="0" t="n">
        <s:v>123517</s:v>
      </s:c>
      <s:c r="D321" s="0" t="n">
        <s:v>2265</s:v>
      </s:c>
      <s:c r="F321" s="24">
        <s:f>'자료구성'!$B$2+TIME(INT($C$3/10000),INT(MOD($C$3,10000)/100),MOD($C$3,100))+(ROW()-ROW($C$3))/86400</s:f>
        <s:v>46247.528182870374</s:v>
      </s:c>
    </s:row>
    <s:row r="322">
      <s:c r="A322" s="0" t="n">
        <s:v>260813</s:v>
      </s:c>
      <s:c r="B322" s="0" t="inlineStr">
        <s:is>
          <s:t>이종훈</s:t>
        </s:is>
      </s:c>
      <s:c r="C322" s="0" t="n">
        <s:v>123517</s:v>
      </s:c>
      <s:c r="D322" s="0" t="n">
        <s:v>2229</s:v>
      </s:c>
      <s:c r="F322" s="24">
        <s:f>'자료구성'!$B$2+TIME(INT($C$3/10000),INT(MOD($C$3,10000)/100),MOD($C$3,100))+(ROW()-ROW($C$3))/86400</s:f>
        <s:v>46247.52819444444</s:v>
      </s:c>
    </s:row>
    <s:row r="323">
      <s:c r="A323" s="0" t="n">
        <s:v>260813</s:v>
      </s:c>
      <s:c r="B323" s="0" t="inlineStr">
        <s:is>
          <s:t>이종훈</s:t>
        </s:is>
      </s:c>
      <s:c r="C323" s="0" t="n">
        <s:v>123517</s:v>
      </s:c>
      <s:c r="D323" s="0" t="n">
        <s:v>2197</s:v>
      </s:c>
      <s:c r="F323" s="24">
        <s:f>'자료구성'!$B$2+TIME(INT($C$3/10000),INT(MOD($C$3,10000)/100),MOD($C$3,100))+(ROW()-ROW($C$3))/86400</s:f>
        <s:v>46247.52820601852</s:v>
      </s:c>
    </s:row>
    <s:row r="324">
      <s:c r="A324" s="0" t="n">
        <s:v>260813</s:v>
      </s:c>
      <s:c r="B324" s="0" t="inlineStr">
        <s:is>
          <s:t>이종훈</s:t>
        </s:is>
      </s:c>
      <s:c r="C324" s="0" t="n">
        <s:v>123517</s:v>
      </s:c>
      <s:c r="D324" s="0" t="n">
        <s:v>2231</s:v>
      </s:c>
      <s:c r="F324" s="24">
        <s:f>'자료구성'!$B$2+TIME(INT($C$3/10000),INT(MOD($C$3,10000)/100),MOD($C$3,100))+(ROW()-ROW($C$3))/86400</s:f>
        <s:v>46247.52821759259</s:v>
      </s:c>
    </s:row>
    <s:row r="325">
      <s:c r="A325" s="0" t="n">
        <s:v>260813</s:v>
      </s:c>
      <s:c r="B325" s="0" t="inlineStr">
        <s:is>
          <s:t>이종훈</s:t>
        </s:is>
      </s:c>
      <s:c r="C325" s="0" t="n">
        <s:v>123517</s:v>
      </s:c>
      <s:c r="D325" s="0" t="n">
        <s:v>2245</s:v>
      </s:c>
      <s:c r="F325" s="24">
        <s:f>'자료구성'!$B$2+TIME(INT($C$3/10000),INT(MOD($C$3,10000)/100),MOD($C$3,100))+(ROW()-ROW($C$3))/86400</s:f>
        <s:v>46247.528229166666</s:v>
      </s:c>
    </s:row>
    <s:row r="326">
      <s:c r="A326" s="0" t="n">
        <s:v>260813</s:v>
      </s:c>
      <s:c r="B326" s="0" t="inlineStr">
        <s:is>
          <s:t>이종훈</s:t>
        </s:is>
      </s:c>
      <s:c r="C326" s="0" t="n">
        <s:v>123517</s:v>
      </s:c>
      <s:c r="D326" s="0" t="n">
        <s:v>2206</s:v>
      </s:c>
      <s:c r="F326" s="24">
        <s:f>'자료구성'!$B$2+TIME(INT($C$3/10000),INT(MOD($C$3,10000)/100),MOD($C$3,100))+(ROW()-ROW($C$3))/86400</s:f>
        <s:v>46247.52824074074</s:v>
      </s:c>
    </s:row>
    <s:row r="327">
      <s:c r="A327" s="0" t="n">
        <s:v>260813</s:v>
      </s:c>
      <s:c r="B327" s="0" t="inlineStr">
        <s:is>
          <s:t>이종훈</s:t>
        </s:is>
      </s:c>
      <s:c r="C327" s="0" t="n">
        <s:v>123517</s:v>
      </s:c>
      <s:c r="D327" s="0" t="n">
        <s:v>2181</s:v>
      </s:c>
      <s:c r="F327" s="24">
        <s:f>'자료구성'!$B$2+TIME(INT($C$3/10000),INT(MOD($C$3,10000)/100),MOD($C$3,100))+(ROW()-ROW($C$3))/86400</s:f>
        <s:v>46247.52825231481</s:v>
      </s:c>
    </s:row>
    <s:row r="328">
      <s:c r="A328" s="0" t="n">
        <s:v>260813</s:v>
      </s:c>
      <s:c r="B328" s="0" t="inlineStr">
        <s:is>
          <s:t>이종훈</s:t>
        </s:is>
      </s:c>
      <s:c r="C328" s="0" t="n">
        <s:v>123517</s:v>
      </s:c>
      <s:c r="D328" s="0" t="n">
        <s:v>2157</s:v>
      </s:c>
      <s:c r="F328" s="24">
        <s:f>'자료구성'!$B$2+TIME(INT($C$3/10000),INT(MOD($C$3,10000)/100),MOD($C$3,100))+(ROW()-ROW($C$3))/86400</s:f>
        <s:v>46247.52826388889</s:v>
      </s:c>
    </s:row>
    <s:row r="329">
      <s:c r="A329" s="0" t="n">
        <s:v>260813</s:v>
      </s:c>
      <s:c r="B329" s="0" t="inlineStr">
        <s:is>
          <s:t>이종훈</s:t>
        </s:is>
      </s:c>
      <s:c r="C329" s="0" t="n">
        <s:v>123517</s:v>
      </s:c>
      <s:c r="D329" s="0" t="n">
        <s:v>2126</s:v>
      </s:c>
      <s:c r="F329" s="24">
        <s:f>'자료구성'!$B$2+TIME(INT($C$3/10000),INT(MOD($C$3,10000)/100),MOD($C$3,100))+(ROW()-ROW($C$3))/86400</s:f>
        <s:v>46247.528275462966</s:v>
      </s:c>
    </s:row>
    <s:row r="330">
      <s:c r="A330" s="0" t="n">
        <s:v>260813</s:v>
      </s:c>
      <s:c r="B330" s="0" t="inlineStr">
        <s:is>
          <s:t>이종훈</s:t>
        </s:is>
      </s:c>
      <s:c r="C330" s="0" t="n">
        <s:v>123517</s:v>
      </s:c>
      <s:c r="D330" s="0" t="n">
        <s:v>2183</s:v>
      </s:c>
      <s:c r="F330" s="24">
        <s:f>'자료구성'!$B$2+TIME(INT($C$3/10000),INT(MOD($C$3,10000)/100),MOD($C$3,100))+(ROW()-ROW($C$3))/86400</s:f>
        <s:v>46247.528287037036</s:v>
      </s:c>
    </s:row>
    <s:row r="331">
      <s:c r="A331" s="0" t="n">
        <s:v>260813</s:v>
      </s:c>
      <s:c r="B331" s="0" t="inlineStr">
        <s:is>
          <s:t>이종훈</s:t>
        </s:is>
      </s:c>
      <s:c r="C331" s="0" t="n">
        <s:v>123517</s:v>
      </s:c>
      <s:c r="D331" s="0" t="n">
        <s:v>2233</s:v>
      </s:c>
      <s:c r="F331" s="24">
        <s:f>'자료구성'!$B$2+TIME(INT($C$3/10000),INT(MOD($C$3,10000)/100),MOD($C$3,100))+(ROW()-ROW($C$3))/86400</s:f>
        <s:v>46247.52829861111</s:v>
      </s:c>
    </s:row>
    <s:row r="332">
      <s:c r="A332" s="0" t="n">
        <s:v>260813</s:v>
      </s:c>
      <s:c r="B332" s="0" t="inlineStr">
        <s:is>
          <s:t>이종훈</s:t>
        </s:is>
      </s:c>
      <s:c r="C332" s="0" t="n">
        <s:v>123517</s:v>
      </s:c>
      <s:c r="D332" s="0" t="n">
        <s:v>2210</s:v>
      </s:c>
      <s:c r="F332" s="24">
        <s:f>'자료구성'!$B$2+TIME(INT($C$3/10000),INT(MOD($C$3,10000)/100),MOD($C$3,100))+(ROW()-ROW($C$3))/86400</s:f>
        <s:v>46247.52831018518</s:v>
      </s:c>
    </s:row>
    <s:row r="333">
      <s:c r="A333" s="0" t="n">
        <s:v>260813</s:v>
      </s:c>
      <s:c r="B333" s="0" t="inlineStr">
        <s:is>
          <s:t>이종훈</s:t>
        </s:is>
      </s:c>
      <s:c r="C333" s="0" t="n">
        <s:v>123517</s:v>
      </s:c>
      <s:c r="D333" s="0" t="n">
        <s:v>2162</s:v>
      </s:c>
      <s:c r="F333" s="24">
        <s:f>'자료구성'!$B$2+TIME(INT($C$3/10000),INT(MOD($C$3,10000)/100),MOD($C$3,100))+(ROW()-ROW($C$3))/86400</s:f>
        <s:v>46247.52832175926</s:v>
      </s:c>
    </s:row>
    <s:row r="334">
      <s:c r="A334" s="0" t="n">
        <s:v>260813</s:v>
      </s:c>
      <s:c r="B334" s="0" t="inlineStr">
        <s:is>
          <s:t>이종훈</s:t>
        </s:is>
      </s:c>
      <s:c r="C334" s="0" t="n">
        <s:v>123517</s:v>
      </s:c>
      <s:c r="D334" s="0" t="n">
        <s:v>2109</s:v>
      </s:c>
      <s:c r="F334" s="24">
        <s:f>'자료구성'!$B$2+TIME(INT($C$3/10000),INT(MOD($C$3,10000)/100),MOD($C$3,100))+(ROW()-ROW($C$3))/86400</s:f>
        <s:v>46247.528333333335</s:v>
      </s:c>
    </s:row>
    <s:row r="335">
      <s:c r="A335" s="0" t="n">
        <s:v>260813</s:v>
      </s:c>
      <s:c r="B335" s="0" t="inlineStr">
        <s:is>
          <s:t>이종훈</s:t>
        </s:is>
      </s:c>
      <s:c r="C335" s="0" t="n">
        <s:v>123517</s:v>
      </s:c>
      <s:c r="D335" s="0" t="n">
        <s:v>2078</s:v>
      </s:c>
      <s:c r="F335" s="24">
        <s:f>'자료구성'!$B$2+TIME(INT($C$3/10000),INT(MOD($C$3,10000)/100),MOD($C$3,100))+(ROW()-ROW($C$3))/86400</s:f>
        <s:v>46247.528344907405</s:v>
      </s:c>
    </s:row>
    <s:row r="336">
      <s:c r="A336" s="0" t="n">
        <s:v>260813</s:v>
      </s:c>
      <s:c r="B336" s="0" t="inlineStr">
        <s:is>
          <s:t>이종훈</s:t>
        </s:is>
      </s:c>
      <s:c r="C336" s="0" t="n">
        <s:v>123517</s:v>
      </s:c>
      <s:c r="D336" s="0" t="n">
        <s:v>2072</s:v>
      </s:c>
      <s:c r="F336" s="24">
        <s:f>'자료구성'!$B$2+TIME(INT($C$3/10000),INT(MOD($C$3,10000)/100),MOD($C$3,100))+(ROW()-ROW($C$3))/86400</s:f>
        <s:v>46247.52835648148</s:v>
      </s:c>
    </s:row>
    <s:row r="337">
      <s:c r="A337" s="0" t="n">
        <s:v>260813</s:v>
      </s:c>
      <s:c r="B337" s="0" t="inlineStr">
        <s:is>
          <s:t>이종훈</s:t>
        </s:is>
      </s:c>
      <s:c r="C337" s="0" t="n">
        <s:v>123517</s:v>
      </s:c>
      <s:c r="D337" s="0" t="n">
        <s:v>2061</s:v>
      </s:c>
      <s:c r="F337" s="24">
        <s:f>'자료구성'!$B$2+TIME(INT($C$3/10000),INT(MOD($C$3,10000)/100),MOD($C$3,100))+(ROW()-ROW($C$3))/86400</s:f>
        <s:v>46247.52836805556</s:v>
      </s:c>
    </s:row>
    <s:row r="338">
      <s:c r="A338" s="0" t="n">
        <s:v>260813</s:v>
      </s:c>
      <s:c r="B338" s="0" t="inlineStr">
        <s:is>
          <s:t>이종훈</s:t>
        </s:is>
      </s:c>
      <s:c r="C338" s="0" t="n">
        <s:v>123517</s:v>
      </s:c>
      <s:c r="D338" s="0" t="n">
        <s:v>2021</s:v>
      </s:c>
      <s:c r="F338" s="24">
        <s:f>'자료구성'!$B$2+TIME(INT($C$3/10000),INT(MOD($C$3,10000)/100),MOD($C$3,100))+(ROW()-ROW($C$3))/86400</s:f>
        <s:v>46247.52837962963</s:v>
      </s:c>
    </s:row>
    <s:row r="339">
      <s:c r="A339" s="0" t="n">
        <s:v>260813</s:v>
      </s:c>
      <s:c r="B339" s="0" t="inlineStr">
        <s:is>
          <s:t>이종훈</s:t>
        </s:is>
      </s:c>
      <s:c r="C339" s="0" t="n">
        <s:v>123517</s:v>
      </s:c>
      <s:c r="D339" s="0" t="n">
        <s:v>1982</s:v>
      </s:c>
      <s:c r="F339" s="24">
        <s:f>'자료구성'!$B$2+TIME(INT($C$3/10000),INT(MOD($C$3,10000)/100),MOD($C$3,100))+(ROW()-ROW($C$3))/86400</s:f>
        <s:v>46247.528391203705</s:v>
      </s:c>
    </s:row>
    <s:row r="340">
      <s:c r="A340" s="0" t="n">
        <s:v>260813</s:v>
      </s:c>
      <s:c r="B340" s="0" t="inlineStr">
        <s:is>
          <s:t>이종훈</s:t>
        </s:is>
      </s:c>
      <s:c r="C340" s="0" t="n">
        <s:v>123517</s:v>
      </s:c>
      <s:c r="D340" s="0" t="n">
        <s:v>1957</s:v>
      </s:c>
      <s:c r="F340" s="24">
        <s:f>'자료구성'!$B$2+TIME(INT($C$3/10000),INT(MOD($C$3,10000)/100),MOD($C$3,100))+(ROW()-ROW($C$3))/86400</s:f>
        <s:v>46247.528402777774</s:v>
      </s:c>
    </s:row>
    <s:row r="341">
      <s:c r="A341" s="0" t="n">
        <s:v>260813</s:v>
      </s:c>
      <s:c r="B341" s="0" t="inlineStr">
        <s:is>
          <s:t>이종훈</s:t>
        </s:is>
      </s:c>
      <s:c r="C341" s="0" t="n">
        <s:v>123517</s:v>
      </s:c>
      <s:c r="D341" s="0" t="n">
        <s:v>1948</s:v>
      </s:c>
      <s:c r="F341" s="24">
        <s:f>'자료구성'!$B$2+TIME(INT($C$3/10000),INT(MOD($C$3,10000)/100),MOD($C$3,100))+(ROW()-ROW($C$3))/86400</s:f>
        <s:v>46247.52841435185</s:v>
      </s:c>
    </s:row>
    <s:row r="342">
      <s:c r="A342" s="0" t="n">
        <s:v>260813</s:v>
      </s:c>
      <s:c r="B342" s="0" t="inlineStr">
        <s:is>
          <s:t>이종훈</s:t>
        </s:is>
      </s:c>
      <s:c r="C342" s="0" t="n">
        <s:v>123517</s:v>
      </s:c>
      <s:c r="D342" s="0" t="n">
        <s:v>1922</s:v>
      </s:c>
      <s:c r="F342" s="24">
        <s:f>'자료구성'!$B$2+TIME(INT($C$3/10000),INT(MOD($C$3,10000)/100),MOD($C$3,100))+(ROW()-ROW($C$3))/86400</s:f>
        <s:v>46247.52842592593</s:v>
      </s:c>
    </s:row>
    <s:row r="343">
      <s:c r="A343" s="0" t="n">
        <s:v>260813</s:v>
      </s:c>
      <s:c r="B343" s="0" t="inlineStr">
        <s:is>
          <s:t>이종훈</s:t>
        </s:is>
      </s:c>
      <s:c r="C343" s="0" t="n">
        <s:v>123517</s:v>
      </s:c>
      <s:c r="D343" s="0" t="n">
        <s:v>1873</s:v>
      </s:c>
      <s:c r="F343" s="24">
        <s:f>'자료구성'!$B$2+TIME(INT($C$3/10000),INT(MOD($C$3,10000)/100),MOD($C$3,100))+(ROW()-ROW($C$3))/86400</s:f>
        <s:v>46247.5284375</s:v>
      </s:c>
    </s:row>
    <s:row r="344">
      <s:c r="A344" s="0" t="n">
        <s:v>260813</s:v>
      </s:c>
      <s:c r="B344" s="0" t="inlineStr">
        <s:is>
          <s:t>이종훈</s:t>
        </s:is>
      </s:c>
      <s:c r="C344" s="0" t="n">
        <s:v>123517</s:v>
      </s:c>
      <s:c r="D344" s="0" t="n">
        <s:v>1855</s:v>
      </s:c>
      <s:c r="F344" s="24">
        <s:f>'자료구성'!$B$2+TIME(INT($C$3/10000),INT(MOD($C$3,10000)/100),MOD($C$3,100))+(ROW()-ROW($C$3))/86400</s:f>
        <s:v>46247.528449074074</s:v>
      </s:c>
    </s:row>
    <s:row r="345">
      <s:c r="A345" s="0" t="n">
        <s:v>260813</s:v>
      </s:c>
      <s:c r="B345" s="0" t="inlineStr">
        <s:is>
          <s:t>이종훈</s:t>
        </s:is>
      </s:c>
      <s:c r="C345" s="0" t="n">
        <s:v>123517</s:v>
      </s:c>
      <s:c r="D345" s="0" t="n">
        <s:v>1855</s:v>
      </s:c>
      <s:c r="F345" s="24">
        <s:f>'자료구성'!$B$2+TIME(INT($C$3/10000),INT(MOD($C$3,10000)/100),MOD($C$3,100))+(ROW()-ROW($C$3))/86400</s:f>
        <s:v>46247.52846064815</s:v>
      </s:c>
    </s:row>
    <s:row r="346">
      <s:c r="A346" s="0" t="n">
        <s:v>260813</s:v>
      </s:c>
      <s:c r="B346" s="0" t="inlineStr">
        <s:is>
          <s:t>이종훈</s:t>
        </s:is>
      </s:c>
      <s:c r="C346" s="0" t="n">
        <s:v>123517</s:v>
      </s:c>
      <s:c r="D346" s="0" t="n">
        <s:v>1818</s:v>
      </s:c>
      <s:c r="F346" s="24">
        <s:f>'자료구성'!$B$2+TIME(INT($C$3/10000),INT(MOD($C$3,10000)/100),MOD($C$3,100))+(ROW()-ROW($C$3))/86400</s:f>
        <s:v>46247.52847222222</s:v>
      </s:c>
    </s:row>
    <s:row r="347">
      <s:c r="A347" s="0" t="n">
        <s:v>260813</s:v>
      </s:c>
      <s:c r="B347" s="0" t="inlineStr">
        <s:is>
          <s:t>이종훈</s:t>
        </s:is>
      </s:c>
      <s:c r="C347" s="0" t="n">
        <s:v>123517</s:v>
      </s:c>
      <s:c r="D347" s="0" t="n">
        <s:v>1788</s:v>
      </s:c>
      <s:c r="F347" s="24">
        <s:f>'자료구성'!$B$2+TIME(INT($C$3/10000),INT(MOD($C$3,10000)/100),MOD($C$3,100))+(ROW()-ROW($C$3))/86400</s:f>
        <s:v>46247.5284837963</s:v>
      </s:c>
    </s:row>
    <s:row r="348">
      <s:c r="A348" s="0" t="n">
        <s:v>260813</s:v>
      </s:c>
      <s:c r="B348" s="0" t="inlineStr">
        <s:is>
          <s:t>이종훈</s:t>
        </s:is>
      </s:c>
      <s:c r="C348" s="0" t="n">
        <s:v>123517</s:v>
      </s:c>
      <s:c r="D348" s="0" t="n">
        <s:v>1783</s:v>
      </s:c>
      <s:c r="F348" s="24">
        <s:f>'자료구성'!$B$2+TIME(INT($C$3/10000),INT(MOD($C$3,10000)/100),MOD($C$3,100))+(ROW()-ROW($C$3))/86400</s:f>
        <s:v>46247.528495370374</s:v>
      </s:c>
    </s:row>
    <s:row r="349">
      <s:c r="A349" s="0" t="n">
        <s:v>260813</s:v>
      </s:c>
      <s:c r="B349" s="0" t="inlineStr">
        <s:is>
          <s:t>이종훈</s:t>
        </s:is>
      </s:c>
      <s:c r="C349" s="0" t="n">
        <s:v>123517</s:v>
      </s:c>
      <s:c r="D349" s="0" t="n">
        <s:v>1813</s:v>
      </s:c>
      <s:c r="F349" s="24">
        <s:f>'자료구성'!$B$2+TIME(INT($C$3/10000),INT(MOD($C$3,10000)/100),MOD($C$3,100))+(ROW()-ROW($C$3))/86400</s:f>
        <s:v>46247.52850694444</s:v>
      </s:c>
    </s:row>
    <s:row r="350">
      <s:c r="A350" s="0" t="n">
        <s:v>260813</s:v>
      </s:c>
      <s:c r="B350" s="0" t="inlineStr">
        <s:is>
          <s:t>이종훈</s:t>
        </s:is>
      </s:c>
      <s:c r="C350" s="0" t="n">
        <s:v>123517</s:v>
      </s:c>
      <s:c r="D350" s="0" t="n">
        <s:v>1804</s:v>
      </s:c>
      <s:c r="F350" s="24">
        <s:f>'자료구성'!$B$2+TIME(INT($C$3/10000),INT(MOD($C$3,10000)/100),MOD($C$3,100))+(ROW()-ROW($C$3))/86400</s:f>
        <s:v>46247.52851851852</s:v>
      </s:c>
    </s:row>
    <s:row r="351">
      <s:c r="A351" s="0" t="n">
        <s:v>260813</s:v>
      </s:c>
      <s:c r="B351" s="0" t="inlineStr">
        <s:is>
          <s:t>이종훈</s:t>
        </s:is>
      </s:c>
      <s:c r="C351" s="0" t="n">
        <s:v>123517</s:v>
      </s:c>
      <s:c r="D351" s="0" t="n">
        <s:v>1804</s:v>
      </s:c>
      <s:c r="F351" s="24">
        <s:f>'자료구성'!$B$2+TIME(INT($C$3/10000),INT(MOD($C$3,10000)/100),MOD($C$3,100))+(ROW()-ROW($C$3))/86400</s:f>
        <s:v>46247.52853009259</s:v>
      </s:c>
    </s:row>
    <s:row r="352">
      <s:c r="A352" s="0" t="n">
        <s:v>260813</s:v>
      </s:c>
      <s:c r="B352" s="0" t="inlineStr">
        <s:is>
          <s:t>이종훈</s:t>
        </s:is>
      </s:c>
      <s:c r="C352" s="0" t="n">
        <s:v>123517</s:v>
      </s:c>
      <s:c r="D352" s="0" t="n">
        <s:v>1797</s:v>
      </s:c>
      <s:c r="F352" s="24">
        <s:f>'자료구성'!$B$2+TIME(INT($C$3/10000),INT(MOD($C$3,10000)/100),MOD($C$3,100))+(ROW()-ROW($C$3))/86400</s:f>
        <s:v>46247.52854166667</s:v>
      </s:c>
    </s:row>
    <s:row r="353">
      <s:c r="A353" s="0" t="n">
        <s:v>260813</s:v>
      </s:c>
      <s:c r="B353" s="0" t="inlineStr">
        <s:is>
          <s:t>이종훈</s:t>
        </s:is>
      </s:c>
      <s:c r="C353" s="0" t="n">
        <s:v>123517</s:v>
      </s:c>
      <s:c r="D353" s="0" t="n">
        <s:v>1794</s:v>
      </s:c>
      <s:c r="F353" s="24">
        <s:f>'자료구성'!$B$2+TIME(INT($C$3/10000),INT(MOD($C$3,10000)/100),MOD($C$3,100))+(ROW()-ROW($C$3))/86400</s:f>
        <s:v>46247.52855324074</s:v>
      </s:c>
    </s:row>
    <s:row r="354">
      <s:c r="A354" s="0" t="n">
        <s:v>260813</s:v>
      </s:c>
      <s:c r="B354" s="0" t="inlineStr">
        <s:is>
          <s:t>이종훈</s:t>
        </s:is>
      </s:c>
      <s:c r="C354" s="0" t="n">
        <s:v>123517</s:v>
      </s:c>
      <s:c r="D354" s="0" t="n">
        <s:v>1797</s:v>
      </s:c>
      <s:c r="F354" s="24">
        <s:f>'자료구성'!$B$2+TIME(INT($C$3/10000),INT(MOD($C$3,10000)/100),MOD($C$3,100))+(ROW()-ROW($C$3))/86400</s:f>
        <s:v>46247.52856481481</s:v>
      </s:c>
    </s:row>
    <s:row r="355">
      <s:c r="A355" s="0" t="n">
        <s:v>260813</s:v>
      </s:c>
      <s:c r="B355" s="0" t="inlineStr">
        <s:is>
          <s:t>이종훈</s:t>
        </s:is>
      </s:c>
      <s:c r="C355" s="0" t="n">
        <s:v>123517</s:v>
      </s:c>
      <s:c r="D355" s="0" t="n">
        <s:v>1809</s:v>
      </s:c>
      <s:c r="F355" s="24">
        <s:f>'자료구성'!$B$2+TIME(INT($C$3/10000),INT(MOD($C$3,10000)/100),MOD($C$3,100))+(ROW()-ROW($C$3))/86400</s:f>
        <s:v>46247.52857638889</s:v>
      </s:c>
    </s:row>
    <s:row r="356">
      <s:c r="A356" s="0" t="n">
        <s:v>260813</s:v>
      </s:c>
      <s:c r="B356" s="0" t="inlineStr">
        <s:is>
          <s:t>이종훈</s:t>
        </s:is>
      </s:c>
      <s:c r="C356" s="0" t="n">
        <s:v>123517</s:v>
      </s:c>
      <s:c r="D356" s="0" t="n">
        <s:v>1813</s:v>
      </s:c>
      <s:c r="F356" s="24">
        <s:f>'자료구성'!$B$2+TIME(INT($C$3/10000),INT(MOD($C$3,10000)/100),MOD($C$3,100))+(ROW()-ROW($C$3))/86400</s:f>
        <s:v>46247.52858796297</s:v>
      </s:c>
    </s:row>
    <s:row r="357">
      <s:c r="A357" s="0" t="n">
        <s:v>260813</s:v>
      </s:c>
      <s:c r="B357" s="0" t="inlineStr">
        <s:is>
          <s:t>이종훈</s:t>
        </s:is>
      </s:c>
      <s:c r="C357" s="0" t="n">
        <s:v>123517</s:v>
      </s:c>
      <s:c r="D357" s="0" t="n">
        <s:v>1792</s:v>
      </s:c>
      <s:c r="F357" s="24">
        <s:f>'자료구성'!$B$2+TIME(INT($C$3/10000),INT(MOD($C$3,10000)/100),MOD($C$3,100))+(ROW()-ROW($C$3))/86400</s:f>
        <s:v>46247.528599537036</s:v>
      </s:c>
    </s:row>
    <s:row r="358">
      <s:c r="A358" s="0" t="n">
        <s:v>260813</s:v>
      </s:c>
      <s:c r="B358" s="0" t="inlineStr">
        <s:is>
          <s:t>이종훈</s:t>
        </s:is>
      </s:c>
      <s:c r="C358" s="0" t="n">
        <s:v>123517</s:v>
      </s:c>
      <s:c r="D358" s="0" t="n">
        <s:v>1782</s:v>
      </s:c>
      <s:c r="F358" s="24">
        <s:f>'자료구성'!$B$2+TIME(INT($C$3/10000),INT(MOD($C$3,10000)/100),MOD($C$3,100))+(ROW()-ROW($C$3))/86400</s:f>
        <s:v>46247.52861111111</s:v>
      </s:c>
    </s:row>
    <s:row r="359">
      <s:c r="A359" s="0" t="n">
        <s:v>260813</s:v>
      </s:c>
      <s:c r="B359" s="0" t="inlineStr">
        <s:is>
          <s:t>이종훈</s:t>
        </s:is>
      </s:c>
      <s:c r="C359" s="0" t="n">
        <s:v>123517</s:v>
      </s:c>
      <s:c r="D359" s="0" t="n">
        <s:v>1752</s:v>
      </s:c>
      <s:c r="F359" s="24">
        <s:f>'자료구성'!$B$2+TIME(INT($C$3/10000),INT(MOD($C$3,10000)/100),MOD($C$3,100))+(ROW()-ROW($C$3))/86400</s:f>
        <s:v>46247.52862268518</s:v>
      </s:c>
    </s:row>
    <s:row r="360">
      <s:c r="A360" s="0" t="n">
        <s:v>260813</s:v>
      </s:c>
      <s:c r="B360" s="0" t="inlineStr">
        <s:is>
          <s:t>이종훈</s:t>
        </s:is>
      </s:c>
      <s:c r="C360" s="0" t="n">
        <s:v>123517</s:v>
      </s:c>
      <s:c r="D360" s="0" t="n">
        <s:v>1714</s:v>
      </s:c>
      <s:c r="F360" s="24">
        <s:f>'자료구성'!$B$2+TIME(INT($C$3/10000),INT(MOD($C$3,10000)/100),MOD($C$3,100))+(ROW()-ROW($C$3))/86400</s:f>
        <s:v>46247.52863425926</s:v>
      </s:c>
    </s:row>
    <s:row r="361">
      <s:c r="A361" s="0" t="n">
        <s:v>260813</s:v>
      </s:c>
      <s:c r="B361" s="0" t="inlineStr">
        <s:is>
          <s:t>이종훈</s:t>
        </s:is>
      </s:c>
      <s:c r="C361" s="0" t="n">
        <s:v>123517</s:v>
      </s:c>
      <s:c r="D361" s="0" t="n">
        <s:v>1686</s:v>
      </s:c>
      <s:c r="F361" s="24">
        <s:f>'자료구성'!$B$2+TIME(INT($C$3/10000),INT(MOD($C$3,10000)/100),MOD($C$3,100))+(ROW()-ROW($C$3))/86400</s:f>
        <s:v>46247.528645833336</s:v>
      </s:c>
    </s:row>
    <s:row r="362">
      <s:c r="A362" s="0" t="n">
        <s:v>260813</s:v>
      </s:c>
      <s:c r="B362" s="0" t="inlineStr">
        <s:is>
          <s:t>이종훈</s:t>
        </s:is>
      </s:c>
      <s:c r="C362" s="0" t="n">
        <s:v>123517</s:v>
      </s:c>
      <s:c r="D362" s="0" t="n">
        <s:v>1683</s:v>
      </s:c>
      <s:c r="F362" s="24">
        <s:f>'자료구성'!$B$2+TIME(INT($C$3/10000),INT(MOD($C$3,10000)/100),MOD($C$3,100))+(ROW()-ROW($C$3))/86400</s:f>
        <s:v>46247.528657407405</s:v>
      </s:c>
    </s:row>
    <s:row r="363">
      <s:c r="A363" s="0" t="n">
        <s:v>260813</s:v>
      </s:c>
      <s:c r="B363" s="0" t="inlineStr">
        <s:is>
          <s:t>이종훈</s:t>
        </s:is>
      </s:c>
      <s:c r="C363" s="0" t="n">
        <s:v>123517</s:v>
      </s:c>
      <s:c r="D363" s="0" t="n">
        <s:v>1669</s:v>
      </s:c>
      <s:c r="F363" s="24">
        <s:f>'자료구성'!$B$2+TIME(INT($C$3/10000),INT(MOD($C$3,10000)/100),MOD($C$3,100))+(ROW()-ROW($C$3))/86400</s:f>
        <s:v>46247.52866898148</s:v>
      </s:c>
    </s:row>
    <s:row r="364">
      <s:c r="A364" s="0" t="n">
        <s:v>260813</s:v>
      </s:c>
      <s:c r="B364" s="0" t="inlineStr">
        <s:is>
          <s:t>이종훈</s:t>
        </s:is>
      </s:c>
      <s:c r="C364" s="0" t="n">
        <s:v>123517</s:v>
      </s:c>
      <s:c r="D364" s="0" t="n">
        <s:v>1670</s:v>
      </s:c>
      <s:c r="F364" s="24">
        <s:f>'자료구성'!$B$2+TIME(INT($C$3/10000),INT(MOD($C$3,10000)/100),MOD($C$3,100))+(ROW()-ROW($C$3))/86400</s:f>
        <s:v>46247.52868055556</s:v>
      </s:c>
    </s:row>
    <s:row r="365">
      <s:c r="A365" s="0" t="n">
        <s:v>260813</s:v>
      </s:c>
      <s:c r="B365" s="0" t="inlineStr">
        <s:is>
          <s:t>이종훈</s:t>
        </s:is>
      </s:c>
      <s:c r="C365" s="0" t="n">
        <s:v>123517</s:v>
      </s:c>
      <s:c r="D365" s="0" t="n">
        <s:v>1646</s:v>
      </s:c>
      <s:c r="F365" s="24">
        <s:f>'자료구성'!$B$2+TIME(INT($C$3/10000),INT(MOD($C$3,10000)/100),MOD($C$3,100))+(ROW()-ROW($C$3))/86400</s:f>
        <s:v>46247.52869212963</s:v>
      </s:c>
    </s:row>
    <s:row r="366">
      <s:c r="A366" s="0" t="n">
        <s:v>260813</s:v>
      </s:c>
      <s:c r="B366" s="0" t="inlineStr">
        <s:is>
          <s:t>이종훈</s:t>
        </s:is>
      </s:c>
      <s:c r="C366" s="0" t="n">
        <s:v>123517</s:v>
      </s:c>
      <s:c r="D366" s="0" t="n">
        <s:v>1631</s:v>
      </s:c>
      <s:c r="F366" s="24">
        <s:f>'자료구성'!$B$2+TIME(INT($C$3/10000),INT(MOD($C$3,10000)/100),MOD($C$3,100))+(ROW()-ROW($C$3))/86400</s:f>
        <s:v>46247.528703703705</s:v>
      </s:c>
    </s:row>
    <s:row r="367">
      <s:c r="A367" s="0" t="n">
        <s:v>260813</s:v>
      </s:c>
      <s:c r="B367" s="0" t="inlineStr">
        <s:is>
          <s:t>이종훈</s:t>
        </s:is>
      </s:c>
      <s:c r="C367" s="0" t="n">
        <s:v>123517</s:v>
      </s:c>
      <s:c r="D367" s="0" t="n">
        <s:v>1629</s:v>
      </s:c>
      <s:c r="F367" s="24">
        <s:f>'자료구성'!$B$2+TIME(INT($C$3/10000),INT(MOD($C$3,10000)/100),MOD($C$3,100))+(ROW()-ROW($C$3))/86400</s:f>
        <s:v>46247.528715277775</s:v>
      </s:c>
    </s:row>
    <s:row r="368">
      <s:c r="A368" s="0" t="n">
        <s:v>260813</s:v>
      </s:c>
      <s:c r="B368" s="0" t="inlineStr">
        <s:is>
          <s:t>이종훈</s:t>
        </s:is>
      </s:c>
      <s:c r="C368" s="0" t="n">
        <s:v>123517</s:v>
      </s:c>
      <s:c r="D368" s="0" t="n">
        <s:v>1614</s:v>
      </s:c>
      <s:c r="F368" s="24">
        <s:f>'자료구성'!$B$2+TIME(INT($C$3/10000),INT(MOD($C$3,10000)/100),MOD($C$3,100))+(ROW()-ROW($C$3))/86400</s:f>
        <s:v>46247.52872685185</s:v>
      </s:c>
    </s:row>
    <s:row r="369">
      <s:c r="A369" s="0" t="n">
        <s:v>260813</s:v>
      </s:c>
      <s:c r="B369" s="0" t="inlineStr">
        <s:is>
          <s:t>이종훈</s:t>
        </s:is>
      </s:c>
      <s:c r="C369" s="0" t="n">
        <s:v>123517</s:v>
      </s:c>
      <s:c r="D369" s="0" t="n">
        <s:v>1607</s:v>
      </s:c>
      <s:c r="F369" s="24">
        <s:f>'자료구성'!$B$2+TIME(INT($C$3/10000),INT(MOD($C$3,10000)/100),MOD($C$3,100))+(ROW()-ROW($C$3))/86400</s:f>
        <s:v>46247.52873842593</s:v>
      </s:c>
    </s:row>
    <s:row r="370">
      <s:c r="A370" s="0" t="n">
        <s:v>260813</s:v>
      </s:c>
      <s:c r="B370" s="0" t="inlineStr">
        <s:is>
          <s:t>이종훈</s:t>
        </s:is>
      </s:c>
      <s:c r="C370" s="0" t="n">
        <s:v>123517</s:v>
      </s:c>
      <s:c r="D370" s="0" t="n">
        <s:v>1619</s:v>
      </s:c>
      <s:c r="F370" s="24">
        <s:f>'자료구성'!$B$2+TIME(INT($C$3/10000),INT(MOD($C$3,10000)/100),MOD($C$3,100))+(ROW()-ROW($C$3))/86400</s:f>
        <s:v>46247.52875</s:v>
      </s:c>
    </s:row>
    <s:row r="371">
      <s:c r="A371" s="0" t="n">
        <s:v>260813</s:v>
      </s:c>
      <s:c r="B371" s="0" t="inlineStr">
        <s:is>
          <s:t>이종훈</s:t>
        </s:is>
      </s:c>
      <s:c r="C371" s="0" t="n">
        <s:v>123517</s:v>
      </s:c>
      <s:c r="D371" s="0" t="n">
        <s:v>1621</s:v>
      </s:c>
      <s:c r="F371" s="24">
        <s:f>'자료구성'!$B$2+TIME(INT($C$3/10000),INT(MOD($C$3,10000)/100),MOD($C$3,100))+(ROW()-ROW($C$3))/86400</s:f>
        <s:v>46247.528761574074</s:v>
      </s:c>
    </s:row>
    <s:row r="372">
      <s:c r="A372" s="0" t="n">
        <s:v>260813</s:v>
      </s:c>
      <s:c r="B372" s="0" t="inlineStr">
        <s:is>
          <s:t>이종훈</s:t>
        </s:is>
      </s:c>
      <s:c r="C372" s="0" t="n">
        <s:v>123517</s:v>
      </s:c>
      <s:c r="D372" s="0" t="n">
        <s:v>1660</s:v>
      </s:c>
      <s:c r="F372" s="24">
        <s:f>'자료구성'!$B$2+TIME(INT($C$3/10000),INT(MOD($C$3,10000)/100),MOD($C$3,100))+(ROW()-ROW($C$3))/86400</s:f>
        <s:v>46247.52877314815</s:v>
      </s:c>
    </s:row>
    <s:row r="373">
      <s:c r="A373" s="0" t="n">
        <s:v>260813</s:v>
      </s:c>
      <s:c r="B373" s="0" t="inlineStr">
        <s:is>
          <s:t>이종훈</s:t>
        </s:is>
      </s:c>
      <s:c r="C373" s="0" t="n">
        <s:v>123517</s:v>
      </s:c>
      <s:c r="D373" s="0" t="n">
        <s:v>1670</s:v>
      </s:c>
      <s:c r="F373" s="24">
        <s:f>'자료구성'!$B$2+TIME(INT($C$3/10000),INT(MOD($C$3,10000)/100),MOD($C$3,100))+(ROW()-ROW($C$3))/86400</s:f>
        <s:v>46247.52878472222</s:v>
      </s:c>
    </s:row>
    <s:row r="374">
      <s:c r="A374" s="0" t="n">
        <s:v>260813</s:v>
      </s:c>
      <s:c r="B374" s="0" t="inlineStr">
        <s:is>
          <s:t>이종훈</s:t>
        </s:is>
      </s:c>
      <s:c r="C374" s="0" t="n">
        <s:v>123517</s:v>
      </s:c>
      <s:c r="D374" s="0" t="n">
        <s:v>1682</s:v>
      </s:c>
      <s:c r="F374" s="24">
        <s:f>'자료구성'!$B$2+TIME(INT($C$3/10000),INT(MOD($C$3,10000)/100),MOD($C$3,100))+(ROW()-ROW($C$3))/86400</s:f>
        <s:v>46247.5287962963</s:v>
      </s:c>
    </s:row>
    <s:row r="375">
      <s:c r="A375" s="0" t="n">
        <s:v>260813</s:v>
      </s:c>
      <s:c r="B375" s="0" t="inlineStr">
        <s:is>
          <s:t>이종훈</s:t>
        </s:is>
      </s:c>
      <s:c r="C375" s="0" t="n">
        <s:v>123517</s:v>
      </s:c>
      <s:c r="D375" s="0" t="n">
        <s:v>1717</s:v>
      </s:c>
      <s:c r="F375" s="24">
        <s:f>'자료구성'!$B$2+TIME(INT($C$3/10000),INT(MOD($C$3,10000)/100),MOD($C$3,100))+(ROW()-ROW($C$3))/86400</s:f>
        <s:v>46247.52880787037</s:v>
      </s:c>
    </s:row>
    <s:row r="376">
      <s:c r="A376" s="0" t="n">
        <s:v>260813</s:v>
      </s:c>
      <s:c r="B376" s="0" t="inlineStr">
        <s:is>
          <s:t>이종훈</s:t>
        </s:is>
      </s:c>
      <s:c r="C376" s="0" t="n">
        <s:v>123517</s:v>
      </s:c>
      <s:c r="D376" s="0" t="n">
        <s:v>1755</s:v>
      </s:c>
      <s:c r="F376" s="24">
        <s:f>'자료구성'!$B$2+TIME(INT($C$3/10000),INT(MOD($C$3,10000)/100),MOD($C$3,100))+(ROW()-ROW($C$3))/86400</s:f>
        <s:v>46247.528819444444</s:v>
      </s:c>
    </s:row>
    <s:row r="377">
      <s:c r="A377" s="0" t="n">
        <s:v>260813</s:v>
      </s:c>
      <s:c r="B377" s="0" t="inlineStr">
        <s:is>
          <s:t>이종훈</s:t>
        </s:is>
      </s:c>
      <s:c r="C377" s="0" t="n">
        <s:v>123517</s:v>
      </s:c>
      <s:c r="D377" s="0" t="n">
        <s:v>1791</s:v>
      </s:c>
      <s:c r="F377" s="24">
        <s:f>'자료구성'!$B$2+TIME(INT($C$3/10000),INT(MOD($C$3,10000)/100),MOD($C$3,100))+(ROW()-ROW($C$3))/86400</s:f>
        <s:v>46247.52883101852</s:v>
      </s:c>
    </s:row>
    <s:row r="378">
      <s:c r="A378" s="0" t="n">
        <s:v>260813</s:v>
      </s:c>
      <s:c r="B378" s="0" t="inlineStr">
        <s:is>
          <s:t>이종훈</s:t>
        </s:is>
      </s:c>
      <s:c r="C378" s="0" t="n">
        <s:v>123517</s:v>
      </s:c>
      <s:c r="D378" s="0" t="n">
        <s:v>1808</s:v>
      </s:c>
      <s:c r="F378" s="24">
        <s:f>'자료구성'!$B$2+TIME(INT($C$3/10000),INT(MOD($C$3,10000)/100),MOD($C$3,100))+(ROW()-ROW($C$3))/86400</s:f>
        <s:v>46247.52884259259</s:v>
      </s:c>
    </s:row>
    <s:row r="379">
      <s:c r="A379" s="0" t="n">
        <s:v>260813</s:v>
      </s:c>
      <s:c r="B379" s="0" t="inlineStr">
        <s:is>
          <s:t>이종훈</s:t>
        </s:is>
      </s:c>
      <s:c r="C379" s="0" t="n">
        <s:v>123517</s:v>
      </s:c>
      <s:c r="D379" s="0" t="n">
        <s:v>1853</s:v>
      </s:c>
      <s:c r="F379" s="24">
        <s:f>'자료구성'!$B$2+TIME(INT($C$3/10000),INT(MOD($C$3,10000)/100),MOD($C$3,100))+(ROW()-ROW($C$3))/86400</s:f>
        <s:v>46247.52885416667</s:v>
      </s:c>
    </s:row>
    <s:row r="380">
      <s:c r="A380" s="0" t="n">
        <s:v>260813</s:v>
      </s:c>
      <s:c r="B380" s="0" t="inlineStr">
        <s:is>
          <s:t>이종훈</s:t>
        </s:is>
      </s:c>
      <s:c r="C380" s="0" t="n">
        <s:v>123517</s:v>
      </s:c>
      <s:c r="D380" s="0" t="n">
        <s:v>1875</s:v>
      </s:c>
      <s:c r="F380" s="24">
        <s:f>'자료구성'!$B$2+TIME(INT($C$3/10000),INT(MOD($C$3,10000)/100),MOD($C$3,100))+(ROW()-ROW($C$3))/86400</s:f>
        <s:v>46247.528865740744</s:v>
      </s:c>
    </s:row>
    <s:row r="381">
      <s:c r="A381" s="0" t="n">
        <s:v>260813</s:v>
      </s:c>
      <s:c r="B381" s="0" t="inlineStr">
        <s:is>
          <s:t>이종훈</s:t>
        </s:is>
      </s:c>
      <s:c r="C381" s="0" t="n">
        <s:v>123517</s:v>
      </s:c>
      <s:c r="D381" s="0" t="n">
        <s:v>1891</s:v>
      </s:c>
      <s:c r="F381" s="24">
        <s:f>'자료구성'!$B$2+TIME(INT($C$3/10000),INT(MOD($C$3,10000)/100),MOD($C$3,100))+(ROW()-ROW($C$3))/86400</s:f>
        <s:v>46247.52887731481</s:v>
      </s:c>
    </s:row>
    <s:row r="382">
      <s:c r="A382" s="0" t="n">
        <s:v>260813</s:v>
      </s:c>
      <s:c r="B382" s="0" t="inlineStr">
        <s:is>
          <s:t>이종훈</s:t>
        </s:is>
      </s:c>
      <s:c r="C382" s="0" t="n">
        <s:v>123517</s:v>
      </s:c>
      <s:c r="D382" s="0" t="n">
        <s:v>1904</s:v>
      </s:c>
      <s:c r="F382" s="24">
        <s:f>'자료구성'!$B$2+TIME(INT($C$3/10000),INT(MOD($C$3,10000)/100),MOD($C$3,100))+(ROW()-ROW($C$3))/86400</s:f>
        <s:v>46247.52888888889</s:v>
      </s:c>
    </s:row>
    <s:row r="383">
      <s:c r="A383" s="0" t="n">
        <s:v>260813</s:v>
      </s:c>
      <s:c r="B383" s="0" t="inlineStr">
        <s:is>
          <s:t>이종훈</s:t>
        </s:is>
      </s:c>
      <s:c r="C383" s="0" t="n">
        <s:v>123517</s:v>
      </s:c>
      <s:c r="D383" s="0" t="n">
        <s:v>1897</s:v>
      </s:c>
      <s:c r="F383" s="24">
        <s:f>'자료구성'!$B$2+TIME(INT($C$3/10000),INT(MOD($C$3,10000)/100),MOD($C$3,100))+(ROW()-ROW($C$3))/86400</s:f>
        <s:v>46247.52890046296</s:v>
      </s:c>
    </s:row>
    <s:row r="384">
      <s:c r="A384" s="0" t="n">
        <s:v>260813</s:v>
      </s:c>
      <s:c r="B384" s="0" t="inlineStr">
        <s:is>
          <s:t>이종훈</s:t>
        </s:is>
      </s:c>
      <s:c r="C384" s="0" t="n">
        <s:v>123517</s:v>
      </s:c>
      <s:c r="D384" s="0" t="n">
        <s:v>1885</s:v>
      </s:c>
      <s:c r="F384" s="24">
        <s:f>'자료구성'!$B$2+TIME(INT($C$3/10000),INT(MOD($C$3,10000)/100),MOD($C$3,100))+(ROW()-ROW($C$3))/86400</s:f>
        <s:v>46247.528912037036</s:v>
      </s:c>
    </s:row>
    <s:row r="385">
      <s:c r="A385" s="0" t="n">
        <s:v>260813</s:v>
      </s:c>
      <s:c r="B385" s="0" t="inlineStr">
        <s:is>
          <s:t>이종훈</s:t>
        </s:is>
      </s:c>
      <s:c r="C385" s="0" t="n">
        <s:v>123517</s:v>
      </s:c>
      <s:c r="D385" s="0" t="n">
        <s:v>1869</s:v>
      </s:c>
      <s:c r="F385" s="24">
        <s:f>'자료구성'!$B$2+TIME(INT($C$3/10000),INT(MOD($C$3,10000)/100),MOD($C$3,100))+(ROW()-ROW($C$3))/86400</s:f>
        <s:v>46247.52892361111</s:v>
      </s:c>
    </s:row>
    <s:row r="386">
      <s:c r="A386" s="0" t="n">
        <s:v>260813</s:v>
      </s:c>
      <s:c r="B386" s="0" t="inlineStr">
        <s:is>
          <s:t>이종훈</s:t>
        </s:is>
      </s:c>
      <s:c r="C386" s="0" t="n">
        <s:v>123517</s:v>
      </s:c>
      <s:c r="D386" s="0" t="n">
        <s:v>1866</s:v>
      </s:c>
      <s:c r="F386" s="24">
        <s:f>'자료구성'!$B$2+TIME(INT($C$3/10000),INT(MOD($C$3,10000)/100),MOD($C$3,100))+(ROW()-ROW($C$3))/86400</s:f>
        <s:v>46247.52893518518</s:v>
      </s:c>
    </s:row>
    <s:row r="387">
      <s:c r="A387" s="0" t="n">
        <s:v>260813</s:v>
      </s:c>
      <s:c r="B387" s="0" t="inlineStr">
        <s:is>
          <s:t>이종훈</s:t>
        </s:is>
      </s:c>
      <s:c r="C387" s="0" t="n">
        <s:v>123517</s:v>
      </s:c>
      <s:c r="D387" s="0" t="n">
        <s:v>1871</s:v>
      </s:c>
      <s:c r="F387" s="24">
        <s:f>'자료구성'!$B$2+TIME(INT($C$3/10000),INT(MOD($C$3,10000)/100),MOD($C$3,100))+(ROW()-ROW($C$3))/86400</s:f>
        <s:v>46247.52894675926</s:v>
      </s:c>
    </s:row>
    <s:row r="388">
      <s:c r="A388" s="0" t="n">
        <s:v>260813</s:v>
      </s:c>
      <s:c r="B388" s="0" t="inlineStr">
        <s:is>
          <s:t>이종훈</s:t>
        </s:is>
      </s:c>
      <s:c r="C388" s="0" t="n">
        <s:v>123517</s:v>
      </s:c>
      <s:c r="D388" s="0" t="n">
        <s:v>1846</s:v>
      </s:c>
      <s:c r="F388" s="24">
        <s:f>'자료구성'!$B$2+TIME(INT($C$3/10000),INT(MOD($C$3,10000)/100),MOD($C$3,100))+(ROW()-ROW($C$3))/86400</s:f>
        <s:v>46247.528958333336</s:v>
      </s:c>
    </s:row>
    <s:row r="389">
      <s:c r="A389" s="0" t="n">
        <s:v>260813</s:v>
      </s:c>
      <s:c r="B389" s="0" t="inlineStr">
        <s:is>
          <s:t>이종훈</s:t>
        </s:is>
      </s:c>
      <s:c r="C389" s="0" t="n">
        <s:v>123517</s:v>
      </s:c>
      <s:c r="D389" s="0" t="n">
        <s:v>1838</s:v>
      </s:c>
      <s:c r="F389" s="24">
        <s:f>'자료구성'!$B$2+TIME(INT($C$3/10000),INT(MOD($C$3,10000)/100),MOD($C$3,100))+(ROW()-ROW($C$3))/86400</s:f>
        <s:v>46247.528969907406</s:v>
      </s:c>
    </s:row>
    <s:row r="390">
      <s:c r="A390" s="0" t="n">
        <s:v>260813</s:v>
      </s:c>
      <s:c r="B390" s="0" t="inlineStr">
        <s:is>
          <s:t>이종훈</s:t>
        </s:is>
      </s:c>
      <s:c r="C390" s="0" t="n">
        <s:v>123517</s:v>
      </s:c>
      <s:c r="D390" s="0" t="n">
        <s:v>1854</s:v>
      </s:c>
      <s:c r="F390" s="24">
        <s:f>'자료구성'!$B$2+TIME(INT($C$3/10000),INT(MOD($C$3,10000)/100),MOD($C$3,100))+(ROW()-ROW($C$3))/86400</s:f>
        <s:v>46247.52898148148</s:v>
      </s:c>
    </s:row>
    <s:row r="391">
      <s:c r="A391" s="0" t="n">
        <s:v>260813</s:v>
      </s:c>
      <s:c r="B391" s="0" t="inlineStr">
        <s:is>
          <s:t>이종훈</s:t>
        </s:is>
      </s:c>
      <s:c r="C391" s="0" t="n">
        <s:v>123517</s:v>
      </s:c>
      <s:c r="D391" s="0" t="n">
        <s:v>1899</s:v>
      </s:c>
      <s:c r="F391" s="24">
        <s:f>'자료구성'!$B$2+TIME(INT($C$3/10000),INT(MOD($C$3,10000)/100),MOD($C$3,100))+(ROW()-ROW($C$3))/86400</s:f>
        <s:v>46247.52899305556</s:v>
      </s:c>
    </s:row>
    <s:row r="392">
      <s:c r="A392" s="0" t="n">
        <s:v>260813</s:v>
      </s:c>
      <s:c r="B392" s="0" t="inlineStr">
        <s:is>
          <s:t>이종훈</s:t>
        </s:is>
      </s:c>
      <s:c r="C392" s="0" t="n">
        <s:v>123517</s:v>
      </s:c>
      <s:c r="D392" s="0" t="n">
        <s:v>1945</s:v>
      </s:c>
      <s:c r="F392" s="24">
        <s:f>'자료구성'!$B$2+TIME(INT($C$3/10000),INT(MOD($C$3,10000)/100),MOD($C$3,100))+(ROW()-ROW($C$3))/86400</s:f>
        <s:v>46247.52900462963</s:v>
      </s:c>
    </s:row>
    <s:row r="393">
      <s:c r="A393" s="0" t="n">
        <s:v>260813</s:v>
      </s:c>
      <s:c r="B393" s="0" t="inlineStr">
        <s:is>
          <s:t>이종훈</s:t>
        </s:is>
      </s:c>
      <s:c r="C393" s="0" t="n">
        <s:v>123517</s:v>
      </s:c>
      <s:c r="D393" s="0" t="n">
        <s:v>2001</s:v>
      </s:c>
      <s:c r="F393" s="24">
        <s:f>'자료구성'!$B$2+TIME(INT($C$3/10000),INT(MOD($C$3,10000)/100),MOD($C$3,100))+(ROW()-ROW($C$3))/86400</s:f>
        <s:v>46247.529016203705</s:v>
      </s:c>
    </s:row>
    <s:row r="394">
      <s:c r="A394" s="0" t="n">
        <s:v>260813</s:v>
      </s:c>
      <s:c r="B394" s="0" t="inlineStr">
        <s:is>
          <s:t>이종훈</s:t>
        </s:is>
      </s:c>
      <s:c r="C394" s="0" t="n">
        <s:v>123517</s:v>
      </s:c>
      <s:c r="D394" s="0" t="n">
        <s:v>2060</s:v>
      </s:c>
      <s:c r="F394" s="24">
        <s:f>'자료구성'!$B$2+TIME(INT($C$3/10000),INT(MOD($C$3,10000)/100),MOD($C$3,100))+(ROW()-ROW($C$3))/86400</s:f>
        <s:v>46247.529027777775</s:v>
      </s:c>
    </s:row>
    <s:row r="395">
      <s:c r="A395" s="0" t="n">
        <s:v>260813</s:v>
      </s:c>
      <s:c r="B395" s="0" t="inlineStr">
        <s:is>
          <s:t>이종훈</s:t>
        </s:is>
      </s:c>
      <s:c r="C395" s="0" t="n">
        <s:v>123517</s:v>
      </s:c>
      <s:c r="D395" s="0" t="n">
        <s:v>2102</s:v>
      </s:c>
      <s:c r="F395" s="24">
        <s:f>'자료구성'!$B$2+TIME(INT($C$3/10000),INT(MOD($C$3,10000)/100),MOD($C$3,100))+(ROW()-ROW($C$3))/86400</s:f>
        <s:v>46247.52903935185</s:v>
      </s:c>
    </s:row>
    <s:row r="396">
      <s:c r="A396" s="0" t="n">
        <s:v>260813</s:v>
      </s:c>
      <s:c r="B396" s="0" t="inlineStr">
        <s:is>
          <s:t>이종훈</s:t>
        </s:is>
      </s:c>
      <s:c r="C396" s="0" t="n">
        <s:v>123517</s:v>
      </s:c>
      <s:c r="D396" s="0" t="n">
        <s:v>2099</s:v>
      </s:c>
      <s:c r="F396" s="24">
        <s:f>'자료구성'!$B$2+TIME(INT($C$3/10000),INT(MOD($C$3,10000)/100),MOD($C$3,100))+(ROW()-ROW($C$3))/86400</s:f>
        <s:v>46247.52905092593</s:v>
      </s:c>
    </s:row>
    <s:row r="397">
      <s:c r="A397" s="0" t="n">
        <s:v>260813</s:v>
      </s:c>
      <s:c r="B397" s="0" t="inlineStr">
        <s:is>
          <s:t>이종훈</s:t>
        </s:is>
      </s:c>
      <s:c r="C397" s="0" t="n">
        <s:v>123517</s:v>
      </s:c>
      <s:c r="D397" s="0" t="n">
        <s:v>2102</s:v>
      </s:c>
      <s:c r="F397" s="24">
        <s:f>'자료구성'!$B$2+TIME(INT($C$3/10000),INT(MOD($C$3,10000)/100),MOD($C$3,100))+(ROW()-ROW($C$3))/86400</s:f>
        <s:v>46247.5290625</s:v>
      </s:c>
    </s:row>
    <s:row r="398">
      <s:c r="A398" s="0" t="n">
        <s:v>260813</s:v>
      </s:c>
      <s:c r="B398" s="0" t="inlineStr">
        <s:is>
          <s:t>이종훈</s:t>
        </s:is>
      </s:c>
      <s:c r="C398" s="0" t="n">
        <s:v>123517</s:v>
      </s:c>
      <s:c r="D398" s="0" t="n">
        <s:v>2117</s:v>
      </s:c>
      <s:c r="F398" s="24">
        <s:f>'자료구성'!$B$2+TIME(INT($C$3/10000),INT(MOD($C$3,10000)/100),MOD($C$3,100))+(ROW()-ROW($C$3))/86400</s:f>
        <s:v>46247.529074074075</s:v>
      </s:c>
    </s:row>
    <s:row r="399">
      <s:c r="A399" s="0" t="n">
        <s:v>260813</s:v>
      </s:c>
      <s:c r="B399" s="0" t="inlineStr">
        <s:is>
          <s:t>이종훈</s:t>
        </s:is>
      </s:c>
      <s:c r="C399" s="0" t="n">
        <s:v>123517</s:v>
      </s:c>
      <s:c r="D399" s="0" t="n">
        <s:v>2103</s:v>
      </s:c>
      <s:c r="F399" s="24">
        <s:f>'자료구성'!$B$2+TIME(INT($C$3/10000),INT(MOD($C$3,10000)/100),MOD($C$3,100))+(ROW()-ROW($C$3))/86400</s:f>
        <s:v>46247.52908564815</s:v>
      </s:c>
    </s:row>
    <s:row r="400">
      <s:c r="A400" s="0" t="n">
        <s:v>260813</s:v>
      </s:c>
      <s:c r="B400" s="0" t="inlineStr">
        <s:is>
          <s:t>이종훈</s:t>
        </s:is>
      </s:c>
      <s:c r="C400" s="0" t="n">
        <s:v>123517</s:v>
      </s:c>
      <s:c r="D400" s="0" t="n">
        <s:v>2101</s:v>
      </s:c>
      <s:c r="F400" s="24">
        <s:f>'자료구성'!$B$2+TIME(INT($C$3/10000),INT(MOD($C$3,10000)/100),MOD($C$3,100))+(ROW()-ROW($C$3))/86400</s:f>
        <s:v>46247.52909722222</s:v>
      </s:c>
    </s:row>
    <s:row r="401">
      <s:c r="A401" s="0" t="n">
        <s:v>260813</s:v>
      </s:c>
      <s:c r="B401" s="0" t="inlineStr">
        <s:is>
          <s:t>이종훈</s:t>
        </s:is>
      </s:c>
      <s:c r="C401" s="0" t="n">
        <s:v>123517</s:v>
      </s:c>
      <s:c r="D401" s="0" t="n">
        <s:v>2090</s:v>
      </s:c>
      <s:c r="F401" s="24">
        <s:f>'자료구성'!$B$2+TIME(INT($C$3/10000),INT(MOD($C$3,10000)/100),MOD($C$3,100))+(ROW()-ROW($C$3))/86400</s:f>
        <s:v>46247.5291087963</s:v>
      </s:c>
    </s:row>
    <s:row r="402">
      <s:c r="A402" s="0" t="n">
        <s:v>260813</s:v>
      </s:c>
      <s:c r="B402" s="0" t="inlineStr">
        <s:is>
          <s:t>이종훈</s:t>
        </s:is>
      </s:c>
      <s:c r="C402" s="0" t="n">
        <s:v>123517</s:v>
      </s:c>
      <s:c r="D402" s="0" t="n">
        <s:v>2058</s:v>
      </s:c>
      <s:c r="F402" s="24">
        <s:f>'자료구성'!$B$2+TIME(INT($C$3/10000),INT(MOD($C$3,10000)/100),MOD($C$3,100))+(ROW()-ROW($C$3))/86400</s:f>
        <s:v>46247.52912037037</s:v>
      </s:c>
    </s:row>
    <s:row r="403">
      <s:c r="A403" s="0" t="n">
        <s:v>260813</s:v>
      </s:c>
      <s:c r="B403" s="0" t="inlineStr">
        <s:is>
          <s:t>이종훈</s:t>
        </s:is>
      </s:c>
      <s:c r="C403" s="0" t="n">
        <s:v>123517</s:v>
      </s:c>
      <s:c r="D403" s="0" t="n">
        <s:v>2028</s:v>
      </s:c>
      <s:c r="F403" s="24">
        <s:f>'자료구성'!$B$2+TIME(INT($C$3/10000),INT(MOD($C$3,10000)/100),MOD($C$3,100))+(ROW()-ROW($C$3))/86400</s:f>
        <s:v>46247.529131944444</s:v>
      </s:c>
    </s:row>
    <s:row r="404">
      <s:c r="A404" s="0" t="n">
        <s:v>260813</s:v>
      </s:c>
      <s:c r="B404" s="0" t="inlineStr">
        <s:is>
          <s:t>이종훈</s:t>
        </s:is>
      </s:c>
      <s:c r="C404" s="0" t="n">
        <s:v>123517</s:v>
      </s:c>
      <s:c r="D404" s="0" t="n">
        <s:v>2024</s:v>
      </s:c>
      <s:c r="F404" s="24">
        <s:f>'자료구성'!$B$2+TIME(INT($C$3/10000),INT(MOD($C$3,10000)/100),MOD($C$3,100))+(ROW()-ROW($C$3))/86400</s:f>
        <s:v>46247.52914351852</s:v>
      </s:c>
    </s:row>
    <s:row r="405">
      <s:c r="A405" s="0" t="n">
        <s:v>260813</s:v>
      </s:c>
      <s:c r="B405" s="0" t="inlineStr">
        <s:is>
          <s:t>이종훈</s:t>
        </s:is>
      </s:c>
      <s:c r="C405" s="0" t="n">
        <s:v>123517</s:v>
      </s:c>
      <s:c r="D405" s="0" t="n">
        <s:v>2007</s:v>
      </s:c>
      <s:c r="F405" s="24">
        <s:f>'자료구성'!$B$2+TIME(INT($C$3/10000),INT(MOD($C$3,10000)/100),MOD($C$3,100))+(ROW()-ROW($C$3))/86400</s:f>
        <s:v>46247.52915509259</s:v>
      </s:c>
    </s:row>
    <s:row r="406">
      <s:c r="A406" s="0" t="n">
        <s:v>260813</s:v>
      </s:c>
      <s:c r="B406" s="0" t="inlineStr">
        <s:is>
          <s:t>이종훈</s:t>
        </s:is>
      </s:c>
      <s:c r="C406" s="0" t="n">
        <s:v>123517</s:v>
      </s:c>
      <s:c r="D406" s="0" t="n">
        <s:v>1986</s:v>
      </s:c>
      <s:c r="F406" s="24">
        <s:f>'자료구성'!$B$2+TIME(INT($C$3/10000),INT(MOD($C$3,10000)/100),MOD($C$3,100))+(ROW()-ROW($C$3))/86400</s:f>
        <s:v>46247.52916666667</s:v>
      </s:c>
    </s:row>
    <s:row r="407">
      <s:c r="A407" s="0" t="n">
        <s:v>260813</s:v>
      </s:c>
      <s:c r="B407" s="0" t="inlineStr">
        <s:is>
          <s:t>이종훈</s:t>
        </s:is>
      </s:c>
      <s:c r="C407" s="0" t="n">
        <s:v>123517</s:v>
      </s:c>
      <s:c r="D407" s="0" t="n">
        <s:v>1981</s:v>
      </s:c>
      <s:c r="F407" s="24">
        <s:f>'자료구성'!$B$2+TIME(INT($C$3/10000),INT(MOD($C$3,10000)/100),MOD($C$3,100))+(ROW()-ROW($C$3))/86400</s:f>
        <s:v>46247.529178240744</s:v>
      </s:c>
    </s:row>
    <s:row r="408">
      <s:c r="A408" s="0" t="n">
        <s:v>260813</s:v>
      </s:c>
      <s:c r="B408" s="0" t="inlineStr">
        <s:is>
          <s:t>이종훈</s:t>
        </s:is>
      </s:c>
      <s:c r="C408" s="0" t="n">
        <s:v>123517</s:v>
      </s:c>
      <s:c r="D408" s="0" t="n">
        <s:v>1995</s:v>
      </s:c>
      <s:c r="F408" s="24">
        <s:f>'자료구성'!$B$2+TIME(INT($C$3/10000),INT(MOD($C$3,10000)/100),MOD($C$3,100))+(ROW()-ROW($C$3))/86400</s:f>
        <s:v>46247.52918981481</s:v>
      </s:c>
    </s:row>
    <s:row r="409">
      <s:c r="A409" s="0" t="n">
        <s:v>260813</s:v>
      </s:c>
      <s:c r="B409" s="0" t="inlineStr">
        <s:is>
          <s:t>이종훈</s:t>
        </s:is>
      </s:c>
      <s:c r="C409" s="0" t="n">
        <s:v>123517</s:v>
      </s:c>
      <s:c r="D409" s="0" t="n">
        <s:v>2015</s:v>
      </s:c>
      <s:c r="F409" s="24">
        <s:f>'자료구성'!$B$2+TIME(INT($C$3/10000),INT(MOD($C$3,10000)/100),MOD($C$3,100))+(ROW()-ROW($C$3))/86400</s:f>
        <s:v>46247.52920138889</s:v>
      </s:c>
    </s:row>
    <s:row r="410">
      <s:c r="A410" s="0" t="n">
        <s:v>260813</s:v>
      </s:c>
      <s:c r="B410" s="0" t="inlineStr">
        <s:is>
          <s:t>이종훈</s:t>
        </s:is>
      </s:c>
      <s:c r="C410" s="0" t="n">
        <s:v>123517</s:v>
      </s:c>
      <s:c r="D410" s="0" t="n">
        <s:v>2010</s:v>
      </s:c>
      <s:c r="F410" s="24">
        <s:f>'자료구성'!$B$2+TIME(INT($C$3/10000),INT(MOD($C$3,10000)/100),MOD($C$3,100))+(ROW()-ROW($C$3))/86400</s:f>
        <s:v>46247.52921296296</s:v>
      </s:c>
    </s:row>
    <s:row r="411">
      <s:c r="A411" s="0" t="n">
        <s:v>260813</s:v>
      </s:c>
      <s:c r="B411" s="0" t="inlineStr">
        <s:is>
          <s:t>이종훈</s:t>
        </s:is>
      </s:c>
      <s:c r="C411" s="0" t="n">
        <s:v>123517</s:v>
      </s:c>
      <s:c r="D411" s="0" t="n">
        <s:v>2006</s:v>
      </s:c>
      <s:c r="F411" s="24">
        <s:f>'자료구성'!$B$2+TIME(INT($C$3/10000),INT(MOD($C$3,10000)/100),MOD($C$3,100))+(ROW()-ROW($C$3))/86400</s:f>
        <s:v>46247.52922453704</s:v>
      </s:c>
    </s:row>
    <s:row r="412">
      <s:c r="A412" s="0" t="n">
        <s:v>260813</s:v>
      </s:c>
      <s:c r="B412" s="0" t="inlineStr">
        <s:is>
          <s:t>이종훈</s:t>
        </s:is>
      </s:c>
      <s:c r="C412" s="0" t="n">
        <s:v>123517</s:v>
      </s:c>
      <s:c r="D412" s="0" t="n">
        <s:v>2053</s:v>
      </s:c>
      <s:c r="F412" s="24">
        <s:f>'자료구성'!$B$2+TIME(INT($C$3/10000),INT(MOD($C$3,10000)/100),MOD($C$3,100))+(ROW()-ROW($C$3))/86400</s:f>
        <s:v>46247.52923611111</s:v>
      </s:c>
    </s:row>
    <s:row r="413">
      <s:c r="A413" s="0" t="n">
        <s:v>260813</s:v>
      </s:c>
      <s:c r="B413" s="0" t="inlineStr">
        <s:is>
          <s:t>이종훈</s:t>
        </s:is>
      </s:c>
      <s:c r="C413" s="0" t="n">
        <s:v>123517</s:v>
      </s:c>
      <s:c r="D413" s="0" t="n">
        <s:v>2162</s:v>
      </s:c>
      <s:c r="F413" s="24">
        <s:f>'자료구성'!$B$2+TIME(INT($C$3/10000),INT(MOD($C$3,10000)/100),MOD($C$3,100))+(ROW()-ROW($C$3))/86400</s:f>
        <s:v>46247.52924768518</s:v>
      </s:c>
    </s:row>
    <s:row r="414">
      <s:c r="A414" s="0" t="n">
        <s:v>260813</s:v>
      </s:c>
      <s:c r="B414" s="0" t="inlineStr">
        <s:is>
          <s:t>이종훈</s:t>
        </s:is>
      </s:c>
      <s:c r="C414" s="0" t="n">
        <s:v>123517</s:v>
      </s:c>
      <s:c r="D414" s="0" t="n">
        <s:v>2192</s:v>
      </s:c>
      <s:c r="F414" s="24">
        <s:f>'자료구성'!$B$2+TIME(INT($C$3/10000),INT(MOD($C$3,10000)/100),MOD($C$3,100))+(ROW()-ROW($C$3))/86400</s:f>
        <s:v>46247.52925925926</s:v>
      </s:c>
    </s:row>
    <s:row r="415">
      <s:c r="A415" s="0" t="n">
        <s:v>260813</s:v>
      </s:c>
      <s:c r="B415" s="0" t="inlineStr">
        <s:is>
          <s:t>이종훈</s:t>
        </s:is>
      </s:c>
      <s:c r="C415" s="0" t="n">
        <s:v>123517</s:v>
      </s:c>
      <s:c r="D415" s="0" t="n">
        <s:v>2185</s:v>
      </s:c>
      <s:c r="F415" s="24">
        <s:f>'자료구성'!$B$2+TIME(INT($C$3/10000),INT(MOD($C$3,10000)/100),MOD($C$3,100))+(ROW()-ROW($C$3))/86400</s:f>
        <s:v>46247.529270833336</s:v>
      </s:c>
    </s:row>
    <s:row r="416">
      <s:c r="A416" s="0" t="n">
        <s:v>260813</s:v>
      </s:c>
      <s:c r="B416" s="0" t="inlineStr">
        <s:is>
          <s:t>이종훈</s:t>
        </s:is>
      </s:c>
      <s:c r="C416" s="0" t="n">
        <s:v>123517</s:v>
      </s:c>
      <s:c r="D416" s="0" t="n">
        <s:v>2171</s:v>
      </s:c>
      <s:c r="F416" s="24">
        <s:f>'자료구성'!$B$2+TIME(INT($C$3/10000),INT(MOD($C$3,10000)/100),MOD($C$3,100))+(ROW()-ROW($C$3))/86400</s:f>
        <s:v>46247.529282407406</s:v>
      </s:c>
    </s:row>
    <s:row r="417">
      <s:c r="A417" s="0" t="n">
        <s:v>260813</s:v>
      </s:c>
      <s:c r="B417" s="0" t="inlineStr">
        <s:is>
          <s:t>이종훈</s:t>
        </s:is>
      </s:c>
      <s:c r="C417" s="0" t="n">
        <s:v>123517</s:v>
      </s:c>
      <s:c r="D417" s="0" t="n">
        <s:v>2139</s:v>
      </s:c>
      <s:c r="F417" s="24">
        <s:f>'자료구성'!$B$2+TIME(INT($C$3/10000),INT(MOD($C$3,10000)/100),MOD($C$3,100))+(ROW()-ROW($C$3))/86400</s:f>
        <s:v>46247.52929398148</s:v>
      </s:c>
    </s:row>
    <s:row r="418">
      <s:c r="A418" s="0" t="n">
        <s:v>260813</s:v>
      </s:c>
      <s:c r="B418" s="0" t="inlineStr">
        <s:is>
          <s:t>이종훈</s:t>
        </s:is>
      </s:c>
      <s:c r="C418" s="0" t="n">
        <s:v>123517</s:v>
      </s:c>
      <s:c r="D418" s="0" t="n">
        <s:v>2124</s:v>
      </s:c>
      <s:c r="F418" s="24">
        <s:f>'자료구성'!$B$2+TIME(INT($C$3/10000),INT(MOD($C$3,10000)/100),MOD($C$3,100))+(ROW()-ROW($C$3))/86400</s:f>
        <s:v>46247.52930555555</s:v>
      </s:c>
    </s:row>
    <s:row r="419">
      <s:c r="A419" s="0" t="n">
        <s:v>260813</s:v>
      </s:c>
      <s:c r="B419" s="0" t="inlineStr">
        <s:is>
          <s:t>이종훈</s:t>
        </s:is>
      </s:c>
      <s:c r="C419" s="0" t="n">
        <s:v>123517</s:v>
      </s:c>
      <s:c r="D419" s="0" t="n">
        <s:v>2094</s:v>
      </s:c>
      <s:c r="F419" s="24">
        <s:f>'자료구성'!$B$2+TIME(INT($C$3/10000),INT(MOD($C$3,10000)/100),MOD($C$3,100))+(ROW()-ROW($C$3))/86400</s:f>
        <s:v>46247.52931712963</s:v>
      </s:c>
    </s:row>
    <s:row r="420">
      <s:c r="A420" s="0" t="n">
        <s:v>260813</s:v>
      </s:c>
      <s:c r="B420" s="0" t="inlineStr">
        <s:is>
          <s:t>이종훈</s:t>
        </s:is>
      </s:c>
      <s:c r="C420" s="0" t="n">
        <s:v>123517</s:v>
      </s:c>
      <s:c r="D420" s="0" t="n">
        <s:v>2089</s:v>
      </s:c>
      <s:c r="F420" s="24">
        <s:f>'자료구성'!$B$2+TIME(INT($C$3/10000),INT(MOD($C$3,10000)/100),MOD($C$3,100))+(ROW()-ROW($C$3))/86400</s:f>
        <s:v>46247.529328703706</s:v>
      </s:c>
    </s:row>
    <s:row r="421">
      <s:c r="A421" s="0" t="n">
        <s:v>260813</s:v>
      </s:c>
      <s:c r="B421" s="0" t="inlineStr">
        <s:is>
          <s:t>이종훈</s:t>
        </s:is>
      </s:c>
      <s:c r="C421" s="0" t="n">
        <s:v>123517</s:v>
      </s:c>
      <s:c r="D421" s="0" t="n">
        <s:v>2077</s:v>
      </s:c>
      <s:c r="F421" s="24">
        <s:f>'자료구성'!$B$2+TIME(INT($C$3/10000),INT(MOD($C$3,10000)/100),MOD($C$3,100))+(ROW()-ROW($C$3))/86400</s:f>
        <s:v>46247.529340277775</s:v>
      </s:c>
    </s:row>
    <s:row r="422">
      <s:c r="A422" s="0" t="n">
        <s:v>260813</s:v>
      </s:c>
      <s:c r="B422" s="0" t="inlineStr">
        <s:is>
          <s:t>이종훈</s:t>
        </s:is>
      </s:c>
      <s:c r="C422" s="0" t="n">
        <s:v>123517</s:v>
      </s:c>
      <s:c r="D422" s="0" t="n">
        <s:v>2082</s:v>
      </s:c>
      <s:c r="F422" s="24">
        <s:f>'자료구성'!$B$2+TIME(INT($C$3/10000),INT(MOD($C$3,10000)/100),MOD($C$3,100))+(ROW()-ROW($C$3))/86400</s:f>
        <s:v>46247.52935185185</s:v>
      </s:c>
    </s:row>
    <s:row r="423">
      <s:c r="A423" s="0" t="n">
        <s:v>260813</s:v>
      </s:c>
      <s:c r="B423" s="0" t="inlineStr">
        <s:is>
          <s:t>이종훈</s:t>
        </s:is>
      </s:c>
      <s:c r="C423" s="0" t="n">
        <s:v>123517</s:v>
      </s:c>
      <s:c r="D423" s="0" t="n">
        <s:v>2120</s:v>
      </s:c>
      <s:c r="F423" s="24">
        <s:f>'자료구성'!$B$2+TIME(INT($C$3/10000),INT(MOD($C$3,10000)/100),MOD($C$3,100))+(ROW()-ROW($C$3))/86400</s:f>
        <s:v>46247.52936342593</s:v>
      </s:c>
    </s:row>
    <s:row r="424">
      <s:c r="A424" s="0" t="n">
        <s:v>260813</s:v>
      </s:c>
      <s:c r="B424" s="0" t="inlineStr">
        <s:is>
          <s:t>이종훈</s:t>
        </s:is>
      </s:c>
      <s:c r="C424" s="0" t="n">
        <s:v>123517</s:v>
      </s:c>
      <s:c r="D424" s="0" t="n">
        <s:v>2101</s:v>
      </s:c>
      <s:c r="F424" s="24">
        <s:f>'자료구성'!$B$2+TIME(INT($C$3/10000),INT(MOD($C$3,10000)/100),MOD($C$3,100))+(ROW()-ROW($C$3))/86400</s:f>
        <s:v>46247.529375</s:v>
      </s:c>
    </s:row>
    <s:row r="425">
      <s:c r="A425" s="0" t="n">
        <s:v>260813</s:v>
      </s:c>
      <s:c r="B425" s="0" t="inlineStr">
        <s:is>
          <s:t>이종훈</s:t>
        </s:is>
      </s:c>
      <s:c r="C425" s="0" t="n">
        <s:v>123517</s:v>
      </s:c>
      <s:c r="D425" s="0" t="n">
        <s:v>2070</s:v>
      </s:c>
      <s:c r="F425" s="24">
        <s:f>'자료구성'!$B$2+TIME(INT($C$3/10000),INT(MOD($C$3,10000)/100),MOD($C$3,100))+(ROW()-ROW($C$3))/86400</s:f>
        <s:v>46247.529386574075</s:v>
      </s:c>
    </s:row>
    <s:row r="426">
      <s:c r="A426" s="0" t="n">
        <s:v>260813</s:v>
      </s:c>
      <s:c r="B426" s="0" t="inlineStr">
        <s:is>
          <s:t>이종훈</s:t>
        </s:is>
      </s:c>
      <s:c r="C426" s="0" t="n">
        <s:v>123517</s:v>
      </s:c>
      <s:c r="D426" s="0" t="n">
        <s:v>2065</s:v>
      </s:c>
      <s:c r="F426" s="24">
        <s:f>'자료구성'!$B$2+TIME(INT($C$3/10000),INT(MOD($C$3,10000)/100),MOD($C$3,100))+(ROW()-ROW($C$3))/86400</s:f>
        <s:v>46247.529398148145</s:v>
      </s:c>
    </s:row>
    <s:row r="427">
      <s:c r="A427" s="0" t="n">
        <s:v>260813</s:v>
      </s:c>
      <s:c r="B427" s="0" t="inlineStr">
        <s:is>
          <s:t>이종훈</s:t>
        </s:is>
      </s:c>
      <s:c r="C427" s="0" t="n">
        <s:v>123517</s:v>
      </s:c>
      <s:c r="D427" s="0" t="n">
        <s:v>2052</s:v>
      </s:c>
      <s:c r="F427" s="24">
        <s:f>'자료구성'!$B$2+TIME(INT($C$3/10000),INT(MOD($C$3,10000)/100),MOD($C$3,100))+(ROW()-ROW($C$3))/86400</s:f>
        <s:v>46247.52940972222</s:v>
      </s:c>
    </s:row>
    <s:row r="428">
      <s:c r="A428" s="0" t="n">
        <s:v>260813</s:v>
      </s:c>
      <s:c r="B428" s="0" t="inlineStr">
        <s:is>
          <s:t>이종훈</s:t>
        </s:is>
      </s:c>
      <s:c r="C428" s="0" t="n">
        <s:v>123517</s:v>
      </s:c>
      <s:c r="D428" s="0" t="n">
        <s:v>2027</s:v>
      </s:c>
      <s:c r="F428" s="24">
        <s:f>'자료구성'!$B$2+TIME(INT($C$3/10000),INT(MOD($C$3,10000)/100),MOD($C$3,100))+(ROW()-ROW($C$3))/86400</s:f>
        <s:v>46247.5294212963</s:v>
      </s:c>
    </s:row>
    <s:row r="429">
      <s:c r="A429" s="0" t="n">
        <s:v>260813</s:v>
      </s:c>
      <s:c r="B429" s="0" t="inlineStr">
        <s:is>
          <s:t>이종훈</s:t>
        </s:is>
      </s:c>
      <s:c r="C429" s="0" t="n">
        <s:v>123517</s:v>
      </s:c>
      <s:c r="D429" s="0" t="n">
        <s:v>2033</s:v>
      </s:c>
      <s:c r="F429" s="24">
        <s:f>'자료구성'!$B$2+TIME(INT($C$3/10000),INT(MOD($C$3,10000)/100),MOD($C$3,100))+(ROW()-ROW($C$3))/86400</s:f>
        <s:v>46247.52943287037</s:v>
      </s:c>
    </s:row>
    <s:row r="430">
      <s:c r="A430" s="0" t="n">
        <s:v>260813</s:v>
      </s:c>
      <s:c r="B430" s="0" t="inlineStr">
        <s:is>
          <s:t>이종훈</s:t>
        </s:is>
      </s:c>
      <s:c r="C430" s="0" t="n">
        <s:v>123517</s:v>
      </s:c>
      <s:c r="D430" s="0" t="n">
        <s:v>2056</s:v>
      </s:c>
      <s:c r="F430" s="24">
        <s:f>'자료구성'!$B$2+TIME(INT($C$3/10000),INT(MOD($C$3,10000)/100),MOD($C$3,100))+(ROW()-ROW($C$3))/86400</s:f>
        <s:v>46247.529444444444</s:v>
      </s:c>
    </s:row>
    <s:row r="431">
      <s:c r="A431" s="0" t="n">
        <s:v>260813</s:v>
      </s:c>
      <s:c r="B431" s="0" t="inlineStr">
        <s:is>
          <s:t>이종훈</s:t>
        </s:is>
      </s:c>
      <s:c r="C431" s="0" t="n">
        <s:v>123517</s:v>
      </s:c>
      <s:c r="D431" s="0" t="n">
        <s:v>2076</s:v>
      </s:c>
      <s:c r="F431" s="24">
        <s:f>'자료구성'!$B$2+TIME(INT($C$3/10000),INT(MOD($C$3,10000)/100),MOD($C$3,100))+(ROW()-ROW($C$3))/86400</s:f>
        <s:v>46247.52945601852</s:v>
      </s:c>
    </s:row>
    <s:row r="432">
      <s:c r="A432" s="0" t="n">
        <s:v>260813</s:v>
      </s:c>
      <s:c r="B432" s="0" t="inlineStr">
        <s:is>
          <s:t>이종훈</s:t>
        </s:is>
      </s:c>
      <s:c r="C432" s="0" t="n">
        <s:v>123517</s:v>
      </s:c>
      <s:c r="D432" s="0" t="n">
        <s:v>2140</s:v>
      </s:c>
      <s:c r="F432" s="24">
        <s:f>'자료구성'!$B$2+TIME(INT($C$3/10000),INT(MOD($C$3,10000)/100),MOD($C$3,100))+(ROW()-ROW($C$3))/86400</s:f>
        <s:v>46247.52946759259</s:v>
      </s:c>
    </s:row>
    <s:row r="433">
      <s:c r="A433" s="0" t="n">
        <s:v>260813</s:v>
      </s:c>
      <s:c r="B433" s="0" t="inlineStr">
        <s:is>
          <s:t>이종훈</s:t>
        </s:is>
      </s:c>
      <s:c r="C433" s="0" t="n">
        <s:v>123517</s:v>
      </s:c>
      <s:c r="D433" s="0" t="n">
        <s:v>2204</s:v>
      </s:c>
      <s:c r="F433" s="24">
        <s:f>'자료구성'!$B$2+TIME(INT($C$3/10000),INT(MOD($C$3,10000)/100),MOD($C$3,100))+(ROW()-ROW($C$3))/86400</s:f>
        <s:v>46247.52947916667</s:v>
      </s:c>
    </s:row>
    <s:row r="434">
      <s:c r="A434" s="0" t="n">
        <s:v>260813</s:v>
      </s:c>
      <s:c r="B434" s="0" t="inlineStr">
        <s:is>
          <s:t>이종훈</s:t>
        </s:is>
      </s:c>
      <s:c r="C434" s="0" t="n">
        <s:v>123517</s:v>
      </s:c>
      <s:c r="D434" s="0" t="n">
        <s:v>2246</s:v>
      </s:c>
      <s:c r="F434" s="24">
        <s:f>'자료구성'!$B$2+TIME(INT($C$3/10000),INT(MOD($C$3,10000)/100),MOD($C$3,100))+(ROW()-ROW($C$3))/86400</s:f>
        <s:v>46247.529490740744</s:v>
      </s:c>
    </s:row>
    <s:row r="435">
      <s:c r="A435" s="0" t="n">
        <s:v>260813</s:v>
      </s:c>
      <s:c r="B435" s="0" t="inlineStr">
        <s:is>
          <s:t>이종훈</s:t>
        </s:is>
      </s:c>
      <s:c r="C435" s="0" t="n">
        <s:v>123517</s:v>
      </s:c>
      <s:c r="D435" s="0" t="n">
        <s:v>2286</s:v>
      </s:c>
      <s:c r="F435" s="24">
        <s:f>'자료구성'!$B$2+TIME(INT($C$3/10000),INT(MOD($C$3,10000)/100),MOD($C$3,100))+(ROW()-ROW($C$3))/86400</s:f>
        <s:v>46247.529502314814</s:v>
      </s:c>
    </s:row>
    <s:row r="436">
      <s:c r="A436" s="0" t="n">
        <s:v>260813</s:v>
      </s:c>
      <s:c r="B436" s="0" t="inlineStr">
        <s:is>
          <s:t>이종훈</s:t>
        </s:is>
      </s:c>
      <s:c r="C436" s="0" t="n">
        <s:v>123517</s:v>
      </s:c>
      <s:c r="D436" s="0" t="n">
        <s:v>2325</s:v>
      </s:c>
      <s:c r="F436" s="24">
        <s:f>'자료구성'!$B$2+TIME(INT($C$3/10000),INT(MOD($C$3,10000)/100),MOD($C$3,100))+(ROW()-ROW($C$3))/86400</s:f>
        <s:v>46247.52951388889</s:v>
      </s:c>
    </s:row>
    <s:row r="437">
      <s:c r="A437" s="0" t="n">
        <s:v>260813</s:v>
      </s:c>
      <s:c r="B437" s="0" t="inlineStr">
        <s:is>
          <s:t>이종훈</s:t>
        </s:is>
      </s:c>
      <s:c r="C437" s="0" t="n">
        <s:v>123517</s:v>
      </s:c>
      <s:c r="D437" s="0" t="n">
        <s:v>2337</s:v>
      </s:c>
      <s:c r="F437" s="24">
        <s:f>'자료구성'!$B$2+TIME(INT($C$3/10000),INT(MOD($C$3,10000)/100),MOD($C$3,100))+(ROW()-ROW($C$3))/86400</s:f>
        <s:v>46247.52952546296</s:v>
      </s:c>
    </s:row>
    <s:row r="438">
      <s:c r="A438" s="0" t="n">
        <s:v>260813</s:v>
      </s:c>
      <s:c r="B438" s="0" t="inlineStr">
        <s:is>
          <s:t>이종훈</s:t>
        </s:is>
      </s:c>
      <s:c r="C438" s="0" t="n">
        <s:v>123517</s:v>
      </s:c>
      <s:c r="D438" s="0" t="n">
        <s:v>2370</s:v>
      </s:c>
      <s:c r="F438" s="24">
        <s:f>'자료구성'!$B$2+TIME(INT($C$3/10000),INT(MOD($C$3,10000)/100),MOD($C$3,100))+(ROW()-ROW($C$3))/86400</s:f>
        <s:v>46247.52953703704</s:v>
      </s:c>
    </s:row>
    <s:row r="439">
      <s:c r="A439" s="0" t="n">
        <s:v>260813</s:v>
      </s:c>
      <s:c r="B439" s="0" t="inlineStr">
        <s:is>
          <s:t>이종훈</s:t>
        </s:is>
      </s:c>
      <s:c r="C439" s="0" t="n">
        <s:v>123517</s:v>
      </s:c>
      <s:c r="D439" s="0" t="n">
        <s:v>2417</s:v>
      </s:c>
      <s:c r="F439" s="24">
        <s:f>'자료구성'!$B$2+TIME(INT($C$3/10000),INT(MOD($C$3,10000)/100),MOD($C$3,100))+(ROW()-ROW($C$3))/86400</s:f>
        <s:v>46247.52954861111</s:v>
      </s:c>
    </s:row>
    <s:row r="440">
      <s:c r="A440" s="0" t="n">
        <s:v>260813</s:v>
      </s:c>
      <s:c r="B440" s="0" t="inlineStr">
        <s:is>
          <s:t>이종훈</s:t>
        </s:is>
      </s:c>
      <s:c r="C440" s="0" t="n">
        <s:v>123517</s:v>
      </s:c>
      <s:c r="D440" s="0" t="n">
        <s:v>2474</s:v>
      </s:c>
      <s:c r="F440" s="24">
        <s:f>'자료구성'!$B$2+TIME(INT($C$3/10000),INT(MOD($C$3,10000)/100),MOD($C$3,100))+(ROW()-ROW($C$3))/86400</s:f>
        <s:v>46247.52956018518</s:v>
      </s:c>
    </s:row>
    <s:row r="441">
      <s:c r="A441" s="0" t="n">
        <s:v>260813</s:v>
      </s:c>
      <s:c r="B441" s="0" t="inlineStr">
        <s:is>
          <s:t>이종훈</s:t>
        </s:is>
      </s:c>
      <s:c r="C441" s="0" t="n">
        <s:v>123517</s:v>
      </s:c>
      <s:c r="D441" s="0" t="n">
        <s:v>2562</s:v>
      </s:c>
      <s:c r="F441" s="24">
        <s:f>'자료구성'!$B$2+TIME(INT($C$3/10000),INT(MOD($C$3,10000)/100),MOD($C$3,100))+(ROW()-ROW($C$3))/86400</s:f>
        <s:v>46247.52957175926</s:v>
      </s:c>
    </s:row>
    <s:row r="442">
      <s:c r="A442" s="0" t="n">
        <s:v>260813</s:v>
      </s:c>
      <s:c r="B442" s="0" t="inlineStr">
        <s:is>
          <s:t>이종훈</s:t>
        </s:is>
      </s:c>
      <s:c r="C442" s="0" t="n">
        <s:v>123517</s:v>
      </s:c>
      <s:c r="D442" s="0" t="n">
        <s:v>2667</s:v>
      </s:c>
      <s:c r="F442" s="24">
        <s:f>'자료구성'!$B$2+TIME(INT($C$3/10000),INT(MOD($C$3,10000)/100),MOD($C$3,100))+(ROW()-ROW($C$3))/86400</s:f>
        <s:v>46247.52958333334</s:v>
      </s:c>
    </s:row>
    <s:row r="443">
      <s:c r="A443" s="0" t="n">
        <s:v>260813</s:v>
      </s:c>
      <s:c r="B443" s="0" t="inlineStr">
        <s:is>
          <s:t>이종훈</s:t>
        </s:is>
      </s:c>
      <s:c r="C443" s="0" t="n">
        <s:v>123517</s:v>
      </s:c>
      <s:c r="D443" s="0" t="n">
        <s:v>2739</s:v>
      </s:c>
      <s:c r="F443" s="24">
        <s:f>'자료구성'!$B$2+TIME(INT($C$3/10000),INT(MOD($C$3,10000)/100),MOD($C$3,100))+(ROW()-ROW($C$3))/86400</s:f>
        <s:v>46247.529594907406</s:v>
      </s:c>
    </s:row>
    <s:row r="444">
      <s:c r="A444" s="0" t="n">
        <s:v>260813</s:v>
      </s:c>
      <s:c r="B444" s="0" t="inlineStr">
        <s:is>
          <s:t>이종훈</s:t>
        </s:is>
      </s:c>
      <s:c r="C444" s="0" t="n">
        <s:v>123517</s:v>
      </s:c>
      <s:c r="D444" s="0" t="n">
        <s:v>2790</s:v>
      </s:c>
      <s:c r="F444" s="24">
        <s:f>'자료구성'!$B$2+TIME(INT($C$3/10000),INT(MOD($C$3,10000)/100),MOD($C$3,100))+(ROW()-ROW($C$3))/86400</s:f>
        <s:v>46247.52960648148</s:v>
      </s:c>
    </s:row>
    <s:row r="445">
      <s:c r="A445" s="0" t="n">
        <s:v>260813</s:v>
      </s:c>
      <s:c r="B445" s="0" t="inlineStr">
        <s:is>
          <s:t>이종훈</s:t>
        </s:is>
      </s:c>
      <s:c r="C445" s="0" t="n">
        <s:v>123517</s:v>
      </s:c>
      <s:c r="D445" s="0" t="n">
        <s:v>2871</s:v>
      </s:c>
      <s:c r="F445" s="24">
        <s:f>'자료구성'!$B$2+TIME(INT($C$3/10000),INT(MOD($C$3,10000)/100),MOD($C$3,100))+(ROW()-ROW($C$3))/86400</s:f>
        <s:v>46247.52961805555</s:v>
      </s:c>
    </s:row>
    <s:row r="446">
      <s:c r="A446" s="0" t="n">
        <s:v>260813</s:v>
      </s:c>
      <s:c r="B446" s="0" t="inlineStr">
        <s:is>
          <s:t>이종훈</s:t>
        </s:is>
      </s:c>
      <s:c r="C446" s="0" t="n">
        <s:v>123517</s:v>
      </s:c>
      <s:c r="D446" s="0" t="n">
        <s:v>2947</s:v>
      </s:c>
      <s:c r="F446" s="24">
        <s:f>'자료구성'!$B$2+TIME(INT($C$3/10000),INT(MOD($C$3,10000)/100),MOD($C$3,100))+(ROW()-ROW($C$3))/86400</s:f>
        <s:v>46247.52962962963</s:v>
      </s:c>
    </s:row>
    <s:row r="447">
      <s:c r="A447" s="0" t="n">
        <s:v>260813</s:v>
      </s:c>
      <s:c r="B447" s="0" t="inlineStr">
        <s:is>
          <s:t>이종훈</s:t>
        </s:is>
      </s:c>
      <s:c r="C447" s="0" t="n">
        <s:v>123517</s:v>
      </s:c>
      <s:c r="D447" s="0" t="n">
        <s:v>3053</s:v>
      </s:c>
      <s:c r="F447" s="24">
        <s:f>'자료구성'!$B$2+TIME(INT($C$3/10000),INT(MOD($C$3,10000)/100),MOD($C$3,100))+(ROW()-ROW($C$3))/86400</s:f>
        <s:v>46247.529641203706</s:v>
      </s:c>
    </s:row>
    <s:row r="448">
      <s:c r="A448" s="0" t="n">
        <s:v>260813</s:v>
      </s:c>
      <s:c r="B448" s="0" t="inlineStr">
        <s:is>
          <s:t>이종훈</s:t>
        </s:is>
      </s:c>
      <s:c r="C448" s="0" t="n">
        <s:v>123517</s:v>
      </s:c>
      <s:c r="D448" s="0" t="n">
        <s:v>3178</s:v>
      </s:c>
      <s:c r="F448" s="24">
        <s:f>'자료구성'!$B$2+TIME(INT($C$3/10000),INT(MOD($C$3,10000)/100),MOD($C$3,100))+(ROW()-ROW($C$3))/86400</s:f>
        <s:v>46247.529652777775</s:v>
      </s:c>
    </s:row>
    <s:row r="449">
      <s:c r="A449" s="0" t="n">
        <s:v>260813</s:v>
      </s:c>
      <s:c r="B449" s="0" t="inlineStr">
        <s:is>
          <s:t>이종훈</s:t>
        </s:is>
      </s:c>
      <s:c r="C449" s="0" t="n">
        <s:v>123517</s:v>
      </s:c>
      <s:c r="D449" s="0" t="n">
        <s:v>3274</s:v>
      </s:c>
      <s:c r="F449" s="24">
        <s:f>'자료구성'!$B$2+TIME(INT($C$3/10000),INT(MOD($C$3,10000)/100),MOD($C$3,100))+(ROW()-ROW($C$3))/86400</s:f>
        <s:v>46247.52966435185</s:v>
      </s:c>
    </s:row>
    <s:row r="450">
      <s:c r="A450" s="0" t="n">
        <s:v>260813</s:v>
      </s:c>
      <s:c r="B450" s="0" t="inlineStr">
        <s:is>
          <s:t>이종훈</s:t>
        </s:is>
      </s:c>
      <s:c r="C450" s="0" t="n">
        <s:v>123517</s:v>
      </s:c>
      <s:c r="D450" s="0" t="n">
        <s:v>3513</s:v>
      </s:c>
      <s:c r="F450" s="24">
        <s:f>'자료구성'!$B$2+TIME(INT($C$3/10000),INT(MOD($C$3,10000)/100),MOD($C$3,100))+(ROW()-ROW($C$3))/86400</s:f>
        <s:v>46247.52967592593</s:v>
      </s:c>
    </s:row>
    <s:row r="451">
      <s:c r="A451" s="0" t="n">
        <s:v>260813</s:v>
      </s:c>
      <s:c r="B451" s="0" t="inlineStr">
        <s:is>
          <s:t>이종훈</s:t>
        </s:is>
      </s:c>
      <s:c r="C451" s="0" t="n">
        <s:v>123517</s:v>
      </s:c>
      <s:c r="D451" s="0" t="n">
        <s:v>3684</s:v>
      </s:c>
      <s:c r="F451" s="24">
        <s:f>'자료구성'!$B$2+TIME(INT($C$3/10000),INT(MOD($C$3,10000)/100),MOD($C$3,100))+(ROW()-ROW($C$3))/86400</s:f>
        <s:v>46247.5296875</s:v>
      </s:c>
    </s:row>
    <s:row r="452">
      <s:c r="A452" s="0" t="n">
        <s:v>260813</s:v>
      </s:c>
      <s:c r="B452" s="0" t="inlineStr">
        <s:is>
          <s:t>이종훈</s:t>
        </s:is>
      </s:c>
      <s:c r="C452" s="0" t="n">
        <s:v>123517</s:v>
      </s:c>
      <s:c r="D452" s="0" t="n">
        <s:v>3808</s:v>
      </s:c>
      <s:c r="F452" s="24">
        <s:f>'자료구성'!$B$2+TIME(INT($C$3/10000),INT(MOD($C$3,10000)/100),MOD($C$3,100))+(ROW()-ROW($C$3))/86400</s:f>
        <s:v>46247.529699074075</s:v>
      </s:c>
    </s:row>
    <s:row r="453">
      <s:c r="A453" s="0" t="n">
        <s:v>260813</s:v>
      </s:c>
      <s:c r="B453" s="0" t="inlineStr">
        <s:is>
          <s:t>이종훈</s:t>
        </s:is>
      </s:c>
      <s:c r="C453" s="0" t="n">
        <s:v>123517</s:v>
      </s:c>
      <s:c r="D453" s="0" t="n">
        <s:v>3936</s:v>
      </s:c>
      <s:c r="F453" s="24">
        <s:f>'자료구성'!$B$2+TIME(INT($C$3/10000),INT(MOD($C$3,10000)/100),MOD($C$3,100))+(ROW()-ROW($C$3))/86400</s:f>
        <s:v>46247.529710648145</s:v>
      </s:c>
    </s:row>
    <s:row r="454">
      <s:c r="A454" s="0" t="n">
        <s:v>260813</s:v>
      </s:c>
      <s:c r="B454" s="0" t="inlineStr">
        <s:is>
          <s:t>이종훈</s:t>
        </s:is>
      </s:c>
      <s:c r="C454" s="0" t="n">
        <s:v>123517</s:v>
      </s:c>
      <s:c r="D454" s="0" t="n">
        <s:v>4070</s:v>
      </s:c>
      <s:c r="F454" s="24">
        <s:f>'자료구성'!$B$2+TIME(INT($C$3/10000),INT(MOD($C$3,10000)/100),MOD($C$3,100))+(ROW()-ROW($C$3))/86400</s:f>
        <s:v>46247.52972222222</s:v>
      </s:c>
    </s:row>
    <s:row r="455">
      <s:c r="A455" s="0" t="n">
        <s:v>260813</s:v>
      </s:c>
      <s:c r="B455" s="0" t="inlineStr">
        <s:is>
          <s:t>이종훈</s:t>
        </s:is>
      </s:c>
      <s:c r="C455" s="0" t="n">
        <s:v>123517</s:v>
      </s:c>
      <s:c r="D455" s="0" t="n">
        <s:v>4244</s:v>
      </s:c>
      <s:c r="F455" s="24">
        <s:f>'자료구성'!$B$2+TIME(INT($C$3/10000),INT(MOD($C$3,10000)/100),MOD($C$3,100))+(ROW()-ROW($C$3))/86400</s:f>
        <s:v>46247.5297337963</s:v>
      </s:c>
    </s:row>
    <s:row r="456">
      <s:c r="A456" s="0" t="n">
        <s:v>260813</s:v>
      </s:c>
      <s:c r="B456" s="0" t="inlineStr">
        <s:is>
          <s:t>이종훈</s:t>
        </s:is>
      </s:c>
      <s:c r="C456" s="0" t="n">
        <s:v>123517</s:v>
      </s:c>
      <s:c r="D456" s="0" t="n">
        <s:v>4309</s:v>
      </s:c>
      <s:c r="F456" s="24">
        <s:f>'자료구성'!$B$2+TIME(INT($C$3/10000),INT(MOD($C$3,10000)/100),MOD($C$3,100))+(ROW()-ROW($C$3))/86400</s:f>
        <s:v>46247.52974537037</s:v>
      </s:c>
    </s:row>
    <s:row r="457">
      <s:c r="A457" s="0" t="n">
        <s:v>260813</s:v>
      </s:c>
      <s:c r="B457" s="0" t="inlineStr">
        <s:is>
          <s:t>이종훈</s:t>
        </s:is>
      </s:c>
      <s:c r="C457" s="0" t="n">
        <s:v>123517</s:v>
      </s:c>
      <s:c r="D457" s="0" t="n">
        <s:v>4317</s:v>
      </s:c>
      <s:c r="F457" s="24">
        <s:f>'자료구성'!$B$2+TIME(INT($C$3/10000),INT(MOD($C$3,10000)/100),MOD($C$3,100))+(ROW()-ROW($C$3))/86400</s:f>
        <s:v>46247.529756944445</s:v>
      </s:c>
    </s:row>
    <s:row r="458">
      <s:c r="A458" s="0" t="n">
        <s:v>260813</s:v>
      </s:c>
      <s:c r="B458" s="0" t="inlineStr">
        <s:is>
          <s:t>이종훈</s:t>
        </s:is>
      </s:c>
      <s:c r="C458" s="0" t="n">
        <s:v>123517</s:v>
      </s:c>
      <s:c r="D458" s="0" t="n">
        <s:v>4264</s:v>
      </s:c>
      <s:c r="F458" s="24">
        <s:f>'자료구성'!$B$2+TIME(INT($C$3/10000),INT(MOD($C$3,10000)/100),MOD($C$3,100))+(ROW()-ROW($C$3))/86400</s:f>
        <s:v>46247.52976851852</s:v>
      </s:c>
    </s:row>
    <s:row r="459">
      <s:c r="A459" s="0" t="n">
        <s:v>260813</s:v>
      </s:c>
      <s:c r="B459" s="0" t="inlineStr">
        <s:is>
          <s:t>이종훈</s:t>
        </s:is>
      </s:c>
      <s:c r="C459" s="0" t="n">
        <s:v>123517</s:v>
      </s:c>
      <s:c r="D459" s="0" t="n">
        <s:v>4317</s:v>
      </s:c>
      <s:c r="F459" s="24">
        <s:f>'자료구성'!$B$2+TIME(INT($C$3/10000),INT(MOD($C$3,10000)/100),MOD($C$3,100))+(ROW()-ROW($C$3))/86400</s:f>
        <s:v>46247.52978009259</s:v>
      </s:c>
    </s:row>
    <s:row r="460">
      <s:c r="A460" s="0" t="n">
        <s:v>260813</s:v>
      </s:c>
      <s:c r="B460" s="0" t="inlineStr">
        <s:is>
          <s:t>이종훈</s:t>
        </s:is>
      </s:c>
      <s:c r="C460" s="0" t="n">
        <s:v>123517</s:v>
      </s:c>
      <s:c r="D460" s="0" t="n">
        <s:v>4307</s:v>
      </s:c>
      <s:c r="F460" s="24">
        <s:f>'자료구성'!$B$2+TIME(INT($C$3/10000),INT(MOD($C$3,10000)/100),MOD($C$3,100))+(ROW()-ROW($C$3))/86400</s:f>
        <s:v>46247.52979166667</s:v>
      </s:c>
    </s:row>
    <s:row r="461">
      <s:c r="A461" s="0" t="n">
        <s:v>260813</s:v>
      </s:c>
      <s:c r="B461" s="0" t="inlineStr">
        <s:is>
          <s:t>이종훈</s:t>
        </s:is>
      </s:c>
      <s:c r="C461" s="0" t="n">
        <s:v>123517</s:v>
      </s:c>
      <s:c r="D461" s="0" t="n">
        <s:v>4347</s:v>
      </s:c>
      <s:c r="F461" s="24">
        <s:f>'자료구성'!$B$2+TIME(INT($C$3/10000),INT(MOD($C$3,10000)/100),MOD($C$3,100))+(ROW()-ROW($C$3))/86400</s:f>
        <s:v>46247.52980324074</s:v>
      </s:c>
    </s:row>
    <s:row r="462">
      <s:c r="A462" s="0" t="n">
        <s:v>260813</s:v>
      </s:c>
      <s:c r="B462" s="0" t="inlineStr">
        <s:is>
          <s:t>이종훈</s:t>
        </s:is>
      </s:c>
      <s:c r="C462" s="0" t="n">
        <s:v>123517</s:v>
      </s:c>
      <s:c r="D462" s="0" t="n">
        <s:v>4464</s:v>
      </s:c>
      <s:c r="F462" s="24">
        <s:f>'자료구성'!$B$2+TIME(INT($C$3/10000),INT(MOD($C$3,10000)/100),MOD($C$3,100))+(ROW()-ROW($C$3))/86400</s:f>
        <s:v>46247.529814814814</s:v>
      </s:c>
    </s:row>
    <s:row r="463">
      <s:c r="A463" s="0" t="n">
        <s:v>260813</s:v>
      </s:c>
      <s:c r="B463" s="0" t="inlineStr">
        <s:is>
          <s:t>이종훈</s:t>
        </s:is>
      </s:c>
      <s:c r="C463" s="0" t="n">
        <s:v>123517</s:v>
      </s:c>
      <s:c r="D463" s="0" t="n">
        <s:v>4579</s:v>
      </s:c>
      <s:c r="F463" s="24">
        <s:f>'자료구성'!$B$2+TIME(INT($C$3/10000),INT(MOD($C$3,10000)/100),MOD($C$3,100))+(ROW()-ROW($C$3))/86400</s:f>
        <s:v>46247.52982638889</s:v>
      </s:c>
    </s:row>
    <s:row r="464">
      <s:c r="A464" s="0" t="n">
        <s:v>260813</s:v>
      </s:c>
      <s:c r="B464" s="0" t="inlineStr">
        <s:is>
          <s:t>이종훈</s:t>
        </s:is>
      </s:c>
      <s:c r="C464" s="0" t="n">
        <s:v>123517</s:v>
      </s:c>
      <s:c r="D464" s="0" t="n">
        <s:v>4775</s:v>
      </s:c>
      <s:c r="F464" s="24">
        <s:f>'자료구성'!$B$2+TIME(INT($C$3/10000),INT(MOD($C$3,10000)/100),MOD($C$3,100))+(ROW()-ROW($C$3))/86400</s:f>
        <s:v>46247.52983796296</s:v>
      </s:c>
    </s:row>
    <s:row r="465">
      <s:c r="A465" s="0" t="n">
        <s:v>260813</s:v>
      </s:c>
      <s:c r="B465" s="0" t="inlineStr">
        <s:is>
          <s:t>이종훈</s:t>
        </s:is>
      </s:c>
      <s:c r="C465" s="0" t="n">
        <s:v>123517</s:v>
      </s:c>
      <s:c r="D465" s="0" t="n">
        <s:v>4834</s:v>
      </s:c>
      <s:c r="F465" s="24">
        <s:f>'자료구성'!$B$2+TIME(INT($C$3/10000),INT(MOD($C$3,10000)/100),MOD($C$3,100))+(ROW()-ROW($C$3))/86400</s:f>
        <s:v>46247.52984953704</s:v>
      </s:c>
    </s:row>
    <s:row r="466">
      <s:c r="A466" s="0" t="n">
        <s:v>260813</s:v>
      </s:c>
      <s:c r="B466" s="0" t="inlineStr">
        <s:is>
          <s:t>이종훈</s:t>
        </s:is>
      </s:c>
      <s:c r="C466" s="0" t="n">
        <s:v>123517</s:v>
      </s:c>
      <s:c r="D466" s="0" t="n">
        <s:v>4873</s:v>
      </s:c>
      <s:c r="F466" s="24">
        <s:f>'자료구성'!$B$2+TIME(INT($C$3/10000),INT(MOD($C$3,10000)/100),MOD($C$3,100))+(ROW()-ROW($C$3))/86400</s:f>
        <s:v>46247.529861111114</s:v>
      </s:c>
    </s:row>
    <s:row r="467">
      <s:c r="A467" s="0" t="n">
        <s:v>260813</s:v>
      </s:c>
      <s:c r="B467" s="0" t="inlineStr">
        <s:is>
          <s:t>이종훈</s:t>
        </s:is>
      </s:c>
      <s:c r="C467" s="0" t="n">
        <s:v>123517</s:v>
      </s:c>
      <s:c r="D467" s="0" t="n">
        <s:v>4999</s:v>
      </s:c>
      <s:c r="F467" s="24">
        <s:f>'자료구성'!$B$2+TIME(INT($C$3/10000),INT(MOD($C$3,10000)/100),MOD($C$3,100))+(ROW()-ROW($C$3))/86400</s:f>
        <s:v>46247.52987268518</s:v>
      </s:c>
    </s:row>
    <s:row r="468">
      <s:c r="A468" s="0" t="n">
        <s:v>260813</s:v>
      </s:c>
      <s:c r="B468" s="0" t="inlineStr">
        <s:is>
          <s:t>이종훈</s:t>
        </s:is>
      </s:c>
      <s:c r="C468" s="0" t="n">
        <s:v>123517</s:v>
      </s:c>
      <s:c r="D468" s="0" t="n">
        <s:v>5198</s:v>
      </s:c>
      <s:c r="F468" s="24">
        <s:f>'자료구성'!$B$2+TIME(INT($C$3/10000),INT(MOD($C$3,10000)/100),MOD($C$3,100))+(ROW()-ROW($C$3))/86400</s:f>
        <s:v>46247.52988425926</s:v>
      </s:c>
    </s:row>
    <s:row r="469">
      <s:c r="A469" s="0" t="n">
        <s:v>260813</s:v>
      </s:c>
      <s:c r="B469" s="0" t="inlineStr">
        <s:is>
          <s:t>이종훈</s:t>
        </s:is>
      </s:c>
      <s:c r="C469" s="0" t="n">
        <s:v>123517</s:v>
      </s:c>
      <s:c r="D469" s="0" t="n">
        <s:v>5472</s:v>
      </s:c>
      <s:c r="F469" s="24">
        <s:f>'자료구성'!$B$2+TIME(INT($C$3/10000),INT(MOD($C$3,10000)/100),MOD($C$3,100))+(ROW()-ROW($C$3))/86400</s:f>
        <s:v>46247.52989583334</s:v>
      </s:c>
    </s:row>
    <s:row r="470">
      <s:c r="A470" s="0" t="n">
        <s:v>260813</s:v>
      </s:c>
      <s:c r="B470" s="0" t="inlineStr">
        <s:is>
          <s:t>이종훈</s:t>
        </s:is>
      </s:c>
      <s:c r="C470" s="0" t="n">
        <s:v>123517</s:v>
      </s:c>
      <s:c r="D470" s="0" t="n">
        <s:v>5705</s:v>
      </s:c>
      <s:c r="F470" s="24">
        <s:f>'자료구성'!$B$2+TIME(INT($C$3/10000),INT(MOD($C$3,10000)/100),MOD($C$3,100))+(ROW()-ROW($C$3))/86400</s:f>
        <s:v>46247.52990740741</s:v>
      </s:c>
    </s:row>
    <s:row r="471">
      <s:c r="A471" s="0" t="n">
        <s:v>260813</s:v>
      </s:c>
      <s:c r="B471" s="0" t="inlineStr">
        <s:is>
          <s:t>이종훈</s:t>
        </s:is>
      </s:c>
      <s:c r="C471" s="0" t="n">
        <s:v>123517</s:v>
      </s:c>
      <s:c r="D471" s="0" t="n">
        <s:v>5705</s:v>
      </s:c>
      <s:c r="F471" s="24">
        <s:f>'자료구성'!$B$2+TIME(INT($C$3/10000),INT(MOD($C$3,10000)/100),MOD($C$3,100))+(ROW()-ROW($C$3))/86400</s:f>
        <s:v>46247.52991898148</s:v>
      </s:c>
    </s:row>
    <s:row r="472">
      <s:c r="A472" s="0" t="n">
        <s:v>260813</s:v>
      </s:c>
      <s:c r="B472" s="0" t="inlineStr">
        <s:is>
          <s:t>이종훈</s:t>
        </s:is>
      </s:c>
      <s:c r="C472" s="0" t="n">
        <s:v>123517</s:v>
      </s:c>
      <s:c r="D472" s="0" t="n">
        <s:v>6040</s:v>
      </s:c>
      <s:c r="F472" s="24">
        <s:f>'자료구성'!$B$2+TIME(INT($C$3/10000),INT(MOD($C$3,10000)/100),MOD($C$3,100))+(ROW()-ROW($C$3))/86400</s:f>
        <s:v>46247.52993055555</s:v>
      </s:c>
    </s:row>
    <s:row r="473">
      <s:c r="A473" s="0" t="n">
        <s:v>260813</s:v>
      </s:c>
      <s:c r="B473" s="0" t="inlineStr">
        <s:is>
          <s:t>이종훈</s:t>
        </s:is>
      </s:c>
      <s:c r="C473" s="0" t="n">
        <s:v>123517</s:v>
      </s:c>
      <s:c r="D473" s="0" t="n">
        <s:v>6105</s:v>
      </s:c>
      <s:c r="F473" s="24">
        <s:f>'자료구성'!$B$2+TIME(INT($C$3/10000),INT(MOD($C$3,10000)/100),MOD($C$3,100))+(ROW()-ROW($C$3))/86400</s:f>
        <s:v>46247.52994212963</s:v>
      </s:c>
    </s:row>
    <s:row r="474">
      <s:c r="A474" s="0" t="n">
        <s:v>260813</s:v>
      </s:c>
      <s:c r="B474" s="0" t="inlineStr">
        <s:is>
          <s:t>이종훈</s:t>
        </s:is>
      </s:c>
      <s:c r="C474" s="0" t="n">
        <s:v>123517</s:v>
      </s:c>
      <s:c r="D474" s="0" t="n">
        <s:v>6011</s:v>
      </s:c>
      <s:c r="F474" s="24">
        <s:f>'자료구성'!$B$2+TIME(INT($C$3/10000),INT(MOD($C$3,10000)/100),MOD($C$3,100))+(ROW()-ROW($C$3))/86400</s:f>
        <s:v>46247.529953703706</s:v>
      </s:c>
    </s:row>
    <s:row r="475">
      <s:c r="A475" s="0" t="n">
        <s:v>260813</s:v>
      </s:c>
      <s:c r="B475" s="0" t="inlineStr">
        <s:is>
          <s:t>이종훈</s:t>
        </s:is>
      </s:c>
      <s:c r="C475" s="0" t="n">
        <s:v>123517</s:v>
      </s:c>
      <s:c r="D475" s="0" t="n">
        <s:v>5760</s:v>
      </s:c>
      <s:c r="F475" s="24">
        <s:f>'자료구성'!$B$2+TIME(INT($C$3/10000),INT(MOD($C$3,10000)/100),MOD($C$3,100))+(ROW()-ROW($C$3))/86400</s:f>
        <s:v>46247.529965277776</s:v>
      </s:c>
    </s:row>
    <s:row r="476">
      <s:c r="A476" s="0" t="n">
        <s:v>260813</s:v>
      </s:c>
      <s:c r="B476" s="0" t="inlineStr">
        <s:is>
          <s:t>이종훈</s:t>
        </s:is>
      </s:c>
      <s:c r="C476" s="0" t="n">
        <s:v>123517</s:v>
      </s:c>
      <s:c r="D476" s="0" t="n">
        <s:v>5502</s:v>
      </s:c>
      <s:c r="F476" s="24">
        <s:f>'자료구성'!$B$2+TIME(INT($C$3/10000),INT(MOD($C$3,10000)/100),MOD($C$3,100))+(ROW()-ROW($C$3))/86400</s:f>
        <s:v>46247.52997685185</s:v>
      </s:c>
    </s:row>
    <s:row r="477">
      <s:c r="A477" s="0" t="n">
        <s:v>260813</s:v>
      </s:c>
      <s:c r="B477" s="0" t="inlineStr">
        <s:is>
          <s:t>이종훈</s:t>
        </s:is>
      </s:c>
      <s:c r="C477" s="0" t="n">
        <s:v>123517</s:v>
      </s:c>
      <s:c r="D477" s="0" t="n">
        <s:v>5258</s:v>
      </s:c>
      <s:c r="F477" s="24">
        <s:f>'자료구성'!$B$2+TIME(INT($C$3/10000),INT(MOD($C$3,10000)/100),MOD($C$3,100))+(ROW()-ROW($C$3))/86400</s:f>
        <s:v>46247.52998842593</s:v>
      </s:c>
    </s:row>
    <s:row r="478">
      <s:c r="A478" s="0" t="n">
        <s:v>260813</s:v>
      </s:c>
      <s:c r="B478" s="0" t="inlineStr">
        <s:is>
          <s:t>이종훈</s:t>
        </s:is>
      </s:c>
      <s:c r="C478" s="0" t="n">
        <s:v>123517</s:v>
      </s:c>
      <s:c r="D478" s="0" t="n">
        <s:v>5069</s:v>
      </s:c>
      <s:c r="F478" s="24">
        <s:f>'자료구성'!$B$2+TIME(INT($C$3/10000),INT(MOD($C$3,10000)/100),MOD($C$3,100))+(ROW()-ROW($C$3))/86400</s:f>
        <s:v>46247.53</s:v>
      </s:c>
    </s:row>
    <s:row r="479">
      <s:c r="A479" s="0" t="n">
        <s:v>260813</s:v>
      </s:c>
      <s:c r="B479" s="0" t="inlineStr">
        <s:is>
          <s:t>이종훈</s:t>
        </s:is>
      </s:c>
      <s:c r="C479" s="0" t="n">
        <s:v>123517</s:v>
      </s:c>
      <s:c r="D479" s="0" t="n">
        <s:v>5107</s:v>
      </s:c>
      <s:c r="F479" s="24">
        <s:f>'자료구성'!$B$2+TIME(INT($C$3/10000),INT(MOD($C$3,10000)/100),MOD($C$3,100))+(ROW()-ROW($C$3))/86400</s:f>
        <s:v>46247.530011574076</s:v>
      </s:c>
    </s:row>
    <s:row r="480">
      <s:c r="A480" s="0" t="n">
        <s:v>260813</s:v>
      </s:c>
      <s:c r="B480" s="0" t="inlineStr">
        <s:is>
          <s:t>이종훈</s:t>
        </s:is>
      </s:c>
      <s:c r="C480" s="0" t="n">
        <s:v>123517</s:v>
      </s:c>
      <s:c r="D480" s="0" t="n">
        <s:v>5032</s:v>
      </s:c>
      <s:c r="F480" s="24">
        <s:f>'자료구성'!$B$2+TIME(INT($C$3/10000),INT(MOD($C$3,10000)/100),MOD($C$3,100))+(ROW()-ROW($C$3))/86400</s:f>
        <s:v>46247.530023148145</s:v>
      </s:c>
    </s:row>
    <s:row r="481">
      <s:c r="A481" s="0" t="n">
        <s:v>260813</s:v>
      </s:c>
      <s:c r="B481" s="0" t="inlineStr">
        <s:is>
          <s:t>이종훈</s:t>
        </s:is>
      </s:c>
      <s:c r="C481" s="0" t="n">
        <s:v>123517</s:v>
      </s:c>
      <s:c r="D481" s="0" t="n">
        <s:v>5222</s:v>
      </s:c>
      <s:c r="F481" s="24">
        <s:f>'자료구성'!$B$2+TIME(INT($C$3/10000),INT(MOD($C$3,10000)/100),MOD($C$3,100))+(ROW()-ROW($C$3))/86400</s:f>
        <s:v>46247.53003472222</s:v>
      </s:c>
    </s:row>
    <s:row r="482">
      <s:c r="A482" s="0" t="n">
        <s:v>260813</s:v>
      </s:c>
      <s:c r="B482" s="0" t="inlineStr">
        <s:is>
          <s:t>이종훈</s:t>
        </s:is>
      </s:c>
      <s:c r="C482" s="0" t="n">
        <s:v>123517</s:v>
      </s:c>
      <s:c r="D482" s="0" t="n">
        <s:v>5404</s:v>
      </s:c>
      <s:c r="F482" s="24">
        <s:f>'자료구성'!$B$2+TIME(INT($C$3/10000),INT(MOD($C$3,10000)/100),MOD($C$3,100))+(ROW()-ROW($C$3))/86400</s:f>
        <s:v>46247.5300462963</s:v>
      </s:c>
    </s:row>
    <s:row r="483">
      <s:c r="A483" s="0" t="n">
        <s:v>260813</s:v>
      </s:c>
      <s:c r="B483" s="0" t="inlineStr">
        <s:is>
          <s:t>이종훈</s:t>
        </s:is>
      </s:c>
      <s:c r="C483" s="0" t="n">
        <s:v>123517</s:v>
      </s:c>
      <s:c r="D483" s="0" t="n">
        <s:v>5535</s:v>
      </s:c>
      <s:c r="F483" s="24">
        <s:f>'자료구성'!$B$2+TIME(INT($C$3/10000),INT(MOD($C$3,10000)/100),MOD($C$3,100))+(ROW()-ROW($C$3))/86400</s:f>
        <s:v>46247.53005787037</s:v>
      </s:c>
    </s:row>
    <s:row r="484">
      <s:c r="A484" s="0" t="n">
        <s:v>260813</s:v>
      </s:c>
      <s:c r="B484" s="0" t="inlineStr">
        <s:is>
          <s:t>이종훈</s:t>
        </s:is>
      </s:c>
      <s:c r="C484" s="0" t="n">
        <s:v>123517</s:v>
      </s:c>
      <s:c r="D484" s="0" t="n">
        <s:v>5629</s:v>
      </s:c>
      <s:c r="F484" s="24">
        <s:f>'자료구성'!$B$2+TIME(INT($C$3/10000),INT(MOD($C$3,10000)/100),MOD($C$3,100))+(ROW()-ROW($C$3))/86400</s:f>
        <s:v>46247.530069444445</s:v>
      </s:c>
    </s:row>
    <s:row r="485">
      <s:c r="A485" s="0" t="n">
        <s:v>260813</s:v>
      </s:c>
      <s:c r="B485" s="0" t="inlineStr">
        <s:is>
          <s:t>이종훈</s:t>
        </s:is>
      </s:c>
      <s:c r="C485" s="0" t="n">
        <s:v>123517</s:v>
      </s:c>
      <s:c r="D485" s="0" t="n">
        <s:v>5787</s:v>
      </s:c>
      <s:c r="F485" s="24">
        <s:f>'자료구성'!$B$2+TIME(INT($C$3/10000),INT(MOD($C$3,10000)/100),MOD($C$3,100))+(ROW()-ROW($C$3))/86400</s:f>
        <s:v>46247.53008101852</s:v>
      </s:c>
    </s:row>
    <s:row r="486">
      <s:c r="A486" s="0" t="n">
        <s:v>260813</s:v>
      </s:c>
      <s:c r="B486" s="0" t="inlineStr">
        <s:is>
          <s:t>이종훈</s:t>
        </s:is>
      </s:c>
      <s:c r="C486" s="0" t="n">
        <s:v>123517</s:v>
      </s:c>
      <s:c r="D486" s="0" t="n">
        <s:v>5786</s:v>
      </s:c>
      <s:c r="F486" s="24">
        <s:f>'자료구성'!$B$2+TIME(INT($C$3/10000),INT(MOD($C$3,10000)/100),MOD($C$3,100))+(ROW()-ROW($C$3))/86400</s:f>
        <s:v>46247.53009259259</s:v>
      </s:c>
    </s:row>
    <s:row r="487">
      <s:c r="A487" s="0" t="n">
        <s:v>260813</s:v>
      </s:c>
      <s:c r="B487" s="0" t="inlineStr">
        <s:is>
          <s:t>이종훈</s:t>
        </s:is>
      </s:c>
      <s:c r="C487" s="0" t="n">
        <s:v>123517</s:v>
      </s:c>
      <s:c r="D487" s="0" t="n">
        <s:v>5796</s:v>
      </s:c>
      <s:c r="F487" s="24">
        <s:f>'자료구성'!$B$2+TIME(INT($C$3/10000),INT(MOD($C$3,10000)/100),MOD($C$3,100))+(ROW()-ROW($C$3))/86400</s:f>
        <s:v>46247.53010416667</s:v>
      </s:c>
    </s:row>
    <s:row r="488">
      <s:c r="A488" s="0" t="n">
        <s:v>260813</s:v>
      </s:c>
      <s:c r="B488" s="0" t="inlineStr">
        <s:is>
          <s:t>이종훈</s:t>
        </s:is>
      </s:c>
      <s:c r="C488" s="0" t="n">
        <s:v>123517</s:v>
      </s:c>
      <s:c r="D488" s="0" t="n">
        <s:v>5858</s:v>
      </s:c>
      <s:c r="F488" s="24">
        <s:f>'자료구성'!$B$2+TIME(INT($C$3/10000),INT(MOD($C$3,10000)/100),MOD($C$3,100))+(ROW()-ROW($C$3))/86400</s:f>
        <s:v>46247.53011574074</s:v>
      </s:c>
    </s:row>
    <s:row r="489">
      <s:c r="A489" s="0" t="n">
        <s:v>260813</s:v>
      </s:c>
      <s:c r="B489" s="0" t="inlineStr">
        <s:is>
          <s:t>이종훈</s:t>
        </s:is>
      </s:c>
      <s:c r="C489" s="0" t="n">
        <s:v>123517</s:v>
      </s:c>
      <s:c r="D489" s="0" t="n">
        <s:v>5942</s:v>
      </s:c>
      <s:c r="F489" s="24">
        <s:f>'자료구성'!$B$2+TIME(INT($C$3/10000),INT(MOD($C$3,10000)/100),MOD($C$3,100))+(ROW()-ROW($C$3))/86400</s:f>
        <s:v>46247.530127314814</s:v>
      </s:c>
    </s:row>
    <s:row r="490">
      <s:c r="A490" s="0" t="n">
        <s:v>260813</s:v>
      </s:c>
      <s:c r="B490" s="0" t="inlineStr">
        <s:is>
          <s:t>이종훈</s:t>
        </s:is>
      </s:c>
      <s:c r="C490" s="0" t="n">
        <s:v>123517</s:v>
      </s:c>
      <s:c r="D490" s="0" t="n">
        <s:v>5981</s:v>
      </s:c>
      <s:c r="F490" s="24">
        <s:f>'자료구성'!$B$2+TIME(INT($C$3/10000),INT(MOD($C$3,10000)/100),MOD($C$3,100))+(ROW()-ROW($C$3))/86400</s:f>
        <s:v>46247.53013888889</s:v>
      </s:c>
    </s:row>
    <s:row r="491">
      <s:c r="A491" s="0" t="n">
        <s:v>260813</s:v>
      </s:c>
      <s:c r="B491" s="0" t="inlineStr">
        <s:is>
          <s:t>이종훈</s:t>
        </s:is>
      </s:c>
      <s:c r="C491" s="0" t="n">
        <s:v>123517</s:v>
      </s:c>
      <s:c r="D491" s="0" t="n">
        <s:v>5962</s:v>
      </s:c>
      <s:c r="F491" s="24">
        <s:f>'자료구성'!$B$2+TIME(INT($C$3/10000),INT(MOD($C$3,10000)/100),MOD($C$3,100))+(ROW()-ROW($C$3))/86400</s:f>
        <s:v>46247.53015046296</s:v>
      </s:c>
    </s:row>
    <s:row r="492">
      <s:c r="A492" s="0" t="n">
        <s:v>260813</s:v>
      </s:c>
      <s:c r="B492" s="0" t="inlineStr">
        <s:is>
          <s:t>이종훈</s:t>
        </s:is>
      </s:c>
      <s:c r="C492" s="0" t="n">
        <s:v>123517</s:v>
      </s:c>
      <s:c r="D492" s="0" t="n">
        <s:v>5811</s:v>
      </s:c>
      <s:c r="F492" s="24">
        <s:f>'자료구성'!$B$2+TIME(INT($C$3/10000),INT(MOD($C$3,10000)/100),MOD($C$3,100))+(ROW()-ROW($C$3))/86400</s:f>
        <s:v>46247.53016203704</s:v>
      </s:c>
    </s:row>
    <s:row r="493">
      <s:c r="A493" s="0" t="n">
        <s:v>260813</s:v>
      </s:c>
      <s:c r="B493" s="0" t="inlineStr">
        <s:is>
          <s:t>이종훈</s:t>
        </s:is>
      </s:c>
      <s:c r="C493" s="0" t="n">
        <s:v>123517</s:v>
      </s:c>
      <s:c r="D493" s="0" t="n">
        <s:v>5680</s:v>
      </s:c>
      <s:c r="F493" s="24">
        <s:f>'자료구성'!$B$2+TIME(INT($C$3/10000),INT(MOD($C$3,10000)/100),MOD($C$3,100))+(ROW()-ROW($C$3))/86400</s:f>
        <s:v>46247.530173611114</s:v>
      </s:c>
    </s:row>
    <s:row r="494">
      <s:c r="A494" s="0" t="n">
        <s:v>260813</s:v>
      </s:c>
      <s:c r="B494" s="0" t="inlineStr">
        <s:is>
          <s:t>이종훈</s:t>
        </s:is>
      </s:c>
      <s:c r="C494" s="0" t="n">
        <s:v>123517</s:v>
      </s:c>
      <s:c r="D494" s="0" t="n">
        <s:v>5630</s:v>
      </s:c>
      <s:c r="F494" s="24">
        <s:f>'자료구성'!$B$2+TIME(INT($C$3/10000),INT(MOD($C$3,10000)/100),MOD($C$3,100))+(ROW()-ROW($C$3))/86400</s:f>
        <s:v>46247.530185185184</s:v>
      </s:c>
    </s:row>
    <s:row r="495">
      <s:c r="A495" s="0" t="n">
        <s:v>260813</s:v>
      </s:c>
      <s:c r="B495" s="0" t="inlineStr">
        <s:is>
          <s:t>이종훈</s:t>
        </s:is>
      </s:c>
      <s:c r="C495" s="0" t="n">
        <s:v>123517</s:v>
      </s:c>
      <s:c r="D495" s="0" t="n">
        <s:v>5532</s:v>
      </s:c>
      <s:c r="F495" s="24">
        <s:f>'자료구성'!$B$2+TIME(INT($C$3/10000),INT(MOD($C$3,10000)/100),MOD($C$3,100))+(ROW()-ROW($C$3))/86400</s:f>
        <s:v>46247.53019675926</s:v>
      </s:c>
    </s:row>
    <s:row r="496">
      <s:c r="A496" s="0" t="n">
        <s:v>260813</s:v>
      </s:c>
      <s:c r="B496" s="0" t="inlineStr">
        <s:is>
          <s:t>이종훈</s:t>
        </s:is>
      </s:c>
      <s:c r="C496" s="0" t="n">
        <s:v>123517</s:v>
      </s:c>
      <s:c r="D496" s="0" t="n">
        <s:v>5348</s:v>
      </s:c>
      <s:c r="F496" s="24">
        <s:f>'자료구성'!$B$2+TIME(INT($C$3/10000),INT(MOD($C$3,10000)/100),MOD($C$3,100))+(ROW()-ROW($C$3))/86400</s:f>
        <s:v>46247.53020833333</s:v>
      </s:c>
    </s:row>
    <s:row r="497">
      <s:c r="A497" s="0" t="n">
        <s:v>260813</s:v>
      </s:c>
      <s:c r="B497" s="0" t="inlineStr">
        <s:is>
          <s:t>이종훈</s:t>
        </s:is>
      </s:c>
      <s:c r="C497" s="0" t="n">
        <s:v>123517</s:v>
      </s:c>
      <s:c r="D497" s="0" t="n">
        <s:v>5082</s:v>
      </s:c>
      <s:c r="F497" s="24">
        <s:f>'자료구성'!$B$2+TIME(INT($C$3/10000),INT(MOD($C$3,10000)/100),MOD($C$3,100))+(ROW()-ROW($C$3))/86400</s:f>
        <s:v>46247.53021990741</s:v>
      </s:c>
    </s:row>
    <s:row r="498">
      <s:c r="A498" s="0" t="n">
        <s:v>260813</s:v>
      </s:c>
      <s:c r="B498" s="0" t="inlineStr">
        <s:is>
          <s:t>이종훈</s:t>
        </s:is>
      </s:c>
      <s:c r="C498" s="0" t="n">
        <s:v>123517</s:v>
      </s:c>
      <s:c r="D498" s="0" t="n">
        <s:v>4887</s:v>
      </s:c>
      <s:c r="F498" s="24">
        <s:f>'자료구성'!$B$2+TIME(INT($C$3/10000),INT(MOD($C$3,10000)/100),MOD($C$3,100))+(ROW()-ROW($C$3))/86400</s:f>
        <s:v>46247.53023148148</s:v>
      </s:c>
    </s:row>
    <s:row r="499">
      <s:c r="A499" s="0" t="n">
        <s:v>260813</s:v>
      </s:c>
      <s:c r="B499" s="0" t="inlineStr">
        <s:is>
          <s:t>이종훈</s:t>
        </s:is>
      </s:c>
      <s:c r="C499" s="0" t="n">
        <s:v>123517</s:v>
      </s:c>
      <s:c r="D499" s="0" t="n">
        <s:v>4701</s:v>
      </s:c>
      <s:c r="F499" s="24">
        <s:f>'자료구성'!$B$2+TIME(INT($C$3/10000),INT(MOD($C$3,10000)/100),MOD($C$3,100))+(ROW()-ROW($C$3))/86400</s:f>
        <s:v>46247.53024305555</s:v>
      </s:c>
    </s:row>
    <s:row r="500">
      <s:c r="A500" s="0" t="n">
        <s:v>260813</s:v>
      </s:c>
      <s:c r="B500" s="0" t="inlineStr">
        <s:is>
          <s:t>이종훈</s:t>
        </s:is>
      </s:c>
      <s:c r="C500" s="0" t="n">
        <s:v>123517</s:v>
      </s:c>
      <s:c r="D500" s="0" t="n">
        <s:v>4590</s:v>
      </s:c>
      <s:c r="F500" s="24">
        <s:f>'자료구성'!$B$2+TIME(INT($C$3/10000),INT(MOD($C$3,10000)/100),MOD($C$3,100))+(ROW()-ROW($C$3))/86400</s:f>
        <s:v>46247.53025462963</s:v>
      </s:c>
    </s:row>
    <s:row r="501">
      <s:c r="A501" s="0" t="n">
        <s:v>260813</s:v>
      </s:c>
      <s:c r="B501" s="0" t="inlineStr">
        <s:is>
          <s:t>이종훈</s:t>
        </s:is>
      </s:c>
      <s:c r="C501" s="0" t="n">
        <s:v>123517</s:v>
      </s:c>
      <s:c r="D501" s="0" t="n">
        <s:v>4519</s:v>
      </s:c>
      <s:c r="F501" s="24">
        <s:f>'자료구성'!$B$2+TIME(INT($C$3/10000),INT(MOD($C$3,10000)/100),MOD($C$3,100))+(ROW()-ROW($C$3))/86400</s:f>
        <s:v>46247.53026620371</s:v>
      </s:c>
    </s:row>
    <s:row r="502">
      <s:c r="A502" s="0" t="n">
        <s:v>260813</s:v>
      </s:c>
      <s:c r="B502" s="0" t="inlineStr">
        <s:is>
          <s:t>이종훈</s:t>
        </s:is>
      </s:c>
      <s:c r="C502" s="0" t="n">
        <s:v>123517</s:v>
      </s:c>
      <s:c r="D502" s="0" t="n">
        <s:v>4477</s:v>
      </s:c>
      <s:c r="F502" s="24">
        <s:f>'자료구성'!$B$2+TIME(INT($C$3/10000),INT(MOD($C$3,10000)/100),MOD($C$3,100))+(ROW()-ROW($C$3))/86400</s:f>
        <s:v>46247.530277777776</s:v>
      </s:c>
    </s:row>
    <s:row r="503">
      <s:c r="A503" s="0" t="n">
        <s:v>260813</s:v>
      </s:c>
      <s:c r="B503" s="0" t="inlineStr">
        <s:is>
          <s:t>이종훈</s:t>
        </s:is>
      </s:c>
      <s:c r="C503" s="0" t="n">
        <s:v>123517</s:v>
      </s:c>
      <s:c r="D503" s="0" t="n">
        <s:v>4522</s:v>
      </s:c>
      <s:c r="F503" s="24">
        <s:f>'자료구성'!$B$2+TIME(INT($C$3/10000),INT(MOD($C$3,10000)/100),MOD($C$3,100))+(ROW()-ROW($C$3))/86400</s:f>
        <s:v>46247.53028935185</s:v>
      </s:c>
    </s:row>
    <s:row r="504">
      <s:c r="A504" s="0" t="n">
        <s:v>260813</s:v>
      </s:c>
      <s:c r="B504" s="0" t="inlineStr">
        <s:is>
          <s:t>이종훈</s:t>
        </s:is>
      </s:c>
      <s:c r="C504" s="0" t="n">
        <s:v>123517</s:v>
      </s:c>
      <s:c r="D504" s="0" t="n">
        <s:v>4538</s:v>
      </s:c>
      <s:c r="F504" s="24">
        <s:f>'자료구성'!$B$2+TIME(INT($C$3/10000),INT(MOD($C$3,10000)/100),MOD($C$3,100))+(ROW()-ROW($C$3))/86400</s:f>
        <s:v>46247.53030092592</s:v>
      </s:c>
    </s:row>
    <s:row r="505">
      <s:c r="A505" s="0" t="n">
        <s:v>260813</s:v>
      </s:c>
      <s:c r="B505" s="0" t="inlineStr">
        <s:is>
          <s:t>이종훈</s:t>
        </s:is>
      </s:c>
      <s:c r="C505" s="0" t="n">
        <s:v>123517</s:v>
      </s:c>
      <s:c r="D505" s="0" t="n">
        <s:v>4615</s:v>
      </s:c>
      <s:c r="F505" s="24">
        <s:f>'자료구성'!$B$2+TIME(INT($C$3/10000),INT(MOD($C$3,10000)/100),MOD($C$3,100))+(ROW()-ROW($C$3))/86400</s:f>
        <s:v>46247.5303125</s:v>
      </s:c>
    </s:row>
    <s:row r="506">
      <s:c r="A506" s="0" t="n">
        <s:v>260813</s:v>
      </s:c>
      <s:c r="B506" s="0" t="inlineStr">
        <s:is>
          <s:t>이종훈</s:t>
        </s:is>
      </s:c>
      <s:c r="C506" s="0" t="n">
        <s:v>123517</s:v>
      </s:c>
      <s:c r="D506" s="0" t="n">
        <s:v>4633</s:v>
      </s:c>
      <s:c r="F506" s="24">
        <s:f>'자료구성'!$B$2+TIME(INT($C$3/10000),INT(MOD($C$3,10000)/100),MOD($C$3,100))+(ROW()-ROW($C$3))/86400</s:f>
        <s:v>46247.530324074076</s:v>
      </s:c>
    </s:row>
    <s:row r="507">
      <s:c r="A507" s="0" t="n">
        <s:v>260813</s:v>
      </s:c>
      <s:c r="B507" s="0" t="inlineStr">
        <s:is>
          <s:t>이종훈</s:t>
        </s:is>
      </s:c>
      <s:c r="C507" s="0" t="n">
        <s:v>123517</s:v>
      </s:c>
      <s:c r="D507" s="0" t="n">
        <s:v>4598</s:v>
      </s:c>
      <s:c r="F507" s="24">
        <s:f>'자료구성'!$B$2+TIME(INT($C$3/10000),INT(MOD($C$3,10000)/100),MOD($C$3,100))+(ROW()-ROW($C$3))/86400</s:f>
        <s:v>46247.530335648145</s:v>
      </s:c>
    </s:row>
    <s:row r="508">
      <s:c r="A508" s="0" t="n">
        <s:v>260813</s:v>
      </s:c>
      <s:c r="B508" s="0" t="inlineStr">
        <s:is>
          <s:t>이종훈</s:t>
        </s:is>
      </s:c>
      <s:c r="C508" s="0" t="n">
        <s:v>123517</s:v>
      </s:c>
      <s:c r="D508" s="0" t="n">
        <s:v>4534</s:v>
      </s:c>
      <s:c r="F508" s="24">
        <s:f>'자료구성'!$B$2+TIME(INT($C$3/10000),INT(MOD($C$3,10000)/100),MOD($C$3,100))+(ROW()-ROW($C$3))/86400</s:f>
        <s:v>46247.53034722222</s:v>
      </s:c>
    </s:row>
    <s:row r="509">
      <s:c r="A509" s="0" t="n">
        <s:v>260813</s:v>
      </s:c>
      <s:c r="B509" s="0" t="inlineStr">
        <s:is>
          <s:t>이종훈</s:t>
        </s:is>
      </s:c>
      <s:c r="C509" s="0" t="n">
        <s:v>123517</s:v>
      </s:c>
      <s:c r="D509" s="0" t="n">
        <s:v>4512</s:v>
      </s:c>
      <s:c r="F509" s="24">
        <s:f>'자료구성'!$B$2+TIME(INT($C$3/10000),INT(MOD($C$3,10000)/100),MOD($C$3,100))+(ROW()-ROW($C$3))/86400</s:f>
        <s:v>46247.5303587963</s:v>
      </s:c>
    </s:row>
    <s:row r="510">
      <s:c r="A510" s="0" t="n">
        <s:v>260813</s:v>
      </s:c>
      <s:c r="B510" s="0" t="inlineStr">
        <s:is>
          <s:t>이종훈</s:t>
        </s:is>
      </s:c>
      <s:c r="C510" s="0" t="n">
        <s:v>123517</s:v>
      </s:c>
      <s:c r="D510" s="0" t="n">
        <s:v>4453</s:v>
      </s:c>
      <s:c r="F510" s="24">
        <s:f>'자료구성'!$B$2+TIME(INT($C$3/10000),INT(MOD($C$3,10000)/100),MOD($C$3,100))+(ROW()-ROW($C$3))/86400</s:f>
        <s:v>46247.53037037037</s:v>
      </s:c>
    </s:row>
    <s:row r="511">
      <s:c r="A511" s="0" t="n">
        <s:v>260813</s:v>
      </s:c>
      <s:c r="B511" s="0" t="inlineStr">
        <s:is>
          <s:t>이종훈</s:t>
        </s:is>
      </s:c>
      <s:c r="C511" s="0" t="n">
        <s:v>123517</s:v>
      </s:c>
      <s:c r="D511" s="0" t="n">
        <s:v>4400</s:v>
      </s:c>
      <s:c r="F511" s="24">
        <s:f>'자료구성'!$B$2+TIME(INT($C$3/10000),INT(MOD($C$3,10000)/100),MOD($C$3,100))+(ROW()-ROW($C$3))/86400</s:f>
        <s:v>46247.530381944445</s:v>
      </s:c>
    </s:row>
    <s:row r="512">
      <s:c r="A512" s="0" t="n">
        <s:v>260813</s:v>
      </s:c>
      <s:c r="B512" s="0" t="inlineStr">
        <s:is>
          <s:t>이종훈</s:t>
        </s:is>
      </s:c>
      <s:c r="C512" s="0" t="n">
        <s:v>123517</s:v>
      </s:c>
      <s:c r="D512" s="0" t="n">
        <s:v>4354</s:v>
      </s:c>
      <s:c r="F512" s="24">
        <s:f>'자료구성'!$B$2+TIME(INT($C$3/10000),INT(MOD($C$3,10000)/100),MOD($C$3,100))+(ROW()-ROW($C$3))/86400</s:f>
        <s:v>46247.53039351852</s:v>
      </s:c>
    </s:row>
    <s:row r="513">
      <s:c r="A513" s="0" t="n">
        <s:v>260813</s:v>
      </s:c>
      <s:c r="B513" s="0" t="inlineStr">
        <s:is>
          <s:t>이종훈</s:t>
        </s:is>
      </s:c>
      <s:c r="C513" s="0" t="n">
        <s:v>123517</s:v>
      </s:c>
      <s:c r="D513" s="0" t="n">
        <s:v>4303</s:v>
      </s:c>
      <s:c r="F513" s="24">
        <s:f>'자료구성'!$B$2+TIME(INT($C$3/10000),INT(MOD($C$3,10000)/100),MOD($C$3,100))+(ROW()-ROW($C$3))/86400</s:f>
        <s:v>46247.53040509259</s:v>
      </s:c>
    </s:row>
    <s:row r="514">
      <s:c r="A514" s="0" t="n">
        <s:v>260813</s:v>
      </s:c>
      <s:c r="B514" s="0" t="inlineStr">
        <s:is>
          <s:t>이종훈</s:t>
        </s:is>
      </s:c>
      <s:c r="C514" s="0" t="n">
        <s:v>123517</s:v>
      </s:c>
      <s:c r="D514" s="0" t="n">
        <s:v>4232</s:v>
      </s:c>
      <s:c r="F514" s="24">
        <s:f>'자료구성'!$B$2+TIME(INT($C$3/10000),INT(MOD($C$3,10000)/100),MOD($C$3,100))+(ROW()-ROW($C$3))/86400</s:f>
        <s:v>46247.53041666667</s:v>
      </s:c>
    </s:row>
    <s:row r="515">
      <s:c r="A515" s="0" t="n">
        <s:v>260813</s:v>
      </s:c>
      <s:c r="B515" s="0" t="inlineStr">
        <s:is>
          <s:t>이종훈</s:t>
        </s:is>
      </s:c>
      <s:c r="C515" s="0" t="n">
        <s:v>123517</s:v>
      </s:c>
      <s:c r="D515" s="0" t="n">
        <s:v>4199</s:v>
      </s:c>
      <s:c r="F515" s="24">
        <s:f>'자료구성'!$B$2+TIME(INT($C$3/10000),INT(MOD($C$3,10000)/100),MOD($C$3,100))+(ROW()-ROW($C$3))/86400</s:f>
        <s:v>46247.53042824074</s:v>
      </s:c>
    </s:row>
    <s:row r="516">
      <s:c r="A516" s="0" t="n">
        <s:v>260813</s:v>
      </s:c>
      <s:c r="B516" s="0" t="inlineStr">
        <s:is>
          <s:t>이종훈</s:t>
        </s:is>
      </s:c>
      <s:c r="C516" s="0" t="n">
        <s:v>123517</s:v>
      </s:c>
      <s:c r="D516" s="0" t="n">
        <s:v>4146</s:v>
      </s:c>
      <s:c r="F516" s="24">
        <s:f>'자료구성'!$B$2+TIME(INT($C$3/10000),INT(MOD($C$3,10000)/100),MOD($C$3,100))+(ROW()-ROW($C$3))/86400</s:f>
        <s:v>46247.530439814815</s:v>
      </s:c>
    </s:row>
    <s:row r="517">
      <s:c r="A517" s="0" t="n">
        <s:v>260813</s:v>
      </s:c>
      <s:c r="B517" s="0" t="inlineStr">
        <s:is>
          <s:t>이종훈</s:t>
        </s:is>
      </s:c>
      <s:c r="C517" s="0" t="n">
        <s:v>123517</s:v>
      </s:c>
      <s:c r="D517" s="0" t="n">
        <s:v>4076</s:v>
      </s:c>
      <s:c r="F517" s="24">
        <s:f>'자료구성'!$B$2+TIME(INT($C$3/10000),INT(MOD($C$3,10000)/100),MOD($C$3,100))+(ROW()-ROW($C$3))/86400</s:f>
        <s:v>46247.53045138889</s:v>
      </s:c>
    </s:row>
    <s:row r="518">
      <s:c r="A518" s="0" t="n">
        <s:v>260813</s:v>
      </s:c>
      <s:c r="B518" s="0" t="inlineStr">
        <s:is>
          <s:t>이종훈</s:t>
        </s:is>
      </s:c>
      <s:c r="C518" s="0" t="n">
        <s:v>123517</s:v>
      </s:c>
      <s:c r="D518" s="0" t="n">
        <s:v>4037</s:v>
      </s:c>
      <s:c r="F518" s="24">
        <s:f>'자료구성'!$B$2+TIME(INT($C$3/10000),INT(MOD($C$3,10000)/100),MOD($C$3,100))+(ROW()-ROW($C$3))/86400</s:f>
        <s:v>46247.53046296296</s:v>
      </s:c>
    </s:row>
    <s:row r="519">
      <s:c r="A519" s="0" t="n">
        <s:v>260813</s:v>
      </s:c>
      <s:c r="B519" s="0" t="inlineStr">
        <s:is>
          <s:t>이종훈</s:t>
        </s:is>
      </s:c>
      <s:c r="C519" s="0" t="n">
        <s:v>123517</s:v>
      </s:c>
      <s:c r="D519" s="0" t="n">
        <s:v>4090</s:v>
      </s:c>
      <s:c r="F519" s="24">
        <s:f>'자료구성'!$B$2+TIME(INT($C$3/10000),INT(MOD($C$3,10000)/100),MOD($C$3,100))+(ROW()-ROW($C$3))/86400</s:f>
        <s:v>46247.53047453704</s:v>
      </s:c>
    </s:row>
    <s:row r="520">
      <s:c r="A520" s="0" t="n">
        <s:v>260813</s:v>
      </s:c>
      <s:c r="B520" s="0" t="inlineStr">
        <s:is>
          <s:t>이종훈</s:t>
        </s:is>
      </s:c>
      <s:c r="C520" s="0" t="n">
        <s:v>123517</s:v>
      </s:c>
      <s:c r="D520" s="0" t="n">
        <s:v>4366</s:v>
      </s:c>
      <s:c r="F520" s="24">
        <s:f>'자료구성'!$B$2+TIME(INT($C$3/10000),INT(MOD($C$3,10000)/100),MOD($C$3,100))+(ROW()-ROW($C$3))/86400</s:f>
        <s:v>46247.530486111114</s:v>
      </s:c>
    </s:row>
    <s:row r="521">
      <s:c r="A521" s="0" t="n">
        <s:v>260813</s:v>
      </s:c>
      <s:c r="B521" s="0" t="inlineStr">
        <s:is>
          <s:t>이종훈</s:t>
        </s:is>
      </s:c>
      <s:c r="C521" s="0" t="n">
        <s:v>123517</s:v>
      </s:c>
      <s:c r="D521" s="0" t="n">
        <s:v>4640</s:v>
      </s:c>
      <s:c r="F521" s="24">
        <s:f>'자료구성'!$B$2+TIME(INT($C$3/10000),INT(MOD($C$3,10000)/100),MOD($C$3,100))+(ROW()-ROW($C$3))/86400</s:f>
        <s:v>46247.530497685184</s:v>
      </s:c>
    </s:row>
    <s:row r="522">
      <s:c r="A522" s="0" t="n">
        <s:v>260813</s:v>
      </s:c>
      <s:c r="B522" s="0" t="inlineStr">
        <s:is>
          <s:t>이종훈</s:t>
        </s:is>
      </s:c>
      <s:c r="C522" s="0" t="n">
        <s:v>123517</s:v>
      </s:c>
      <s:c r="D522" s="0" t="n">
        <s:v>4725</s:v>
      </s:c>
      <s:c r="F522" s="24">
        <s:f>'자료구성'!$B$2+TIME(INT($C$3/10000),INT(MOD($C$3,10000)/100),MOD($C$3,100))+(ROW()-ROW($C$3))/86400</s:f>
        <s:v>46247.53050925926</s:v>
      </s:c>
    </s:row>
    <s:row r="523">
      <s:c r="A523" s="0" t="n">
        <s:v>260813</s:v>
      </s:c>
      <s:c r="B523" s="0" t="inlineStr">
        <s:is>
          <s:t>이종훈</s:t>
        </s:is>
      </s:c>
      <s:c r="C523" s="0" t="n">
        <s:v>123517</s:v>
      </s:c>
      <s:c r="D523" s="0" t="n">
        <s:v>4674</s:v>
      </s:c>
      <s:c r="F523" s="24">
        <s:f>'자료구성'!$B$2+TIME(INT($C$3/10000),INT(MOD($C$3,10000)/100),MOD($C$3,100))+(ROW()-ROW($C$3))/86400</s:f>
        <s:v>46247.53052083333</s:v>
      </s:c>
    </s:row>
    <s:row r="524">
      <s:c r="A524" s="0" t="n">
        <s:v>260813</s:v>
      </s:c>
      <s:c r="B524" s="0" t="inlineStr">
        <s:is>
          <s:t>이종훈</s:t>
        </s:is>
      </s:c>
      <s:c r="C524" s="0" t="n">
        <s:v>123517</s:v>
      </s:c>
      <s:c r="D524" s="0" t="n">
        <s:v>4638</s:v>
      </s:c>
      <s:c r="F524" s="24">
        <s:f>'자료구성'!$B$2+TIME(INT($C$3/10000),INT(MOD($C$3,10000)/100),MOD($C$3,100))+(ROW()-ROW($C$3))/86400</s:f>
        <s:v>46247.53053240741</s:v>
      </s:c>
    </s:row>
    <s:row r="525">
      <s:c r="A525" s="0" t="n">
        <s:v>260813</s:v>
      </s:c>
      <s:c r="B525" s="0" t="inlineStr">
        <s:is>
          <s:t>이종훈</s:t>
        </s:is>
      </s:c>
      <s:c r="C525" s="0" t="n">
        <s:v>123517</s:v>
      </s:c>
      <s:c r="D525" s="0" t="n">
        <s:v>4579</s:v>
      </s:c>
      <s:c r="F525" s="24">
        <s:f>'자료구성'!$B$2+TIME(INT($C$3/10000),INT(MOD($C$3,10000)/100),MOD($C$3,100))+(ROW()-ROW($C$3))/86400</s:f>
        <s:v>46247.530543981484</s:v>
      </s:c>
    </s:row>
    <s:row r="526">
      <s:c r="A526" s="0" t="n">
        <s:v>260813</s:v>
      </s:c>
      <s:c r="B526" s="0" t="inlineStr">
        <s:is>
          <s:t>이종훈</s:t>
        </s:is>
      </s:c>
      <s:c r="C526" s="0" t="n">
        <s:v>123517</s:v>
      </s:c>
      <s:c r="D526" s="0" t="n">
        <s:v>4531</s:v>
      </s:c>
      <s:c r="F526" s="24">
        <s:f>'자료구성'!$B$2+TIME(INT($C$3/10000),INT(MOD($C$3,10000)/100),MOD($C$3,100))+(ROW()-ROW($C$3))/86400</s:f>
        <s:v>46247.53055555555</s:v>
      </s:c>
    </s:row>
    <s:row r="527">
      <s:c r="A527" s="0" t="n">
        <s:v>260813</s:v>
      </s:c>
      <s:c r="B527" s="0" t="inlineStr">
        <s:is>
          <s:t>이종훈</s:t>
        </s:is>
      </s:c>
      <s:c r="C527" s="0" t="n">
        <s:v>123517</s:v>
      </s:c>
      <s:c r="D527" s="0" t="n">
        <s:v>4485</s:v>
      </s:c>
      <s:c r="F527" s="24">
        <s:f>'자료구성'!$B$2+TIME(INT($C$3/10000),INT(MOD($C$3,10000)/100),MOD($C$3,100))+(ROW()-ROW($C$3))/86400</s:f>
        <s:v>46247.53056712963</s:v>
      </s:c>
    </s:row>
    <s:row r="528">
      <s:c r="A528" s="0" t="n">
        <s:v>260813</s:v>
      </s:c>
      <s:c r="B528" s="0" t="inlineStr">
        <s:is>
          <s:t>이종훈</s:t>
        </s:is>
      </s:c>
      <s:c r="C528" s="0" t="n">
        <s:v>123517</s:v>
      </s:c>
      <s:c r="D528" s="0" t="n">
        <s:v>4398</s:v>
      </s:c>
      <s:c r="F528" s="24">
        <s:f>'자료구성'!$B$2+TIME(INT($C$3/10000),INT(MOD($C$3,10000)/100),MOD($C$3,100))+(ROW()-ROW($C$3))/86400</s:f>
        <s:v>46247.53057870371</s:v>
      </s:c>
    </s:row>
    <s:row r="529">
      <s:c r="A529" s="0" t="n">
        <s:v>260813</s:v>
      </s:c>
      <s:c r="B529" s="0" t="inlineStr">
        <s:is>
          <s:t>이종훈</s:t>
        </s:is>
      </s:c>
      <s:c r="C529" s="0" t="n">
        <s:v>123517</s:v>
      </s:c>
      <s:c r="D529" s="0" t="n">
        <s:v>4256</s:v>
      </s:c>
      <s:c r="F529" s="24">
        <s:f>'자료구성'!$B$2+TIME(INT($C$3/10000),INT(MOD($C$3,10000)/100),MOD($C$3,100))+(ROW()-ROW($C$3))/86400</s:f>
        <s:v>46247.530590277776</s:v>
      </s:c>
    </s:row>
    <s:row r="530">
      <s:c r="A530" s="0" t="n">
        <s:v>260813</s:v>
      </s:c>
      <s:c r="B530" s="0" t="inlineStr">
        <s:is>
          <s:t>이종훈</s:t>
        </s:is>
      </s:c>
      <s:c r="C530" s="0" t="n">
        <s:v>123517</s:v>
      </s:c>
      <s:c r="D530" s="0" t="n">
        <s:v>4075</s:v>
      </s:c>
      <s:c r="F530" s="24">
        <s:f>'자료구성'!$B$2+TIME(INT($C$3/10000),INT(MOD($C$3,10000)/100),MOD($C$3,100))+(ROW()-ROW($C$3))/86400</s:f>
        <s:v>46247.53060185185</s:v>
      </s:c>
    </s:row>
    <s:row r="531">
      <s:c r="A531" s="0" t="n">
        <s:v>260813</s:v>
      </s:c>
      <s:c r="B531" s="0" t="inlineStr">
        <s:is>
          <s:t>이종훈</s:t>
        </s:is>
      </s:c>
      <s:c r="C531" s="0" t="n">
        <s:v>123517</s:v>
      </s:c>
      <s:c r="D531" s="0" t="n">
        <s:v>3922</s:v>
      </s:c>
      <s:c r="F531" s="24">
        <s:f>'자료구성'!$B$2+TIME(INT($C$3/10000),INT(MOD($C$3,10000)/100),MOD($C$3,100))+(ROW()-ROW($C$3))/86400</s:f>
        <s:v>46247.53061342592</s:v>
      </s:c>
    </s:row>
    <s:row r="532">
      <s:c r="A532" s="0" t="n">
        <s:v>260813</s:v>
      </s:c>
      <s:c r="B532" s="0" t="inlineStr">
        <s:is>
          <s:t>이종훈</s:t>
        </s:is>
      </s:c>
      <s:c r="C532" s="0" t="n">
        <s:v>123517</s:v>
      </s:c>
      <s:c r="D532" s="0" t="n">
        <s:v>3802</s:v>
      </s:c>
      <s:c r="F532" s="24">
        <s:f>'자료구성'!$B$2+TIME(INT($C$3/10000),INT(MOD($C$3,10000)/100),MOD($C$3,100))+(ROW()-ROW($C$3))/86400</s:f>
        <s:v>46247.530625</s:v>
      </s:c>
    </s:row>
    <s:row r="533">
      <s:c r="A533" s="0" t="n">
        <s:v>260813</s:v>
      </s:c>
      <s:c r="B533" s="0" t="inlineStr">
        <s:is>
          <s:t>이종훈</s:t>
        </s:is>
      </s:c>
      <s:c r="C533" s="0" t="n">
        <s:v>123517</s:v>
      </s:c>
      <s:c r="D533" s="0" t="n">
        <s:v>3753</s:v>
      </s:c>
      <s:c r="F533" s="24">
        <s:f>'자료구성'!$B$2+TIME(INT($C$3/10000),INT(MOD($C$3,10000)/100),MOD($C$3,100))+(ROW()-ROW($C$3))/86400</s:f>
        <s:v>46247.530636574076</s:v>
      </s:c>
    </s:row>
    <s:row r="534">
      <s:c r="A534" s="0" t="n">
        <s:v>260813</s:v>
      </s:c>
      <s:c r="B534" s="0" t="inlineStr">
        <s:is>
          <s:t>이종훈</s:t>
        </s:is>
      </s:c>
      <s:c r="C534" s="0" t="n">
        <s:v>123517</s:v>
      </s:c>
      <s:c r="D534" s="0" t="n">
        <s:v>3780</s:v>
      </s:c>
      <s:c r="F534" s="24">
        <s:f>'자료구성'!$B$2+TIME(INT($C$3/10000),INT(MOD($C$3,10000)/100),MOD($C$3,100))+(ROW()-ROW($C$3))/86400</s:f>
        <s:v>46247.530648148146</s:v>
      </s:c>
    </s:row>
    <s:row r="535">
      <s:c r="A535" s="0" t="n">
        <s:v>260813</s:v>
      </s:c>
      <s:c r="B535" s="0" t="inlineStr">
        <s:is>
          <s:t>이종훈</s:t>
        </s:is>
      </s:c>
      <s:c r="C535" s="0" t="n">
        <s:v>123517</s:v>
      </s:c>
      <s:c r="D535" s="0" t="n">
        <s:v>3756</s:v>
      </s:c>
      <s:c r="F535" s="24">
        <s:f>'자료구성'!$B$2+TIME(INT($C$3/10000),INT(MOD($C$3,10000)/100),MOD($C$3,100))+(ROW()-ROW($C$3))/86400</s:f>
        <s:v>46247.53065972222</s:v>
      </s:c>
    </s:row>
    <s:row r="536">
      <s:c r="A536" s="0" t="n">
        <s:v>260813</s:v>
      </s:c>
      <s:c r="B536" s="0" t="inlineStr">
        <s:is>
          <s:t>이종훈</s:t>
        </s:is>
      </s:c>
      <s:c r="C536" s="0" t="n">
        <s:v>123517</s:v>
      </s:c>
      <s:c r="D536" s="0" t="n">
        <s:v>3684</s:v>
      </s:c>
      <s:c r="F536" s="24">
        <s:f>'자료구성'!$B$2+TIME(INT($C$3/10000),INT(MOD($C$3,10000)/100),MOD($C$3,100))+(ROW()-ROW($C$3))/86400</s:f>
        <s:v>46247.5306712963</s:v>
      </s:c>
    </s:row>
    <s:row r="537">
      <s:c r="A537" s="0" t="n">
        <s:v>260813</s:v>
      </s:c>
      <s:c r="B537" s="0" t="inlineStr">
        <s:is>
          <s:t>이종훈</s:t>
        </s:is>
      </s:c>
      <s:c r="C537" s="0" t="n">
        <s:v>123517</s:v>
      </s:c>
      <s:c r="D537" s="0" t="n">
        <s:v>3590</s:v>
      </s:c>
      <s:c r="F537" s="24">
        <s:f>'자료구성'!$B$2+TIME(INT($C$3/10000),INT(MOD($C$3,10000)/100),MOD($C$3,100))+(ROW()-ROW($C$3))/86400</s:f>
        <s:v>46247.53068287037</s:v>
      </s:c>
    </s:row>
    <s:row r="538">
      <s:c r="A538" s="0" t="n">
        <s:v>260813</s:v>
      </s:c>
      <s:c r="B538" s="0" t="inlineStr">
        <s:is>
          <s:t>이종훈</s:t>
        </s:is>
      </s:c>
      <s:c r="C538" s="0" t="n">
        <s:v>123517</s:v>
      </s:c>
      <s:c r="D538" s="0" t="n">
        <s:v>3535</s:v>
      </s:c>
      <s:c r="F538" s="24">
        <s:f>'자료구성'!$B$2+TIME(INT($C$3/10000),INT(MOD($C$3,10000)/100),MOD($C$3,100))+(ROW()-ROW($C$3))/86400</s:f>
        <s:v>46247.530694444446</s:v>
      </s:c>
    </s:row>
    <s:row r="539">
      <s:c r="A539" s="0" t="n">
        <s:v>260813</s:v>
      </s:c>
      <s:c r="B539" s="0" t="inlineStr">
        <s:is>
          <s:t>이종훈</s:t>
        </s:is>
      </s:c>
      <s:c r="C539" s="0" t="n">
        <s:v>123517</s:v>
      </s:c>
      <s:c r="D539" s="0" t="n">
        <s:v>3498</s:v>
      </s:c>
      <s:c r="F539" s="24">
        <s:f>'자료구성'!$B$2+TIME(INT($C$3/10000),INT(MOD($C$3,10000)/100),MOD($C$3,100))+(ROW()-ROW($C$3))/86400</s:f>
        <s:v>46247.530706018515</s:v>
      </s:c>
    </s:row>
    <s:row r="540">
      <s:c r="A540" s="0" t="n">
        <s:v>260813</s:v>
      </s:c>
      <s:c r="B540" s="0" t="inlineStr">
        <s:is>
          <s:t>이종훈</s:t>
        </s:is>
      </s:c>
      <s:c r="C540" s="0" t="n">
        <s:v>123517</s:v>
      </s:c>
      <s:c r="D540" s="0" t="n">
        <s:v>3497</s:v>
      </s:c>
      <s:c r="F540" s="24">
        <s:f>'자료구성'!$B$2+TIME(INT($C$3/10000),INT(MOD($C$3,10000)/100),MOD($C$3,100))+(ROW()-ROW($C$3))/86400</s:f>
        <s:v>46247.53071759259</s:v>
      </s:c>
    </s:row>
    <s:row r="541">
      <s:c r="A541" s="0" t="n">
        <s:v>260813</s:v>
      </s:c>
      <s:c r="B541" s="0" t="inlineStr">
        <s:is>
          <s:t>이종훈</s:t>
        </s:is>
      </s:c>
      <s:c r="C541" s="0" t="n">
        <s:v>123517</s:v>
      </s:c>
      <s:c r="D541" s="0" t="n">
        <s:v>3477</s:v>
      </s:c>
      <s:c r="F541" s="24">
        <s:f>'자료구성'!$B$2+TIME(INT($C$3/10000),INT(MOD($C$3,10000)/100),MOD($C$3,100))+(ROW()-ROW($C$3))/86400</s:f>
        <s:v>46247.53072916667</s:v>
      </s:c>
    </s:row>
    <s:row r="542">
      <s:c r="A542" s="0" t="n">
        <s:v>260813</s:v>
      </s:c>
      <s:c r="B542" s="0" t="inlineStr">
        <s:is>
          <s:t>이종훈</s:t>
        </s:is>
      </s:c>
      <s:c r="C542" s="0" t="n">
        <s:v>123517</s:v>
      </s:c>
      <s:c r="D542" s="0" t="n">
        <s:v>3451</s:v>
      </s:c>
      <s:c r="F542" s="24">
        <s:f>'자료구성'!$B$2+TIME(INT($C$3/10000),INT(MOD($C$3,10000)/100),MOD($C$3,100))+(ROW()-ROW($C$3))/86400</s:f>
        <s:v>46247.53074074074</s:v>
      </s:c>
    </s:row>
    <s:row r="543">
      <s:c r="A543" s="0" t="n">
        <s:v>260813</s:v>
      </s:c>
      <s:c r="B543" s="0" t="inlineStr">
        <s:is>
          <s:t>이종훈</s:t>
        </s:is>
      </s:c>
      <s:c r="C543" s="0" t="n">
        <s:v>123517</s:v>
      </s:c>
      <s:c r="D543" s="0" t="n">
        <s:v>3544</s:v>
      </s:c>
      <s:c r="F543" s="24">
        <s:f>'자료구성'!$B$2+TIME(INT($C$3/10000),INT(MOD($C$3,10000)/100),MOD($C$3,100))+(ROW()-ROW($C$3))/86400</s:f>
        <s:v>46247.530752314815</s:v>
      </s:c>
    </s:row>
    <s:row r="544">
      <s:c r="A544" s="0" t="n">
        <s:v>260813</s:v>
      </s:c>
      <s:c r="B544" s="0" t="inlineStr">
        <s:is>
          <s:t>이종훈</s:t>
        </s:is>
      </s:c>
      <s:c r="C544" s="0" t="n">
        <s:v>123517</s:v>
      </s:c>
      <s:c r="D544" s="0" t="n">
        <s:v>3796</s:v>
      </s:c>
      <s:c r="F544" s="24">
        <s:f>'자료구성'!$B$2+TIME(INT($C$3/10000),INT(MOD($C$3,10000)/100),MOD($C$3,100))+(ROW()-ROW($C$3))/86400</s:f>
        <s:v>46247.53076388889</s:v>
      </s:c>
    </s:row>
    <s:row r="545">
      <s:c r="A545" s="0" t="n">
        <s:v>260813</s:v>
      </s:c>
      <s:c r="B545" s="0" t="inlineStr">
        <s:is>
          <s:t>이종훈</s:t>
        </s:is>
      </s:c>
      <s:c r="C545" s="0" t="n">
        <s:v>123517</s:v>
      </s:c>
      <s:c r="D545" s="0" t="n">
        <s:v>3953</s:v>
      </s:c>
      <s:c r="F545" s="24">
        <s:f>'자료구성'!$B$2+TIME(INT($C$3/10000),INT(MOD($C$3,10000)/100),MOD($C$3,100))+(ROW()-ROW($C$3))/86400</s:f>
        <s:v>46247.53077546296</s:v>
      </s:c>
    </s:row>
    <s:row r="546">
      <s:c r="A546" s="0" t="n">
        <s:v>260813</s:v>
      </s:c>
      <s:c r="B546" s="0" t="inlineStr">
        <s:is>
          <s:t>이종훈</s:t>
        </s:is>
      </s:c>
      <s:c r="C546" s="0" t="n">
        <s:v>123517</s:v>
      </s:c>
      <s:c r="D546" s="0" t="n">
        <s:v>4225</s:v>
      </s:c>
      <s:c r="F546" s="24">
        <s:f>'자료구성'!$B$2+TIME(INT($C$3/10000),INT(MOD($C$3,10000)/100),MOD($C$3,100))+(ROW()-ROW($C$3))/86400</s:f>
        <s:v>46247.53078703704</s:v>
      </s:c>
    </s:row>
    <s:row r="547">
      <s:c r="A547" s="0" t="n">
        <s:v>260813</s:v>
      </s:c>
      <s:c r="B547" s="0" t="inlineStr">
        <s:is>
          <s:t>이종훈</s:t>
        </s:is>
      </s:c>
      <s:c r="C547" s="0" t="n">
        <s:v>123517</s:v>
      </s:c>
      <s:c r="D547" s="0" t="n">
        <s:v>4399</s:v>
      </s:c>
      <s:c r="F547" s="24">
        <s:f>'자료구성'!$B$2+TIME(INT($C$3/10000),INT(MOD($C$3,10000)/100),MOD($C$3,100))+(ROW()-ROW($C$3))/86400</s:f>
        <s:v>46247.530798611115</s:v>
      </s:c>
    </s:row>
    <s:row r="548">
      <s:c r="A548" s="0" t="n">
        <s:v>260813</s:v>
      </s:c>
      <s:c r="B548" s="0" t="inlineStr">
        <s:is>
          <s:t>이종훈</s:t>
        </s:is>
      </s:c>
      <s:c r="C548" s="0" t="n">
        <s:v>123517</s:v>
      </s:c>
      <s:c r="D548" s="0" t="n">
        <s:v>4620</s:v>
      </s:c>
      <s:c r="F548" s="24">
        <s:f>'자료구성'!$B$2+TIME(INT($C$3/10000),INT(MOD($C$3,10000)/100),MOD($C$3,100))+(ROW()-ROW($C$3))/86400</s:f>
        <s:v>46247.530810185184</s:v>
      </s:c>
    </s:row>
    <s:row r="549">
      <s:c r="A549" s="0" t="n">
        <s:v>260813</s:v>
      </s:c>
      <s:c r="B549" s="0" t="inlineStr">
        <s:is>
          <s:t>이종훈</s:t>
        </s:is>
      </s:c>
      <s:c r="C549" s="0" t="n">
        <s:v>123517</s:v>
      </s:c>
      <s:c r="D549" s="0" t="n">
        <s:v>4767</s:v>
      </s:c>
      <s:c r="F549" s="24">
        <s:f>'자료구성'!$B$2+TIME(INT($C$3/10000),INT(MOD($C$3,10000)/100),MOD($C$3,100))+(ROW()-ROW($C$3))/86400</s:f>
        <s:v>46247.53082175926</s:v>
      </s:c>
    </s:row>
    <s:row r="550">
      <s:c r="A550" s="0" t="n">
        <s:v>260813</s:v>
      </s:c>
      <s:c r="B550" s="0" t="inlineStr">
        <s:is>
          <s:t>이종훈</s:t>
        </s:is>
      </s:c>
      <s:c r="C550" s="0" t="n">
        <s:v>123517</s:v>
      </s:c>
      <s:c r="D550" s="0" t="n">
        <s:v>4843</s:v>
      </s:c>
      <s:c r="F550" s="24">
        <s:f>'자료구성'!$B$2+TIME(INT($C$3/10000),INT(MOD($C$3,10000)/100),MOD($C$3,100))+(ROW()-ROW($C$3))/86400</s:f>
        <s:v>46247.53083333333</s:v>
      </s:c>
    </s:row>
    <s:row r="551">
      <s:c r="A551" s="0" t="n">
        <s:v>260813</s:v>
      </s:c>
      <s:c r="B551" s="0" t="inlineStr">
        <s:is>
          <s:t>이종훈</s:t>
        </s:is>
      </s:c>
      <s:c r="C551" s="0" t="n">
        <s:v>123517</s:v>
      </s:c>
      <s:c r="D551" s="0" t="n">
        <s:v>4835</s:v>
      </s:c>
      <s:c r="F551" s="24">
        <s:f>'자료구성'!$B$2+TIME(INT($C$3/10000),INT(MOD($C$3,10000)/100),MOD($C$3,100))+(ROW()-ROW($C$3))/86400</s:f>
        <s:v>46247.53084490741</s:v>
      </s:c>
    </s:row>
    <s:row r="552">
      <s:c r="A552" s="0" t="n">
        <s:v>260813</s:v>
      </s:c>
      <s:c r="B552" s="0" t="inlineStr">
        <s:is>
          <s:t>이종훈</s:t>
        </s:is>
      </s:c>
      <s:c r="C552" s="0" t="n">
        <s:v>123517</s:v>
      </s:c>
      <s:c r="D552" s="0" t="n">
        <s:v>4789</s:v>
      </s:c>
      <s:c r="F552" s="24">
        <s:f>'자료구성'!$B$2+TIME(INT($C$3/10000),INT(MOD($C$3,10000)/100),MOD($C$3,100))+(ROW()-ROW($C$3))/86400</s:f>
        <s:v>46247.530856481484</s:v>
      </s:c>
    </s:row>
    <s:row r="553">
      <s:c r="A553" s="0" t="n">
        <s:v>260813</s:v>
      </s:c>
      <s:c r="B553" s="0" t="inlineStr">
        <s:is>
          <s:t>이종훈</s:t>
        </s:is>
      </s:c>
      <s:c r="C553" s="0" t="n">
        <s:v>123517</s:v>
      </s:c>
      <s:c r="D553" s="0" t="n">
        <s:v>4654</s:v>
      </s:c>
      <s:c r="F553" s="24">
        <s:f>'자료구성'!$B$2+TIME(INT($C$3/10000),INT(MOD($C$3,10000)/100),MOD($C$3,100))+(ROW()-ROW($C$3))/86400</s:f>
        <s:v>46247.53086805555</s:v>
      </s:c>
    </s:row>
    <s:row r="554">
      <s:c r="A554" s="0" t="n">
        <s:v>260813</s:v>
      </s:c>
      <s:c r="B554" s="0" t="inlineStr">
        <s:is>
          <s:t>이종훈</s:t>
        </s:is>
      </s:c>
      <s:c r="C554" s="0" t="n">
        <s:v>123517</s:v>
      </s:c>
      <s:c r="D554" s="0" t="n">
        <s:v>4587</s:v>
      </s:c>
      <s:c r="F554" s="24">
        <s:f>'자료구성'!$B$2+TIME(INT($C$3/10000),INT(MOD($C$3,10000)/100),MOD($C$3,100))+(ROW()-ROW($C$3))/86400</s:f>
        <s:v>46247.53087962963</s:v>
      </s:c>
    </s:row>
    <s:row r="555">
      <s:c r="A555" s="0" t="n">
        <s:v>260813</s:v>
      </s:c>
      <s:c r="B555" s="0" t="inlineStr">
        <s:is>
          <s:t>이종훈</s:t>
        </s:is>
      </s:c>
      <s:c r="C555" s="0" t="n">
        <s:v>123517</s:v>
      </s:c>
      <s:c r="D555" s="0" t="n">
        <s:v>4484</s:v>
      </s:c>
      <s:c r="F555" s="24">
        <s:f>'자료구성'!$B$2+TIME(INT($C$3/10000),INT(MOD($C$3,10000)/100),MOD($C$3,100))+(ROW()-ROW($C$3))/86400</s:f>
        <s:v>46247.53089120371</s:v>
      </s:c>
    </s:row>
    <s:row r="556">
      <s:c r="A556" s="0" t="n">
        <s:v>260813</s:v>
      </s:c>
      <s:c r="B556" s="0" t="inlineStr">
        <s:is>
          <s:t>이종훈</s:t>
        </s:is>
      </s:c>
      <s:c r="C556" s="0" t="n">
        <s:v>123517</s:v>
      </s:c>
      <s:c r="D556" s="0" t="n">
        <s:v>4426</s:v>
      </s:c>
      <s:c r="F556" s="24">
        <s:f>'자료구성'!$B$2+TIME(INT($C$3/10000),INT(MOD($C$3,10000)/100),MOD($C$3,100))+(ROW()-ROW($C$3))/86400</s:f>
        <s:v>46247.53090277778</s:v>
      </s:c>
    </s:row>
    <s:row r="557">
      <s:c r="A557" s="0" t="n">
        <s:v>260813</s:v>
      </s:c>
      <s:c r="B557" s="0" t="inlineStr">
        <s:is>
          <s:t>이종훈</s:t>
        </s:is>
      </s:c>
      <s:c r="C557" s="0" t="n">
        <s:v>123517</s:v>
      </s:c>
      <s:c r="D557" s="0" t="n">
        <s:v>4309</s:v>
      </s:c>
      <s:c r="F557" s="24">
        <s:f>'자료구성'!$B$2+TIME(INT($C$3/10000),INT(MOD($C$3,10000)/100),MOD($C$3,100))+(ROW()-ROW($C$3))/86400</s:f>
        <s:v>46247.53091435185</s:v>
      </s:c>
    </s:row>
    <s:row r="558">
      <s:c r="A558" s="0" t="n">
        <s:v>260813</s:v>
      </s:c>
      <s:c r="B558" s="0" t="inlineStr">
        <s:is>
          <s:t>이종훈</s:t>
        </s:is>
      </s:c>
      <s:c r="C558" s="0" t="n">
        <s:v>123517</s:v>
      </s:c>
      <s:c r="D558" s="0" t="n">
        <s:v>4236</s:v>
      </s:c>
      <s:c r="F558" s="24">
        <s:f>'자료구성'!$B$2+TIME(INT($C$3/10000),INT(MOD($C$3,10000)/100),MOD($C$3,100))+(ROW()-ROW($C$3))/86400</s:f>
        <s:v>46247.53092592592</s:v>
      </s:c>
    </s:row>
    <s:row r="559">
      <s:c r="A559" s="0" t="n">
        <s:v>260813</s:v>
      </s:c>
      <s:c r="B559" s="0" t="inlineStr">
        <s:is>
          <s:t>이종훈</s:t>
        </s:is>
      </s:c>
      <s:c r="C559" s="0" t="n">
        <s:v>123517</s:v>
      </s:c>
      <s:c r="D559" s="0" t="n">
        <s:v>4172</s:v>
      </s:c>
      <s:c r="F559" s="24">
        <s:f>'자료구성'!$B$2+TIME(INT($C$3/10000),INT(MOD($C$3,10000)/100),MOD($C$3,100))+(ROW()-ROW($C$3))/86400</s:f>
        <s:v>46247.5309375</s:v>
      </s:c>
    </s:row>
    <s:row r="560">
      <s:c r="A560" s="0" t="n">
        <s:v>260813</s:v>
      </s:c>
      <s:c r="B560" s="0" t="inlineStr">
        <s:is>
          <s:t>이종훈</s:t>
        </s:is>
      </s:c>
      <s:c r="C560" s="0" t="n">
        <s:v>123517</s:v>
      </s:c>
      <s:c r="D560" s="0" t="n">
        <s:v>4090</s:v>
      </s:c>
      <s:c r="F560" s="24">
        <s:f>'자료구성'!$B$2+TIME(INT($C$3/10000),INT(MOD($C$3,10000)/100),MOD($C$3,100))+(ROW()-ROW($C$3))/86400</s:f>
        <s:v>46247.53094907408</s:v>
      </s:c>
    </s:row>
    <s:row r="561">
      <s:c r="A561" s="0" t="n">
        <s:v>260813</s:v>
      </s:c>
      <s:c r="B561" s="0" t="inlineStr">
        <s:is>
          <s:t>이종훈</s:t>
        </s:is>
      </s:c>
      <s:c r="C561" s="0" t="n">
        <s:v>123517</s:v>
      </s:c>
      <s:c r="D561" s="0" t="n">
        <s:v>4008</s:v>
      </s:c>
      <s:c r="F561" s="24">
        <s:f>'자료구성'!$B$2+TIME(INT($C$3/10000),INT(MOD($C$3,10000)/100),MOD($C$3,100))+(ROW()-ROW($C$3))/86400</s:f>
        <s:v>46247.530960648146</s:v>
      </s:c>
    </s:row>
    <s:row r="562">
      <s:c r="A562" s="0" t="n">
        <s:v>260813</s:v>
      </s:c>
      <s:c r="B562" s="0" t="inlineStr">
        <s:is>
          <s:t>이종훈</s:t>
        </s:is>
      </s:c>
      <s:c r="C562" s="0" t="n">
        <s:v>123517</s:v>
      </s:c>
      <s:c r="D562" s="0" t="n">
        <s:v>3981</s:v>
      </s:c>
      <s:c r="F562" s="24">
        <s:f>'자료구성'!$B$2+TIME(INT($C$3/10000),INT(MOD($C$3,10000)/100),MOD($C$3,100))+(ROW()-ROW($C$3))/86400</s:f>
        <s:v>46247.53097222222</s:v>
      </s:c>
    </s:row>
    <s:row r="563">
      <s:c r="A563" s="0" t="n">
        <s:v>260813</s:v>
      </s:c>
      <s:c r="B563" s="0" t="inlineStr">
        <s:is>
          <s:t>이종훈</s:t>
        </s:is>
      </s:c>
      <s:c r="C563" s="0" t="n">
        <s:v>123517</s:v>
      </s:c>
      <s:c r="D563" s="0" t="n">
        <s:v>4039</s:v>
      </s:c>
      <s:c r="F563" s="24">
        <s:f>'자료구성'!$B$2+TIME(INT($C$3/10000),INT(MOD($C$3,10000)/100),MOD($C$3,100))+(ROW()-ROW($C$3))/86400</s:f>
        <s:v>46247.5309837963</s:v>
      </s:c>
    </s:row>
    <s:row r="564">
      <s:c r="A564" s="0" t="n">
        <s:v>260813</s:v>
      </s:c>
      <s:c r="B564" s="0" t="inlineStr">
        <s:is>
          <s:t>이종훈</s:t>
        </s:is>
      </s:c>
      <s:c r="C564" s="0" t="n">
        <s:v>123517</s:v>
      </s:c>
      <s:c r="D564" s="0" t="n">
        <s:v>4078</s:v>
      </s:c>
      <s:c r="F564" s="24">
        <s:f>'자료구성'!$B$2+TIME(INT($C$3/10000),INT(MOD($C$3,10000)/100),MOD($C$3,100))+(ROW()-ROW($C$3))/86400</s:f>
        <s:v>46247.53099537037</s:v>
      </s:c>
    </s:row>
    <s:row r="565">
      <s:c r="A565" s="0" t="n">
        <s:v>260813</s:v>
      </s:c>
      <s:c r="B565" s="0" t="inlineStr">
        <s:is>
          <s:t>이종훈</s:t>
        </s:is>
      </s:c>
      <s:c r="C565" s="0" t="n">
        <s:v>123517</s:v>
      </s:c>
      <s:c r="D565" s="0" t="n">
        <s:v>4052</s:v>
      </s:c>
      <s:c r="F565" s="24">
        <s:f>'자료구성'!$B$2+TIME(INT($C$3/10000),INT(MOD($C$3,10000)/100),MOD($C$3,100))+(ROW()-ROW($C$3))/86400</s:f>
        <s:v>46247.531006944446</s:v>
      </s:c>
    </s:row>
    <s:row r="566">
      <s:c r="A566" s="0" t="n">
        <s:v>260813</s:v>
      </s:c>
      <s:c r="B566" s="0" t="inlineStr">
        <s:is>
          <s:t>이종훈</s:t>
        </s:is>
      </s:c>
      <s:c r="C566" s="0" t="n">
        <s:v>123517</s:v>
      </s:c>
      <s:c r="D566" s="0" t="n">
        <s:v>3984</s:v>
      </s:c>
      <s:c r="F566" s="24">
        <s:f>'자료구성'!$B$2+TIME(INT($C$3/10000),INT(MOD($C$3,10000)/100),MOD($C$3,100))+(ROW()-ROW($C$3))/86400</s:f>
        <s:v>46247.531018518515</s:v>
      </s:c>
    </s:row>
    <s:row r="567">
      <s:c r="A567" s="0" t="n">
        <s:v>260813</s:v>
      </s:c>
      <s:c r="B567" s="0" t="inlineStr">
        <s:is>
          <s:t>이종훈</s:t>
        </s:is>
      </s:c>
      <s:c r="C567" s="0" t="n">
        <s:v>123517</s:v>
      </s:c>
      <s:c r="D567" s="0" t="n">
        <s:v>3899</s:v>
      </s:c>
      <s:c r="F567" s="24">
        <s:f>'자료구성'!$B$2+TIME(INT($C$3/10000),INT(MOD($C$3,10000)/100),MOD($C$3,100))+(ROW()-ROW($C$3))/86400</s:f>
        <s:v>46247.53103009259</s:v>
      </s:c>
    </s:row>
    <s:row r="568">
      <s:c r="A568" s="0" t="n">
        <s:v>260813</s:v>
      </s:c>
      <s:c r="B568" s="0" t="inlineStr">
        <s:is>
          <s:t>이종훈</s:t>
        </s:is>
      </s:c>
      <s:c r="C568" s="0" t="n">
        <s:v>123517</s:v>
      </s:c>
      <s:c r="D568" s="0" t="n">
        <s:v>3821</s:v>
      </s:c>
      <s:c r="F568" s="24">
        <s:f>'자료구성'!$B$2+TIME(INT($C$3/10000),INT(MOD($C$3,10000)/100),MOD($C$3,100))+(ROW()-ROW($C$3))/86400</s:f>
        <s:v>46247.53104166667</s:v>
      </s:c>
    </s:row>
    <s:row r="569">
      <s:c r="A569" s="0" t="n">
        <s:v>260813</s:v>
      </s:c>
      <s:c r="B569" s="0" t="inlineStr">
        <s:is>
          <s:t>이종훈</s:t>
        </s:is>
      </s:c>
      <s:c r="C569" s="0" t="n">
        <s:v>123517</s:v>
      </s:c>
      <s:c r="D569" s="0" t="n">
        <s:v>3734</s:v>
      </s:c>
      <s:c r="F569" s="24">
        <s:f>'자료구성'!$B$2+TIME(INT($C$3/10000),INT(MOD($C$3,10000)/100),MOD($C$3,100))+(ROW()-ROW($C$3))/86400</s:f>
        <s:v>46247.53105324074</s:v>
      </s:c>
    </s:row>
    <s:row r="570">
      <s:c r="A570" s="0" t="n">
        <s:v>260813</s:v>
      </s:c>
      <s:c r="B570" s="0" t="inlineStr">
        <s:is>
          <s:t>이종훈</s:t>
        </s:is>
      </s:c>
      <s:c r="C570" s="0" t="n">
        <s:v>123517</s:v>
      </s:c>
      <s:c r="D570" s="0" t="n">
        <s:v>3684</s:v>
      </s:c>
      <s:c r="F570" s="24">
        <s:f>'자료구성'!$B$2+TIME(INT($C$3/10000),INT(MOD($C$3,10000)/100),MOD($C$3,100))+(ROW()-ROW($C$3))/86400</s:f>
        <s:v>46247.531064814815</s:v>
      </s:c>
    </s:row>
    <s:row r="571">
      <s:c r="A571" s="0" t="n">
        <s:v>260813</s:v>
      </s:c>
      <s:c r="B571" s="0" t="inlineStr">
        <s:is>
          <s:t>이종훈</s:t>
        </s:is>
      </s:c>
      <s:c r="C571" s="0" t="n">
        <s:v>123517</s:v>
      </s:c>
      <s:c r="D571" s="0" t="n">
        <s:v>3649</s:v>
      </s:c>
      <s:c r="F571" s="24">
        <s:f>'자료구성'!$B$2+TIME(INT($C$3/10000),INT(MOD($C$3,10000)/100),MOD($C$3,100))+(ROW()-ROW($C$3))/86400</s:f>
        <s:v>46247.53107638889</s:v>
      </s:c>
    </s:row>
    <s:row r="572">
      <s:c r="A572" s="0" t="n">
        <s:v>260813</s:v>
      </s:c>
      <s:c r="B572" s="0" t="inlineStr">
        <s:is>
          <s:t>이종훈</s:t>
        </s:is>
      </s:c>
      <s:c r="C572" s="0" t="n">
        <s:v>123517</s:v>
      </s:c>
      <s:c r="D572" s="0" t="n">
        <s:v>3575</s:v>
      </s:c>
      <s:c r="F572" s="24">
        <s:f>'자료구성'!$B$2+TIME(INT($C$3/10000),INT(MOD($C$3,10000)/100),MOD($C$3,100))+(ROW()-ROW($C$3))/86400</s:f>
        <s:v>46247.53108796296</s:v>
      </s:c>
    </s:row>
    <s:row r="573">
      <s:c r="A573" s="0" t="n">
        <s:v>260813</s:v>
      </s:c>
      <s:c r="B573" s="0" t="inlineStr">
        <s:is>
          <s:t>이종훈</s:t>
        </s:is>
      </s:c>
      <s:c r="C573" s="0" t="n">
        <s:v>123517</s:v>
      </s:c>
      <s:c r="D573" s="0" t="n">
        <s:v>3526</s:v>
      </s:c>
      <s:c r="F573" s="24">
        <s:f>'자료구성'!$B$2+TIME(INT($C$3/10000),INT(MOD($C$3,10000)/100),MOD($C$3,100))+(ROW()-ROW($C$3))/86400</s:f>
        <s:v>46247.53109953704</s:v>
      </s:c>
    </s:row>
    <s:row r="574">
      <s:c r="A574" s="0" t="n">
        <s:v>260813</s:v>
      </s:c>
      <s:c r="B574" s="0" t="inlineStr">
        <s:is>
          <s:t>이종훈</s:t>
        </s:is>
      </s:c>
      <s:c r="C574" s="0" t="n">
        <s:v>123517</s:v>
      </s:c>
      <s:c r="D574" s="0" t="n">
        <s:v>3449</s:v>
      </s:c>
      <s:c r="F574" s="24">
        <s:f>'자료구성'!$B$2+TIME(INT($C$3/10000),INT(MOD($C$3,10000)/100),MOD($C$3,100))+(ROW()-ROW($C$3))/86400</s:f>
        <s:v>46247.53111111111</s:v>
      </s:c>
    </s:row>
    <s:row r="575">
      <s:c r="A575" s="0" t="n">
        <s:v>260813</s:v>
      </s:c>
      <s:c r="B575" s="0" t="inlineStr">
        <s:is>
          <s:t>이종훈</s:t>
        </s:is>
      </s:c>
      <s:c r="C575" s="0" t="n">
        <s:v>123517</s:v>
      </s:c>
      <s:c r="D575" s="0" t="n">
        <s:v>3364</s:v>
      </s:c>
      <s:c r="F575" s="24">
        <s:f>'자료구성'!$B$2+TIME(INT($C$3/10000),INT(MOD($C$3,10000)/100),MOD($C$3,100))+(ROW()-ROW($C$3))/86400</s:f>
        <s:v>46247.531122685185</s:v>
      </s:c>
    </s:row>
    <s:row r="576">
      <s:c r="A576" s="0" t="n">
        <s:v>260813</s:v>
      </s:c>
      <s:c r="B576" s="0" t="inlineStr">
        <s:is>
          <s:t>이종훈</s:t>
        </s:is>
      </s:c>
      <s:c r="C576" s="0" t="n">
        <s:v>123517</s:v>
      </s:c>
      <s:c r="D576" s="0" t="n">
        <s:v>3278</s:v>
      </s:c>
      <s:c r="F576" s="24">
        <s:f>'자료구성'!$B$2+TIME(INT($C$3/10000),INT(MOD($C$3,10000)/100),MOD($C$3,100))+(ROW()-ROW($C$3))/86400</s:f>
        <s:v>46247.53113425926</s:v>
      </s:c>
    </s:row>
    <s:row r="577">
      <s:c r="A577" s="0" t="n">
        <s:v>260813</s:v>
      </s:c>
      <s:c r="B577" s="0" t="inlineStr">
        <s:is>
          <s:t>이종훈</s:t>
        </s:is>
      </s:c>
      <s:c r="C577" s="0" t="n">
        <s:v>123517</s:v>
      </s:c>
      <s:c r="D577" s="0" t="n">
        <s:v>3184</s:v>
      </s:c>
      <s:c r="F577" s="24">
        <s:f>'자료구성'!$B$2+TIME(INT($C$3/10000),INT(MOD($C$3,10000)/100),MOD($C$3,100))+(ROW()-ROW($C$3))/86400</s:f>
        <s:v>46247.53114583333</s:v>
      </s:c>
    </s:row>
    <s:row r="578">
      <s:c r="A578" s="0" t="n">
        <s:v>260813</s:v>
      </s:c>
      <s:c r="B578" s="0" t="inlineStr">
        <s:is>
          <s:t>이종훈</s:t>
        </s:is>
      </s:c>
      <s:c r="C578" s="0" t="n">
        <s:v>123517</s:v>
      </s:c>
      <s:c r="D578" s="0" t="n">
        <s:v>3152</s:v>
      </s:c>
      <s:c r="F578" s="24">
        <s:f>'자료구성'!$B$2+TIME(INT($C$3/10000),INT(MOD($C$3,10000)/100),MOD($C$3,100))+(ROW()-ROW($C$3))/86400</s:f>
        <s:v>46247.53115740741</s:v>
      </s:c>
    </s:row>
    <s:row r="579">
      <s:c r="A579" s="0" t="n">
        <s:v>260813</s:v>
      </s:c>
      <s:c r="B579" s="0" t="inlineStr">
        <s:is>
          <s:t>이종훈</s:t>
        </s:is>
      </s:c>
      <s:c r="C579" s="0" t="n">
        <s:v>123517</s:v>
      </s:c>
      <s:c r="D579" s="0" t="n">
        <s:v>3152</s:v>
      </s:c>
      <s:c r="F579" s="24">
        <s:f>'자료구성'!$B$2+TIME(INT($C$3/10000),INT(MOD($C$3,10000)/100),MOD($C$3,100))+(ROW()-ROW($C$3))/86400</s:f>
        <s:v>46247.531168981484</s:v>
      </s:c>
    </s:row>
    <s:row r="580">
      <s:c r="A580" s="0" t="n">
        <s:v>260813</s:v>
      </s:c>
      <s:c r="B580" s="0" t="inlineStr">
        <s:is>
          <s:t>이종훈</s:t>
        </s:is>
      </s:c>
      <s:c r="C580" s="0" t="n">
        <s:v>123517</s:v>
      </s:c>
      <s:c r="D580" s="0" t="n">
        <s:v>3162</s:v>
      </s:c>
      <s:c r="F580" s="24">
        <s:f>'자료구성'!$B$2+TIME(INT($C$3/10000),INT(MOD($C$3,10000)/100),MOD($C$3,100))+(ROW()-ROW($C$3))/86400</s:f>
        <s:v>46247.531180555554</s:v>
      </s:c>
    </s:row>
    <s:row r="581">
      <s:c r="A581" s="0" t="n">
        <s:v>260813</s:v>
      </s:c>
      <s:c r="B581" s="0" t="inlineStr">
        <s:is>
          <s:t>이종훈</s:t>
        </s:is>
      </s:c>
      <s:c r="C581" s="0" t="n">
        <s:v>123517</s:v>
      </s:c>
      <s:c r="D581" s="0" t="n">
        <s:v>3124</s:v>
      </s:c>
      <s:c r="F581" s="24">
        <s:f>'자료구성'!$B$2+TIME(INT($C$3/10000),INT(MOD($C$3,10000)/100),MOD($C$3,100))+(ROW()-ROW($C$3))/86400</s:f>
        <s:v>46247.53119212963</s:v>
      </s:c>
    </s:row>
    <s:row r="582">
      <s:c r="A582" s="0" t="n">
        <s:v>260813</s:v>
      </s:c>
      <s:c r="B582" s="0" t="inlineStr">
        <s:is>
          <s:t>이종훈</s:t>
        </s:is>
      </s:c>
      <s:c r="C582" s="0" t="n">
        <s:v>123517</s:v>
      </s:c>
      <s:c r="D582" s="0" t="n">
        <s:v>3079</s:v>
      </s:c>
      <s:c r="F582" s="24">
        <s:f>'자료구성'!$B$2+TIME(INT($C$3/10000),INT(MOD($C$3,10000)/100),MOD($C$3,100))+(ROW()-ROW($C$3))/86400</s:f>
        <s:v>46247.5312037037</s:v>
      </s:c>
    </s:row>
    <s:row r="583">
      <s:c r="A583" s="0" t="n">
        <s:v>260813</s:v>
      </s:c>
      <s:c r="B583" s="0" t="inlineStr">
        <s:is>
          <s:t>이종훈</s:t>
        </s:is>
      </s:c>
      <s:c r="C583" s="0" t="n">
        <s:v>123517</s:v>
      </s:c>
      <s:c r="D583" s="0" t="n">
        <s:v>3060</s:v>
      </s:c>
      <s:c r="F583" s="24">
        <s:f>'자료구성'!$B$2+TIME(INT($C$3/10000),INT(MOD($C$3,10000)/100),MOD($C$3,100))+(ROW()-ROW($C$3))/86400</s:f>
        <s:v>46247.53121527778</s:v>
      </s:c>
    </s:row>
    <s:row r="584">
      <s:c r="A584" s="0" t="n">
        <s:v>260813</s:v>
      </s:c>
      <s:c r="B584" s="0" t="inlineStr">
        <s:is>
          <s:t>이종훈</s:t>
        </s:is>
      </s:c>
      <s:c r="C584" s="0" t="n">
        <s:v>123517</s:v>
      </s:c>
      <s:c r="D584" s="0" t="n">
        <s:v>3048</s:v>
      </s:c>
      <s:c r="F584" s="24">
        <s:f>'자료구성'!$B$2+TIME(INT($C$3/10000),INT(MOD($C$3,10000)/100),MOD($C$3,100))+(ROW()-ROW($C$3))/86400</s:f>
        <s:v>46247.531226851854</s:v>
      </s:c>
    </s:row>
    <s:row r="585">
      <s:c r="A585" s="0" t="n">
        <s:v>260813</s:v>
      </s:c>
      <s:c r="B585" s="0" t="inlineStr">
        <s:is>
          <s:t>이종훈</s:t>
        </s:is>
      </s:c>
      <s:c r="C585" s="0" t="n">
        <s:v>123517</s:v>
      </s:c>
      <s:c r="D585" s="0" t="n">
        <s:v>3019</s:v>
      </s:c>
      <s:c r="F585" s="24">
        <s:f>'자료구성'!$B$2+TIME(INT($C$3/10000),INT(MOD($C$3,10000)/100),MOD($C$3,100))+(ROW()-ROW($C$3))/86400</s:f>
        <s:v>46247.53123842592</s:v>
      </s:c>
    </s:row>
    <s:row r="586">
      <s:c r="A586" s="0" t="n">
        <s:v>260813</s:v>
      </s:c>
      <s:c r="B586" s="0" t="inlineStr">
        <s:is>
          <s:t>이종훈</s:t>
        </s:is>
      </s:c>
      <s:c r="C586" s="0" t="n">
        <s:v>123517</s:v>
      </s:c>
      <s:c r="D586" s="0" t="n">
        <s:v>3021</s:v>
      </s:c>
      <s:c r="F586" s="24">
        <s:f>'자료구성'!$B$2+TIME(INT($C$3/10000),INT(MOD($C$3,10000)/100),MOD($C$3,100))+(ROW()-ROW($C$3))/86400</s:f>
        <s:v>46247.53125</s:v>
      </s:c>
    </s:row>
    <s:row r="587">
      <s:c r="A587" s="0" t="n">
        <s:v>260813</s:v>
      </s:c>
      <s:c r="B587" s="0" t="inlineStr">
        <s:is>
          <s:t>이종훈</s:t>
        </s:is>
      </s:c>
      <s:c r="C587" s="0" t="n">
        <s:v>123517</s:v>
      </s:c>
      <s:c r="D587" s="0" t="n">
        <s:v>3012</s:v>
      </s:c>
      <s:c r="F587" s="24">
        <s:f>'자료구성'!$B$2+TIME(INT($C$3/10000),INT(MOD($C$3,10000)/100),MOD($C$3,100))+(ROW()-ROW($C$3))/86400</s:f>
        <s:v>46247.53126157408</s:v>
      </s:c>
    </s:row>
    <s:row r="588">
      <s:c r="A588" s="0" t="n">
        <s:v>260813</s:v>
      </s:c>
      <s:c r="B588" s="0" t="inlineStr">
        <s:is>
          <s:t>이종훈</s:t>
        </s:is>
      </s:c>
      <s:c r="C588" s="0" t="n">
        <s:v>123517</s:v>
      </s:c>
      <s:c r="D588" s="0" t="n">
        <s:v>3002</s:v>
      </s:c>
      <s:c r="F588" s="24">
        <s:f>'자료구성'!$B$2+TIME(INT($C$3/10000),INT(MOD($C$3,10000)/100),MOD($C$3,100))+(ROW()-ROW($C$3))/86400</s:f>
        <s:v>46247.531273148146</s:v>
      </s:c>
    </s:row>
    <s:row r="589">
      <s:c r="A589" s="0" t="n">
        <s:v>260813</s:v>
      </s:c>
      <s:c r="B589" s="0" t="inlineStr">
        <s:is>
          <s:t>이종훈</s:t>
        </s:is>
      </s:c>
      <s:c r="C589" s="0" t="n">
        <s:v>123517</s:v>
      </s:c>
      <s:c r="D589" s="0" t="n">
        <s:v>2983</s:v>
      </s:c>
      <s:c r="F589" s="24">
        <s:f>'자료구성'!$B$2+TIME(INT($C$3/10000),INT(MOD($C$3,10000)/100),MOD($C$3,100))+(ROW()-ROW($C$3))/86400</s:f>
        <s:v>46247.53128472222</s:v>
      </s:c>
    </s:row>
    <s:row r="590">
      <s:c r="A590" s="0" t="n">
        <s:v>260813</s:v>
      </s:c>
      <s:c r="B590" s="0" t="inlineStr">
        <s:is>
          <s:t>이종훈</s:t>
        </s:is>
      </s:c>
      <s:c r="C590" s="0" t="n">
        <s:v>123517</s:v>
      </s:c>
      <s:c r="D590" s="0" t="n">
        <s:v>2949</s:v>
      </s:c>
      <s:c r="F590" s="24">
        <s:f>'자료구성'!$B$2+TIME(INT($C$3/10000),INT(MOD($C$3,10000)/100),MOD($C$3,100))+(ROW()-ROW($C$3))/86400</s:f>
        <s:v>46247.5312962963</s:v>
      </s:c>
    </s:row>
    <s:row r="591">
      <s:c r="A591" s="0" t="n">
        <s:v>260813</s:v>
      </s:c>
      <s:c r="B591" s="0" t="inlineStr">
        <s:is>
          <s:t>이종훈</s:t>
        </s:is>
      </s:c>
      <s:c r="C591" s="0" t="n">
        <s:v>123517</s:v>
      </s:c>
      <s:c r="D591" s="0" t="n">
        <s:v>2916</s:v>
      </s:c>
      <s:c r="F591" s="24">
        <s:f>'자료구성'!$B$2+TIME(INT($C$3/10000),INT(MOD($C$3,10000)/100),MOD($C$3,100))+(ROW()-ROW($C$3))/86400</s:f>
        <s:v>46247.53130787037</s:v>
      </s:c>
    </s:row>
    <s:row r="592">
      <s:c r="A592" s="0" t="n">
        <s:v>260813</s:v>
      </s:c>
      <s:c r="B592" s="0" t="inlineStr">
        <s:is>
          <s:t>이종훈</s:t>
        </s:is>
      </s:c>
      <s:c r="C592" s="0" t="n">
        <s:v>123517</s:v>
      </s:c>
      <s:c r="D592" s="0" t="n">
        <s:v>2880</s:v>
      </s:c>
      <s:c r="F592" s="24">
        <s:f>'자료구성'!$B$2+TIME(INT($C$3/10000),INT(MOD($C$3,10000)/100),MOD($C$3,100))+(ROW()-ROW($C$3))/86400</s:f>
        <s:v>46247.531319444446</s:v>
      </s:c>
    </s:row>
    <s:row r="593">
      <s:c r="A593" s="0" t="n">
        <s:v>260813</s:v>
      </s:c>
      <s:c r="B593" s="0" t="inlineStr">
        <s:is>
          <s:t>이종훈</s:t>
        </s:is>
      </s:c>
      <s:c r="C593" s="0" t="n">
        <s:v>123517</s:v>
      </s:c>
      <s:c r="D593" s="0" t="n">
        <s:v>2817</s:v>
      </s:c>
      <s:c r="F593" s="24">
        <s:f>'자료구성'!$B$2+TIME(INT($C$3/10000),INT(MOD($C$3,10000)/100),MOD($C$3,100))+(ROW()-ROW($C$3))/86400</s:f>
        <s:v>46247.531331018516</s:v>
      </s:c>
    </s:row>
    <s:row r="594">
      <s:c r="A594" s="0" t="n">
        <s:v>260813</s:v>
      </s:c>
      <s:c r="B594" s="0" t="inlineStr">
        <s:is>
          <s:t>이종훈</s:t>
        </s:is>
      </s:c>
      <s:c r="C594" s="0" t="n">
        <s:v>123517</s:v>
      </s:c>
      <s:c r="D594" s="0" t="n">
        <s:v>2812</s:v>
      </s:c>
      <s:c r="F594" s="24">
        <s:f>'자료구성'!$B$2+TIME(INT($C$3/10000),INT(MOD($C$3,10000)/100),MOD($C$3,100))+(ROW()-ROW($C$3))/86400</s:f>
        <s:v>46247.53134259259</s:v>
      </s:c>
    </s:row>
    <s:row r="595">
      <s:c r="A595" s="0" t="n">
        <s:v>260813</s:v>
      </s:c>
      <s:c r="B595" s="0" t="inlineStr">
        <s:is>
          <s:t>이종훈</s:t>
        </s:is>
      </s:c>
      <s:c r="C595" s="0" t="n">
        <s:v>123517</s:v>
      </s:c>
      <s:c r="D595" s="0" t="n">
        <s:v>2790</s:v>
      </s:c>
      <s:c r="F595" s="24">
        <s:f>'자료구성'!$B$2+TIME(INT($C$3/10000),INT(MOD($C$3,10000)/100),MOD($C$3,100))+(ROW()-ROW($C$3))/86400</s:f>
        <s:v>46247.53135416667</s:v>
      </s:c>
    </s:row>
    <s:row r="596">
      <s:c r="A596" s="0" t="n">
        <s:v>260813</s:v>
      </s:c>
      <s:c r="B596" s="0" t="inlineStr">
        <s:is>
          <s:t>이종훈</s:t>
        </s:is>
      </s:c>
      <s:c r="C596" s="0" t="n">
        <s:v>123517</s:v>
      </s:c>
      <s:c r="D596" s="0" t="n">
        <s:v>2751</s:v>
      </s:c>
      <s:c r="F596" s="24">
        <s:f>'자료구성'!$B$2+TIME(INT($C$3/10000),INT(MOD($C$3,10000)/100),MOD($C$3,100))+(ROW()-ROW($C$3))/86400</s:f>
        <s:v>46247.53136574074</s:v>
      </s:c>
    </s:row>
    <s:row r="597">
      <s:c r="A597" s="0" t="n">
        <s:v>260813</s:v>
      </s:c>
      <s:c r="B597" s="0" t="inlineStr">
        <s:is>
          <s:t>이종훈</s:t>
        </s:is>
      </s:c>
      <s:c r="C597" s="0" t="n">
        <s:v>123517</s:v>
      </s:c>
      <s:c r="D597" s="0" t="n">
        <s:v>2731</s:v>
      </s:c>
      <s:c r="F597" s="24">
        <s:f>'자료구성'!$B$2+TIME(INT($C$3/10000),INT(MOD($C$3,10000)/100),MOD($C$3,100))+(ROW()-ROW($C$3))/86400</s:f>
        <s:v>46247.531377314815</s:v>
      </s:c>
    </s:row>
    <s:row r="598">
      <s:c r="A598" s="0" t="n">
        <s:v>260813</s:v>
      </s:c>
      <s:c r="B598" s="0" t="inlineStr">
        <s:is>
          <s:t>이종훈</s:t>
        </s:is>
      </s:c>
      <s:c r="C598" s="0" t="n">
        <s:v>123517</s:v>
      </s:c>
      <s:c r="D598" s="0" t="n">
        <s:v>2712</s:v>
      </s:c>
      <s:c r="F598" s="24">
        <s:f>'자료구성'!$B$2+TIME(INT($C$3/10000),INT(MOD($C$3,10000)/100),MOD($C$3,100))+(ROW()-ROW($C$3))/86400</s:f>
        <s:v>46247.53138888889</s:v>
      </s:c>
    </s:row>
    <s:row r="599">
      <s:c r="A599" s="0" t="n">
        <s:v>260813</s:v>
      </s:c>
      <s:c r="B599" s="0" t="inlineStr">
        <s:is>
          <s:t>이종훈</s:t>
        </s:is>
      </s:c>
      <s:c r="C599" s="0" t="n">
        <s:v>123517</s:v>
      </s:c>
      <s:c r="D599" s="0" t="n">
        <s:v>2706</s:v>
      </s:c>
      <s:c r="F599" s="24">
        <s:f>'자료구성'!$B$2+TIME(INT($C$3/10000),INT(MOD($C$3,10000)/100),MOD($C$3,100))+(ROW()-ROW($C$3))/86400</s:f>
        <s:v>46247.53140046296</s:v>
      </s:c>
    </s:row>
    <s:row r="600">
      <s:c r="A600" s="0" t="n">
        <s:v>260813</s:v>
      </s:c>
      <s:c r="B600" s="0" t="inlineStr">
        <s:is>
          <s:t>이종훈</s:t>
        </s:is>
      </s:c>
      <s:c r="C600" s="0" t="n">
        <s:v>123517</s:v>
      </s:c>
      <s:c r="D600" s="0" t="n">
        <s:v>2683</s:v>
      </s:c>
      <s:c r="F600" s="24">
        <s:f>'자료구성'!$B$2+TIME(INT($C$3/10000),INT(MOD($C$3,10000)/100),MOD($C$3,100))+(ROW()-ROW($C$3))/86400</s:f>
        <s:v>46247.53141203704</s:v>
      </s:c>
    </s:row>
    <s:row r="601">
      <s:c r="A601" s="0" t="n">
        <s:v>260813</s:v>
      </s:c>
      <s:c r="B601" s="0" t="inlineStr">
        <s:is>
          <s:t>이종훈</s:t>
        </s:is>
      </s:c>
      <s:c r="C601" s="0" t="n">
        <s:v>123517</s:v>
      </s:c>
      <s:c r="D601" s="0" t="n">
        <s:v>2689</s:v>
      </s:c>
      <s:c r="F601" s="24">
        <s:f>'자료구성'!$B$2+TIME(INT($C$3/10000),INT(MOD($C$3,10000)/100),MOD($C$3,100))+(ROW()-ROW($C$3))/86400</s:f>
        <s:v>46247.53142361111</s:v>
      </s:c>
    </s:row>
    <s:row r="602">
      <s:c r="A602" s="0" t="n">
        <s:v>260813</s:v>
      </s:c>
      <s:c r="B602" s="0" t="inlineStr">
        <s:is>
          <s:t>이종훈</s:t>
        </s:is>
      </s:c>
      <s:c r="C602" s="0" t="n">
        <s:v>123517</s:v>
      </s:c>
      <s:c r="D602" s="0" t="n">
        <s:v>2689</s:v>
      </s:c>
      <s:c r="F602" s="24">
        <s:f>'자료구성'!$B$2+TIME(INT($C$3/10000),INT(MOD($C$3,10000)/100),MOD($C$3,100))+(ROW()-ROW($C$3))/86400</s:f>
        <s:v>46247.531435185185</s:v>
      </s:c>
    </s:row>
    <s:row r="603">
      <s:c r="A603" s="0" t="n">
        <s:v>260813</s:v>
      </s:c>
      <s:c r="B603" s="0" t="inlineStr">
        <s:is>
          <s:t>이종훈</s:t>
        </s:is>
      </s:c>
      <s:c r="C603" s="0" t="n">
        <s:v>123517</s:v>
      </s:c>
      <s:c r="D603" s="0" t="n">
        <s:v>2652</s:v>
      </s:c>
      <s:c r="F603" s="24">
        <s:f>'자료구성'!$B$2+TIME(INT($C$3/10000),INT(MOD($C$3,10000)/100),MOD($C$3,100))+(ROW()-ROW($C$3))/86400</s:f>
        <s:v>46247.53144675926</s:v>
      </s:c>
    </s:row>
    <s:row r="604">
      <s:c r="A604" s="0" t="n">
        <s:v>260813</s:v>
      </s:c>
      <s:c r="B604" s="0" t="inlineStr">
        <s:is>
          <s:t>이종훈</s:t>
        </s:is>
      </s:c>
      <s:c r="C604" s="0" t="n">
        <s:v>123517</s:v>
      </s:c>
      <s:c r="D604" s="0" t="n">
        <s:v>2616</s:v>
      </s:c>
      <s:c r="F604" s="24">
        <s:f>'자료구성'!$B$2+TIME(INT($C$3/10000),INT(MOD($C$3,10000)/100),MOD($C$3,100))+(ROW()-ROW($C$3))/86400</s:f>
        <s:v>46247.53145833333</s:v>
      </s:c>
    </s:row>
    <s:row r="605">
      <s:c r="A605" s="0" t="n">
        <s:v>260813</s:v>
      </s:c>
      <s:c r="B605" s="0" t="inlineStr">
        <s:is>
          <s:t>이종훈</s:t>
        </s:is>
      </s:c>
      <s:c r="C605" s="0" t="n">
        <s:v>123517</s:v>
      </s:c>
      <s:c r="D605" s="0" t="n">
        <s:v>2594</s:v>
      </s:c>
      <s:c r="F605" s="24">
        <s:f>'자료구성'!$B$2+TIME(INT($C$3/10000),INT(MOD($C$3,10000)/100),MOD($C$3,100))+(ROW()-ROW($C$3))/86400</s:f>
        <s:v>46247.53146990741</s:v>
      </s:c>
    </s:row>
    <s:row r="606">
      <s:c r="A606" s="0" t="n">
        <s:v>260813</s:v>
      </s:c>
      <s:c r="B606" s="0" t="inlineStr">
        <s:is>
          <s:t>이종훈</s:t>
        </s:is>
      </s:c>
      <s:c r="C606" s="0" t="n">
        <s:v>123517</s:v>
      </s:c>
      <s:c r="D606" s="0" t="n">
        <s:v>2567</s:v>
      </s:c>
      <s:c r="F606" s="24">
        <s:f>'자료구성'!$B$2+TIME(INT($C$3/10000),INT(MOD($C$3,10000)/100),MOD($C$3,100))+(ROW()-ROW($C$3))/86400</s:f>
        <s:v>46247.531481481485</s:v>
      </s:c>
    </s:row>
    <s:row r="607">
      <s:c r="A607" s="0" t="n">
        <s:v>260813</s:v>
      </s:c>
      <s:c r="B607" s="0" t="inlineStr">
        <s:is>
          <s:t>이종훈</s:t>
        </s:is>
      </s:c>
      <s:c r="C607" s="0" t="n">
        <s:v>123517</s:v>
      </s:c>
      <s:c r="D607" s="0" t="n">
        <s:v>2551</s:v>
      </s:c>
      <s:c r="F607" s="24">
        <s:f>'자료구성'!$B$2+TIME(INT($C$3/10000),INT(MOD($C$3,10000)/100),MOD($C$3,100))+(ROW()-ROW($C$3))/86400</s:f>
        <s:v>46247.531493055554</s:v>
      </s:c>
    </s:row>
    <s:row r="608">
      <s:c r="A608" s="0" t="n">
        <s:v>260813</s:v>
      </s:c>
      <s:c r="B608" s="0" t="inlineStr">
        <s:is>
          <s:t>이종훈</s:t>
        </s:is>
      </s:c>
      <s:c r="C608" s="0" t="n">
        <s:v>123517</s:v>
      </s:c>
      <s:c r="D608" s="0" t="n">
        <s:v>2562</s:v>
      </s:c>
      <s:c r="F608" s="24">
        <s:f>'자료구성'!$B$2+TIME(INT($C$3/10000),INT(MOD($C$3,10000)/100),MOD($C$3,100))+(ROW()-ROW($C$3))/86400</s:f>
        <s:v>46247.53150462963</s:v>
      </s:c>
    </s:row>
    <s:row r="609">
      <s:c r="A609" s="0" t="n">
        <s:v>260813</s:v>
      </s:c>
      <s:c r="B609" s="0" t="inlineStr">
        <s:is>
          <s:t>이종훈</s:t>
        </s:is>
      </s:c>
      <s:c r="C609" s="0" t="n">
        <s:v>123517</s:v>
      </s:c>
      <s:c r="D609" s="0" t="n">
        <s:v>2536</s:v>
      </s:c>
      <s:c r="F609" s="24">
        <s:f>'자료구성'!$B$2+TIME(INT($C$3/10000),INT(MOD($C$3,10000)/100),MOD($C$3,100))+(ROW()-ROW($C$3))/86400</s:f>
        <s:v>46247.5315162037</s:v>
      </s:c>
    </s:row>
    <s:row r="610">
      <s:c r="A610" s="0" t="n">
        <s:v>260813</s:v>
      </s:c>
      <s:c r="B610" s="0" t="inlineStr">
        <s:is>
          <s:t>이종훈</s:t>
        </s:is>
      </s:c>
      <s:c r="C610" s="0" t="n">
        <s:v>123517</s:v>
      </s:c>
      <s:c r="D610" s="0" t="n">
        <s:v>2513</s:v>
      </s:c>
      <s:c r="F610" s="24">
        <s:f>'자료구성'!$B$2+TIME(INT($C$3/10000),INT(MOD($C$3,10000)/100),MOD($C$3,100))+(ROW()-ROW($C$3))/86400</s:f>
        <s:v>46247.53152777778</s:v>
      </s:c>
    </s:row>
    <s:row r="611">
      <s:c r="A611" s="0" t="n">
        <s:v>260813</s:v>
      </s:c>
      <s:c r="B611" s="0" t="inlineStr">
        <s:is>
          <s:t>이종훈</s:t>
        </s:is>
      </s:c>
      <s:c r="C611" s="0" t="n">
        <s:v>123517</s:v>
      </s:c>
      <s:c r="D611" s="0" t="n">
        <s:v>2472</s:v>
      </s:c>
      <s:c r="F611" s="24">
        <s:f>'자료구성'!$B$2+TIME(INT($C$3/10000),INT(MOD($C$3,10000)/100),MOD($C$3,100))+(ROW()-ROW($C$3))/86400</s:f>
        <s:v>46247.531539351854</s:v>
      </s:c>
    </s:row>
    <s:row r="612">
      <s:c r="A612" s="0" t="n">
        <s:v>260813</s:v>
      </s:c>
      <s:c r="B612" s="0" t="inlineStr">
        <s:is>
          <s:t>이종훈</s:t>
        </s:is>
      </s:c>
      <s:c r="C612" s="0" t="n">
        <s:v>123517</s:v>
      </s:c>
      <s:c r="D612" s="0" t="n">
        <s:v>2453</s:v>
      </s:c>
      <s:c r="F612" s="24">
        <s:f>'자료구성'!$B$2+TIME(INT($C$3/10000),INT(MOD($C$3,10000)/100),MOD($C$3,100))+(ROW()-ROW($C$3))/86400</s:f>
        <s:v>46247.53155092592</s:v>
      </s:c>
    </s:row>
    <s:row r="613">
      <s:c r="A613" s="0" t="n">
        <s:v>260813</s:v>
      </s:c>
      <s:c r="B613" s="0" t="inlineStr">
        <s:is>
          <s:t>이종훈</s:t>
        </s:is>
      </s:c>
      <s:c r="C613" s="0" t="n">
        <s:v>123517</s:v>
      </s:c>
      <s:c r="D613" s="0" t="n">
        <s:v>2454</s:v>
      </s:c>
      <s:c r="F613" s="24">
        <s:f>'자료구성'!$B$2+TIME(INT($C$3/10000),INT(MOD($C$3,10000)/100),MOD($C$3,100))+(ROW()-ROW($C$3))/86400</s:f>
        <s:v>46247.5315625</s:v>
      </s:c>
    </s:row>
    <s:row r="614">
      <s:c r="A614" s="0" t="n">
        <s:v>260813</s:v>
      </s:c>
      <s:c r="B614" s="0" t="inlineStr">
        <s:is>
          <s:t>이종훈</s:t>
        </s:is>
      </s:c>
      <s:c r="C614" s="0" t="n">
        <s:v>123517</s:v>
      </s:c>
      <s:c r="D614" s="0" t="n">
        <s:v>2470</s:v>
      </s:c>
      <s:c r="F614" s="24">
        <s:f>'자료구성'!$B$2+TIME(INT($C$3/10000),INT(MOD($C$3,10000)/100),MOD($C$3,100))+(ROW()-ROW($C$3))/86400</s:f>
        <s:v>46247.53157407408</s:v>
      </s:c>
    </s:row>
    <s:row r="615">
      <s:c r="A615" s="0" t="n">
        <s:v>260813</s:v>
      </s:c>
      <s:c r="B615" s="0" t="inlineStr">
        <s:is>
          <s:t>이종훈</s:t>
        </s:is>
      </s:c>
      <s:c r="C615" s="0" t="n">
        <s:v>123517</s:v>
      </s:c>
      <s:c r="D615" s="0" t="n">
        <s:v>2476</s:v>
      </s:c>
      <s:c r="F615" s="24">
        <s:f>'자료구성'!$B$2+TIME(INT($C$3/10000),INT(MOD($C$3,10000)/100),MOD($C$3,100))+(ROW()-ROW($C$3))/86400</s:f>
        <s:v>46247.53158564815</s:v>
      </s:c>
    </s:row>
    <s:row r="616">
      <s:c r="A616" s="0" t="n">
        <s:v>260813</s:v>
      </s:c>
      <s:c r="B616" s="0" t="inlineStr">
        <s:is>
          <s:t>이종훈</s:t>
        </s:is>
      </s:c>
      <s:c r="C616" s="0" t="n">
        <s:v>123517</s:v>
      </s:c>
      <s:c r="D616" s="0" t="n">
        <s:v>2491</s:v>
      </s:c>
      <s:c r="F616" s="24">
        <s:f>'자료구성'!$B$2+TIME(INT($C$3/10000),INT(MOD($C$3,10000)/100),MOD($C$3,100))+(ROW()-ROW($C$3))/86400</s:f>
        <s:v>46247.53159722222</s:v>
      </s:c>
    </s:row>
    <s:row r="617">
      <s:c r="A617" s="0" t="n">
        <s:v>260813</s:v>
      </s:c>
      <s:c r="B617" s="0" t="inlineStr">
        <s:is>
          <s:t>이종훈</s:t>
        </s:is>
      </s:c>
      <s:c r="C617" s="0" t="n">
        <s:v>123517</s:v>
      </s:c>
      <s:c r="D617" s="0" t="n">
        <s:v>2521</s:v>
      </s:c>
      <s:c r="F617" s="24">
        <s:f>'자료구성'!$B$2+TIME(INT($C$3/10000),INT(MOD($C$3,10000)/100),MOD($C$3,100))+(ROW()-ROW($C$3))/86400</s:f>
        <s:v>46247.53160879629</s:v>
      </s:c>
    </s:row>
    <s:row r="618">
      <s:c r="A618" s="0" t="n">
        <s:v>260813</s:v>
      </s:c>
      <s:c r="B618" s="0" t="inlineStr">
        <s:is>
          <s:t>이종훈</s:t>
        </s:is>
      </s:c>
      <s:c r="C618" s="0" t="n">
        <s:v>123517</s:v>
      </s:c>
      <s:c r="D618" s="0" t="n">
        <s:v>2562</s:v>
      </s:c>
      <s:c r="F618" s="24">
        <s:f>'자료구성'!$B$2+TIME(INT($C$3/10000),INT(MOD($C$3,10000)/100),MOD($C$3,100))+(ROW()-ROW($C$3))/86400</s:f>
        <s:v>46247.53162037037</s:v>
      </s:c>
    </s:row>
    <s:row r="619">
      <s:c r="A619" s="0" t="n">
        <s:v>260813</s:v>
      </s:c>
      <s:c r="B619" s="0" t="inlineStr">
        <s:is>
          <s:t>이종훈</s:t>
        </s:is>
      </s:c>
      <s:c r="C619" s="0" t="n">
        <s:v>123517</s:v>
      </s:c>
      <s:c r="D619" s="0" t="n">
        <s:v>2598</s:v>
      </s:c>
      <s:c r="F619" s="24">
        <s:f>'자료구성'!$B$2+TIME(INT($C$3/10000),INT(MOD($C$3,10000)/100),MOD($C$3,100))+(ROW()-ROW($C$3))/86400</s:f>
        <s:v>46247.53163194445</s:v>
      </s:c>
    </s:row>
    <s:row r="620">
      <s:c r="A620" s="0" t="n">
        <s:v>260813</s:v>
      </s:c>
      <s:c r="B620" s="0" t="inlineStr">
        <s:is>
          <s:t>이종훈</s:t>
        </s:is>
      </s:c>
      <s:c r="C620" s="0" t="n">
        <s:v>123517</s:v>
      </s:c>
      <s:c r="D620" s="0" t="n">
        <s:v>2622</s:v>
      </s:c>
      <s:c r="F620" s="24">
        <s:f>'자료구성'!$B$2+TIME(INT($C$3/10000),INT(MOD($C$3,10000)/100),MOD($C$3,100))+(ROW()-ROW($C$3))/86400</s:f>
        <s:v>46247.531643518516</s:v>
      </s:c>
    </s:row>
    <s:row r="621">
      <s:c r="A621" s="0" t="n">
        <s:v>260813</s:v>
      </s:c>
      <s:c r="B621" s="0" t="inlineStr">
        <s:is>
          <s:t>이종훈</s:t>
        </s:is>
      </s:c>
      <s:c r="C621" s="0" t="n">
        <s:v>123517</s:v>
      </s:c>
      <s:c r="D621" s="0" t="n">
        <s:v>2624</s:v>
      </s:c>
      <s:c r="F621" s="24">
        <s:f>'자료구성'!$B$2+TIME(INT($C$3/10000),INT(MOD($C$3,10000)/100),MOD($C$3,100))+(ROW()-ROW($C$3))/86400</s:f>
        <s:v>46247.53165509259</s:v>
      </s:c>
    </s:row>
    <s:row r="622">
      <s:c r="A622" s="0" t="n">
        <s:v>260813</s:v>
      </s:c>
      <s:c r="B622" s="0" t="inlineStr">
        <s:is>
          <s:t>이종훈</s:t>
        </s:is>
      </s:c>
      <s:c r="C622" s="0" t="n">
        <s:v>123517</s:v>
      </s:c>
      <s:c r="D622" s="0" t="n">
        <s:v>2660</s:v>
      </s:c>
      <s:c r="F622" s="24">
        <s:f>'자료구성'!$B$2+TIME(INT($C$3/10000),INT(MOD($C$3,10000)/100),MOD($C$3,100))+(ROW()-ROW($C$3))/86400</s:f>
        <s:v>46247.53166666667</s:v>
      </s:c>
    </s:row>
    <s:row r="623">
      <s:c r="A623" s="0" t="n">
        <s:v>260813</s:v>
      </s:c>
      <s:c r="B623" s="0" t="inlineStr">
        <s:is>
          <s:t>이종훈</s:t>
        </s:is>
      </s:c>
      <s:c r="C623" s="0" t="n">
        <s:v>123517</s:v>
      </s:c>
      <s:c r="D623" s="0" t="n">
        <s:v>2725</s:v>
      </s:c>
      <s:c r="F623" s="24">
        <s:f>'자료구성'!$B$2+TIME(INT($C$3/10000),INT(MOD($C$3,10000)/100),MOD($C$3,100))+(ROW()-ROW($C$3))/86400</s:f>
        <s:v>46247.53167824074</s:v>
      </s:c>
    </s:row>
    <s:row r="624">
      <s:c r="A624" s="0" t="n">
        <s:v>260813</s:v>
      </s:c>
      <s:c r="B624" s="0" t="inlineStr">
        <s:is>
          <s:t>이종훈</s:t>
        </s:is>
      </s:c>
      <s:c r="C624" s="0" t="n">
        <s:v>123517</s:v>
      </s:c>
      <s:c r="D624" s="0" t="n">
        <s:v>2725</s:v>
      </s:c>
      <s:c r="F624" s="24">
        <s:f>'자료구성'!$B$2+TIME(INT($C$3/10000),INT(MOD($C$3,10000)/100),MOD($C$3,100))+(ROW()-ROW($C$3))/86400</s:f>
        <s:v>46247.531689814816</s:v>
      </s:c>
    </s:row>
    <s:row r="625">
      <s:c r="A625" s="0" t="n">
        <s:v>260813</s:v>
      </s:c>
      <s:c r="B625" s="0" t="inlineStr">
        <s:is>
          <s:t>이종훈</s:t>
        </s:is>
      </s:c>
      <s:c r="C625" s="0" t="n">
        <s:v>123517</s:v>
      </s:c>
      <s:c r="D625" s="0" t="n">
        <s:v>2725</s:v>
      </s:c>
      <s:c r="F625" s="24">
        <s:f>'자료구성'!$B$2+TIME(INT($C$3/10000),INT(MOD($C$3,10000)/100),MOD($C$3,100))+(ROW()-ROW($C$3))/86400</s:f>
        <s:v>46247.531701388885</s:v>
      </s:c>
    </s:row>
    <s:row r="626">
      <s:c r="A626" s="0" t="n">
        <s:v>260813</s:v>
      </s:c>
      <s:c r="B626" s="0" t="inlineStr">
        <s:is>
          <s:t>이종훈</s:t>
        </s:is>
      </s:c>
      <s:c r="C626" s="0" t="n">
        <s:v>123517</s:v>
      </s:c>
      <s:c r="D626" s="0" t="n">
        <s:v>2763</s:v>
      </s:c>
      <s:c r="F626" s="24">
        <s:f>'자료구성'!$B$2+TIME(INT($C$3/10000),INT(MOD($C$3,10000)/100),MOD($C$3,100))+(ROW()-ROW($C$3))/86400</s:f>
        <s:v>46247.53171296296</s:v>
      </s:c>
    </s:row>
    <s:row r="627">
      <s:c r="A627" s="0" t="n">
        <s:v>260813</s:v>
      </s:c>
      <s:c r="B627" s="0" t="inlineStr">
        <s:is>
          <s:t>이종훈</s:t>
        </s:is>
      </s:c>
      <s:c r="C627" s="0" t="n">
        <s:v>123517</s:v>
      </s:c>
      <s:c r="D627" s="0" t="n">
        <s:v>2798</s:v>
      </s:c>
      <s:c r="F627" s="24">
        <s:f>'자료구성'!$B$2+TIME(INT($C$3/10000),INT(MOD($C$3,10000)/100),MOD($C$3,100))+(ROW()-ROW($C$3))/86400</s:f>
        <s:v>46247.53172453704</s:v>
      </s:c>
    </s:row>
    <s:row r="628">
      <s:c r="A628" s="0" t="n">
        <s:v>260813</s:v>
      </s:c>
      <s:c r="B628" s="0" t="inlineStr">
        <s:is>
          <s:t>이종훈</s:t>
        </s:is>
      </s:c>
      <s:c r="C628" s="0" t="n">
        <s:v>123517</s:v>
      </s:c>
      <s:c r="D628" s="0" t="n">
        <s:v>2839</s:v>
      </s:c>
      <s:c r="F628" s="24">
        <s:f>'자료구성'!$B$2+TIME(INT($C$3/10000),INT(MOD($C$3,10000)/100),MOD($C$3,100))+(ROW()-ROW($C$3))/86400</s:f>
        <s:v>46247.53173611111</s:v>
      </s:c>
    </s:row>
    <s:row r="629">
      <s:c r="A629" s="0" t="n">
        <s:v>260813</s:v>
      </s:c>
      <s:c r="B629" s="0" t="inlineStr">
        <s:is>
          <s:t>이종훈</s:t>
        </s:is>
      </s:c>
      <s:c r="C629" s="0" t="n">
        <s:v>123517</s:v>
      </s:c>
      <s:c r="D629" s="0" t="n">
        <s:v>2832</s:v>
      </s:c>
      <s:c r="F629" s="24">
        <s:f>'자료구성'!$B$2+TIME(INT($C$3/10000),INT(MOD($C$3,10000)/100),MOD($C$3,100))+(ROW()-ROW($C$3))/86400</s:f>
        <s:v>46247.531747685185</s:v>
      </s:c>
    </s:row>
    <s:row r="630">
      <s:c r="A630" s="0" t="n">
        <s:v>260813</s:v>
      </s:c>
      <s:c r="B630" s="0" t="inlineStr">
        <s:is>
          <s:t>이종훈</s:t>
        </s:is>
      </s:c>
      <s:c r="C630" s="0" t="n">
        <s:v>123517</s:v>
      </s:c>
      <s:c r="D630" s="0" t="n">
        <s:v>2855</s:v>
      </s:c>
      <s:c r="F630" s="24">
        <s:f>'자료구성'!$B$2+TIME(INT($C$3/10000),INT(MOD($C$3,10000)/100),MOD($C$3,100))+(ROW()-ROW($C$3))/86400</s:f>
        <s:v>46247.53175925926</s:v>
      </s:c>
    </s:row>
    <s:row r="631">
      <s:c r="A631" s="0" t="n">
        <s:v>260813</s:v>
      </s:c>
      <s:c r="B631" s="0" t="inlineStr">
        <s:is>
          <s:t>이종훈</s:t>
        </s:is>
      </s:c>
      <s:c r="C631" s="0" t="n">
        <s:v>123517</s:v>
      </s:c>
      <s:c r="D631" s="0" t="n">
        <s:v>2837</s:v>
      </s:c>
      <s:c r="F631" s="24">
        <s:f>'자료구성'!$B$2+TIME(INT($C$3/10000),INT(MOD($C$3,10000)/100),MOD($C$3,100))+(ROW()-ROW($C$3))/86400</s:f>
        <s:v>46247.53177083333</s:v>
      </s:c>
    </s:row>
    <s:row r="632">
      <s:c r="A632" s="0" t="n">
        <s:v>260813</s:v>
      </s:c>
      <s:c r="B632" s="0" t="inlineStr">
        <s:is>
          <s:t>이종훈</s:t>
        </s:is>
      </s:c>
      <s:c r="C632" s="0" t="n">
        <s:v>123517</s:v>
      </s:c>
      <s:c r="D632" s="0" t="n">
        <s:v>2812</s:v>
      </s:c>
      <s:c r="F632" s="24">
        <s:f>'자료구성'!$B$2+TIME(INT($C$3/10000),INT(MOD($C$3,10000)/100),MOD($C$3,100))+(ROW()-ROW($C$3))/86400</s:f>
        <s:v>46247.53178240741</s:v>
      </s:c>
    </s:row>
    <s:row r="633">
      <s:c r="A633" s="0" t="n">
        <s:v>260813</s:v>
      </s:c>
      <s:c r="B633" s="0" t="inlineStr">
        <s:is>
          <s:t>이종훈</s:t>
        </s:is>
      </s:c>
      <s:c r="C633" s="0" t="n">
        <s:v>123517</s:v>
      </s:c>
      <s:c r="D633" s="0" t="n">
        <s:v>2766</s:v>
      </s:c>
      <s:c r="F633" s="24">
        <s:f>'자료구성'!$B$2+TIME(INT($C$3/10000),INT(MOD($C$3,10000)/100),MOD($C$3,100))+(ROW()-ROW($C$3))/86400</s:f>
        <s:v>46247.531793981485</s:v>
      </s:c>
    </s:row>
    <s:row r="634">
      <s:c r="A634" s="0" t="n">
        <s:v>260813</s:v>
      </s:c>
      <s:c r="B634" s="0" t="inlineStr">
        <s:is>
          <s:t>이종훈</s:t>
        </s:is>
      </s:c>
      <s:c r="C634" s="0" t="n">
        <s:v>123517</s:v>
      </s:c>
      <s:c r="D634" s="0" t="n">
        <s:v>2738</s:v>
      </s:c>
      <s:c r="F634" s="24">
        <s:f>'자료구성'!$B$2+TIME(INT($C$3/10000),INT(MOD($C$3,10000)/100),MOD($C$3,100))+(ROW()-ROW($C$3))/86400</s:f>
        <s:v>46247.531805555554</s:v>
      </s:c>
    </s:row>
    <s:row r="635">
      <s:c r="A635" s="0" t="n">
        <s:v>260813</s:v>
      </s:c>
      <s:c r="B635" s="0" t="inlineStr">
        <s:is>
          <s:t>이종훈</s:t>
        </s:is>
      </s:c>
      <s:c r="C635" s="0" t="n">
        <s:v>123517</s:v>
      </s:c>
      <s:c r="D635" s="0" t="n">
        <s:v>2729</s:v>
      </s:c>
      <s:c r="F635" s="24">
        <s:f>'자료구성'!$B$2+TIME(INT($C$3/10000),INT(MOD($C$3,10000)/100),MOD($C$3,100))+(ROW()-ROW($C$3))/86400</s:f>
        <s:v>46247.53181712963</s:v>
      </s:c>
    </s:row>
    <s:row r="636">
      <s:c r="A636" s="0" t="n">
        <s:v>260813</s:v>
      </s:c>
      <s:c r="B636" s="0" t="inlineStr">
        <s:is>
          <s:t>이종훈</s:t>
        </s:is>
      </s:c>
      <s:c r="C636" s="0" t="n">
        <s:v>123517</s:v>
      </s:c>
      <s:c r="D636" s="0" t="n">
        <s:v>2701</s:v>
      </s:c>
      <s:c r="F636" s="24">
        <s:f>'자료구성'!$B$2+TIME(INT($C$3/10000),INT(MOD($C$3,10000)/100),MOD($C$3,100))+(ROW()-ROW($C$3))/86400</s:f>
        <s:v>46247.5318287037</s:v>
      </s:c>
    </s:row>
    <s:row r="637">
      <s:c r="A637" s="0" t="n">
        <s:v>260813</s:v>
      </s:c>
      <s:c r="B637" s="0" t="inlineStr">
        <s:is>
          <s:t>이종훈</s:t>
        </s:is>
      </s:c>
      <s:c r="C637" s="0" t="n">
        <s:v>123517</s:v>
      </s:c>
      <s:c r="D637" s="0" t="n">
        <s:v>2672</s:v>
      </s:c>
      <s:c r="F637" s="24">
        <s:f>'자료구성'!$B$2+TIME(INT($C$3/10000),INT(MOD($C$3,10000)/100),MOD($C$3,100))+(ROW()-ROW($C$3))/86400</s:f>
        <s:v>46247.53184027778</s:v>
      </s:c>
    </s:row>
    <s:row r="638">
      <s:c r="A638" s="0" t="n">
        <s:v>260813</s:v>
      </s:c>
      <s:c r="B638" s="0" t="inlineStr">
        <s:is>
          <s:t>이종훈</s:t>
        </s:is>
      </s:c>
      <s:c r="C638" s="0" t="n">
        <s:v>123517</s:v>
      </s:c>
      <s:c r="D638" s="0" t="n">
        <s:v>2720</s:v>
      </s:c>
      <s:c r="F638" s="24">
        <s:f>'자료구성'!$B$2+TIME(INT($C$3/10000),INT(MOD($C$3,10000)/100),MOD($C$3,100))+(ROW()-ROW($C$3))/86400</s:f>
        <s:v>46247.531851851854</s:v>
      </s:c>
    </s:row>
    <s:row r="639">
      <s:c r="A639" s="0" t="n">
        <s:v>260813</s:v>
      </s:c>
      <s:c r="B639" s="0" t="inlineStr">
        <s:is>
          <s:t>이종훈</s:t>
        </s:is>
      </s:c>
      <s:c r="C639" s="0" t="n">
        <s:v>123517</s:v>
      </s:c>
      <s:c r="D639" s="0" t="n">
        <s:v>2895</s:v>
      </s:c>
      <s:c r="F639" s="24">
        <s:f>'자료구성'!$B$2+TIME(INT($C$3/10000),INT(MOD($C$3,10000)/100),MOD($C$3,100))+(ROW()-ROW($C$3))/86400</s:f>
        <s:v>46247.531863425924</s:v>
      </s:c>
    </s:row>
    <s:row r="640">
      <s:c r="A640" s="0" t="n">
        <s:v>260813</s:v>
      </s:c>
      <s:c r="B640" s="0" t="inlineStr">
        <s:is>
          <s:t>이종훈</s:t>
        </s:is>
      </s:c>
      <s:c r="C640" s="0" t="n">
        <s:v>123517</s:v>
      </s:c>
      <s:c r="D640" s="0" t="n">
        <s:v>3002</s:v>
      </s:c>
      <s:c r="F640" s="24">
        <s:f>'자료구성'!$B$2+TIME(INT($C$3/10000),INT(MOD($C$3,10000)/100),MOD($C$3,100))+(ROW()-ROW($C$3))/86400</s:f>
        <s:v>46247.531875</s:v>
      </s:c>
    </s:row>
    <s:row r="641">
      <s:c r="A641" s="0" t="n">
        <s:v>260813</s:v>
      </s:c>
      <s:c r="B641" s="0" t="inlineStr">
        <s:is>
          <s:t>이종훈</s:t>
        </s:is>
      </s:c>
      <s:c r="C641" s="0" t="n">
        <s:v>123517</s:v>
      </s:c>
      <s:c r="D641" s="0" t="n">
        <s:v>3032</s:v>
      </s:c>
      <s:c r="F641" s="24">
        <s:f>'자료구성'!$B$2+TIME(INT($C$3/10000),INT(MOD($C$3,10000)/100),MOD($C$3,100))+(ROW()-ROW($C$3))/86400</s:f>
        <s:v>46247.53188657408</s:v>
      </s:c>
    </s:row>
    <s:row r="642">
      <s:c r="A642" s="0" t="n">
        <s:v>260813</s:v>
      </s:c>
      <s:c r="B642" s="0" t="inlineStr">
        <s:is>
          <s:t>이종훈</s:t>
        </s:is>
      </s:c>
      <s:c r="C642" s="0" t="n">
        <s:v>123517</s:v>
      </s:c>
      <s:c r="D642" s="0" t="n">
        <s:v>3098</s:v>
      </s:c>
      <s:c r="F642" s="24">
        <s:f>'자료구성'!$B$2+TIME(INT($C$3/10000),INT(MOD($C$3,10000)/100),MOD($C$3,100))+(ROW()-ROW($C$3))/86400</s:f>
        <s:v>46247.53189814815</s:v>
      </s:c>
    </s:row>
    <s:row r="643">
      <s:c r="A643" s="0" t="n">
        <s:v>260813</s:v>
      </s:c>
      <s:c r="B643" s="0" t="inlineStr">
        <s:is>
          <s:t>이종훈</s:t>
        </s:is>
      </s:c>
      <s:c r="C643" s="0" t="n">
        <s:v>123517</s:v>
      </s:c>
      <s:c r="D643" s="0" t="n">
        <s:v>3164</s:v>
      </s:c>
      <s:c r="F643" s="24">
        <s:f>'자료구성'!$B$2+TIME(INT($C$3/10000),INT(MOD($C$3,10000)/100),MOD($C$3,100))+(ROW()-ROW($C$3))/86400</s:f>
        <s:v>46247.531909722224</s:v>
      </s:c>
    </s:row>
    <s:row r="644">
      <s:c r="A644" s="0" t="n">
        <s:v>260813</s:v>
      </s:c>
      <s:c r="B644" s="0" t="inlineStr">
        <s:is>
          <s:t>이종훈</s:t>
        </s:is>
      </s:c>
      <s:c r="C644" s="0" t="n">
        <s:v>123517</s:v>
      </s:c>
      <s:c r="D644" s="0" t="n">
        <s:v>3250</s:v>
      </s:c>
      <s:c r="F644" s="24">
        <s:f>'자료구성'!$B$2+TIME(INT($C$3/10000),INT(MOD($C$3,10000)/100),MOD($C$3,100))+(ROW()-ROW($C$3))/86400</s:f>
        <s:v>46247.53192129629</s:v>
      </s:c>
    </s:row>
    <s:row r="645">
      <s:c r="A645" s="0" t="n">
        <s:v>260813</s:v>
      </s:c>
      <s:c r="B645" s="0" t="inlineStr">
        <s:is>
          <s:t>이종훈</s:t>
        </s:is>
      </s:c>
      <s:c r="C645" s="0" t="n">
        <s:v>123517</s:v>
      </s:c>
      <s:c r="D645" s="0" t="n">
        <s:v>3298</s:v>
      </s:c>
      <s:c r="F645" s="24">
        <s:f>'자료구성'!$B$2+TIME(INT($C$3/10000),INT(MOD($C$3,10000)/100),MOD($C$3,100))+(ROW()-ROW($C$3))/86400</s:f>
        <s:v>46247.53193287037</s:v>
      </s:c>
    </s:row>
    <s:row r="646">
      <s:c r="A646" s="0" t="n">
        <s:v>260813</s:v>
      </s:c>
      <s:c r="B646" s="0" t="inlineStr">
        <s:is>
          <s:t>이종훈</s:t>
        </s:is>
      </s:c>
      <s:c r="C646" s="0" t="n">
        <s:v>123517</s:v>
      </s:c>
      <s:c r="D646" s="0" t="n">
        <s:v>3310</s:v>
      </s:c>
      <s:c r="F646" s="24">
        <s:f>'자료구성'!$B$2+TIME(INT($C$3/10000),INT(MOD($C$3,10000)/100),MOD($C$3,100))+(ROW()-ROW($C$3))/86400</s:f>
        <s:v>46247.53194444445</s:v>
      </s:c>
    </s:row>
    <s:row r="647">
      <s:c r="A647" s="0" t="n">
        <s:v>260813</s:v>
      </s:c>
      <s:c r="B647" s="0" t="inlineStr">
        <s:is>
          <s:t>이종훈</s:t>
        </s:is>
      </s:c>
      <s:c r="C647" s="0" t="n">
        <s:v>123517</s:v>
      </s:c>
      <s:c r="D647" s="0" t="n">
        <s:v>3328</s:v>
      </s:c>
      <s:c r="F647" s="24">
        <s:f>'자료구성'!$B$2+TIME(INT($C$3/10000),INT(MOD($C$3,10000)/100),MOD($C$3,100))+(ROW()-ROW($C$3))/86400</s:f>
        <s:v>46247.531956018516</s:v>
      </s:c>
    </s:row>
    <s:row r="648">
      <s:c r="A648" s="0" t="n">
        <s:v>260813</s:v>
      </s:c>
      <s:c r="B648" s="0" t="inlineStr">
        <s:is>
          <s:t>이종훈</s:t>
        </s:is>
      </s:c>
      <s:c r="C648" s="0" t="n">
        <s:v>123517</s:v>
      </s:c>
      <s:c r="D648" s="0" t="n">
        <s:v>3313</s:v>
      </s:c>
      <s:c r="F648" s="24">
        <s:f>'자료구성'!$B$2+TIME(INT($C$3/10000),INT(MOD($C$3,10000)/100),MOD($C$3,100))+(ROW()-ROW($C$3))/86400</s:f>
        <s:v>46247.53196759259</s:v>
      </s:c>
    </s:row>
    <s:row r="649">
      <s:c r="A649" s="0" t="n">
        <s:v>260813</s:v>
      </s:c>
      <s:c r="B649" s="0" t="inlineStr">
        <s:is>
          <s:t>이종훈</s:t>
        </s:is>
      </s:c>
      <s:c r="C649" s="0" t="n">
        <s:v>123517</s:v>
      </s:c>
      <s:c r="D649" s="0" t="n">
        <s:v>3346</s:v>
      </s:c>
      <s:c r="F649" s="24">
        <s:f>'자료구성'!$B$2+TIME(INT($C$3/10000),INT(MOD($C$3,10000)/100),MOD($C$3,100))+(ROW()-ROW($C$3))/86400</s:f>
        <s:v>46247.53197916667</s:v>
      </s:c>
    </s:row>
    <s:row r="650">
      <s:c r="A650" s="0" t="n">
        <s:v>260813</s:v>
      </s:c>
      <s:c r="B650" s="0" t="inlineStr">
        <s:is>
          <s:t>이종훈</s:t>
        </s:is>
      </s:c>
      <s:c r="C650" s="0" t="n">
        <s:v>123517</s:v>
      </s:c>
      <s:c r="D650" s="0" t="n">
        <s:v>3394</s:v>
      </s:c>
      <s:c r="F650" s="24">
        <s:f>'자료구성'!$B$2+TIME(INT($C$3/10000),INT(MOD($C$3,10000)/100),MOD($C$3,100))+(ROW()-ROW($C$3))/86400</s:f>
        <s:v>46247.53199074074</s:v>
      </s:c>
    </s:row>
    <s:row r="651">
      <s:c r="A651" s="0" t="n">
        <s:v>260813</s:v>
      </s:c>
      <s:c r="B651" s="0" t="inlineStr">
        <s:is>
          <s:t>이종훈</s:t>
        </s:is>
      </s:c>
      <s:c r="C651" s="0" t="n">
        <s:v>123517</s:v>
      </s:c>
      <s:c r="D651" s="0" t="n">
        <s:v>3456</s:v>
      </s:c>
      <s:c r="F651" s="24">
        <s:f>'자료구성'!$B$2+TIME(INT($C$3/10000),INT(MOD($C$3,10000)/100),MOD($C$3,100))+(ROW()-ROW($C$3))/86400</s:f>
        <s:v>46247.532002314816</s:v>
      </s:c>
    </s:row>
    <s:row r="652">
      <s:c r="A652" s="0" t="n">
        <s:v>260813</s:v>
      </s:c>
      <s:c r="B652" s="0" t="inlineStr">
        <s:is>
          <s:t>이종훈</s:t>
        </s:is>
      </s:c>
      <s:c r="C652" s="0" t="n">
        <s:v>123517</s:v>
      </s:c>
      <s:c r="D652" s="0" t="n">
        <s:v>3402</s:v>
      </s:c>
      <s:c r="F652" s="24">
        <s:f>'자료구성'!$B$2+TIME(INT($C$3/10000),INT(MOD($C$3,10000)/100),MOD($C$3,100))+(ROW()-ROW($C$3))/86400</s:f>
        <s:v>46247.532013888886</s:v>
      </s:c>
    </s:row>
    <s:row r="653">
      <s:c r="A653" s="0" t="n">
        <s:v>260813</s:v>
      </s:c>
      <s:c r="B653" s="0" t="inlineStr">
        <s:is>
          <s:t>이종훈</s:t>
        </s:is>
      </s:c>
      <s:c r="C653" s="0" t="n">
        <s:v>123517</s:v>
      </s:c>
      <s:c r="D653" s="0" t="n">
        <s:v>3387</s:v>
      </s:c>
      <s:c r="F653" s="24">
        <s:f>'자료구성'!$B$2+TIME(INT($C$3/10000),INT(MOD($C$3,10000)/100),MOD($C$3,100))+(ROW()-ROW($C$3))/86400</s:f>
        <s:v>46247.53202546296</s:v>
      </s:c>
    </s:row>
    <s:row r="654">
      <s:c r="A654" s="0" t="n">
        <s:v>260813</s:v>
      </s:c>
      <s:c r="B654" s="0" t="inlineStr">
        <s:is>
          <s:t>이종훈</s:t>
        </s:is>
      </s:c>
      <s:c r="C654" s="0" t="n">
        <s:v>123517</s:v>
      </s:c>
      <s:c r="D654" s="0" t="n">
        <s:v>3436</s:v>
      </s:c>
      <s:c r="F654" s="24">
        <s:f>'자료구성'!$B$2+TIME(INT($C$3/10000),INT(MOD($C$3,10000)/100),MOD($C$3,100))+(ROW()-ROW($C$3))/86400</s:f>
        <s:v>46247.53203703704</s:v>
      </s:c>
    </s:row>
    <s:row r="655">
      <s:c r="A655" s="0" t="n">
        <s:v>260813</s:v>
      </s:c>
      <s:c r="B655" s="0" t="inlineStr">
        <s:is>
          <s:t>이종훈</s:t>
        </s:is>
      </s:c>
      <s:c r="C655" s="0" t="n">
        <s:v>123517</s:v>
      </s:c>
      <s:c r="D655" s="0" t="n">
        <s:v>3515</s:v>
      </s:c>
      <s:c r="F655" s="24">
        <s:f>'자료구성'!$B$2+TIME(INT($C$3/10000),INT(MOD($C$3,10000)/100),MOD($C$3,100))+(ROW()-ROW($C$3))/86400</s:f>
        <s:v>46247.53204861111</s:v>
      </s:c>
    </s:row>
    <s:row r="656">
      <s:c r="A656" s="0" t="n">
        <s:v>260813</s:v>
      </s:c>
      <s:c r="B656" s="0" t="inlineStr">
        <s:is>
          <s:t>이종훈</s:t>
        </s:is>
      </s:c>
      <s:c r="C656" s="0" t="n">
        <s:v>123517</s:v>
      </s:c>
      <s:c r="D656" s="0" t="n">
        <s:v>3591</s:v>
      </s:c>
      <s:c r="F656" s="24">
        <s:f>'자료구성'!$B$2+TIME(INT($C$3/10000),INT(MOD($C$3,10000)/100),MOD($C$3,100))+(ROW()-ROW($C$3))/86400</s:f>
        <s:v>46247.532060185185</s:v>
      </s:c>
    </s:row>
    <s:row r="657">
      <s:c r="A657" s="0" t="n">
        <s:v>260813</s:v>
      </s:c>
      <s:c r="B657" s="0" t="inlineStr">
        <s:is>
          <s:t>이종훈</s:t>
        </s:is>
      </s:c>
      <s:c r="C657" s="0" t="n">
        <s:v>123517</s:v>
      </s:c>
      <s:c r="D657" s="0" t="n">
        <s:v>3689</s:v>
      </s:c>
      <s:c r="F657" s="24">
        <s:f>'자료구성'!$B$2+TIME(INT($C$3/10000),INT(MOD($C$3,10000)/100),MOD($C$3,100))+(ROW()-ROW($C$3))/86400</s:f>
        <s:v>46247.53207175926</s:v>
      </s:c>
    </s:row>
    <s:row r="658">
      <s:c r="A658" s="0" t="n">
        <s:v>260813</s:v>
      </s:c>
      <s:c r="B658" s="0" t="inlineStr">
        <s:is>
          <s:t>이종훈</s:t>
        </s:is>
      </s:c>
      <s:c r="C658" s="0" t="n">
        <s:v>123517</s:v>
      </s:c>
      <s:c r="D658" s="0" t="n">
        <s:v>3820</s:v>
      </s:c>
      <s:c r="F658" s="24">
        <s:f>'자료구성'!$B$2+TIME(INT($C$3/10000),INT(MOD($C$3,10000)/100),MOD($C$3,100))+(ROW()-ROW($C$3))/86400</s:f>
        <s:v>46247.53208333333</s:v>
      </s:c>
    </s:row>
    <s:row r="659">
      <s:c r="A659" s="0" t="n">
        <s:v>260813</s:v>
      </s:c>
      <s:c r="B659" s="0" t="inlineStr">
        <s:is>
          <s:t>이종훈</s:t>
        </s:is>
      </s:c>
      <s:c r="C659" s="0" t="n">
        <s:v>123517</s:v>
      </s:c>
      <s:c r="D659" s="0" t="n">
        <s:v>3834</s:v>
      </s:c>
      <s:c r="F659" s="24">
        <s:f>'자료구성'!$B$2+TIME(INT($C$3/10000),INT(MOD($C$3,10000)/100),MOD($C$3,100))+(ROW()-ROW($C$3))/86400</s:f>
        <s:v>46247.53209490741</s:v>
      </s:c>
    </s:row>
    <s:row r="660">
      <s:c r="A660" s="0" t="n">
        <s:v>260813</s:v>
      </s:c>
      <s:c r="B660" s="0" t="inlineStr">
        <s:is>
          <s:t>이종훈</s:t>
        </s:is>
      </s:c>
      <s:c r="C660" s="0" t="n">
        <s:v>123517</s:v>
      </s:c>
      <s:c r="D660" s="0" t="n">
        <s:v>3767</s:v>
      </s:c>
      <s:c r="F660" s="24">
        <s:f>'자료구성'!$B$2+TIME(INT($C$3/10000),INT(MOD($C$3,10000)/100),MOD($C$3,100))+(ROW()-ROW($C$3))/86400</s:f>
        <s:v>46247.53210648148</s:v>
      </s:c>
    </s:row>
    <s:row r="661">
      <s:c r="A661" s="0" t="n">
        <s:v>260813</s:v>
      </s:c>
      <s:c r="B661" s="0" t="inlineStr">
        <s:is>
          <s:t>이종훈</s:t>
        </s:is>
      </s:c>
      <s:c r="C661" s="0" t="n">
        <s:v>123517</s:v>
      </s:c>
      <s:c r="D661" s="0" t="n">
        <s:v>3658</s:v>
      </s:c>
      <s:c r="F661" s="24">
        <s:f>'자료구성'!$B$2+TIME(INT($C$3/10000),INT(MOD($C$3,10000)/100),MOD($C$3,100))+(ROW()-ROW($C$3))/86400</s:f>
        <s:v>46247.532118055555</s:v>
      </s:c>
    </s:row>
    <s:row r="662">
      <s:c r="A662" s="0" t="n">
        <s:v>260813</s:v>
      </s:c>
      <s:c r="B662" s="0" t="inlineStr">
        <s:is>
          <s:t>이종훈</s:t>
        </s:is>
      </s:c>
      <s:c r="C662" s="0" t="n">
        <s:v>123517</s:v>
      </s:c>
      <s:c r="D662" s="0" t="n">
        <s:v>3646</s:v>
      </s:c>
      <s:c r="F662" s="24">
        <s:f>'자료구성'!$B$2+TIME(INT($C$3/10000),INT(MOD($C$3,10000)/100),MOD($C$3,100))+(ROW()-ROW($C$3))/86400</s:f>
        <s:v>46247.53212962963</s:v>
      </s:c>
    </s:row>
    <s:row r="663">
      <s:c r="A663" s="0" t="n">
        <s:v>260813</s:v>
      </s:c>
      <s:c r="B663" s="0" t="inlineStr">
        <s:is>
          <s:t>이종훈</s:t>
        </s:is>
      </s:c>
      <s:c r="C663" s="0" t="n">
        <s:v>123517</s:v>
      </s:c>
      <s:c r="D663" s="0" t="n">
        <s:v>3628</s:v>
      </s:c>
      <s:c r="F663" s="24">
        <s:f>'자료구성'!$B$2+TIME(INT($C$3/10000),INT(MOD($C$3,10000)/100),MOD($C$3,100))+(ROW()-ROW($C$3))/86400</s:f>
        <s:v>46247.5321412037</s:v>
      </s:c>
    </s:row>
    <s:row r="664">
      <s:c r="A664" s="0" t="n">
        <s:v>260813</s:v>
      </s:c>
      <s:c r="B664" s="0" t="inlineStr">
        <s:is>
          <s:t>이종훈</s:t>
        </s:is>
      </s:c>
      <s:c r="C664" s="0" t="n">
        <s:v>123517</s:v>
      </s:c>
      <s:c r="D664" s="0" t="n">
        <s:v>3621</s:v>
      </s:c>
      <s:c r="F664" s="24">
        <s:f>'자료구성'!$B$2+TIME(INT($C$3/10000),INT(MOD($C$3,10000)/100),MOD($C$3,100))+(ROW()-ROW($C$3))/86400</s:f>
        <s:v>46247.53215277778</s:v>
      </s:c>
    </s:row>
    <s:row r="665">
      <s:c r="A665" s="0" t="n">
        <s:v>260813</s:v>
      </s:c>
      <s:c r="B665" s="0" t="inlineStr">
        <s:is>
          <s:t>이종훈</s:t>
        </s:is>
      </s:c>
      <s:c r="C665" s="0" t="n">
        <s:v>123517</s:v>
      </s:c>
      <s:c r="D665" s="0" t="n">
        <s:v>3652</s:v>
      </s:c>
      <s:c r="F665" s="24">
        <s:f>'자료구성'!$B$2+TIME(INT($C$3/10000),INT(MOD($C$3,10000)/100),MOD($C$3,100))+(ROW()-ROW($C$3))/86400</s:f>
        <s:v>46247.532164351855</s:v>
      </s:c>
    </s:row>
    <s:row r="666">
      <s:c r="A666" s="0" t="n">
        <s:v>260813</s:v>
      </s:c>
      <s:c r="B666" s="0" t="inlineStr">
        <s:is>
          <s:t>이종훈</s:t>
        </s:is>
      </s:c>
      <s:c r="C666" s="0" t="n">
        <s:v>123517</s:v>
      </s:c>
      <s:c r="D666" s="0" t="n">
        <s:v>3743</s:v>
      </s:c>
      <s:c r="F666" s="24">
        <s:f>'자료구성'!$B$2+TIME(INT($C$3/10000),INT(MOD($C$3,10000)/100),MOD($C$3,100))+(ROW()-ROW($C$3))/86400</s:f>
        <s:v>46247.532175925924</s:v>
      </s:c>
    </s:row>
    <s:row r="667">
      <s:c r="A667" s="0" t="n">
        <s:v>260813</s:v>
      </s:c>
      <s:c r="B667" s="0" t="inlineStr">
        <s:is>
          <s:t>이종훈</s:t>
        </s:is>
      </s:c>
      <s:c r="C667" s="0" t="n">
        <s:v>123517</s:v>
      </s:c>
      <s:c r="D667" s="0" t="n">
        <s:v>3799</s:v>
      </s:c>
      <s:c r="F667" s="24">
        <s:f>'자료구성'!$B$2+TIME(INT($C$3/10000),INT(MOD($C$3,10000)/100),MOD($C$3,100))+(ROW()-ROW($C$3))/86400</s:f>
        <s:v>46247.5321875</s:v>
      </s:c>
    </s:row>
    <s:row r="668">
      <s:c r="A668" s="0" t="n">
        <s:v>260813</s:v>
      </s:c>
      <s:c r="B668" s="0" t="inlineStr">
        <s:is>
          <s:t>이종훈</s:t>
        </s:is>
      </s:c>
      <s:c r="C668" s="0" t="n">
        <s:v>123517</s:v>
      </s:c>
      <s:c r="D668" s="0" t="n">
        <s:v>3797</s:v>
      </s:c>
      <s:c r="F668" s="24">
        <s:f>'자료구성'!$B$2+TIME(INT($C$3/10000),INT(MOD($C$3,10000)/100),MOD($C$3,100))+(ROW()-ROW($C$3))/86400</s:f>
        <s:v>46247.53219907408</s:v>
      </s:c>
    </s:row>
    <s:row r="669">
      <s:c r="A669" s="0" t="n">
        <s:v>260813</s:v>
      </s:c>
      <s:c r="B669" s="0" t="inlineStr">
        <s:is>
          <s:t>이종훈</s:t>
        </s:is>
      </s:c>
      <s:c r="C669" s="0" t="n">
        <s:v>123517</s:v>
      </s:c>
      <s:c r="D669" s="0" t="n">
        <s:v>3811</s:v>
      </s:c>
      <s:c r="F669" s="24">
        <s:f>'자료구성'!$B$2+TIME(INT($C$3/10000),INT(MOD($C$3,10000)/100),MOD($C$3,100))+(ROW()-ROW($C$3))/86400</s:f>
        <s:v>46247.53221064815</s:v>
      </s:c>
    </s:row>
    <s:row r="670">
      <s:c r="A670" s="0" t="n">
        <s:v>260813</s:v>
      </s:c>
      <s:c r="B670" s="0" t="inlineStr">
        <s:is>
          <s:t>이종훈</s:t>
        </s:is>
      </s:c>
      <s:c r="C670" s="0" t="n">
        <s:v>123517</s:v>
      </s:c>
      <s:c r="D670" s="0" t="n">
        <s:v>3755</s:v>
      </s:c>
      <s:c r="F670" s="24">
        <s:f>'자료구성'!$B$2+TIME(INT($C$3/10000),INT(MOD($C$3,10000)/100),MOD($C$3,100))+(ROW()-ROW($C$3))/86400</s:f>
        <s:v>46247.532222222224</s:v>
      </s:c>
    </s:row>
    <s:row r="671">
      <s:c r="A671" s="0" t="n">
        <s:v>260813</s:v>
      </s:c>
      <s:c r="B671" s="0" t="inlineStr">
        <s:is>
          <s:t>이종훈</s:t>
        </s:is>
      </s:c>
      <s:c r="C671" s="0" t="n">
        <s:v>123517</s:v>
      </s:c>
      <s:c r="D671" s="0" t="n">
        <s:v>3699</s:v>
      </s:c>
      <s:c r="F671" s="24">
        <s:f>'자료구성'!$B$2+TIME(INT($C$3/10000),INT(MOD($C$3,10000)/100),MOD($C$3,100))+(ROW()-ROW($C$3))/86400</s:f>
        <s:v>46247.53223379629</s:v>
      </s:c>
    </s:row>
    <s:row r="672">
      <s:c r="A672" s="0" t="n">
        <s:v>260813</s:v>
      </s:c>
      <s:c r="B672" s="0" t="inlineStr">
        <s:is>
          <s:t>이종훈</s:t>
        </s:is>
      </s:c>
      <s:c r="C672" s="0" t="n">
        <s:v>123517</s:v>
      </s:c>
      <s:c r="D672" s="0" t="n">
        <s:v>3596</s:v>
      </s:c>
      <s:c r="F672" s="24">
        <s:f>'자료구성'!$B$2+TIME(INT($C$3/10000),INT(MOD($C$3,10000)/100),MOD($C$3,100))+(ROW()-ROW($C$3))/86400</s:f>
        <s:v>46247.53224537037</s:v>
      </s:c>
    </s:row>
    <s:row r="673">
      <s:c r="A673" s="0" t="n">
        <s:v>260813</s:v>
      </s:c>
      <s:c r="B673" s="0" t="inlineStr">
        <s:is>
          <s:t>이종훈</s:t>
        </s:is>
      </s:c>
      <s:c r="C673" s="0" t="n">
        <s:v>123517</s:v>
      </s:c>
      <s:c r="D673" s="0" t="n">
        <s:v>3508</s:v>
      </s:c>
      <s:c r="F673" s="24">
        <s:f>'자료구성'!$B$2+TIME(INT($C$3/10000),INT(MOD($C$3,10000)/100),MOD($C$3,100))+(ROW()-ROW($C$3))/86400</s:f>
        <s:v>46247.53225694445</s:v>
      </s:c>
    </s:row>
    <s:row r="674">
      <s:c r="A674" s="0" t="n">
        <s:v>260813</s:v>
      </s:c>
      <s:c r="B674" s="0" t="inlineStr">
        <s:is>
          <s:t>이종훈</s:t>
        </s:is>
      </s:c>
      <s:c r="C674" s="0" t="n">
        <s:v>123517</s:v>
      </s:c>
      <s:c r="D674" s="0" t="n">
        <s:v>3404</s:v>
      </s:c>
      <s:c r="F674" s="24">
        <s:f>'자료구성'!$B$2+TIME(INT($C$3/10000),INT(MOD($C$3,10000)/100),MOD($C$3,100))+(ROW()-ROW($C$3))/86400</s:f>
        <s:v>46247.53226851852</s:v>
      </s:c>
    </s:row>
    <s:row r="675">
      <s:c r="A675" s="0" t="n">
        <s:v>260813</s:v>
      </s:c>
      <s:c r="B675" s="0" t="inlineStr">
        <s:is>
          <s:t>이종훈</s:t>
        </s:is>
      </s:c>
      <s:c r="C675" s="0" t="n">
        <s:v>123517</s:v>
      </s:c>
      <s:c r="D675" s="0" t="n">
        <s:v>3317</s:v>
      </s:c>
      <s:c r="F675" s="24">
        <s:f>'자료구성'!$B$2+TIME(INT($C$3/10000),INT(MOD($C$3,10000)/100),MOD($C$3,100))+(ROW()-ROW($C$3))/86400</s:f>
        <s:v>46247.53228009259</s:v>
      </s:c>
    </s:row>
    <s:row r="676">
      <s:c r="A676" s="0" t="n">
        <s:v>260813</s:v>
      </s:c>
      <s:c r="B676" s="0" t="inlineStr">
        <s:is>
          <s:t>이종훈</s:t>
        </s:is>
      </s:c>
      <s:c r="C676" s="0" t="n">
        <s:v>123517</s:v>
      </s:c>
      <s:c r="D676" s="0" t="n">
        <s:v>3265</s:v>
      </s:c>
      <s:c r="F676" s="24">
        <s:f>'자료구성'!$B$2+TIME(INT($C$3/10000),INT(MOD($C$3,10000)/100),MOD($C$3,100))+(ROW()-ROW($C$3))/86400</s:f>
        <s:v>46247.53229166667</s:v>
      </s:c>
    </s:row>
    <s:row r="677">
      <s:c r="A677" s="0" t="n">
        <s:v>260813</s:v>
      </s:c>
      <s:c r="B677" s="0" t="inlineStr">
        <s:is>
          <s:t>이종훈</s:t>
        </s:is>
      </s:c>
      <s:c r="C677" s="0" t="n">
        <s:v>123517</s:v>
      </s:c>
      <s:c r="D677" s="0" t="n">
        <s:v>3196</s:v>
      </s:c>
      <s:c r="F677" s="24">
        <s:f>'자료구성'!$B$2+TIME(INT($C$3/10000),INT(MOD($C$3,10000)/100),MOD($C$3,100))+(ROW()-ROW($C$3))/86400</s:f>
        <s:v>46247.53230324074</s:v>
      </s:c>
    </s:row>
    <s:row r="678">
      <s:c r="A678" s="0" t="n">
        <s:v>260813</s:v>
      </s:c>
      <s:c r="B678" s="0" t="inlineStr">
        <s:is>
          <s:t>이종훈</s:t>
        </s:is>
      </s:c>
      <s:c r="C678" s="0" t="n">
        <s:v>123517</s:v>
      </s:c>
      <s:c r="D678" s="0" t="n">
        <s:v>3116</s:v>
      </s:c>
      <s:c r="F678" s="24">
        <s:f>'자료구성'!$B$2+TIME(INT($C$3/10000),INT(MOD($C$3,10000)/100),MOD($C$3,100))+(ROW()-ROW($C$3))/86400</s:f>
        <s:v>46247.532314814816</s:v>
      </s:c>
    </s:row>
    <s:row r="679">
      <s:c r="A679" s="0" t="n">
        <s:v>260813</s:v>
      </s:c>
      <s:c r="B679" s="0" t="inlineStr">
        <s:is>
          <s:t>이종훈</s:t>
        </s:is>
      </s:c>
      <s:c r="C679" s="0" t="n">
        <s:v>123517</s:v>
      </s:c>
      <s:c r="D679" s="0" t="n">
        <s:v>3097</s:v>
      </s:c>
      <s:c r="F679" s="24">
        <s:f>'자료구성'!$B$2+TIME(INT($C$3/10000),INT(MOD($C$3,10000)/100),MOD($C$3,100))+(ROW()-ROW($C$3))/86400</s:f>
        <s:v>46247.532326388886</s:v>
      </s:c>
    </s:row>
    <s:row r="680">
      <s:c r="A680" s="0" t="n">
        <s:v>260813</s:v>
      </s:c>
      <s:c r="B680" s="0" t="inlineStr">
        <s:is>
          <s:t>이종훈</s:t>
        </s:is>
      </s:c>
      <s:c r="C680" s="0" t="n">
        <s:v>123517</s:v>
      </s:c>
      <s:c r="D680" s="0" t="n">
        <s:v>3017</s:v>
      </s:c>
      <s:c r="F680" s="24">
        <s:f>'자료구성'!$B$2+TIME(INT($C$3/10000),INT(MOD($C$3,10000)/100),MOD($C$3,100))+(ROW()-ROW($C$3))/86400</s:f>
        <s:v>46247.53233796296</s:v>
      </s:c>
    </s:row>
    <s:row r="681">
      <s:c r="A681" s="0" t="n">
        <s:v>260813</s:v>
      </s:c>
      <s:c r="B681" s="0" t="inlineStr">
        <s:is>
          <s:t>이종훈</s:t>
        </s:is>
      </s:c>
      <s:c r="C681" s="0" t="n">
        <s:v>123517</s:v>
      </s:c>
      <s:c r="D681" s="0" t="n">
        <s:v>2951</s:v>
      </s:c>
      <s:c r="F681" s="24">
        <s:f>'자료구성'!$B$2+TIME(INT($C$3/10000),INT(MOD($C$3,10000)/100),MOD($C$3,100))+(ROW()-ROW($C$3))/86400</s:f>
        <s:v>46247.53234953704</s:v>
      </s:c>
    </s:row>
    <s:row r="682">
      <s:c r="A682" s="0" t="n">
        <s:v>260813</s:v>
      </s:c>
      <s:c r="B682" s="0" t="inlineStr">
        <s:is>
          <s:t>이종훈</s:t>
        </s:is>
      </s:c>
      <s:c r="C682" s="0" t="n">
        <s:v>123517</s:v>
      </s:c>
      <s:c r="D682" s="0" t="n">
        <s:v>2936</s:v>
      </s:c>
      <s:c r="F682" s="24">
        <s:f>'자료구성'!$B$2+TIME(INT($C$3/10000),INT(MOD($C$3,10000)/100),MOD($C$3,100))+(ROW()-ROW($C$3))/86400</s:f>
        <s:v>46247.53236111111</s:v>
      </s:c>
    </s:row>
    <s:row r="683">
      <s:c r="A683" s="0" t="n">
        <s:v>260813</s:v>
      </s:c>
      <s:c r="B683" s="0" t="inlineStr">
        <s:is>
          <s:t>이종훈</s:t>
        </s:is>
      </s:c>
      <s:c r="C683" s="0" t="n">
        <s:v>123517</s:v>
      </s:c>
      <s:c r="D683" s="0" t="n">
        <s:v>2910</s:v>
      </s:c>
      <s:c r="F683" s="24">
        <s:f>'자료구성'!$B$2+TIME(INT($C$3/10000),INT(MOD($C$3,10000)/100),MOD($C$3,100))+(ROW()-ROW($C$3))/86400</s:f>
        <s:v>46247.532372685186</s:v>
      </s:c>
    </s:row>
    <s:row r="684">
      <s:c r="A684" s="0" t="n">
        <s:v>260813</s:v>
      </s:c>
      <s:c r="B684" s="0" t="inlineStr">
        <s:is>
          <s:t>이종훈</s:t>
        </s:is>
      </s:c>
      <s:c r="C684" s="0" t="n">
        <s:v>123517</s:v>
      </s:c>
      <s:c r="D684" s="0" t="n">
        <s:v>2934</s:v>
      </s:c>
      <s:c r="F684" s="24">
        <s:f>'자료구성'!$B$2+TIME(INT($C$3/10000),INT(MOD($C$3,10000)/100),MOD($C$3,100))+(ROW()-ROW($C$3))/86400</s:f>
        <s:v>46247.53238425926</s:v>
      </s:c>
    </s:row>
    <s:row r="685">
      <s:c r="A685" s="0" t="n">
        <s:v>260813</s:v>
      </s:c>
      <s:c r="B685" s="0" t="inlineStr">
        <s:is>
          <s:t>이종훈</s:t>
        </s:is>
      </s:c>
      <s:c r="C685" s="0" t="n">
        <s:v>123517</s:v>
      </s:c>
      <s:c r="D685" s="0" t="n">
        <s:v>2960</s:v>
      </s:c>
      <s:c r="F685" s="24">
        <s:f>'자료구성'!$B$2+TIME(INT($C$3/10000),INT(MOD($C$3,10000)/100),MOD($C$3,100))+(ROW()-ROW($C$3))/86400</s:f>
        <s:v>46247.53239583333</s:v>
      </s:c>
    </s:row>
    <s:row r="686">
      <s:c r="A686" s="0" t="n">
        <s:v>260813</s:v>
      </s:c>
      <s:c r="B686" s="0" t="inlineStr">
        <s:is>
          <s:t>이종훈</s:t>
        </s:is>
      </s:c>
      <s:c r="C686" s="0" t="n">
        <s:v>123517</s:v>
      </s:c>
      <s:c r="D686" s="0" t="n">
        <s:v>2985</s:v>
      </s:c>
      <s:c r="F686" s="24">
        <s:f>'자료구성'!$B$2+TIME(INT($C$3/10000),INT(MOD($C$3,10000)/100),MOD($C$3,100))+(ROW()-ROW($C$3))/86400</s:f>
        <s:v>46247.53240740741</s:v>
      </s:c>
    </s:row>
    <s:row r="687">
      <s:c r="A687" s="0" t="n">
        <s:v>260813</s:v>
      </s:c>
      <s:c r="B687" s="0" t="inlineStr">
        <s:is>
          <s:t>이종훈</s:t>
        </s:is>
      </s:c>
      <s:c r="C687" s="0" t="n">
        <s:v>123517</s:v>
      </s:c>
      <s:c r="D687" s="0" t="n">
        <s:v>2960</s:v>
      </s:c>
      <s:c r="F687" s="24">
        <s:f>'자료구성'!$B$2+TIME(INT($C$3/10000),INT(MOD($C$3,10000)/100),MOD($C$3,100))+(ROW()-ROW($C$3))/86400</s:f>
        <s:v>46247.53241898148</s:v>
      </s:c>
    </s:row>
    <s:row r="688">
      <s:c r="A688" s="0" t="n">
        <s:v>260813</s:v>
      </s:c>
      <s:c r="B688" s="0" t="inlineStr">
        <s:is>
          <s:t>이종훈</s:t>
        </s:is>
      </s:c>
      <s:c r="C688" s="0" t="n">
        <s:v>123517</s:v>
      </s:c>
      <s:c r="D688" s="0" t="n">
        <s:v>2900</s:v>
      </s:c>
      <s:c r="F688" s="24">
        <s:f>'자료구성'!$B$2+TIME(INT($C$3/10000),INT(MOD($C$3,10000)/100),MOD($C$3,100))+(ROW()-ROW($C$3))/86400</s:f>
        <s:v>46247.532430555555</s:v>
      </s:c>
    </s:row>
    <s:row r="689">
      <s:c r="A689" s="0" t="n">
        <s:v>260813</s:v>
      </s:c>
      <s:c r="B689" s="0" t="inlineStr">
        <s:is>
          <s:t>이종훈</s:t>
        </s:is>
      </s:c>
      <s:c r="C689" s="0" t="n">
        <s:v>123517</s:v>
      </s:c>
      <s:c r="D689" s="0" t="n">
        <s:v>2810</s:v>
      </s:c>
      <s:c r="F689" s="24">
        <s:f>'자료구성'!$B$2+TIME(INT($C$3/10000),INT(MOD($C$3,10000)/100),MOD($C$3,100))+(ROW()-ROW($C$3))/86400</s:f>
        <s:v>46247.53244212963</s:v>
      </s:c>
    </s:row>
    <s:row r="690">
      <s:c r="A690" s="0" t="n">
        <s:v>260813</s:v>
      </s:c>
      <s:c r="B690" s="0" t="inlineStr">
        <s:is>
          <s:t>이종훈</s:t>
        </s:is>
      </s:c>
      <s:c r="C690" s="0" t="n">
        <s:v>123517</s:v>
      </s:c>
      <s:c r="D690" s="0" t="n">
        <s:v>2769</s:v>
      </s:c>
      <s:c r="F690" s="24">
        <s:f>'자료구성'!$B$2+TIME(INT($C$3/10000),INT(MOD($C$3,10000)/100),MOD($C$3,100))+(ROW()-ROW($C$3))/86400</s:f>
        <s:v>46247.5324537037</s:v>
      </s:c>
    </s:row>
    <s:row r="691">
      <s:c r="A691" s="0" t="n">
        <s:v>260813</s:v>
      </s:c>
      <s:c r="B691" s="0" t="inlineStr">
        <s:is>
          <s:t>이종훈</s:t>
        </s:is>
      </s:c>
      <s:c r="C691" s="0" t="n">
        <s:v>123517</s:v>
      </s:c>
      <s:c r="D691" s="0" t="n">
        <s:v>2742</s:v>
      </s:c>
      <s:c r="F691" s="24">
        <s:f>'자료구성'!$B$2+TIME(INT($C$3/10000),INT(MOD($C$3,10000)/100),MOD($C$3,100))+(ROW()-ROW($C$3))/86400</s:f>
        <s:v>46247.53246527778</s:v>
      </s:c>
    </s:row>
    <s:row r="692">
      <s:c r="A692" s="0" t="n">
        <s:v>260813</s:v>
      </s:c>
      <s:c r="B692" s="0" t="inlineStr">
        <s:is>
          <s:t>이종훈</s:t>
        </s:is>
      </s:c>
      <s:c r="C692" s="0" t="n">
        <s:v>123517</s:v>
      </s:c>
      <s:c r="D692" s="0" t="n">
        <s:v>2712</s:v>
      </s:c>
      <s:c r="F692" s="24">
        <s:f>'자료구성'!$B$2+TIME(INT($C$3/10000),INT(MOD($C$3,10000)/100),MOD($C$3,100))+(ROW()-ROW($C$3))/86400</s:f>
        <s:v>46247.532476851855</s:v>
      </s:c>
    </s:row>
    <s:row r="693">
      <s:c r="A693" s="0" t="n">
        <s:v>260813</s:v>
      </s:c>
      <s:c r="B693" s="0" t="inlineStr">
        <s:is>
          <s:t>이종훈</s:t>
        </s:is>
      </s:c>
      <s:c r="C693" s="0" t="n">
        <s:v>123517</s:v>
      </s:c>
      <s:c r="D693" s="0" t="n">
        <s:v>2711</s:v>
      </s:c>
      <s:c r="F693" s="24">
        <s:f>'자료구성'!$B$2+TIME(INT($C$3/10000),INT(MOD($C$3,10000)/100),MOD($C$3,100))+(ROW()-ROW($C$3))/86400</s:f>
        <s:v>46247.532488425924</s:v>
      </s:c>
    </s:row>
    <s:row r="694">
      <s:c r="A694" s="0" t="n">
        <s:v>260813</s:v>
      </s:c>
      <s:c r="B694" s="0" t="inlineStr">
        <s:is>
          <s:t>이종훈</s:t>
        </s:is>
      </s:c>
      <s:c r="C694" s="0" t="n">
        <s:v>123517</s:v>
      </s:c>
      <s:c r="D694" s="0" t="n">
        <s:v>2732</s:v>
      </s:c>
      <s:c r="F694" s="24">
        <s:f>'자료구성'!$B$2+TIME(INT($C$3/10000),INT(MOD($C$3,10000)/100),MOD($C$3,100))+(ROW()-ROW($C$3))/86400</s:f>
        <s:v>46247.5325</s:v>
      </s:c>
    </s:row>
    <s:row r="695">
      <s:c r="A695" s="0" t="n">
        <s:v>260813</s:v>
      </s:c>
      <s:c r="B695" s="0" t="inlineStr">
        <s:is>
          <s:t>이종훈</s:t>
        </s:is>
      </s:c>
      <s:c r="C695" s="0" t="n">
        <s:v>123517</s:v>
      </s:c>
      <s:c r="D695" s="0" t="n">
        <s:v>2724</s:v>
      </s:c>
      <s:c r="F695" s="24">
        <s:f>'자료구성'!$B$2+TIME(INT($C$3/10000),INT(MOD($C$3,10000)/100),MOD($C$3,100))+(ROW()-ROW($C$3))/86400</s:f>
        <s:v>46247.53251157407</s:v>
      </s:c>
    </s:row>
    <s:row r="696">
      <s:c r="A696" s="0" t="n">
        <s:v>260813</s:v>
      </s:c>
      <s:c r="B696" s="0" t="inlineStr">
        <s:is>
          <s:t>이종훈</s:t>
        </s:is>
      </s:c>
      <s:c r="C696" s="0" t="n">
        <s:v>123517</s:v>
      </s:c>
      <s:c r="D696" s="0" t="n">
        <s:v>2767</s:v>
      </s:c>
      <s:c r="F696" s="24">
        <s:f>'자료구성'!$B$2+TIME(INT($C$3/10000),INT(MOD($C$3,10000)/100),MOD($C$3,100))+(ROW()-ROW($C$3))/86400</s:f>
        <s:v>46247.53252314815</s:v>
      </s:c>
    </s:row>
    <s:row r="697">
      <s:c r="A697" s="0" t="n">
        <s:v>260813</s:v>
      </s:c>
      <s:c r="B697" s="0" t="inlineStr">
        <s:is>
          <s:t>이종훈</s:t>
        </s:is>
      </s:c>
      <s:c r="C697" s="0" t="n">
        <s:v>123517</s:v>
      </s:c>
      <s:c r="D697" s="0" t="n">
        <s:v>2710</s:v>
      </s:c>
      <s:c r="F697" s="24">
        <s:f>'자료구성'!$B$2+TIME(INT($C$3/10000),INT(MOD($C$3,10000)/100),MOD($C$3,100))+(ROW()-ROW($C$3))/86400</s:f>
        <s:v>46247.532534722224</s:v>
      </s:c>
    </s:row>
    <s:row r="698">
      <s:c r="A698" s="0" t="n">
        <s:v>260813</s:v>
      </s:c>
      <s:c r="B698" s="0" t="inlineStr">
        <s:is>
          <s:t>이종훈</s:t>
        </s:is>
      </s:c>
      <s:c r="C698" s="0" t="n">
        <s:v>123517</s:v>
      </s:c>
      <s:c r="D698" s="0" t="n">
        <s:v>2603</s:v>
      </s:c>
      <s:c r="F698" s="24">
        <s:f>'자료구성'!$B$2+TIME(INT($C$3/10000),INT(MOD($C$3,10000)/100),MOD($C$3,100))+(ROW()-ROW($C$3))/86400</s:f>
        <s:v>46247.532546296294</s:v>
      </s:c>
    </s:row>
    <s:row r="699">
      <s:c r="A699" s="0" t="n">
        <s:v>260813</s:v>
      </s:c>
      <s:c r="B699" s="0" t="inlineStr">
        <s:is>
          <s:t>이종훈</s:t>
        </s:is>
      </s:c>
      <s:c r="C699" s="0" t="n">
        <s:v>123517</s:v>
      </s:c>
      <s:c r="D699" s="0" t="n">
        <s:v>2528</s:v>
      </s:c>
      <s:c r="F699" s="24">
        <s:f>'자료구성'!$B$2+TIME(INT($C$3/10000),INT(MOD($C$3,10000)/100),MOD($C$3,100))+(ROW()-ROW($C$3))/86400</s:f>
        <s:v>46247.53255787037</s:v>
      </s:c>
    </s:row>
    <s:row r="700">
      <s:c r="A700" s="0" t="n">
        <s:v>260813</s:v>
      </s:c>
      <s:c r="B700" s="0" t="inlineStr">
        <s:is>
          <s:t>이종훈</s:t>
        </s:is>
      </s:c>
      <s:c r="C700" s="0" t="n">
        <s:v>123517</s:v>
      </s:c>
      <s:c r="D700" s="0" t="n">
        <s:v>2492</s:v>
      </s:c>
      <s:c r="F700" s="24">
        <s:f>'자료구성'!$B$2+TIME(INT($C$3/10000),INT(MOD($C$3,10000)/100),MOD($C$3,100))+(ROW()-ROW($C$3))/86400</s:f>
        <s:v>46247.53256944445</s:v>
      </s:c>
    </s:row>
    <s:row r="701">
      <s:c r="A701" s="0" t="n">
        <s:v>260813</s:v>
      </s:c>
      <s:c r="B701" s="0" t="inlineStr">
        <s:is>
          <s:t>이종훈</s:t>
        </s:is>
      </s:c>
      <s:c r="C701" s="0" t="n">
        <s:v>123517</s:v>
      </s:c>
      <s:c r="D701" s="0" t="n">
        <s:v>2485</s:v>
      </s:c>
      <s:c r="F701" s="24">
        <s:f>'자료구성'!$B$2+TIME(INT($C$3/10000),INT(MOD($C$3,10000)/100),MOD($C$3,100))+(ROW()-ROW($C$3))/86400</s:f>
        <s:v>46247.53258101852</s:v>
      </s:c>
    </s:row>
    <s:row r="702">
      <s:c r="A702" s="0" t="n">
        <s:v>260813</s:v>
      </s:c>
      <s:c r="B702" s="0" t="inlineStr">
        <s:is>
          <s:t>이종훈</s:t>
        </s:is>
      </s:c>
      <s:c r="C702" s="0" t="n">
        <s:v>123517</s:v>
      </s:c>
      <s:c r="D702" s="0" t="n">
        <s:v>2517</s:v>
      </s:c>
      <s:c r="F702" s="24">
        <s:f>'자료구성'!$B$2+TIME(INT($C$3/10000),INT(MOD($C$3,10000)/100),MOD($C$3,100))+(ROW()-ROW($C$3))/86400</s:f>
        <s:v>46247.53259259259</s:v>
      </s:c>
    </s:row>
    <s:row r="703">
      <s:c r="A703" s="0" t="n">
        <s:v>260813</s:v>
      </s:c>
      <s:c r="B703" s="0" t="inlineStr">
        <s:is>
          <s:t>이종훈</s:t>
        </s:is>
      </s:c>
      <s:c r="C703" s="0" t="n">
        <s:v>123517</s:v>
      </s:c>
      <s:c r="D703" s="0" t="n">
        <s:v>2570</s:v>
      </s:c>
      <s:c r="F703" s="24">
        <s:f>'자료구성'!$B$2+TIME(INT($C$3/10000),INT(MOD($C$3,10000)/100),MOD($C$3,100))+(ROW()-ROW($C$3))/86400</s:f>
        <s:v>46247.53260416666</s:v>
      </s:c>
    </s:row>
    <s:row r="704">
      <s:c r="A704" s="0" t="n">
        <s:v>260813</s:v>
      </s:c>
      <s:c r="B704" s="0" t="inlineStr">
        <s:is>
          <s:t>이종훈</s:t>
        </s:is>
      </s:c>
      <s:c r="C704" s="0" t="n">
        <s:v>123517</s:v>
      </s:c>
      <s:c r="D704" s="0" t="n">
        <s:v>2597</s:v>
      </s:c>
      <s:c r="F704" s="24">
        <s:f>'자료구성'!$B$2+TIME(INT($C$3/10000),INT(MOD($C$3,10000)/100),MOD($C$3,100))+(ROW()-ROW($C$3))/86400</s:f>
        <s:v>46247.53261574074</s:v>
      </s:c>
    </s:row>
    <s:row r="705">
      <s:c r="A705" s="0" t="n">
        <s:v>260813</s:v>
      </s:c>
      <s:c r="B705" s="0" t="inlineStr">
        <s:is>
          <s:t>이종훈</s:t>
        </s:is>
      </s:c>
      <s:c r="C705" s="0" t="n">
        <s:v>123517</s:v>
      </s:c>
      <s:c r="D705" s="0" t="n">
        <s:v>2620</s:v>
      </s:c>
      <s:c r="F705" s="24">
        <s:f>'자료구성'!$B$2+TIME(INT($C$3/10000),INT(MOD($C$3,10000)/100),MOD($C$3,100))+(ROW()-ROW($C$3))/86400</s:f>
        <s:v>46247.53262731482</s:v>
      </s:c>
    </s:row>
    <s:row r="706">
      <s:c r="A706" s="0" t="n">
        <s:v>260813</s:v>
      </s:c>
      <s:c r="B706" s="0" t="inlineStr">
        <s:is>
          <s:t>이종훈</s:t>
        </s:is>
      </s:c>
      <s:c r="C706" s="0" t="n">
        <s:v>123517</s:v>
      </s:c>
      <s:c r="D706" s="0" t="n">
        <s:v>2601</s:v>
      </s:c>
      <s:c r="F706" s="24">
        <s:f>'자료구성'!$B$2+TIME(INT($C$3/10000),INT(MOD($C$3,10000)/100),MOD($C$3,100))+(ROW()-ROW($C$3))/86400</s:f>
        <s:v>46247.532638888886</s:v>
      </s:c>
    </s:row>
    <s:row r="707">
      <s:c r="A707" s="0" t="n">
        <s:v>260813</s:v>
      </s:c>
      <s:c r="B707" s="0" t="inlineStr">
        <s:is>
          <s:t>이종훈</s:t>
        </s:is>
      </s:c>
      <s:c r="C707" s="0" t="n">
        <s:v>123517</s:v>
      </s:c>
      <s:c r="D707" s="0" t="n">
        <s:v>2549</s:v>
      </s:c>
      <s:c r="F707" s="24">
        <s:f>'자료구성'!$B$2+TIME(INT($C$3/10000),INT(MOD($C$3,10000)/100),MOD($C$3,100))+(ROW()-ROW($C$3))/86400</s:f>
        <s:v>46247.53265046296</s:v>
      </s:c>
    </s:row>
    <s:row r="708">
      <s:c r="A708" s="0" t="n">
        <s:v>260813</s:v>
      </s:c>
      <s:c r="B708" s="0" t="inlineStr">
        <s:is>
          <s:t>이종훈</s:t>
        </s:is>
      </s:c>
      <s:c r="C708" s="0" t="n">
        <s:v>123517</s:v>
      </s:c>
      <s:c r="D708" s="0" t="n">
        <s:v>2490</s:v>
      </s:c>
      <s:c r="F708" s="24">
        <s:f>'자료구성'!$B$2+TIME(INT($C$3/10000),INT(MOD($C$3,10000)/100),MOD($C$3,100))+(ROW()-ROW($C$3))/86400</s:f>
        <s:v>46247.53266203704</s:v>
      </s:c>
    </s:row>
    <s:row r="709">
      <s:c r="A709" s="0" t="n">
        <s:v>260813</s:v>
      </s:c>
      <s:c r="B709" s="0" t="inlineStr">
        <s:is>
          <s:t>이종훈</s:t>
        </s:is>
      </s:c>
      <s:c r="C709" s="0" t="n">
        <s:v>123517</s:v>
      </s:c>
      <s:c r="D709" s="0" t="inlineStr">
        <s:is>
          <s:t>****</s:t>
        </s:is>
      </s:c>
      <s:c r="F709" s="24">
        <s:f>'자료구성'!$B$2+TIME(INT($C$3/10000),INT(MOD($C$3,10000)/100),MOD($C$3,100))+(ROW()-ROW($C$3))/86400</s:f>
        <s:v>46247.53267361111</s:v>
      </s:c>
    </s:row>
    <s:row r="710">
      <s:c r="A710" s="0" t="n">
        <s:v>260813</s:v>
      </s:c>
      <s:c r="B710" s="0" t="inlineStr">
        <s:is>
          <s:t>이종훈</s:t>
        </s:is>
      </s:c>
      <s:c r="C710" s="0" t="n">
        <s:v>123517</s:v>
      </s:c>
      <s:c r="D710" s="0" t="n">
        <s:v>2484</s:v>
      </s:c>
      <s:c r="F710" s="24">
        <s:f>'자료구성'!$B$2+TIME(INT($C$3/10000),INT(MOD($C$3,10000)/100),MOD($C$3,100))+(ROW()-ROW($C$3))/86400</s:f>
        <s:v>46247.532685185186</s:v>
      </s:c>
    </s:row>
    <s:row r="711">
      <s:c r="A711" s="0" t="n">
        <s:v>260813</s:v>
      </s:c>
      <s:c r="B711" s="0" t="inlineStr">
        <s:is>
          <s:t>이종훈</s:t>
        </s:is>
      </s:c>
      <s:c r="C711" s="0" t="n">
        <s:v>123517</s:v>
      </s:c>
      <s:c r="D711" s="0" t="n">
        <s:v>2561</s:v>
      </s:c>
      <s:c r="F711" s="24">
        <s:f>'자료구성'!$B$2+TIME(INT($C$3/10000),INT(MOD($C$3,10000)/100),MOD($C$3,100))+(ROW()-ROW($C$3))/86400</s:f>
        <s:v>46247.53269675926</s:v>
      </s:c>
    </s:row>
    <s:row r="712">
      <s:c r="A712" s="0" t="n">
        <s:v>260813</s:v>
      </s:c>
      <s:c r="B712" s="0" t="inlineStr">
        <s:is>
          <s:t>이종훈</s:t>
        </s:is>
      </s:c>
      <s:c r="C712" s="0" t="n">
        <s:v>123517</s:v>
      </s:c>
      <s:c r="D712" s="0" t="n">
        <s:v>2650</s:v>
      </s:c>
      <s:c r="F712" s="24">
        <s:f>'자료구성'!$B$2+TIME(INT($C$3/10000),INT(MOD($C$3,10000)/100),MOD($C$3,100))+(ROW()-ROW($C$3))/86400</s:f>
        <s:v>46247.53270833333</s:v>
      </s:c>
    </s:row>
    <s:row r="713">
      <s:c r="A713" s="0" t="n">
        <s:v>260813</s:v>
      </s:c>
      <s:c r="B713" s="0" t="inlineStr">
        <s:is>
          <s:t>이종훈</s:t>
        </s:is>
      </s:c>
      <s:c r="C713" s="0" t="n">
        <s:v>123517</s:v>
      </s:c>
      <s:c r="D713" s="0" t="n">
        <s:v>2666</s:v>
      </s:c>
      <s:c r="F713" s="24">
        <s:f>'자료구성'!$B$2+TIME(INT($C$3/10000),INT(MOD($C$3,10000)/100),MOD($C$3,100))+(ROW()-ROW($C$3))/86400</s:f>
        <s:v>46247.53271990741</s:v>
      </s:c>
    </s:row>
    <s:row r="714">
      <s:c r="A714" s="0" t="n">
        <s:v>260813</s:v>
      </s:c>
      <s:c r="B714" s="0" t="inlineStr">
        <s:is>
          <s:t>이종훈</s:t>
        </s:is>
      </s:c>
      <s:c r="C714" s="0" t="n">
        <s:v>123517</s:v>
      </s:c>
      <s:c r="D714" s="0" t="n">
        <s:v>2611</s:v>
      </s:c>
      <s:c r="F714" s="24">
        <s:f>'자료구성'!$B$2+TIME(INT($C$3/10000),INT(MOD($C$3,10000)/100),MOD($C$3,100))+(ROW()-ROW($C$3))/86400</s:f>
        <s:v>46247.53273148148</s:v>
      </s:c>
    </s:row>
    <s:row r="715">
      <s:c r="A715" s="0" t="n">
        <s:v>260813</s:v>
      </s:c>
      <s:c r="B715" s="0" t="inlineStr">
        <s:is>
          <s:t>이종훈</s:t>
        </s:is>
      </s:c>
      <s:c r="C715" s="0" t="n">
        <s:v>123517</s:v>
      </s:c>
      <s:c r="D715" s="0" t="n">
        <s:v>2506</s:v>
      </s:c>
      <s:c r="F715" s="24">
        <s:f>'자료구성'!$B$2+TIME(INT($C$3/10000),INT(MOD($C$3,10000)/100),MOD($C$3,100))+(ROW()-ROW($C$3))/86400</s:f>
        <s:v>46247.532743055555</s:v>
      </s:c>
    </s:row>
    <s:row r="716">
      <s:c r="A716" s="0" t="n">
        <s:v>260813</s:v>
      </s:c>
      <s:c r="B716" s="0" t="inlineStr">
        <s:is>
          <s:t>이종훈</s:t>
        </s:is>
      </s:c>
      <s:c r="C716" s="0" t="n">
        <s:v>123517</s:v>
      </s:c>
      <s:c r="D716" s="0" t="n">
        <s:v>2434</s:v>
      </s:c>
      <s:c r="F716" s="24">
        <s:f>'자료구성'!$B$2+TIME(INT($C$3/10000),INT(MOD($C$3,10000)/100),MOD($C$3,100))+(ROW()-ROW($C$3))/86400</s:f>
        <s:v>46247.53275462963</s:v>
      </s:c>
    </s:row>
    <s:row r="717">
      <s:c r="A717" s="0" t="n">
        <s:v>260813</s:v>
      </s:c>
      <s:c r="B717" s="0" t="inlineStr">
        <s:is>
          <s:t>이종훈</s:t>
        </s:is>
      </s:c>
      <s:c r="C717" s="0" t="n">
        <s:v>123517</s:v>
      </s:c>
      <s:c r="D717" s="0" t="n">
        <s:v>2340</s:v>
      </s:c>
      <s:c r="F717" s="24">
        <s:f>'자료구성'!$B$2+TIME(INT($C$3/10000),INT(MOD($C$3,10000)/100),MOD($C$3,100))+(ROW()-ROW($C$3))/86400</s:f>
        <s:v>46247.5327662037</s:v>
      </s:c>
    </s:row>
    <s:row r="718">
      <s:c r="A718" s="0" t="n">
        <s:v>260813</s:v>
      </s:c>
      <s:c r="B718" s="0" t="inlineStr">
        <s:is>
          <s:t>이종훈</s:t>
        </s:is>
      </s:c>
      <s:c r="C718" s="0" t="n">
        <s:v>123517</s:v>
      </s:c>
      <s:c r="D718" s="0" t="n">
        <s:v>2245</s:v>
      </s:c>
      <s:c r="F718" s="24">
        <s:f>'자료구성'!$B$2+TIME(INT($C$3/10000),INT(MOD($C$3,10000)/100),MOD($C$3,100))+(ROW()-ROW($C$3))/86400</s:f>
        <s:v>46247.53277777778</s:v>
      </s:c>
    </s:row>
    <s:row r="719">
      <s:c r="A719" s="0" t="n">
        <s:v>260813</s:v>
      </s:c>
      <s:c r="B719" s="0" t="inlineStr">
        <s:is>
          <s:t>이종훈</s:t>
        </s:is>
      </s:c>
      <s:c r="C719" s="0" t="n">
        <s:v>123517</s:v>
      </s:c>
      <s:c r="D719" s="0" t="n">
        <s:v>2195</s:v>
      </s:c>
      <s:c r="F719" s="24">
        <s:f>'자료구성'!$B$2+TIME(INT($C$3/10000),INT(MOD($C$3,10000)/100),MOD($C$3,100))+(ROW()-ROW($C$3))/86400</s:f>
        <s:v>46247.532789351855</s:v>
      </s:c>
    </s:row>
    <s:row r="720">
      <s:c r="A720" s="0" t="n">
        <s:v>260813</s:v>
      </s:c>
      <s:c r="B720" s="0" t="inlineStr">
        <s:is>
          <s:t>이종훈</s:t>
        </s:is>
      </s:c>
      <s:c r="C720" s="0" t="n">
        <s:v>123517</s:v>
      </s:c>
      <s:c r="D720" s="0" t="n">
        <s:v>2166</s:v>
      </s:c>
      <s:c r="F720" s="24">
        <s:f>'자료구성'!$B$2+TIME(INT($C$3/10000),INT(MOD($C$3,10000)/100),MOD($C$3,100))+(ROW()-ROW($C$3))/86400</s:f>
        <s:v>46247.532800925925</s:v>
      </s:c>
    </s:row>
    <s:row r="721">
      <s:c r="A721" s="0" t="n">
        <s:v>260813</s:v>
      </s:c>
      <s:c r="B721" s="0" t="inlineStr">
        <s:is>
          <s:t>이종훈</s:t>
        </s:is>
      </s:c>
      <s:c r="C721" s="0" t="n">
        <s:v>123517</s:v>
      </s:c>
      <s:c r="D721" s="0" t="n">
        <s:v>2111</s:v>
      </s:c>
      <s:c r="F721" s="24">
        <s:f>'자료구성'!$B$2+TIME(INT($C$3/10000),INT(MOD($C$3,10000)/100),MOD($C$3,100))+(ROW()-ROW($C$3))/86400</s:f>
        <s:v>46247.5328125</s:v>
      </s:c>
    </s:row>
    <s:row r="722">
      <s:c r="A722" s="0" t="n">
        <s:v>260813</s:v>
      </s:c>
      <s:c r="B722" s="0" t="inlineStr">
        <s:is>
          <s:t>이종훈</s:t>
        </s:is>
      </s:c>
      <s:c r="C722" s="0" t="n">
        <s:v>123517</s:v>
      </s:c>
      <s:c r="D722" s="0" t="n">
        <s:v>2048</s:v>
      </s:c>
      <s:c r="F722" s="24">
        <s:f>'자료구성'!$B$2+TIME(INT($C$3/10000),INT(MOD($C$3,10000)/100),MOD($C$3,100))+(ROW()-ROW($C$3))/86400</s:f>
        <s:v>46247.53282407407</s:v>
      </s:c>
    </s:row>
    <s:row r="723">
      <s:c r="A723" s="0" t="n">
        <s:v>260813</s:v>
      </s:c>
      <s:c r="B723" s="0" t="inlineStr">
        <s:is>
          <s:t>이종훈</s:t>
        </s:is>
      </s:c>
      <s:c r="C723" s="0" t="n">
        <s:v>123517</s:v>
      </s:c>
      <s:c r="D723" s="0" t="n">
        <s:v>2067</s:v>
      </s:c>
      <s:c r="F723" s="24">
        <s:f>'자료구성'!$B$2+TIME(INT($C$3/10000),INT(MOD($C$3,10000)/100),MOD($C$3,100))+(ROW()-ROW($C$3))/86400</s:f>
        <s:v>46247.53283564815</s:v>
      </s:c>
    </s:row>
    <s:row r="724">
      <s:c r="A724" s="0" t="n">
        <s:v>260813</s:v>
      </s:c>
      <s:c r="B724" s="0" t="inlineStr">
        <s:is>
          <s:t>이종훈</s:t>
        </s:is>
      </s:c>
      <s:c r="C724" s="0" t="n">
        <s:v>123517</s:v>
      </s:c>
      <s:c r="D724" s="0" t="n">
        <s:v>2067</s:v>
      </s:c>
      <s:c r="F724" s="24">
        <s:f>'자료구성'!$B$2+TIME(INT($C$3/10000),INT(MOD($C$3,10000)/100),MOD($C$3,100))+(ROW()-ROW($C$3))/86400</s:f>
        <s:v>46247.532847222225</s:v>
      </s:c>
    </s:row>
    <s:row r="725">
      <s:c r="A725" s="0" t="n">
        <s:v>260813</s:v>
      </s:c>
      <s:c r="B725" s="0" t="inlineStr">
        <s:is>
          <s:t>이종훈</s:t>
        </s:is>
      </s:c>
      <s:c r="C725" s="0" t="n">
        <s:v>123517</s:v>
      </s:c>
      <s:c r="D725" s="0" t="n">
        <s:v>2101</s:v>
      </s:c>
      <s:c r="F725" s="24">
        <s:f>'자료구성'!$B$2+TIME(INT($C$3/10000),INT(MOD($C$3,10000)/100),MOD($C$3,100))+(ROW()-ROW($C$3))/86400</s:f>
        <s:v>46247.532858796294</s:v>
      </s:c>
    </s:row>
    <s:row r="726">
      <s:c r="A726" s="0" t="n">
        <s:v>260813</s:v>
      </s:c>
      <s:c r="B726" s="0" t="inlineStr">
        <s:is>
          <s:t>이종훈</s:t>
        </s:is>
      </s:c>
      <s:c r="C726" s="0" t="n">
        <s:v>123517</s:v>
      </s:c>
      <s:c r="D726" s="0" t="n">
        <s:v>2151</s:v>
      </s:c>
      <s:c r="F726" s="24">
        <s:f>'자료구성'!$B$2+TIME(INT($C$3/10000),INT(MOD($C$3,10000)/100),MOD($C$3,100))+(ROW()-ROW($C$3))/86400</s:f>
        <s:v>46247.53287037037</s:v>
      </s:c>
    </s:row>
    <s:row r="727">
      <s:c r="A727" s="0" t="n">
        <s:v>260813</s:v>
      </s:c>
      <s:c r="B727" s="0" t="inlineStr">
        <s:is>
          <s:t>이종훈</s:t>
        </s:is>
      </s:c>
      <s:c r="C727" s="0" t="n">
        <s:v>123517</s:v>
      </s:c>
      <s:c r="D727" s="0" t="n">
        <s:v>2200</s:v>
      </s:c>
      <s:c r="F727" s="24">
        <s:f>'자료구성'!$B$2+TIME(INT($C$3/10000),INT(MOD($C$3,10000)/100),MOD($C$3,100))+(ROW()-ROW($C$3))/86400</s:f>
        <s:v>46247.53288194445</s:v>
      </s:c>
    </s:row>
    <s:row r="728">
      <s:c r="A728" s="0" t="n">
        <s:v>260813</s:v>
      </s:c>
      <s:c r="B728" s="0" t="inlineStr">
        <s:is>
          <s:t>이종훈</s:t>
        </s:is>
      </s:c>
      <s:c r="C728" s="0" t="n">
        <s:v>123517</s:v>
      </s:c>
      <s:c r="D728" s="0" t="n">
        <s:v>2287</s:v>
      </s:c>
      <s:c r="F728" s="24">
        <s:f>'자료구성'!$B$2+TIME(INT($C$3/10000),INT(MOD($C$3,10000)/100),MOD($C$3,100))+(ROW()-ROW($C$3))/86400</s:f>
        <s:v>46247.53289351852</s:v>
      </s:c>
    </s:row>
    <s:row r="729">
      <s:c r="A729" s="0" t="n">
        <s:v>260813</s:v>
      </s:c>
      <s:c r="B729" s="0" t="inlineStr">
        <s:is>
          <s:t>이종훈</s:t>
        </s:is>
      </s:c>
      <s:c r="C729" s="0" t="n">
        <s:v>123517</s:v>
      </s:c>
      <s:c r="D729" s="0" t="n">
        <s:v>2369</s:v>
      </s:c>
      <s:c r="F729" s="24">
        <s:f>'자료구성'!$B$2+TIME(INT($C$3/10000),INT(MOD($C$3,10000)/100),MOD($C$3,100))+(ROW()-ROW($C$3))/86400</s:f>
        <s:v>46247.532905092594</s:v>
      </s:c>
    </s:row>
    <s:row r="730">
      <s:c r="A730" s="0" t="n">
        <s:v>260813</s:v>
      </s:c>
      <s:c r="B730" s="0" t="inlineStr">
        <s:is>
          <s:t>이종훈</s:t>
        </s:is>
      </s:c>
      <s:c r="C730" s="0" t="n">
        <s:v>123517</s:v>
      </s:c>
      <s:c r="D730" s="0" t="n">
        <s:v>2404</s:v>
      </s:c>
      <s:c r="F730" s="24">
        <s:f>'자료구성'!$B$2+TIME(INT($C$3/10000),INT(MOD($C$3,10000)/100),MOD($C$3,100))+(ROW()-ROW($C$3))/86400</s:f>
        <s:v>46247.53291666666</s:v>
      </s:c>
    </s:row>
    <s:row r="731">
      <s:c r="A731" s="0" t="n">
        <s:v>260813</s:v>
      </s:c>
      <s:c r="B731" s="0" t="inlineStr">
        <s:is>
          <s:t>이종훈</s:t>
        </s:is>
      </s:c>
      <s:c r="C731" s="0" t="n">
        <s:v>123517</s:v>
      </s:c>
      <s:c r="D731" s="0" t="n">
        <s:v>2416</s:v>
      </s:c>
      <s:c r="F731" s="24">
        <s:f>'자료구성'!$B$2+TIME(INT($C$3/10000),INT(MOD($C$3,10000)/100),MOD($C$3,100))+(ROW()-ROW($C$3))/86400</s:f>
        <s:v>46247.53292824074</s:v>
      </s:c>
    </s:row>
    <s:row r="732">
      <s:c r="A732" s="0" t="n">
        <s:v>260813</s:v>
      </s:c>
      <s:c r="B732" s="0" t="inlineStr">
        <s:is>
          <s:t>이종훈</s:t>
        </s:is>
      </s:c>
      <s:c r="C732" s="0" t="n">
        <s:v>123517</s:v>
      </s:c>
      <s:c r="D732" s="0" t="n">
        <s:v>2410</s:v>
      </s:c>
      <s:c r="F732" s="24">
        <s:f>'자료구성'!$B$2+TIME(INT($C$3/10000),INT(MOD($C$3,10000)/100),MOD($C$3,100))+(ROW()-ROW($C$3))/86400</s:f>
        <s:v>46247.53293981482</s:v>
      </s:c>
    </s:row>
    <s:row r="733">
      <s:c r="A733" s="0" t="n">
        <s:v>260813</s:v>
      </s:c>
      <s:c r="B733" s="0" t="inlineStr">
        <s:is>
          <s:t>이종훈</s:t>
        </s:is>
      </s:c>
      <s:c r="C733" s="0" t="n">
        <s:v>123517</s:v>
      </s:c>
      <s:c r="D733" s="0" t="n">
        <s:v>2414</s:v>
      </s:c>
      <s:c r="F733" s="24">
        <s:f>'자료구성'!$B$2+TIME(INT($C$3/10000),INT(MOD($C$3,10000)/100),MOD($C$3,100))+(ROW()-ROW($C$3))/86400</s:f>
        <s:v>46247.53295138889</s:v>
      </s:c>
    </s:row>
    <s:row r="734">
      <s:c r="A734" s="0" t="n">
        <s:v>260813</s:v>
      </s:c>
      <s:c r="B734" s="0" t="inlineStr">
        <s:is>
          <s:t>이종훈</s:t>
        </s:is>
      </s:c>
      <s:c r="C734" s="0" t="n">
        <s:v>123517</s:v>
      </s:c>
      <s:c r="D734" s="0" t="n">
        <s:v>2353</s:v>
      </s:c>
      <s:c r="F734" s="24">
        <s:f>'자료구성'!$B$2+TIME(INT($C$3/10000),INT(MOD($C$3,10000)/100),MOD($C$3,100))+(ROW()-ROW($C$3))/86400</s:f>
        <s:v>46247.53296296296</s:v>
      </s:c>
    </s:row>
    <s:row r="735">
      <s:c r="A735" s="0" t="n">
        <s:v>260813</s:v>
      </s:c>
      <s:c r="B735" s="0" t="inlineStr">
        <s:is>
          <s:t>이종훈</s:t>
        </s:is>
      </s:c>
      <s:c r="C735" s="0" t="n">
        <s:v>123517</s:v>
      </s:c>
      <s:c r="D735" s="0" t="n">
        <s:v>2292</s:v>
      </s:c>
      <s:c r="F735" s="24">
        <s:f>'자료구성'!$B$2+TIME(INT($C$3/10000),INT(MOD($C$3,10000)/100),MOD($C$3,100))+(ROW()-ROW($C$3))/86400</s:f>
        <s:v>46247.53297453704</s:v>
      </s:c>
    </s:row>
    <s:row r="736">
      <s:c r="A736" s="0" t="n">
        <s:v>260813</s:v>
      </s:c>
      <s:c r="B736" s="0" t="inlineStr">
        <s:is>
          <s:t>이종훈</s:t>
        </s:is>
      </s:c>
      <s:c r="C736" s="0" t="n">
        <s:v>123517</s:v>
      </s:c>
      <s:c r="D736" s="0" t="n">
        <s:v>2190</s:v>
      </s:c>
      <s:c r="F736" s="24">
        <s:f>'자료구성'!$B$2+TIME(INT($C$3/10000),INT(MOD($C$3,10000)/100),MOD($C$3,100))+(ROW()-ROW($C$3))/86400</s:f>
        <s:v>46247.53298611111</s:v>
      </s:c>
    </s:row>
    <s:row r="737">
      <s:c r="A737" s="0" t="n">
        <s:v>260813</s:v>
      </s:c>
      <s:c r="B737" s="0" t="inlineStr">
        <s:is>
          <s:t>이종훈</s:t>
        </s:is>
      </s:c>
      <s:c r="C737" s="0" t="n">
        <s:v>123517</s:v>
      </s:c>
      <s:c r="D737" s="0" t="n">
        <s:v>2093</s:v>
      </s:c>
      <s:c r="F737" s="24">
        <s:f>'자료구성'!$B$2+TIME(INT($C$3/10000),INT(MOD($C$3,10000)/100),MOD($C$3,100))+(ROW()-ROW($C$3))/86400</s:f>
        <s:v>46247.532997685186</s:v>
      </s:c>
    </s:row>
    <s:row r="738">
      <s:c r="A738" s="0" t="n">
        <s:v>260813</s:v>
      </s:c>
      <s:c r="B738" s="0" t="inlineStr">
        <s:is>
          <s:t>이종훈</s:t>
        </s:is>
      </s:c>
      <s:c r="C738" s="0" t="n">
        <s:v>123517</s:v>
      </s:c>
      <s:c r="D738" s="0" t="n">
        <s:v>1959</s:v>
      </s:c>
      <s:c r="F738" s="24">
        <s:f>'자료구성'!$B$2+TIME(INT($C$3/10000),INT(MOD($C$3,10000)/100),MOD($C$3,100))+(ROW()-ROW($C$3))/86400</s:f>
        <s:v>46247.533009259256</s:v>
      </s:c>
    </s:row>
    <s:row r="739">
      <s:c r="A739" s="0" t="n">
        <s:v>260813</s:v>
      </s:c>
      <s:c r="B739" s="0" t="inlineStr">
        <s:is>
          <s:t>이종훈</s:t>
        </s:is>
      </s:c>
      <s:c r="C739" s="0" t="n">
        <s:v>123517</s:v>
      </s:c>
      <s:c r="D739" s="0" t="n">
        <s:v>1848</s:v>
      </s:c>
      <s:c r="F739" s="24">
        <s:f>'자료구성'!$B$2+TIME(INT($C$3/10000),INT(MOD($C$3,10000)/100),MOD($C$3,100))+(ROW()-ROW($C$3))/86400</s:f>
        <s:v>46247.53302083333</s:v>
      </s:c>
    </s:row>
    <s:row r="740">
      <s:c r="A740" s="0" t="n">
        <s:v>260813</s:v>
      </s:c>
      <s:c r="B740" s="0" t="inlineStr">
        <s:is>
          <s:t>이종훈</s:t>
        </s:is>
      </s:c>
      <s:c r="C740" s="0" t="n">
        <s:v>123517</s:v>
      </s:c>
      <s:c r="D740" s="0" t="n">
        <s:v>1783</s:v>
      </s:c>
      <s:c r="F740" s="24">
        <s:f>'자료구성'!$B$2+TIME(INT($C$3/10000),INT(MOD($C$3,10000)/100),MOD($C$3,100))+(ROW()-ROW($C$3))/86400</s:f>
        <s:v>46247.53303240741</s:v>
      </s:c>
    </s:row>
    <s:row r="741">
      <s:c r="A741" s="0" t="n">
        <s:v>260813</s:v>
      </s:c>
      <s:c r="B741" s="0" t="inlineStr">
        <s:is>
          <s:t>이종훈</s:t>
        </s:is>
      </s:c>
      <s:c r="C741" s="0" t="n">
        <s:v>123517</s:v>
      </s:c>
      <s:c r="D741" s="0" t="n">
        <s:v>1767</s:v>
      </s:c>
      <s:c r="F741" s="24">
        <s:f>'자료구성'!$B$2+TIME(INT($C$3/10000),INT(MOD($C$3,10000)/100),MOD($C$3,100))+(ROW()-ROW($C$3))/86400</s:f>
        <s:v>46247.53304398148</s:v>
      </s:c>
    </s:row>
    <s:row r="742">
      <s:c r="A742" s="0" t="n">
        <s:v>260813</s:v>
      </s:c>
      <s:c r="B742" s="0" t="inlineStr">
        <s:is>
          <s:t>이종훈</s:t>
        </s:is>
      </s:c>
      <s:c r="C742" s="0" t="n">
        <s:v>123517</s:v>
      </s:c>
      <s:c r="D742" s="0" t="n">
        <s:v>1764</s:v>
      </s:c>
      <s:c r="F742" s="24">
        <s:f>'자료구성'!$B$2+TIME(INT($C$3/10000),INT(MOD($C$3,10000)/100),MOD($C$3,100))+(ROW()-ROW($C$3))/86400</s:f>
        <s:v>46247.533055555556</s:v>
      </s:c>
    </s:row>
    <s:row r="743">
      <s:c r="A743" s="0" t="n">
        <s:v>260813</s:v>
      </s:c>
      <s:c r="B743" s="0" t="inlineStr">
        <s:is>
          <s:t>이종훈</s:t>
        </s:is>
      </s:c>
      <s:c r="C743" s="0" t="n">
        <s:v>123517</s:v>
      </s:c>
      <s:c r="D743" s="0" t="n">
        <s:v>1774</s:v>
      </s:c>
      <s:c r="F743" s="24">
        <s:f>'자료구성'!$B$2+TIME(INT($C$3/10000),INT(MOD($C$3,10000)/100),MOD($C$3,100))+(ROW()-ROW($C$3))/86400</s:f>
        <s:v>46247.53306712963</s:v>
      </s:c>
    </s:row>
    <s:row r="744">
      <s:c r="A744" s="0" t="n">
        <s:v>260813</s:v>
      </s:c>
      <s:c r="B744" s="0" t="inlineStr">
        <s:is>
          <s:t>이종훈</s:t>
        </s:is>
      </s:c>
      <s:c r="C744" s="0" t="n">
        <s:v>123517</s:v>
      </s:c>
      <s:c r="D744" s="0" t="n">
        <s:v>1780</s:v>
      </s:c>
      <s:c r="F744" s="24">
        <s:f>'자료구성'!$B$2+TIME(INT($C$3/10000),INT(MOD($C$3,10000)/100),MOD($C$3,100))+(ROW()-ROW($C$3))/86400</s:f>
        <s:v>46247.5330787037</s:v>
      </s:c>
    </s:row>
    <s:row r="745">
      <s:c r="A745" s="0" t="n">
        <s:v>260813</s:v>
      </s:c>
      <s:c r="B745" s="0" t="inlineStr">
        <s:is>
          <s:t>이종훈</s:t>
        </s:is>
      </s:c>
      <s:c r="C745" s="0" t="n">
        <s:v>123517</s:v>
      </s:c>
      <s:c r="D745" s="0" t="n">
        <s:v>1817</s:v>
      </s:c>
      <s:c r="F745" s="24">
        <s:f>'자료구성'!$B$2+TIME(INT($C$3/10000),INT(MOD($C$3,10000)/100),MOD($C$3,100))+(ROW()-ROW($C$3))/86400</s:f>
        <s:v>46247.53309027778</s:v>
      </s:c>
    </s:row>
    <s:row r="746">
      <s:c r="A746" s="0" t="n">
        <s:v>260813</s:v>
      </s:c>
      <s:c r="B746" s="0" t="inlineStr">
        <s:is>
          <s:t>이종훈</s:t>
        </s:is>
      </s:c>
      <s:c r="C746" s="0" t="n">
        <s:v>123517</s:v>
      </s:c>
      <s:c r="D746" s="0" t="n">
        <s:v>1838</s:v>
      </s:c>
      <s:c r="F746" s="24">
        <s:f>'자료구성'!$B$2+TIME(INT($C$3/10000),INT(MOD($C$3,10000)/100),MOD($C$3,100))+(ROW()-ROW($C$3))/86400</s:f>
        <s:v>46247.533101851855</s:v>
      </s:c>
    </s:row>
    <s:row r="747">
      <s:c r="A747" s="0" t="n">
        <s:v>260813</s:v>
      </s:c>
      <s:c r="B747" s="0" t="inlineStr">
        <s:is>
          <s:t>이종훈</s:t>
        </s:is>
      </s:c>
      <s:c r="C747" s="0" t="n">
        <s:v>123517</s:v>
      </s:c>
      <s:c r="D747" s="0" t="n">
        <s:v>1883</s:v>
      </s:c>
      <s:c r="F747" s="24">
        <s:f>'자료구성'!$B$2+TIME(INT($C$3/10000),INT(MOD($C$3,10000)/100),MOD($C$3,100))+(ROW()-ROW($C$3))/86400</s:f>
        <s:v>46247.533113425925</s:v>
      </s:c>
    </s:row>
    <s:row r="748">
      <s:c r="A748" s="0" t="n">
        <s:v>260813</s:v>
      </s:c>
      <s:c r="B748" s="0" t="inlineStr">
        <s:is>
          <s:t>이종훈</s:t>
        </s:is>
      </s:c>
      <s:c r="C748" s="0" t="n">
        <s:v>123517</s:v>
      </s:c>
      <s:c r="D748" s="0" t="n">
        <s:v>1897</s:v>
      </s:c>
      <s:c r="F748" s="24">
        <s:f>'자료구성'!$B$2+TIME(INT($C$3/10000),INT(MOD($C$3,10000)/100),MOD($C$3,100))+(ROW()-ROW($C$3))/86400</s:f>
        <s:v>46247.533125</s:v>
      </s:c>
    </s:row>
    <s:row r="749">
      <s:c r="A749" s="0" t="n">
        <s:v>260813</s:v>
      </s:c>
      <s:c r="B749" s="0" t="inlineStr">
        <s:is>
          <s:t>이종훈</s:t>
        </s:is>
      </s:c>
      <s:c r="C749" s="0" t="n">
        <s:v>123517</s:v>
      </s:c>
      <s:c r="D749" s="0" t="n">
        <s:v>1909</s:v>
      </s:c>
      <s:c r="F749" s="24">
        <s:f>'자료구성'!$B$2+TIME(INT($C$3/10000),INT(MOD($C$3,10000)/100),MOD($C$3,100))+(ROW()-ROW($C$3))/86400</s:f>
        <s:v>46247.53313657407</s:v>
      </s:c>
    </s:row>
    <s:row r="750">
      <s:c r="A750" s="0" t="n">
        <s:v>260813</s:v>
      </s:c>
      <s:c r="B750" s="0" t="inlineStr">
        <s:is>
          <s:t>이종훈</s:t>
        </s:is>
      </s:c>
      <s:c r="C750" s="0" t="n">
        <s:v>123517</s:v>
      </s:c>
      <s:c r="D750" s="0" t="n">
        <s:v>1893</s:v>
      </s:c>
      <s:c r="F750" s="24">
        <s:f>'자료구성'!$B$2+TIME(INT($C$3/10000),INT(MOD($C$3,10000)/100),MOD($C$3,100))+(ROW()-ROW($C$3))/86400</s:f>
        <s:v>46247.53314814815</s:v>
      </s:c>
    </s:row>
    <s:row r="751">
      <s:c r="A751" s="0" t="n">
        <s:v>260813</s:v>
      </s:c>
      <s:c r="B751" s="0" t="inlineStr">
        <s:is>
          <s:t>이종훈</s:t>
        </s:is>
      </s:c>
      <s:c r="C751" s="0" t="n">
        <s:v>123517</s:v>
      </s:c>
      <s:c r="D751" s="0" t="n">
        <s:v>1871</s:v>
      </s:c>
      <s:c r="F751" s="24">
        <s:f>'자료구성'!$B$2+TIME(INT($C$3/10000),INT(MOD($C$3,10000)/100),MOD($C$3,100))+(ROW()-ROW($C$3))/86400</s:f>
        <s:v>46247.533159722225</s:v>
      </s:c>
    </s:row>
    <s:row r="752">
      <s:c r="A752" s="0" t="n">
        <s:v>260813</s:v>
      </s:c>
      <s:c r="B752" s="0" t="inlineStr">
        <s:is>
          <s:t>이종훈</s:t>
        </s:is>
      </s:c>
      <s:c r="C752" s="0" t="n">
        <s:v>123517</s:v>
      </s:c>
      <s:c r="D752" s="0" t="n">
        <s:v>1865</s:v>
      </s:c>
      <s:c r="F752" s="24">
        <s:f>'자료구성'!$B$2+TIME(INT($C$3/10000),INT(MOD($C$3,10000)/100),MOD($C$3,100))+(ROW()-ROW($C$3))/86400</s:f>
        <s:v>46247.533171296294</s:v>
      </s:c>
    </s:row>
    <s:row r="753">
      <s:c r="A753" s="0" t="n">
        <s:v>260813</s:v>
      </s:c>
      <s:c r="B753" s="0" t="inlineStr">
        <s:is>
          <s:t>이종훈</s:t>
        </s:is>
      </s:c>
      <s:c r="C753" s="0" t="n">
        <s:v>123517</s:v>
      </s:c>
      <s:c r="D753" s="0" t="n">
        <s:v>1859</s:v>
      </s:c>
      <s:c r="F753" s="24">
        <s:f>'자료구성'!$B$2+TIME(INT($C$3/10000),INT(MOD($C$3,10000)/100),MOD($C$3,100))+(ROW()-ROW($C$3))/86400</s:f>
        <s:v>46247.53318287037</s:v>
      </s:c>
    </s:row>
    <s:row r="754">
      <s:c r="A754" s="0" t="n">
        <s:v>260813</s:v>
      </s:c>
      <s:c r="B754" s="0" t="inlineStr">
        <s:is>
          <s:t>이종훈</s:t>
        </s:is>
      </s:c>
      <s:c r="C754" s="0" t="n">
        <s:v>123517</s:v>
      </s:c>
      <s:c r="D754" s="0" t="n">
        <s:v>1851</s:v>
      </s:c>
      <s:c r="F754" s="24">
        <s:f>'자료구성'!$B$2+TIME(INT($C$3/10000),INT(MOD($C$3,10000)/100),MOD($C$3,100))+(ROW()-ROW($C$3))/86400</s:f>
        <s:v>46247.53319444445</s:v>
      </s:c>
    </s:row>
    <s:row r="755">
      <s:c r="A755" s="0" t="n">
        <s:v>260813</s:v>
      </s:c>
      <s:c r="B755" s="0" t="inlineStr">
        <s:is>
          <s:t>이종훈</s:t>
        </s:is>
      </s:c>
      <s:c r="C755" s="0" t="n">
        <s:v>123517</s:v>
      </s:c>
      <s:c r="D755" s="0" t="n">
        <s:v>1834</s:v>
      </s:c>
      <s:c r="F755" s="24">
        <s:f>'자료구성'!$B$2+TIME(INT($C$3/10000),INT(MOD($C$3,10000)/100),MOD($C$3,100))+(ROW()-ROW($C$3))/86400</s:f>
        <s:v>46247.53320601852</s:v>
      </s:c>
    </s:row>
    <s:row r="756">
      <s:c r="A756" s="0" t="n">
        <s:v>260813</s:v>
      </s:c>
      <s:c r="B756" s="0" t="inlineStr">
        <s:is>
          <s:t>이종훈</s:t>
        </s:is>
      </s:c>
      <s:c r="C756" s="0" t="n">
        <s:v>123517</s:v>
      </s:c>
      <s:c r="D756" s="0" t="n">
        <s:v>1839</s:v>
      </s:c>
      <s:c r="F756" s="24">
        <s:f>'자료구성'!$B$2+TIME(INT($C$3/10000),INT(MOD($C$3,10000)/100),MOD($C$3,100))+(ROW()-ROW($C$3))/86400</s:f>
        <s:v>46247.533217592594</s:v>
      </s:c>
    </s:row>
    <s:row r="757">
      <s:c r="A757" s="0" t="n">
        <s:v>260813</s:v>
      </s:c>
      <s:c r="B757" s="0" t="inlineStr">
        <s:is>
          <s:t>이종훈</s:t>
        </s:is>
      </s:c>
      <s:c r="C757" s="0" t="n">
        <s:v>123517</s:v>
      </s:c>
      <s:c r="D757" s="0" t="n">
        <s:v>1856</s:v>
      </s:c>
      <s:c r="F757" s="24">
        <s:f>'자료구성'!$B$2+TIME(INT($C$3/10000),INT(MOD($C$3,10000)/100),MOD($C$3,100))+(ROW()-ROW($C$3))/86400</s:f>
        <s:v>46247.533229166664</s:v>
      </s:c>
    </s:row>
    <s:row r="758">
      <s:c r="A758" s="0" t="n">
        <s:v>260813</s:v>
      </s:c>
      <s:c r="B758" s="0" t="inlineStr">
        <s:is>
          <s:t>이종훈</s:t>
        </s:is>
      </s:c>
      <s:c r="C758" s="0" t="n">
        <s:v>123517</s:v>
      </s:c>
      <s:c r="D758" s="0" t="n">
        <s:v>1869</s:v>
      </s:c>
      <s:c r="F758" s="24">
        <s:f>'자료구성'!$B$2+TIME(INT($C$3/10000),INT(MOD($C$3,10000)/100),MOD($C$3,100))+(ROW()-ROW($C$3))/86400</s:f>
        <s:v>46247.53324074074</s:v>
      </s:c>
    </s:row>
    <s:row r="759">
      <s:c r="A759" s="0" t="n">
        <s:v>260813</s:v>
      </s:c>
      <s:c r="B759" s="0" t="inlineStr">
        <s:is>
          <s:t>이종훈</s:t>
        </s:is>
      </s:c>
      <s:c r="C759" s="0" t="n">
        <s:v>123517</s:v>
      </s:c>
      <s:c r="D759" s="0" t="n">
        <s:v>1869</s:v>
      </s:c>
      <s:c r="F759" s="24">
        <s:f>'자료구성'!$B$2+TIME(INT($C$3/10000),INT(MOD($C$3,10000)/100),MOD($C$3,100))+(ROW()-ROW($C$3))/86400</s:f>
        <s:v>46247.53325231482</s:v>
      </s:c>
    </s:row>
    <s:row r="760">
      <s:c r="A760" s="0" t="n">
        <s:v>260813</s:v>
      </s:c>
      <s:c r="B760" s="0" t="inlineStr">
        <s:is>
          <s:t>이종훈</s:t>
        </s:is>
      </s:c>
      <s:c r="C760" s="0" t="n">
        <s:v>123517</s:v>
      </s:c>
      <s:c r="D760" s="0" t="n">
        <s:v>1938</s:v>
      </s:c>
      <s:c r="F760" s="24">
        <s:f>'자료구성'!$B$2+TIME(INT($C$3/10000),INT(MOD($C$3,10000)/100),MOD($C$3,100))+(ROW()-ROW($C$3))/86400</s:f>
        <s:v>46247.53326388889</s:v>
      </s:c>
    </s:row>
    <s:row r="761">
      <s:c r="A761" s="0" t="n">
        <s:v>260813</s:v>
      </s:c>
      <s:c r="B761" s="0" t="inlineStr">
        <s:is>
          <s:t>이종훈</s:t>
        </s:is>
      </s:c>
      <s:c r="C761" s="0" t="n">
        <s:v>123517</s:v>
      </s:c>
      <s:c r="D761" s="0" t="n">
        <s:v>2010</s:v>
      </s:c>
      <s:c r="F761" s="24">
        <s:f>'자료구성'!$B$2+TIME(INT($C$3/10000),INT(MOD($C$3,10000)/100),MOD($C$3,100))+(ROW()-ROW($C$3))/86400</s:f>
        <s:v>46247.53327546296</s:v>
      </s:c>
    </s:row>
    <s:row r="762">
      <s:c r="A762" s="0" t="n">
        <s:v>260813</s:v>
      </s:c>
      <s:c r="B762" s="0" t="inlineStr">
        <s:is>
          <s:t>이종훈</s:t>
        </s:is>
      </s:c>
      <s:c r="C762" s="0" t="n">
        <s:v>123517</s:v>
      </s:c>
      <s:c r="D762" s="0" t="n">
        <s:v>2065</s:v>
      </s:c>
      <s:c r="F762" s="24">
        <s:f>'자료구성'!$B$2+TIME(INT($C$3/10000),INT(MOD($C$3,10000)/100),MOD($C$3,100))+(ROW()-ROW($C$3))/86400</s:f>
        <s:v>46247.53328703704</s:v>
      </s:c>
    </s:row>
    <s:row r="763">
      <s:c r="A763" s="0" t="n">
        <s:v>260813</s:v>
      </s:c>
      <s:c r="B763" s="0" t="inlineStr">
        <s:is>
          <s:t>이종훈</s:t>
        </s:is>
      </s:c>
      <s:c r="C763" s="0" t="n">
        <s:v>123517</s:v>
      </s:c>
      <s:c r="D763" s="0" t="n">
        <s:v>2146</s:v>
      </s:c>
      <s:c r="F763" s="24">
        <s:f>'자료구성'!$B$2+TIME(INT($C$3/10000),INT(MOD($C$3,10000)/100),MOD($C$3,100))+(ROW()-ROW($C$3))/86400</s:f>
        <s:v>46247.53329861111</s:v>
      </s:c>
    </s:row>
    <s:row r="764">
      <s:c r="A764" s="0" t="n">
        <s:v>260813</s:v>
      </s:c>
      <s:c r="B764" s="0" t="inlineStr">
        <s:is>
          <s:t>이종훈</s:t>
        </s:is>
      </s:c>
      <s:c r="C764" s="0" t="n">
        <s:v>123517</s:v>
      </s:c>
      <s:c r="D764" s="0" t="n">
        <s:v>2179</s:v>
      </s:c>
      <s:c r="F764" s="24">
        <s:f>'자료구성'!$B$2+TIME(INT($C$3/10000),INT(MOD($C$3,10000)/100),MOD($C$3,100))+(ROW()-ROW($C$3))/86400</s:f>
        <s:v>46247.53331018519</s:v>
      </s:c>
    </s:row>
    <s:row r="765">
      <s:c r="A765" s="0" t="n">
        <s:v>260813</s:v>
      </s:c>
      <s:c r="B765" s="0" t="inlineStr">
        <s:is>
          <s:t>이종훈</s:t>
        </s:is>
      </s:c>
      <s:c r="C765" s="0" t="n">
        <s:v>123517</s:v>
      </s:c>
      <s:c r="D765" s="0" t="n">
        <s:v>2214</s:v>
      </s:c>
      <s:c r="F765" s="24">
        <s:f>'자료구성'!$B$2+TIME(INT($C$3/10000),INT(MOD($C$3,10000)/100),MOD($C$3,100))+(ROW()-ROW($C$3))/86400</s:f>
        <s:v>46247.533321759256</s:v>
      </s:c>
    </s:row>
    <s:row r="766">
      <s:c r="A766" s="0" t="n">
        <s:v>260813</s:v>
      </s:c>
      <s:c r="B766" s="0" t="inlineStr">
        <s:is>
          <s:t>이종훈</s:t>
        </s:is>
      </s:c>
      <s:c r="C766" s="0" t="n">
        <s:v>123517</s:v>
      </s:c>
      <s:c r="D766" s="0" t="n">
        <s:v>2282</s:v>
      </s:c>
      <s:c r="F766" s="24">
        <s:f>'자료구성'!$B$2+TIME(INT($C$3/10000),INT(MOD($C$3,10000)/100),MOD($C$3,100))+(ROW()-ROW($C$3))/86400</s:f>
        <s:v>46247.53333333333</s:v>
      </s:c>
    </s:row>
    <s:row r="767">
      <s:c r="A767" s="0" t="n">
        <s:v>260813</s:v>
      </s:c>
      <s:c r="B767" s="0" t="inlineStr">
        <s:is>
          <s:t>이종훈</s:t>
        </s:is>
      </s:c>
      <s:c r="C767" s="0" t="n">
        <s:v>123517</s:v>
      </s:c>
      <s:c r="D767" s="0" t="n">
        <s:v>2295</s:v>
      </s:c>
      <s:c r="F767" s="24">
        <s:f>'자료구성'!$B$2+TIME(INT($C$3/10000),INT(MOD($C$3,10000)/100),MOD($C$3,100))+(ROW()-ROW($C$3))/86400</s:f>
        <s:v>46247.53334490741</s:v>
      </s:c>
    </s:row>
    <s:row r="768">
      <s:c r="A768" s="0" t="n">
        <s:v>260813</s:v>
      </s:c>
      <s:c r="B768" s="0" t="inlineStr">
        <s:is>
          <s:t>이종훈</s:t>
        </s:is>
      </s:c>
      <s:c r="C768" s="0" t="n">
        <s:v>123517</s:v>
      </s:c>
      <s:c r="D768" s="0" t="n">
        <s:v>2344</s:v>
      </s:c>
      <s:c r="F768" s="24">
        <s:f>'자료구성'!$B$2+TIME(INT($C$3/10000),INT(MOD($C$3,10000)/100),MOD($C$3,100))+(ROW()-ROW($C$3))/86400</s:f>
        <s:v>46247.53335648148</s:v>
      </s:c>
    </s:row>
    <s:row r="769">
      <s:c r="A769" s="0" t="n">
        <s:v>260813</s:v>
      </s:c>
      <s:c r="B769" s="0" t="inlineStr">
        <s:is>
          <s:t>이종훈</s:t>
        </s:is>
      </s:c>
      <s:c r="C769" s="0" t="n">
        <s:v>123517</s:v>
      </s:c>
      <s:c r="D769" s="0" t="n">
        <s:v>2377</s:v>
      </s:c>
      <s:c r="F769" s="24">
        <s:f>'자료구성'!$B$2+TIME(INT($C$3/10000),INT(MOD($C$3,10000)/100),MOD($C$3,100))+(ROW()-ROW($C$3))/86400</s:f>
        <s:v>46247.533368055556</s:v>
      </s:c>
    </s:row>
    <s:row r="770">
      <s:c r="A770" s="0" t="n">
        <s:v>260813</s:v>
      </s:c>
      <s:c r="B770" s="0" t="inlineStr">
        <s:is>
          <s:t>이종훈</s:t>
        </s:is>
      </s:c>
      <s:c r="C770" s="0" t="n">
        <s:v>123517</s:v>
      </s:c>
      <s:c r="D770" s="0" t="n">
        <s:v>2355</s:v>
      </s:c>
      <s:c r="F770" s="24">
        <s:f>'자료구성'!$B$2+TIME(INT($C$3/10000),INT(MOD($C$3,10000)/100),MOD($C$3,100))+(ROW()-ROW($C$3))/86400</s:f>
        <s:v>46247.53337962963</s:v>
      </s:c>
    </s:row>
    <s:row r="771">
      <s:c r="A771" s="0" t="n">
        <s:v>260813</s:v>
      </s:c>
      <s:c r="B771" s="0" t="inlineStr">
        <s:is>
          <s:t>이종훈</s:t>
        </s:is>
      </s:c>
      <s:c r="C771" s="0" t="n">
        <s:v>123517</s:v>
      </s:c>
      <s:c r="D771" s="0" t="n">
        <s:v>2319</s:v>
      </s:c>
      <s:c r="F771" s="24">
        <s:f>'자료구성'!$B$2+TIME(INT($C$3/10000),INT(MOD($C$3,10000)/100),MOD($C$3,100))+(ROW()-ROW($C$3))/86400</s:f>
        <s:v>46247.5333912037</s:v>
      </s:c>
    </s:row>
    <s:row r="772">
      <s:c r="A772" s="0" t="n">
        <s:v>260813</s:v>
      </s:c>
      <s:c r="B772" s="0" t="inlineStr">
        <s:is>
          <s:t>이종훈</s:t>
        </s:is>
      </s:c>
      <s:c r="C772" s="0" t="n">
        <s:v>123517</s:v>
      </s:c>
      <s:c r="D772" s="0" t="n">
        <s:v>2245</s:v>
      </s:c>
      <s:c r="F772" s="24">
        <s:f>'자료구성'!$B$2+TIME(INT($C$3/10000),INT(MOD($C$3,10000)/100),MOD($C$3,100))+(ROW()-ROW($C$3))/86400</s:f>
        <s:v>46247.53340277778</s:v>
      </s:c>
    </s:row>
    <s:row r="773">
      <s:c r="A773" s="0" t="n">
        <s:v>260813</s:v>
      </s:c>
      <s:c r="B773" s="0" t="inlineStr">
        <s:is>
          <s:t>이종훈</s:t>
        </s:is>
      </s:c>
      <s:c r="C773" s="0" t="n">
        <s:v>123517</s:v>
      </s:c>
      <s:c r="D773" s="0" t="n">
        <s:v>2177</s:v>
      </s:c>
      <s:c r="F773" s="24">
        <s:f>'자료구성'!$B$2+TIME(INT($C$3/10000),INT(MOD($C$3,10000)/100),MOD($C$3,100))+(ROW()-ROW($C$3))/86400</s:f>
        <s:v>46247.53341435185</s:v>
      </s:c>
    </s:row>
    <s:row r="774">
      <s:c r="A774" s="0" t="n">
        <s:v>260813</s:v>
      </s:c>
      <s:c r="B774" s="0" t="inlineStr">
        <s:is>
          <s:t>이종훈</s:t>
        </s:is>
      </s:c>
      <s:c r="C774" s="0" t="n">
        <s:v>123517</s:v>
      </s:c>
      <s:c r="D774" s="0" t="n">
        <s:v>2139</s:v>
      </s:c>
      <s:c r="F774" s="24">
        <s:f>'자료구성'!$B$2+TIME(INT($C$3/10000),INT(MOD($C$3,10000)/100),MOD($C$3,100))+(ROW()-ROW($C$3))/86400</s:f>
        <s:v>46247.533425925925</s:v>
      </s:c>
    </s:row>
    <s:row r="775">
      <s:c r="A775" s="0" t="n">
        <s:v>260813</s:v>
      </s:c>
      <s:c r="B775" s="0" t="inlineStr">
        <s:is>
          <s:t>이종훈</s:t>
        </s:is>
      </s:c>
      <s:c r="C775" s="0" t="n">
        <s:v>123517</s:v>
      </s:c>
      <s:c r="D775" s="0" t="n">
        <s:v>2090</s:v>
      </s:c>
      <s:c r="F775" s="24">
        <s:f>'자료구성'!$B$2+TIME(INT($C$3/10000),INT(MOD($C$3,10000)/100),MOD($C$3,100))+(ROW()-ROW($C$3))/86400</s:f>
        <s:v>46247.5334375</s:v>
      </s:c>
    </s:row>
    <s:row r="776">
      <s:c r="A776" s="0" t="n">
        <s:v>260813</s:v>
      </s:c>
      <s:c r="B776" s="0" t="inlineStr">
        <s:is>
          <s:t>이종훈</s:t>
        </s:is>
      </s:c>
      <s:c r="C776" s="0" t="n">
        <s:v>123517</s:v>
      </s:c>
      <s:c r="D776" s="0" t="n">
        <s:v>2054</s:v>
      </s:c>
      <s:c r="F776" s="24">
        <s:f>'자료구성'!$B$2+TIME(INT($C$3/10000),INT(MOD($C$3,10000)/100),MOD($C$3,100))+(ROW()-ROW($C$3))/86400</s:f>
        <s:v>46247.53344907407</s:v>
      </s:c>
    </s:row>
    <s:row r="777">
      <s:c r="A777" s="0" t="n">
        <s:v>260813</s:v>
      </s:c>
      <s:c r="B777" s="0" t="inlineStr">
        <s:is>
          <s:t>이종훈</s:t>
        </s:is>
      </s:c>
      <s:c r="C777" s="0" t="n">
        <s:v>123517</s:v>
      </s:c>
      <s:c r="D777" s="0" t="n">
        <s:v>2028</s:v>
      </s:c>
      <s:c r="F777" s="24">
        <s:f>'자료구성'!$B$2+TIME(INT($C$3/10000),INT(MOD($C$3,10000)/100),MOD($C$3,100))+(ROW()-ROW($C$3))/86400</s:f>
        <s:v>46247.53346064815</s:v>
      </s:c>
    </s:row>
    <s:row r="778">
      <s:c r="A778" s="0" t="n">
        <s:v>260813</s:v>
      </s:c>
      <s:c r="B778" s="0" t="inlineStr">
        <s:is>
          <s:t>이종훈</s:t>
        </s:is>
      </s:c>
      <s:c r="C778" s="0" t="n">
        <s:v>123517</s:v>
      </s:c>
      <s:c r="D778" s="0" t="n">
        <s:v>1999</s:v>
      </s:c>
      <s:c r="F778" s="24">
        <s:f>'자료구성'!$B$2+TIME(INT($C$3/10000),INT(MOD($C$3,10000)/100),MOD($C$3,100))+(ROW()-ROW($C$3))/86400</s:f>
        <s:v>46247.533472222225</s:v>
      </s:c>
    </s:row>
    <s:row r="779">
      <s:c r="A779" s="0" t="n">
        <s:v>260813</s:v>
      </s:c>
      <s:c r="B779" s="0" t="inlineStr">
        <s:is>
          <s:t>이종훈</s:t>
        </s:is>
      </s:c>
      <s:c r="C779" s="0" t="n">
        <s:v>123517</s:v>
      </s:c>
      <s:c r="D779" s="0" t="n">
        <s:v>1959</s:v>
      </s:c>
      <s:c r="F779" s="24">
        <s:f>'자료구성'!$B$2+TIME(INT($C$3/10000),INT(MOD($C$3,10000)/100),MOD($C$3,100))+(ROW()-ROW($C$3))/86400</s:f>
        <s:v>46247.533483796295</s:v>
      </s:c>
    </s:row>
    <s:row r="780">
      <s:c r="A780" s="0" t="n">
        <s:v>260813</s:v>
      </s:c>
      <s:c r="B780" s="0" t="inlineStr">
        <s:is>
          <s:t>이종훈</s:t>
        </s:is>
      </s:c>
      <s:c r="C780" s="0" t="n">
        <s:v>123517</s:v>
      </s:c>
      <s:c r="D780" s="0" t="n">
        <s:v>1970</s:v>
      </s:c>
      <s:c r="F780" s="24">
        <s:f>'자료구성'!$B$2+TIME(INT($C$3/10000),INT(MOD($C$3,10000)/100),MOD($C$3,100))+(ROW()-ROW($C$3))/86400</s:f>
        <s:v>46247.53349537037</s:v>
      </s:c>
    </s:row>
    <s:row r="781">
      <s:c r="A781" s="0" t="n">
        <s:v>260813</s:v>
      </s:c>
      <s:c r="B781" s="0" t="inlineStr">
        <s:is>
          <s:t>이종훈</s:t>
        </s:is>
      </s:c>
      <s:c r="C781" s="0" t="n">
        <s:v>123517</s:v>
      </s:c>
      <s:c r="D781" s="0" t="n">
        <s:v>1959</s:v>
      </s:c>
      <s:c r="F781" s="24">
        <s:f>'자료구성'!$B$2+TIME(INT($C$3/10000),INT(MOD($C$3,10000)/100),MOD($C$3,100))+(ROW()-ROW($C$3))/86400</s:f>
        <s:v>46247.53350694444</s:v>
      </s:c>
    </s:row>
    <s:row r="782">
      <s:c r="A782" s="0" t="n">
        <s:v>260813</s:v>
      </s:c>
      <s:c r="B782" s="0" t="inlineStr">
        <s:is>
          <s:t>이종훈</s:t>
        </s:is>
      </s:c>
      <s:c r="C782" s="0" t="n">
        <s:v>123517</s:v>
      </s:c>
      <s:c r="D782" s="0" t="n">
        <s:v>1942</s:v>
      </s:c>
      <s:c r="F782" s="24">
        <s:f>'자료구성'!$B$2+TIME(INT($C$3/10000),INT(MOD($C$3,10000)/100),MOD($C$3,100))+(ROW()-ROW($C$3))/86400</s:f>
        <s:v>46247.53351851852</s:v>
      </s:c>
    </s:row>
    <s:row r="783">
      <s:c r="A783" s="0" t="n">
        <s:v>260813</s:v>
      </s:c>
      <s:c r="B783" s="0" t="inlineStr">
        <s:is>
          <s:t>이종훈</s:t>
        </s:is>
      </s:c>
      <s:c r="C783" s="0" t="n">
        <s:v>123517</s:v>
      </s:c>
      <s:c r="D783" s="0" t="n">
        <s:v>1949</s:v>
      </s:c>
      <s:c r="F783" s="24">
        <s:f>'자료구성'!$B$2+TIME(INT($C$3/10000),INT(MOD($C$3,10000)/100),MOD($C$3,100))+(ROW()-ROW($C$3))/86400</s:f>
        <s:v>46247.533530092594</s:v>
      </s:c>
    </s:row>
    <s:row r="784">
      <s:c r="A784" s="0" t="n">
        <s:v>260813</s:v>
      </s:c>
      <s:c r="B784" s="0" t="inlineStr">
        <s:is>
          <s:t>이종훈</s:t>
        </s:is>
      </s:c>
      <s:c r="C784" s="0" t="n">
        <s:v>123517</s:v>
      </s:c>
      <s:c r="D784" s="0" t="n">
        <s:v>1927</s:v>
      </s:c>
      <s:c r="F784" s="24">
        <s:f>'자료구성'!$B$2+TIME(INT($C$3/10000),INT(MOD($C$3,10000)/100),MOD($C$3,100))+(ROW()-ROW($C$3))/86400</s:f>
        <s:v>46247.533541666664</s:v>
      </s:c>
    </s:row>
    <s:row r="785">
      <s:c r="A785" s="0" t="n">
        <s:v>260813</s:v>
      </s:c>
      <s:c r="B785" s="0" t="inlineStr">
        <s:is>
          <s:t>이종훈</s:t>
        </s:is>
      </s:c>
      <s:c r="C785" s="0" t="n">
        <s:v>123517</s:v>
      </s:c>
      <s:c r="D785" s="0" t="n">
        <s:v>1911</s:v>
      </s:c>
      <s:c r="F785" s="24">
        <s:f>'자료구성'!$B$2+TIME(INT($C$3/10000),INT(MOD($C$3,10000)/100),MOD($C$3,100))+(ROW()-ROW($C$3))/86400</s:f>
        <s:v>46247.53355324074</s:v>
      </s:c>
    </s:row>
    <s:row r="786">
      <s:c r="A786" s="0" t="n">
        <s:v>260813</s:v>
      </s:c>
      <s:c r="B786" s="0" t="inlineStr">
        <s:is>
          <s:t>이종훈</s:t>
        </s:is>
      </s:c>
      <s:c r="C786" s="0" t="n">
        <s:v>123517</s:v>
      </s:c>
      <s:c r="D786" s="0" t="n">
        <s:v>1895</s:v>
      </s:c>
      <s:c r="F786" s="24">
        <s:f>'자료구성'!$B$2+TIME(INT($C$3/10000),INT(MOD($C$3,10000)/100),MOD($C$3,100))+(ROW()-ROW($C$3))/86400</s:f>
        <s:v>46247.53356481482</s:v>
      </s:c>
    </s:row>
    <s:row r="787">
      <s:c r="A787" s="0" t="n">
        <s:v>260813</s:v>
      </s:c>
      <s:c r="B787" s="0" t="inlineStr">
        <s:is>
          <s:t>이종훈</s:t>
        </s:is>
      </s:c>
      <s:c r="C787" s="0" t="n">
        <s:v>123517</s:v>
      </s:c>
      <s:c r="D787" s="0" t="n">
        <s:v>1883</s:v>
      </s:c>
      <s:c r="F787" s="24">
        <s:f>'자료구성'!$B$2+TIME(INT($C$3/10000),INT(MOD($C$3,10000)/100),MOD($C$3,100))+(ROW()-ROW($C$3))/86400</s:f>
        <s:v>46247.53357638889</s:v>
      </s:c>
    </s:row>
    <s:row r="788">
      <s:c r="A788" s="0" t="n">
        <s:v>260813</s:v>
      </s:c>
      <s:c r="B788" s="0" t="inlineStr">
        <s:is>
          <s:t>이종훈</s:t>
        </s:is>
      </s:c>
      <s:c r="C788" s="0" t="n">
        <s:v>123517</s:v>
      </s:c>
      <s:c r="D788" s="0" t="n">
        <s:v>1875</s:v>
      </s:c>
      <s:c r="F788" s="24">
        <s:f>'자료구성'!$B$2+TIME(INT($C$3/10000),INT(MOD($C$3,10000)/100),MOD($C$3,100))+(ROW()-ROW($C$3))/86400</s:f>
        <s:v>46247.533587962964</s:v>
      </s:c>
    </s:row>
    <s:row r="789">
      <s:c r="A789" s="0" t="n">
        <s:v>260813</s:v>
      </s:c>
      <s:c r="B789" s="0" t="inlineStr">
        <s:is>
          <s:t>이종훈</s:t>
        </s:is>
      </s:c>
      <s:c r="C789" s="0" t="n">
        <s:v>123517</s:v>
      </s:c>
      <s:c r="D789" s="0" t="n">
        <s:v>1884</s:v>
      </s:c>
      <s:c r="F789" s="24">
        <s:f>'자료구성'!$B$2+TIME(INT($C$3/10000),INT(MOD($C$3,10000)/100),MOD($C$3,100))+(ROW()-ROW($C$3))/86400</s:f>
        <s:v>46247.53359953704</s:v>
      </s:c>
    </s:row>
    <s:row r="790">
      <s:c r="A790" s="0" t="n">
        <s:v>260813</s:v>
      </s:c>
      <s:c r="B790" s="0" t="inlineStr">
        <s:is>
          <s:t>이종훈</s:t>
        </s:is>
      </s:c>
      <s:c r="C790" s="0" t="n">
        <s:v>123517</s:v>
      </s:c>
      <s:c r="D790" s="0" t="n">
        <s:v>1863</s:v>
      </s:c>
      <s:c r="F790" s="24">
        <s:f>'자료구성'!$B$2+TIME(INT($C$3/10000),INT(MOD($C$3,10000)/100),MOD($C$3,100))+(ROW()-ROW($C$3))/86400</s:f>
        <s:v>46247.53361111111</s:v>
      </s:c>
    </s:row>
    <s:row r="791">
      <s:c r="A791" s="0" t="n">
        <s:v>260813</s:v>
      </s:c>
      <s:c r="B791" s="0" t="inlineStr">
        <s:is>
          <s:t>이종훈</s:t>
        </s:is>
      </s:c>
      <s:c r="C791" s="0" t="n">
        <s:v>123517</s:v>
      </s:c>
      <s:c r="D791" s="0" t="n">
        <s:v>1835</s:v>
      </s:c>
      <s:c r="F791" s="24">
        <s:f>'자료구성'!$B$2+TIME(INT($C$3/10000),INT(MOD($C$3,10000)/100),MOD($C$3,100))+(ROW()-ROW($C$3))/86400</s:f>
        <s:v>46247.53362268519</s:v>
      </s:c>
    </s:row>
    <s:row r="792">
      <s:c r="A792" s="0" t="n">
        <s:v>260813</s:v>
      </s:c>
      <s:c r="B792" s="0" t="inlineStr">
        <s:is>
          <s:t>이종훈</s:t>
        </s:is>
      </s:c>
      <s:c r="C792" s="0" t="n">
        <s:v>123517</s:v>
      </s:c>
      <s:c r="D792" s="0" t="n">
        <s:v>1797</s:v>
      </s:c>
      <s:c r="F792" s="24">
        <s:f>'자료구성'!$B$2+TIME(INT($C$3/10000),INT(MOD($C$3,10000)/100),MOD($C$3,100))+(ROW()-ROW($C$3))/86400</s:f>
        <s:v>46247.533634259256</s:v>
      </s:c>
    </s:row>
    <s:row r="793">
      <s:c r="A793" s="0" t="n">
        <s:v>260813</s:v>
      </s:c>
      <s:c r="B793" s="0" t="inlineStr">
        <s:is>
          <s:t>이종훈</s:t>
        </s:is>
      </s:c>
      <s:c r="C793" s="0" t="n">
        <s:v>123517</s:v>
      </s:c>
      <s:c r="D793" s="0" t="n">
        <s:v>1799</s:v>
      </s:c>
      <s:c r="F793" s="24">
        <s:f>'자료구성'!$B$2+TIME(INT($C$3/10000),INT(MOD($C$3,10000)/100),MOD($C$3,100))+(ROW()-ROW($C$3))/86400</s:f>
        <s:v>46247.53364583333</s:v>
      </s:c>
    </s:row>
    <s:row r="794">
      <s:c r="A794" s="0" t="n">
        <s:v>260813</s:v>
      </s:c>
      <s:c r="B794" s="0" t="inlineStr">
        <s:is>
          <s:t>이종훈</s:t>
        </s:is>
      </s:c>
      <s:c r="C794" s="0" t="n">
        <s:v>123517</s:v>
      </s:c>
      <s:c r="D794" s="0" t="n">
        <s:v>1811</s:v>
      </s:c>
      <s:c r="F794" s="24">
        <s:f>'자료구성'!$B$2+TIME(INT($C$3/10000),INT(MOD($C$3,10000)/100),MOD($C$3,100))+(ROW()-ROW($C$3))/86400</s:f>
        <s:v>46247.53365740741</s:v>
      </s:c>
    </s:row>
    <s:row r="795">
      <s:c r="A795" s="0" t="n">
        <s:v>260813</s:v>
      </s:c>
      <s:c r="B795" s="0" t="inlineStr">
        <s:is>
          <s:t>이종훈</s:t>
        </s:is>
      </s:c>
      <s:c r="C795" s="0" t="n">
        <s:v>123517</s:v>
      </s:c>
      <s:c r="D795" s="0" t="n">
        <s:v>1804</s:v>
      </s:c>
      <s:c r="F795" s="24">
        <s:f>'자료구성'!$B$2+TIME(INT($C$3/10000),INT(MOD($C$3,10000)/100),MOD($C$3,100))+(ROW()-ROW($C$3))/86400</s:f>
        <s:v>46247.53366898148</s:v>
      </s:c>
    </s:row>
    <s:row r="796">
      <s:c r="A796" s="0" t="n">
        <s:v>260813</s:v>
      </s:c>
      <s:c r="B796" s="0" t="inlineStr">
        <s:is>
          <s:t>이종훈</s:t>
        </s:is>
      </s:c>
      <s:c r="C796" s="0" t="n">
        <s:v>123517</s:v>
      </s:c>
      <s:c r="D796" s="0" t="n">
        <s:v>1769</s:v>
      </s:c>
      <s:c r="F796" s="24">
        <s:f>'자료구성'!$B$2+TIME(INT($C$3/10000),INT(MOD($C$3,10000)/100),MOD($C$3,100))+(ROW()-ROW($C$3))/86400</s:f>
        <s:v>46247.533680555556</s:v>
      </s:c>
    </s:row>
    <s:row r="797">
      <s:c r="A797" s="0" t="n">
        <s:v>260813</s:v>
      </s:c>
      <s:c r="B797" s="0" t="inlineStr">
        <s:is>
          <s:t>이종훈</s:t>
        </s:is>
      </s:c>
      <s:c r="C797" s="0" t="n">
        <s:v>123517</s:v>
      </s:c>
      <s:c r="D797" s="0" t="n">
        <s:v>1732</s:v>
      </s:c>
      <s:c r="F797" s="24">
        <s:f>'자료구성'!$B$2+TIME(INT($C$3/10000),INT(MOD($C$3,10000)/100),MOD($C$3,100))+(ROW()-ROW($C$3))/86400</s:f>
        <s:v>46247.53369212963</s:v>
      </s:c>
    </s:row>
    <s:row r="798">
      <s:c r="A798" s="0" t="n">
        <s:v>260813</s:v>
      </s:c>
      <s:c r="B798" s="0" t="inlineStr">
        <s:is>
          <s:t>이종훈</s:t>
        </s:is>
      </s:c>
      <s:c r="C798" s="0" t="n">
        <s:v>123517</s:v>
      </s:c>
      <s:c r="D798" s="0" t="n">
        <s:v>1698</s:v>
      </s:c>
      <s:c r="F798" s="24">
        <s:f>'자료구성'!$B$2+TIME(INT($C$3/10000),INT(MOD($C$3,10000)/100),MOD($C$3,100))+(ROW()-ROW($C$3))/86400</s:f>
        <s:v>46247.5337037037</s:v>
      </s:c>
    </s:row>
    <s:row r="799">
      <s:c r="A799" s="0" t="n">
        <s:v>260813</s:v>
      </s:c>
      <s:c r="B799" s="0" t="inlineStr">
        <s:is>
          <s:t>이종훈</s:t>
        </s:is>
      </s:c>
      <s:c r="C799" s="0" t="n">
        <s:v>123517</s:v>
      </s:c>
      <s:c r="D799" s="0" t="n">
        <s:v>1667</s:v>
      </s:c>
      <s:c r="F799" s="24">
        <s:f>'자료구성'!$B$2+TIME(INT($C$3/10000),INT(MOD($C$3,10000)/100),MOD($C$3,100))+(ROW()-ROW($C$3))/86400</s:f>
        <s:v>46247.53371527778</s:v>
      </s:c>
    </s:row>
    <s:row r="800">
      <s:c r="A800" s="0" t="n">
        <s:v>260813</s:v>
      </s:c>
      <s:c r="B800" s="0" t="inlineStr">
        <s:is>
          <s:t>이종훈</s:t>
        </s:is>
      </s:c>
      <s:c r="C800" s="0" t="n">
        <s:v>123517</s:v>
      </s:c>
      <s:c r="D800" s="0" t="n">
        <s:v>1662</s:v>
      </s:c>
      <s:c r="F800" s="24">
        <s:f>'자료구성'!$B$2+TIME(INT($C$3/10000),INT(MOD($C$3,10000)/100),MOD($C$3,100))+(ROW()-ROW($C$3))/86400</s:f>
        <s:v>46247.53372685185</s:v>
      </s:c>
    </s:row>
    <s:row r="801">
      <s:c r="A801" s="0" t="n">
        <s:v>260813</s:v>
      </s:c>
      <s:c r="B801" s="0" t="inlineStr">
        <s:is>
          <s:t>이종훈</s:t>
        </s:is>
      </s:c>
      <s:c r="C801" s="0" t="n">
        <s:v>123517</s:v>
      </s:c>
      <s:c r="D801" s="0" t="n">
        <s:v>1655</s:v>
      </s:c>
      <s:c r="F801" s="24">
        <s:f>'자료구성'!$B$2+TIME(INT($C$3/10000),INT(MOD($C$3,10000)/100),MOD($C$3,100))+(ROW()-ROW($C$3))/86400</s:f>
        <s:v>46247.533738425926</s:v>
      </s:c>
    </s:row>
    <s:row r="802">
      <s:c r="A802" s="0" t="n">
        <s:v>260813</s:v>
      </s:c>
      <s:c r="B802" s="0" t="inlineStr">
        <s:is>
          <s:t>이종훈</s:t>
        </s:is>
      </s:c>
      <s:c r="C802" s="0" t="n">
        <s:v>123517</s:v>
      </s:c>
      <s:c r="D802" s="0" t="n">
        <s:v>1651</s:v>
      </s:c>
      <s:c r="F802" s="24">
        <s:f>'자료구성'!$B$2+TIME(INT($C$3/10000),INT(MOD($C$3,10000)/100),MOD($C$3,100))+(ROW()-ROW($C$3))/86400</s:f>
        <s:v>46247.53375</s:v>
      </s:c>
    </s:row>
    <s:row r="803">
      <s:c r="A803" s="0" t="n">
        <s:v>260813</s:v>
      </s:c>
      <s:c r="B803" s="0" t="inlineStr">
        <s:is>
          <s:t>이종훈</s:t>
        </s:is>
      </s:c>
      <s:c r="C803" s="0" t="n">
        <s:v>123517</s:v>
      </s:c>
      <s:c r="D803" s="0" t="n">
        <s:v>1708</s:v>
      </s:c>
      <s:c r="F803" s="24">
        <s:f>'자료구성'!$B$2+TIME(INT($C$3/10000),INT(MOD($C$3,10000)/100),MOD($C$3,100))+(ROW()-ROW($C$3))/86400</s:f>
        <s:v>46247.53376157407</s:v>
      </s:c>
    </s:row>
    <s:row r="804">
      <s:c r="A804" s="0" t="n">
        <s:v>260813</s:v>
      </s:c>
      <s:c r="B804" s="0" t="inlineStr">
        <s:is>
          <s:t>이종훈</s:t>
        </s:is>
      </s:c>
      <s:c r="C804" s="0" t="n">
        <s:v>123517</s:v>
      </s:c>
      <s:c r="D804" s="0" t="n">
        <s:v>1839</s:v>
      </s:c>
      <s:c r="F804" s="24">
        <s:f>'자료구성'!$B$2+TIME(INT($C$3/10000),INT(MOD($C$3,10000)/100),MOD($C$3,100))+(ROW()-ROW($C$3))/86400</s:f>
        <s:v>46247.53377314815</s:v>
      </s:c>
    </s:row>
    <s:row r="805">
      <s:c r="A805" s="0" t="n">
        <s:v>260813</s:v>
      </s:c>
      <s:c r="B805" s="0" t="inlineStr">
        <s:is>
          <s:t>이종훈</s:t>
        </s:is>
      </s:c>
      <s:c r="C805" s="0" t="n">
        <s:v>123517</s:v>
      </s:c>
      <s:c r="D805" s="0" t="n">
        <s:v>1895</s:v>
      </s:c>
      <s:c r="F805" s="24">
        <s:f>'자료구성'!$B$2+TIME(INT($C$3/10000),INT(MOD($C$3,10000)/100),MOD($C$3,100))+(ROW()-ROW($C$3))/86400</s:f>
        <s:v>46247.533784722225</s:v>
      </s:c>
    </s:row>
    <s:row r="806">
      <s:c r="A806" s="0" t="n">
        <s:v>260813</s:v>
      </s:c>
      <s:c r="B806" s="0" t="inlineStr">
        <s:is>
          <s:t>이종훈</s:t>
        </s:is>
      </s:c>
      <s:c r="C806" s="0" t="n">
        <s:v>123517</s:v>
      </s:c>
      <s:c r="D806" s="0" t="n">
        <s:v>1978</s:v>
      </s:c>
      <s:c r="F806" s="24">
        <s:f>'자료구성'!$B$2+TIME(INT($C$3/10000),INT(MOD($C$3,10000)/100),MOD($C$3,100))+(ROW()-ROW($C$3))/86400</s:f>
        <s:v>46247.533796296295</s:v>
      </s:c>
    </s:row>
    <s:row r="807">
      <s:c r="A807" s="0" t="n">
        <s:v>260813</s:v>
      </s:c>
      <s:c r="B807" s="0" t="inlineStr">
        <s:is>
          <s:t>이종훈</s:t>
        </s:is>
      </s:c>
      <s:c r="C807" s="0" t="n">
        <s:v>123517</s:v>
      </s:c>
      <s:c r="D807" s="0" t="n">
        <s:v>1969</s:v>
      </s:c>
      <s:c r="F807" s="24">
        <s:f>'자료구성'!$B$2+TIME(INT($C$3/10000),INT(MOD($C$3,10000)/100),MOD($C$3,100))+(ROW()-ROW($C$3))/86400</s:f>
        <s:v>46247.53380787037</s:v>
      </s:c>
    </s:row>
    <s:row r="808">
      <s:c r="A808" s="0" t="n">
        <s:v>260813</s:v>
      </s:c>
      <s:c r="B808" s="0" t="inlineStr">
        <s:is>
          <s:t>이종훈</s:t>
        </s:is>
      </s:c>
      <s:c r="C808" s="0" t="n">
        <s:v>123517</s:v>
      </s:c>
      <s:c r="D808" s="0" t="n">
        <s:v>1926</s:v>
      </s:c>
      <s:c r="F808" s="24">
        <s:f>'자료구성'!$B$2+TIME(INT($C$3/10000),INT(MOD($C$3,10000)/100),MOD($C$3,100))+(ROW()-ROW($C$3))/86400</s:f>
        <s:v>46247.53381944444</s:v>
      </s:c>
    </s:row>
    <s:row r="809">
      <s:c r="A809" s="0" t="n">
        <s:v>260813</s:v>
      </s:c>
      <s:c r="B809" s="0" t="inlineStr">
        <s:is>
          <s:t>이종훈</s:t>
        </s:is>
      </s:c>
      <s:c r="C809" s="0" t="n">
        <s:v>123517</s:v>
      </s:c>
      <s:c r="D809" s="0" t="n">
        <s:v>1907</s:v>
      </s:c>
      <s:c r="F809" s="24">
        <s:f>'자료구성'!$B$2+TIME(INT($C$3/10000),INT(MOD($C$3,10000)/100),MOD($C$3,100))+(ROW()-ROW($C$3))/86400</s:f>
        <s:v>46247.53383101852</s:v>
      </s:c>
    </s:row>
    <s:row r="810">
      <s:c r="A810" s="0" t="n">
        <s:v>260813</s:v>
      </s:c>
      <s:c r="B810" s="0" t="inlineStr">
        <s:is>
          <s:t>이종훈</s:t>
        </s:is>
      </s:c>
      <s:c r="C810" s="0" t="n">
        <s:v>123517</s:v>
      </s:c>
      <s:c r="D810" s="0" t="n">
        <s:v>1888</s:v>
      </s:c>
      <s:c r="F810" s="24">
        <s:f>'자료구성'!$B$2+TIME(INT($C$3/10000),INT(MOD($C$3,10000)/100),MOD($C$3,100))+(ROW()-ROW($C$3))/86400</s:f>
        <s:v>46247.533842592595</s:v>
      </s:c>
    </s:row>
    <s:row r="811">
      <s:c r="A811" s="0" t="n">
        <s:v>260813</s:v>
      </s:c>
      <s:c r="B811" s="0" t="inlineStr">
        <s:is>
          <s:t>이종훈</s:t>
        </s:is>
      </s:c>
      <s:c r="C811" s="0" t="n">
        <s:v>123517</s:v>
      </s:c>
      <s:c r="D811" s="0" t="n">
        <s:v>1928</s:v>
      </s:c>
      <s:c r="F811" s="24">
        <s:f>'자료구성'!$B$2+TIME(INT($C$3/10000),INT(MOD($C$3,10000)/100),MOD($C$3,100))+(ROW()-ROW($C$3))/86400</s:f>
        <s:v>46247.533854166664</s:v>
      </s:c>
    </s:row>
    <s:row r="812">
      <s:c r="A812" s="0" t="n">
        <s:v>260813</s:v>
      </s:c>
      <s:c r="B812" s="0" t="inlineStr">
        <s:is>
          <s:t>이종훈</s:t>
        </s:is>
      </s:c>
      <s:c r="C812" s="0" t="n">
        <s:v>123517</s:v>
      </s:c>
      <s:c r="D812" s="0" t="n">
        <s:v>1942</s:v>
      </s:c>
      <s:c r="F812" s="24">
        <s:f>'자료구성'!$B$2+TIME(INT($C$3/10000),INT(MOD($C$3,10000)/100),MOD($C$3,100))+(ROW()-ROW($C$3))/86400</s:f>
        <s:v>46247.53386574074</s:v>
      </s:c>
    </s:row>
    <s:row r="813">
      <s:c r="A813" s="0" t="n">
        <s:v>260813</s:v>
      </s:c>
      <s:c r="B813" s="0" t="inlineStr">
        <s:is>
          <s:t>이종훈</s:t>
        </s:is>
      </s:c>
      <s:c r="C813" s="0" t="n">
        <s:v>123517</s:v>
      </s:c>
      <s:c r="D813" s="0" t="n">
        <s:v>1957</s:v>
      </s:c>
      <s:c r="F813" s="24">
        <s:f>'자료구성'!$B$2+TIME(INT($C$3/10000),INT(MOD($C$3,10000)/100),MOD($C$3,100))+(ROW()-ROW($C$3))/86400</s:f>
        <s:v>46247.53387731482</s:v>
      </s:c>
    </s:row>
    <s:row r="814">
      <s:c r="A814" s="0" t="n">
        <s:v>260813</s:v>
      </s:c>
      <s:c r="B814" s="0" t="inlineStr">
        <s:is>
          <s:t>이종훈</s:t>
        </s:is>
      </s:c>
      <s:c r="C814" s="0" t="n">
        <s:v>123517</s:v>
      </s:c>
      <s:c r="D814" s="0" t="n">
        <s:v>1987</s:v>
      </s:c>
      <s:c r="F814" s="24">
        <s:f>'자료구성'!$B$2+TIME(INT($C$3/10000),INT(MOD($C$3,10000)/100),MOD($C$3,100))+(ROW()-ROW($C$3))/86400</s:f>
        <s:v>46247.53388888889</s:v>
      </s:c>
    </s:row>
    <s:row r="815">
      <s:c r="A815" s="0" t="n">
        <s:v>260813</s:v>
      </s:c>
      <s:c r="B815" s="0" t="inlineStr">
        <s:is>
          <s:t>이종훈</s:t>
        </s:is>
      </s:c>
      <s:c r="C815" s="0" t="n">
        <s:v>123517</s:v>
      </s:c>
      <s:c r="D815" s="0" t="n">
        <s:v>1986</s:v>
      </s:c>
      <s:c r="F815" s="24">
        <s:f>'자료구성'!$B$2+TIME(INT($C$3/10000),INT(MOD($C$3,10000)/100),MOD($C$3,100))+(ROW()-ROW($C$3))/86400</s:f>
        <s:v>46247.533900462964</s:v>
      </s:c>
    </s:row>
    <s:row r="816">
      <s:c r="A816" s="0" t="n">
        <s:v>260813</s:v>
      </s:c>
      <s:c r="B816" s="0" t="inlineStr">
        <s:is>
          <s:t>이종훈</s:t>
        </s:is>
      </s:c>
      <s:c r="C816" s="0" t="n">
        <s:v>123517</s:v>
      </s:c>
      <s:c r="D816" s="0" t="n">
        <s:v>2016</s:v>
      </s:c>
      <s:c r="F816" s="24">
        <s:f>'자료구성'!$B$2+TIME(INT($C$3/10000),INT(MOD($C$3,10000)/100),MOD($C$3,100))+(ROW()-ROW($C$3))/86400</s:f>
        <s:v>46247.53391203703</s:v>
      </s:c>
    </s:row>
    <s:row r="817">
      <s:c r="A817" s="0" t="n">
        <s:v>260813</s:v>
      </s:c>
      <s:c r="B817" s="0" t="inlineStr">
        <s:is>
          <s:t>이종훈</s:t>
        </s:is>
      </s:c>
      <s:c r="C817" s="0" t="n">
        <s:v>123517</s:v>
      </s:c>
      <s:c r="D817" s="0" t="n">
        <s:v>2034</s:v>
      </s:c>
      <s:c r="F817" s="24">
        <s:f>'자료구성'!$B$2+TIME(INT($C$3/10000),INT(MOD($C$3,10000)/100),MOD($C$3,100))+(ROW()-ROW($C$3))/86400</s:f>
        <s:v>46247.53392361111</s:v>
      </s:c>
    </s:row>
    <s:row r="818">
      <s:c r="A818" s="0" t="n">
        <s:v>260813</s:v>
      </s:c>
      <s:c r="B818" s="0" t="inlineStr">
        <s:is>
          <s:t>이종훈</s:t>
        </s:is>
      </s:c>
      <s:c r="C818" s="0" t="n">
        <s:v>123517</s:v>
      </s:c>
      <s:c r="D818" s="0" t="n">
        <s:v>2055</s:v>
      </s:c>
      <s:c r="F818" s="24">
        <s:f>'자료구성'!$B$2+TIME(INT($C$3/10000),INT(MOD($C$3,10000)/100),MOD($C$3,100))+(ROW()-ROW($C$3))/86400</s:f>
        <s:v>46247.53393518519</s:v>
      </s:c>
    </s:row>
    <s:row r="819">
      <s:c r="A819" s="0" t="n">
        <s:v>260813</s:v>
      </s:c>
      <s:c r="B819" s="0" t="inlineStr">
        <s:is>
          <s:t>이종훈</s:t>
        </s:is>
      </s:c>
      <s:c r="C819" s="0" t="n">
        <s:v>123517</s:v>
      </s:c>
      <s:c r="D819" s="0" t="n">
        <s:v>2117</s:v>
      </s:c>
      <s:c r="F819" s="24">
        <s:f>'자료구성'!$B$2+TIME(INT($C$3/10000),INT(MOD($C$3,10000)/100),MOD($C$3,100))+(ROW()-ROW($C$3))/86400</s:f>
        <s:v>46247.53394675926</s:v>
      </s:c>
    </s:row>
    <s:row r="820">
      <s:c r="A820" s="0" t="n">
        <s:v>260813</s:v>
      </s:c>
      <s:c r="B820" s="0" t="inlineStr">
        <s:is>
          <s:t>이종훈</s:t>
        </s:is>
      </s:c>
      <s:c r="C820" s="0" t="n">
        <s:v>123517</s:v>
      </s:c>
      <s:c r="D820" s="0" t="n">
        <s:v>2067</s:v>
      </s:c>
      <s:c r="F820" s="24">
        <s:f>'자료구성'!$B$2+TIME(INT($C$3/10000),INT(MOD($C$3,10000)/100),MOD($C$3,100))+(ROW()-ROW($C$3))/86400</s:f>
        <s:v>46247.53395833333</s:v>
      </s:c>
    </s:row>
    <s:row r="821">
      <s:c r="A821" s="0" t="n">
        <s:v>260813</s:v>
      </s:c>
      <s:c r="B821" s="0" t="inlineStr">
        <s:is>
          <s:t>이종훈</s:t>
        </s:is>
      </s:c>
      <s:c r="C821" s="0" t="n">
        <s:v>123517</s:v>
      </s:c>
      <s:c r="D821" s="0" t="n">
        <s:v>2044</s:v>
      </s:c>
      <s:c r="F821" s="24">
        <s:f>'자료구성'!$B$2+TIME(INT($C$3/10000),INT(MOD($C$3,10000)/100),MOD($C$3,100))+(ROW()-ROW($C$3))/86400</s:f>
        <s:v>46247.53396990741</s:v>
      </s:c>
    </s:row>
    <s:row r="822">
      <s:c r="A822" s="0" t="n">
        <s:v>260813</s:v>
      </s:c>
      <s:c r="B822" s="0" t="inlineStr">
        <s:is>
          <s:t>이종훈</s:t>
        </s:is>
      </s:c>
      <s:c r="C822" s="0" t="n">
        <s:v>123517</s:v>
      </s:c>
      <s:c r="D822" s="0" t="n">
        <s:v>2089</s:v>
      </s:c>
      <s:c r="F822" s="24">
        <s:f>'자료구성'!$B$2+TIME(INT($C$3/10000),INT(MOD($C$3,10000)/100),MOD($C$3,100))+(ROW()-ROW($C$3))/86400</s:f>
        <s:v>46247.53398148148</s:v>
      </s:c>
    </s:row>
    <s:row r="823">
      <s:c r="A823" s="0" t="n">
        <s:v>260813</s:v>
      </s:c>
      <s:c r="B823" s="0" t="inlineStr">
        <s:is>
          <s:t>이종훈</s:t>
        </s:is>
      </s:c>
      <s:c r="C823" s="0" t="n">
        <s:v>123517</s:v>
      </s:c>
      <s:c r="D823" s="0" t="n">
        <s:v>2178</s:v>
      </s:c>
      <s:c r="F823" s="24">
        <s:f>'자료구성'!$B$2+TIME(INT($C$3/10000),INT(MOD($C$3,10000)/100),MOD($C$3,100))+(ROW()-ROW($C$3))/86400</s:f>
        <s:v>46247.53399305556</s:v>
      </s:c>
    </s:row>
    <s:row r="824">
      <s:c r="A824" s="0" t="n">
        <s:v>260813</s:v>
      </s:c>
      <s:c r="B824" s="0" t="inlineStr">
        <s:is>
          <s:t>이종훈</s:t>
        </s:is>
      </s:c>
      <s:c r="C824" s="0" t="n">
        <s:v>123517</s:v>
      </s:c>
      <s:c r="D824" s="0" t="n">
        <s:v>2215</s:v>
      </s:c>
      <s:c r="F824" s="24">
        <s:f>'자료구성'!$B$2+TIME(INT($C$3/10000),INT(MOD($C$3,10000)/100),MOD($C$3,100))+(ROW()-ROW($C$3))/86400</s:f>
        <s:v>46247.534004629626</s:v>
      </s:c>
    </s:row>
    <s:row r="825">
      <s:c r="A825" s="0" t="n">
        <s:v>260813</s:v>
      </s:c>
      <s:c r="B825" s="0" t="inlineStr">
        <s:is>
          <s:t>이종훈</s:t>
        </s:is>
      </s:c>
      <s:c r="C825" s="0" t="n">
        <s:v>123517</s:v>
      </s:c>
      <s:c r="D825" s="0" t="n">
        <s:v>2228</s:v>
      </s:c>
      <s:c r="F825" s="24">
        <s:f>'자료구성'!$B$2+TIME(INT($C$3/10000),INT(MOD($C$3,10000)/100),MOD($C$3,100))+(ROW()-ROW($C$3))/86400</s:f>
        <s:v>46247.5340162037</s:v>
      </s:c>
    </s:row>
    <s:row r="826">
      <s:c r="A826" s="0" t="n">
        <s:v>260813</s:v>
      </s:c>
      <s:c r="B826" s="0" t="inlineStr">
        <s:is>
          <s:t>이종훈</s:t>
        </s:is>
      </s:c>
      <s:c r="C826" s="0" t="n">
        <s:v>123517</s:v>
      </s:c>
      <s:c r="D826" s="0" t="n">
        <s:v>2247</s:v>
      </s:c>
      <s:c r="F826" s="24">
        <s:f>'자료구성'!$B$2+TIME(INT($C$3/10000),INT(MOD($C$3,10000)/100),MOD($C$3,100))+(ROW()-ROW($C$3))/86400</s:f>
        <s:v>46247.53402777778</s:v>
      </s:c>
    </s:row>
    <s:row r="827">
      <s:c r="A827" s="0" t="n">
        <s:v>260813</s:v>
      </s:c>
      <s:c r="B827" s="0" t="inlineStr">
        <s:is>
          <s:t>이종훈</s:t>
        </s:is>
      </s:c>
      <s:c r="C827" s="0" t="n">
        <s:v>123517</s:v>
      </s:c>
      <s:c r="D827" s="0" t="n">
        <s:v>2225</s:v>
      </s:c>
      <s:c r="F827" s="24">
        <s:f>'자료구성'!$B$2+TIME(INT($C$3/10000),INT(MOD($C$3,10000)/100),MOD($C$3,100))+(ROW()-ROW($C$3))/86400</s:f>
        <s:v>46247.53403935185</s:v>
      </s:c>
    </s:row>
    <s:row r="828">
      <s:c r="A828" s="0" t="n">
        <s:v>260813</s:v>
      </s:c>
      <s:c r="B828" s="0" t="inlineStr">
        <s:is>
          <s:t>이종훈</s:t>
        </s:is>
      </s:c>
      <s:c r="C828" s="0" t="n">
        <s:v>123517</s:v>
      </s:c>
      <s:c r="D828" s="0" t="n">
        <s:v>2128</s:v>
      </s:c>
      <s:c r="F828" s="24">
        <s:f>'자료구성'!$B$2+TIME(INT($C$3/10000),INT(MOD($C$3,10000)/100),MOD($C$3,100))+(ROW()-ROW($C$3))/86400</s:f>
        <s:v>46247.534050925926</s:v>
      </s:c>
    </s:row>
    <s:row r="829">
      <s:c r="A829" s="0" t="n">
        <s:v>260813</s:v>
      </s:c>
      <s:c r="B829" s="0" t="inlineStr">
        <s:is>
          <s:t>이종훈</s:t>
        </s:is>
      </s:c>
      <s:c r="C829" s="0" t="n">
        <s:v>123517</s:v>
      </s:c>
      <s:c r="D829" s="0" t="n">
        <s:v>2064</s:v>
      </s:c>
      <s:c r="F829" s="24">
        <s:f>'자료구성'!$B$2+TIME(INT($C$3/10000),INT(MOD($C$3,10000)/100),MOD($C$3,100))+(ROW()-ROW($C$3))/86400</s:f>
        <s:v>46247.5340625</s:v>
      </s:c>
    </s:row>
    <s:row r="830">
      <s:c r="A830" s="0" t="n">
        <s:v>260813</s:v>
      </s:c>
      <s:c r="B830" s="0" t="inlineStr">
        <s:is>
          <s:t>이종훈</s:t>
        </s:is>
      </s:c>
      <s:c r="C830" s="0" t="n">
        <s:v>123517</s:v>
      </s:c>
      <s:c r="D830" s="0" t="n">
        <s:v>1967</s:v>
      </s:c>
      <s:c r="F830" s="24">
        <s:f>'자료구성'!$B$2+TIME(INT($C$3/10000),INT(MOD($C$3,10000)/100),MOD($C$3,100))+(ROW()-ROW($C$3))/86400</s:f>
        <s:v>46247.53407407407</s:v>
      </s:c>
    </s:row>
    <s:row r="831">
      <s:c r="A831" s="0" t="n">
        <s:v>260813</s:v>
      </s:c>
      <s:c r="B831" s="0" t="inlineStr">
        <s:is>
          <s:t>이종훈</s:t>
        </s:is>
      </s:c>
      <s:c r="C831" s="0" t="n">
        <s:v>123517</s:v>
      </s:c>
      <s:c r="D831" s="0" t="n">
        <s:v>1907</s:v>
      </s:c>
      <s:c r="F831" s="24">
        <s:f>'자료구성'!$B$2+TIME(INT($C$3/10000),INT(MOD($C$3,10000)/100),MOD($C$3,100))+(ROW()-ROW($C$3))/86400</s:f>
        <s:v>46247.53408564815</s:v>
      </s:c>
    </s:row>
    <s:row r="832">
      <s:c r="A832" s="0" t="n">
        <s:v>260813</s:v>
      </s:c>
      <s:c r="B832" s="0" t="inlineStr">
        <s:is>
          <s:t>이종훈</s:t>
        </s:is>
      </s:c>
      <s:c r="C832" s="0" t="n">
        <s:v>123517</s:v>
      </s:c>
      <s:c r="D832" s="0" t="n">
        <s:v>1841</s:v>
      </s:c>
      <s:c r="F832" s="24">
        <s:f>'자료구성'!$B$2+TIME(INT($C$3/10000),INT(MOD($C$3,10000)/100),MOD($C$3,100))+(ROW()-ROW($C$3))/86400</s:f>
        <s:v>46247.534097222226</s:v>
      </s:c>
    </s:row>
    <s:row r="833">
      <s:c r="A833" s="0" t="n">
        <s:v>260813</s:v>
      </s:c>
      <s:c r="B833" s="0" t="inlineStr">
        <s:is>
          <s:t>이종훈</s:t>
        </s:is>
      </s:c>
      <s:c r="C833" s="0" t="n">
        <s:v>123517</s:v>
      </s:c>
      <s:c r="D833" s="0" t="n">
        <s:v>1776</s:v>
      </s:c>
      <s:c r="F833" s="24">
        <s:f>'자료구성'!$B$2+TIME(INT($C$3/10000),INT(MOD($C$3,10000)/100),MOD($C$3,100))+(ROW()-ROW($C$3))/86400</s:f>
        <s:v>46247.534108796295</s:v>
      </s:c>
    </s:row>
    <s:row r="834">
      <s:c r="A834" s="0" t="n">
        <s:v>260813</s:v>
      </s:c>
      <s:c r="B834" s="0" t="inlineStr">
        <s:is>
          <s:t>이종훈</s:t>
        </s:is>
      </s:c>
      <s:c r="C834" s="0" t="n">
        <s:v>123517</s:v>
      </s:c>
      <s:c r="D834" s="0" t="n">
        <s:v>1782</s:v>
      </s:c>
      <s:c r="F834" s="24">
        <s:f>'자료구성'!$B$2+TIME(INT($C$3/10000),INT(MOD($C$3,10000)/100),MOD($C$3,100))+(ROW()-ROW($C$3))/86400</s:f>
        <s:v>46247.53412037037</s:v>
      </s:c>
    </s:row>
    <s:row r="835">
      <s:c r="A835" s="0" t="n">
        <s:v>260813</s:v>
      </s:c>
      <s:c r="B835" s="0" t="inlineStr">
        <s:is>
          <s:t>이종훈</s:t>
        </s:is>
      </s:c>
      <s:c r="C835" s="0" t="n">
        <s:v>123517</s:v>
      </s:c>
      <s:c r="D835" s="0" t="n">
        <s:v>1871</s:v>
      </s:c>
      <s:c r="F835" s="24">
        <s:f>'자료구성'!$B$2+TIME(INT($C$3/10000),INT(MOD($C$3,10000)/100),MOD($C$3,100))+(ROW()-ROW($C$3))/86400</s:f>
        <s:v>46247.53413194444</s:v>
      </s:c>
    </s:row>
    <s:row r="836">
      <s:c r="A836" s="0" t="n">
        <s:v>260813</s:v>
      </s:c>
      <s:c r="B836" s="0" t="inlineStr">
        <s:is>
          <s:t>이종훈</s:t>
        </s:is>
      </s:c>
      <s:c r="C836" s="0" t="n">
        <s:v>123517</s:v>
      </s:c>
      <s:c r="D836" s="0" t="n">
        <s:v>1876</s:v>
      </s:c>
      <s:c r="F836" s="24">
        <s:f>'자료구성'!$B$2+TIME(INT($C$3/10000),INT(MOD($C$3,10000)/100),MOD($C$3,100))+(ROW()-ROW($C$3))/86400</s:f>
        <s:v>46247.53414351852</s:v>
      </s:c>
    </s:row>
    <s:row r="837">
      <s:c r="A837" s="0" t="n">
        <s:v>260813</s:v>
      </s:c>
      <s:c r="B837" s="0" t="inlineStr">
        <s:is>
          <s:t>이종훈</s:t>
        </s:is>
      </s:c>
      <s:c r="C837" s="0" t="n">
        <s:v>123517</s:v>
      </s:c>
      <s:c r="D837" s="0" t="n">
        <s:v>1834</s:v>
      </s:c>
      <s:c r="F837" s="24">
        <s:f>'자료구성'!$B$2+TIME(INT($C$3/10000),INT(MOD($C$3,10000)/100),MOD($C$3,100))+(ROW()-ROW($C$3))/86400</s:f>
        <s:v>46247.534155092595</s:v>
      </s:c>
    </s:row>
    <s:row r="838">
      <s:c r="A838" s="0" t="n">
        <s:v>260813</s:v>
      </s:c>
      <s:c r="B838" s="0" t="inlineStr">
        <s:is>
          <s:t>이종훈</s:t>
        </s:is>
      </s:c>
      <s:c r="C838" s="0" t="n">
        <s:v>123517</s:v>
      </s:c>
      <s:c r="D838" s="0" t="n">
        <s:v>1797</s:v>
      </s:c>
      <s:c r="F838" s="24">
        <s:f>'자료구성'!$B$2+TIME(INT($C$3/10000),INT(MOD($C$3,10000)/100),MOD($C$3,100))+(ROW()-ROW($C$3))/86400</s:f>
        <s:v>46247.534166666665</s:v>
      </s:c>
    </s:row>
    <s:row r="839">
      <s:c r="A839" s="0" t="n">
        <s:v>260813</s:v>
      </s:c>
      <s:c r="B839" s="0" t="inlineStr">
        <s:is>
          <s:t>이종훈</s:t>
        </s:is>
      </s:c>
      <s:c r="C839" s="0" t="n">
        <s:v>123517</s:v>
      </s:c>
      <s:c r="D839" s="0" t="n">
        <s:v>1720</s:v>
      </s:c>
      <s:c r="F839" s="24">
        <s:f>'자료구성'!$B$2+TIME(INT($C$3/10000),INT(MOD($C$3,10000)/100),MOD($C$3,100))+(ROW()-ROW($C$3))/86400</s:f>
        <s:v>46247.53417824074</s:v>
      </s:c>
    </s:row>
    <s:row r="840">
      <s:c r="A840" s="0" t="n">
        <s:v>260813</s:v>
      </s:c>
      <s:c r="B840" s="0" t="inlineStr">
        <s:is>
          <s:t>이종훈</s:t>
        </s:is>
      </s:c>
      <s:c r="C840" s="0" t="n">
        <s:v>123517</s:v>
      </s:c>
      <s:c r="D840" s="0" t="n">
        <s:v>1642</s:v>
      </s:c>
      <s:c r="F840" s="24">
        <s:f>'자료구성'!$B$2+TIME(INT($C$3/10000),INT(MOD($C$3,10000)/100),MOD($C$3,100))+(ROW()-ROW($C$3))/86400</s:f>
        <s:v>46247.53418981482</s:v>
      </s:c>
    </s:row>
    <s:row r="841">
      <s:c r="A841" s="0" t="n">
        <s:v>260813</s:v>
      </s:c>
      <s:c r="B841" s="0" t="inlineStr">
        <s:is>
          <s:t>이종훈</s:t>
        </s:is>
      </s:c>
      <s:c r="C841" s="0" t="n">
        <s:v>123517</s:v>
      </s:c>
      <s:c r="D841" s="0" t="n">
        <s:v>1573</s:v>
      </s:c>
      <s:c r="F841" s="24">
        <s:f>'자료구성'!$B$2+TIME(INT($C$3/10000),INT(MOD($C$3,10000)/100),MOD($C$3,100))+(ROW()-ROW($C$3))/86400</s:f>
        <s:v>46247.53420138889</s:v>
      </s:c>
    </s:row>
    <s:row r="842">
      <s:c r="A842" s="0" t="n">
        <s:v>260813</s:v>
      </s:c>
      <s:c r="B842" s="0" t="inlineStr">
        <s:is>
          <s:t>이종훈</s:t>
        </s:is>
      </s:c>
      <s:c r="C842" s="0" t="n">
        <s:v>123517</s:v>
      </s:c>
      <s:c r="D842" s="0" t="n">
        <s:v>1528</s:v>
      </s:c>
      <s:c r="F842" s="24">
        <s:f>'자료구성'!$B$2+TIME(INT($C$3/10000),INT(MOD($C$3,10000)/100),MOD($C$3,100))+(ROW()-ROW($C$3))/86400</s:f>
        <s:v>46247.534212962964</s:v>
      </s:c>
    </s:row>
    <s:row r="843">
      <s:c r="A843" s="0" t="n">
        <s:v>260813</s:v>
      </s:c>
      <s:c r="B843" s="0" t="inlineStr">
        <s:is>
          <s:t>이종훈</s:t>
        </s:is>
      </s:c>
      <s:c r="C843" s="0" t="n">
        <s:v>123517</s:v>
      </s:c>
      <s:c r="D843" s="0" t="n">
        <s:v>1479</s:v>
      </s:c>
      <s:c r="F843" s="24">
        <s:f>'자료구성'!$B$2+TIME(INT($C$3/10000),INT(MOD($C$3,10000)/100),MOD($C$3,100))+(ROW()-ROW($C$3))/86400</s:f>
        <s:v>46247.534224537034</s:v>
      </s:c>
    </s:row>
    <s:row r="844">
      <s:c r="A844" s="0" t="n">
        <s:v>260813</s:v>
      </s:c>
      <s:c r="B844" s="0" t="inlineStr">
        <s:is>
          <s:t>이종훈</s:t>
        </s:is>
      </s:c>
      <s:c r="C844" s="0" t="n">
        <s:v>123517</s:v>
      </s:c>
      <s:c r="D844" s="0" t="n">
        <s:v>1425</s:v>
      </s:c>
      <s:c r="F844" s="24">
        <s:f>'자료구성'!$B$2+TIME(INT($C$3/10000),INT(MOD($C$3,10000)/100),MOD($C$3,100))+(ROW()-ROW($C$3))/86400</s:f>
        <s:v>46247.53423611111</s:v>
      </s:c>
    </s:row>
    <s:row r="845">
      <s:c r="A845" s="0" t="n">
        <s:v>260813</s:v>
      </s:c>
      <s:c r="B845" s="0" t="inlineStr">
        <s:is>
          <s:t>이종훈</s:t>
        </s:is>
      </s:c>
      <s:c r="C845" s="0" t="n">
        <s:v>123517</s:v>
      </s:c>
      <s:c r="D845" s="0" t="n">
        <s:v>1362</s:v>
      </s:c>
      <s:c r="F845" s="24">
        <s:f>'자료구성'!$B$2+TIME(INT($C$3/10000),INT(MOD($C$3,10000)/100),MOD($C$3,100))+(ROW()-ROW($C$3))/86400</s:f>
        <s:v>46247.53424768519</s:v>
      </s:c>
    </s:row>
    <s:row r="846">
      <s:c r="A846" s="0" t="n">
        <s:v>260813</s:v>
      </s:c>
      <s:c r="B846" s="0" t="inlineStr">
        <s:is>
          <s:t>이종훈</s:t>
        </s:is>
      </s:c>
      <s:c r="C846" s="0" t="n">
        <s:v>123517</s:v>
      </s:c>
      <s:c r="D846" s="0" t="n">
        <s:v>1322</s:v>
      </s:c>
      <s:c r="F846" s="24">
        <s:f>'자료구성'!$B$2+TIME(INT($C$3/10000),INT(MOD($C$3,10000)/100),MOD($C$3,100))+(ROW()-ROW($C$3))/86400</s:f>
        <s:v>46247.53425925926</s:v>
      </s:c>
    </s:row>
    <s:row r="847">
      <s:c r="A847" s="0" t="n">
        <s:v>260813</s:v>
      </s:c>
      <s:c r="B847" s="0" t="inlineStr">
        <s:is>
          <s:t>이종훈</s:t>
        </s:is>
      </s:c>
      <s:c r="C847" s="0" t="n">
        <s:v>123517</s:v>
      </s:c>
      <s:c r="D847" s="0" t="n">
        <s:v>1294</s:v>
      </s:c>
      <s:c r="F847" s="24">
        <s:f>'자료구성'!$B$2+TIME(INT($C$3/10000),INT(MOD($C$3,10000)/100),MOD($C$3,100))+(ROW()-ROW($C$3))/86400</s:f>
        <s:v>46247.534270833334</s:v>
      </s:c>
    </s:row>
    <s:row r="848">
      <s:c r="A848" s="0" t="n">
        <s:v>260813</s:v>
      </s:c>
      <s:c r="B848" s="0" t="inlineStr">
        <s:is>
          <s:t>이종훈</s:t>
        </s:is>
      </s:c>
      <s:c r="C848" s="0" t="n">
        <s:v>123517</s:v>
      </s:c>
      <s:c r="D848" s="0" t="n">
        <s:v>1264</s:v>
      </s:c>
      <s:c r="F848" s="24">
        <s:f>'자료구성'!$B$2+TIME(INT($C$3/10000),INT(MOD($C$3,10000)/100),MOD($C$3,100))+(ROW()-ROW($C$3))/86400</s:f>
        <s:v>46247.53428240741</s:v>
      </s:c>
    </s:row>
    <s:row r="849">
      <s:c r="A849" s="0" t="n">
        <s:v>260813</s:v>
      </s:c>
      <s:c r="B849" s="0" t="inlineStr">
        <s:is>
          <s:t>이종훈</s:t>
        </s:is>
      </s:c>
      <s:c r="C849" s="0" t="n">
        <s:v>123517</s:v>
      </s:c>
      <s:c r="D849" s="0" t="n">
        <s:v>1237</s:v>
      </s:c>
      <s:c r="F849" s="24">
        <s:f>'자료구성'!$B$2+TIME(INT($C$3/10000),INT(MOD($C$3,10000)/100),MOD($C$3,100))+(ROW()-ROW($C$3))/86400</s:f>
        <s:v>46247.53429398148</s:v>
      </s:c>
    </s:row>
    <s:row r="850">
      <s:c r="A850" s="0" t="n">
        <s:v>260813</s:v>
      </s:c>
      <s:c r="B850" s="0" t="inlineStr">
        <s:is>
          <s:t>이종훈</s:t>
        </s:is>
      </s:c>
      <s:c r="C850" s="0" t="n">
        <s:v>123517</s:v>
      </s:c>
      <s:c r="D850" s="0" t="n">
        <s:v>1195</s:v>
      </s:c>
      <s:c r="F850" s="24">
        <s:f>'자료구성'!$B$2+TIME(INT($C$3/10000),INT(MOD($C$3,10000)/100),MOD($C$3,100))+(ROW()-ROW($C$3))/86400</s:f>
        <s:v>46247.53430555556</s:v>
      </s:c>
    </s:row>
    <s:row r="851">
      <s:c r="A851" s="0" t="n">
        <s:v>260813</s:v>
      </s:c>
      <s:c r="B851" s="0" t="inlineStr">
        <s:is>
          <s:t>이종훈</s:t>
        </s:is>
      </s:c>
      <s:c r="C851" s="0" t="n">
        <s:v>123517</s:v>
      </s:c>
      <s:c r="D851" s="0" t="n">
        <s:v>1147</s:v>
      </s:c>
      <s:c r="F851" s="24">
        <s:f>'자료구성'!$B$2+TIME(INT($C$3/10000),INT(MOD($C$3,10000)/100),MOD($C$3,100))+(ROW()-ROW($C$3))/86400</s:f>
        <s:v>46247.534317129626</s:v>
      </s:c>
    </s:row>
    <s:row r="852">
      <s:c r="A852" s="0" t="n">
        <s:v>260813</s:v>
      </s:c>
      <s:c r="B852" s="0" t="inlineStr">
        <s:is>
          <s:t>이종훈</s:t>
        </s:is>
      </s:c>
      <s:c r="C852" s="0" t="n">
        <s:v>123517</s:v>
      </s:c>
      <s:c r="D852" s="0" t="n">
        <s:v>1114</s:v>
      </s:c>
      <s:c r="F852" s="24">
        <s:f>'자료구성'!$B$2+TIME(INT($C$3/10000),INT(MOD($C$3,10000)/100),MOD($C$3,100))+(ROW()-ROW($C$3))/86400</s:f>
        <s:v>46247.5343287037</s:v>
      </s:c>
    </s:row>
    <s:row r="853">
      <s:c r="A853" s="0" t="n">
        <s:v>260813</s:v>
      </s:c>
      <s:c r="B853" s="0" t="inlineStr">
        <s:is>
          <s:t>이종훈</s:t>
        </s:is>
      </s:c>
      <s:c r="C853" s="0" t="n">
        <s:v>123517</s:v>
      </s:c>
      <s:c r="D853" s="0" t="n">
        <s:v>1099</s:v>
      </s:c>
      <s:c r="F853" s="24">
        <s:f>'자료구성'!$B$2+TIME(INT($C$3/10000),INT(MOD($C$3,10000)/100),MOD($C$3,100))+(ROW()-ROW($C$3))/86400</s:f>
        <s:v>46247.53434027778</s:v>
      </s:c>
    </s:row>
    <s:row r="854">
      <s:c r="A854" s="0" t="n">
        <s:v>260813</s:v>
      </s:c>
      <s:c r="B854" s="0" t="inlineStr">
        <s:is>
          <s:t>이종훈</s:t>
        </s:is>
      </s:c>
      <s:c r="C854" s="0" t="n">
        <s:v>123517</s:v>
      </s:c>
      <s:c r="D854" s="0" t="n">
        <s:v>1092</s:v>
      </s:c>
      <s:c r="F854" s="24">
        <s:f>'자료구성'!$B$2+TIME(INT($C$3/10000),INT(MOD($C$3,10000)/100),MOD($C$3,100))+(ROW()-ROW($C$3))/86400</s:f>
        <s:v>46247.53435185185</s:v>
      </s:c>
    </s:row>
    <s:row r="855">
      <s:c r="A855" s="0" t="n">
        <s:v>260813</s:v>
      </s:c>
      <s:c r="B855" s="0" t="inlineStr">
        <s:is>
          <s:t>이종훈</s:t>
        </s:is>
      </s:c>
      <s:c r="C855" s="0" t="n">
        <s:v>123517</s:v>
      </s:c>
      <s:c r="D855" s="0" t="n">
        <s:v>1116</s:v>
      </s:c>
      <s:c r="F855" s="24">
        <s:f>'자료구성'!$B$2+TIME(INT($C$3/10000),INT(MOD($C$3,10000)/100),MOD($C$3,100))+(ROW()-ROW($C$3))/86400</s:f>
        <s:v>46247.534363425926</s:v>
      </s:c>
    </s:row>
    <s:row r="856">
      <s:c r="A856" s="0" t="n">
        <s:v>260813</s:v>
      </s:c>
      <s:c r="B856" s="0" t="inlineStr">
        <s:is>
          <s:t>이종훈</s:t>
        </s:is>
      </s:c>
      <s:c r="C856" s="0" t="n">
        <s:v>123517</s:v>
      </s:c>
      <s:c r="D856" s="0" t="n">
        <s:v>1126</s:v>
      </s:c>
      <s:c r="F856" s="24">
        <s:f>'자료구성'!$B$2+TIME(INT($C$3/10000),INT(MOD($C$3,10000)/100),MOD($C$3,100))+(ROW()-ROW($C$3))/86400</s:f>
        <s:v>46247.534375</s:v>
      </s:c>
    </s:row>
    <s:row r="857">
      <s:c r="A857" s="0" t="n">
        <s:v>260813</s:v>
      </s:c>
      <s:c r="B857" s="0" t="inlineStr">
        <s:is>
          <s:t>이종훈</s:t>
        </s:is>
      </s:c>
      <s:c r="C857" s="0" t="n">
        <s:v>123517</s:v>
      </s:c>
      <s:c r="D857" s="0" t="n">
        <s:v>1123</s:v>
      </s:c>
      <s:c r="F857" s="24">
        <s:f>'자료구성'!$B$2+TIME(INT($C$3/10000),INT(MOD($C$3,10000)/100),MOD($C$3,100))+(ROW()-ROW($C$3))/86400</s:f>
        <s:v>46247.53438657407</s:v>
      </s:c>
    </s:row>
    <s:row r="858">
      <s:c r="A858" s="0" t="n">
        <s:v>260813</s:v>
      </s:c>
      <s:c r="B858" s="0" t="inlineStr">
        <s:is>
          <s:t>이종훈</s:t>
        </s:is>
      </s:c>
      <s:c r="C858" s="0" t="n">
        <s:v>123517</s:v>
      </s:c>
      <s:c r="D858" s="0" t="n">
        <s:v>1134</s:v>
      </s:c>
      <s:c r="F858" s="24">
        <s:f>'자료구성'!$B$2+TIME(INT($C$3/10000),INT(MOD($C$3,10000)/100),MOD($C$3,100))+(ROW()-ROW($C$3))/86400</s:f>
        <s:v>46247.53439814815</s:v>
      </s:c>
    </s:row>
    <s:row r="859">
      <s:c r="A859" s="0" t="n">
        <s:v>260813</s:v>
      </s:c>
      <s:c r="B859" s="0" t="inlineStr">
        <s:is>
          <s:t>이종훈</s:t>
        </s:is>
      </s:c>
      <s:c r="C859" s="0" t="n">
        <s:v>123517</s:v>
      </s:c>
      <s:c r="D859" s="0" t="n">
        <s:v>1154</s:v>
      </s:c>
      <s:c r="F859" s="24">
        <s:f>'자료구성'!$B$2+TIME(INT($C$3/10000),INT(MOD($C$3,10000)/100),MOD($C$3,100))+(ROW()-ROW($C$3))/86400</s:f>
        <s:v>46247.53440972222</s:v>
      </s:c>
    </s:row>
    <s:row r="860">
      <s:c r="A860" s="0" t="n">
        <s:v>260813</s:v>
      </s:c>
      <s:c r="B860" s="0" t="inlineStr">
        <s:is>
          <s:t>이종훈</s:t>
        </s:is>
      </s:c>
      <s:c r="C860" s="0" t="n">
        <s:v>123517</s:v>
      </s:c>
      <s:c r="D860" s="0" t="n">
        <s:v>1160</s:v>
      </s:c>
      <s:c r="F860" s="24">
        <s:f>'자료구성'!$B$2+TIME(INT($C$3/10000),INT(MOD($C$3,10000)/100),MOD($C$3,100))+(ROW()-ROW($C$3))/86400</s:f>
        <s:v>46247.534421296295</s:v>
      </s:c>
    </s:row>
    <s:row r="861">
      <s:c r="A861" s="0" t="n">
        <s:v>260813</s:v>
      </s:c>
      <s:c r="B861" s="0" t="inlineStr">
        <s:is>
          <s:t>이종훈</s:t>
        </s:is>
      </s:c>
      <s:c r="C861" s="0" t="n">
        <s:v>123517</s:v>
      </s:c>
      <s:c r="D861" s="0" t="n">
        <s:v>1190</s:v>
      </s:c>
      <s:c r="F861" s="24">
        <s:f>'자료구성'!$B$2+TIME(INT($C$3/10000),INT(MOD($C$3,10000)/100),MOD($C$3,100))+(ROW()-ROW($C$3))/86400</s:f>
        <s:v>46247.53443287037</s:v>
      </s:c>
    </s:row>
    <s:row r="862">
      <s:c r="A862" s="0" t="n">
        <s:v>260813</s:v>
      </s:c>
      <s:c r="B862" s="0" t="inlineStr">
        <s:is>
          <s:t>이종훈</s:t>
        </s:is>
      </s:c>
      <s:c r="C862" s="0" t="n">
        <s:v>123517</s:v>
      </s:c>
      <s:c r="D862" s="0" t="n">
        <s:v>1236</s:v>
      </s:c>
      <s:c r="F862" s="24">
        <s:f>'자료구성'!$B$2+TIME(INT($C$3/10000),INT(MOD($C$3,10000)/100),MOD($C$3,100))+(ROW()-ROW($C$3))/86400</s:f>
        <s:v>46247.53444444444</s:v>
      </s:c>
    </s:row>
    <s:row r="863">
      <s:c r="A863" s="0" t="n">
        <s:v>260813</s:v>
      </s:c>
      <s:c r="B863" s="0" t="inlineStr">
        <s:is>
          <s:t>이종훈</s:t>
        </s:is>
      </s:c>
      <s:c r="C863" s="0" t="n">
        <s:v>123517</s:v>
      </s:c>
      <s:c r="D863" s="0" t="n">
        <s:v>1300</s:v>
      </s:c>
      <s:c r="F863" s="24">
        <s:f>'자료구성'!$B$2+TIME(INT($C$3/10000),INT(MOD($C$3,10000)/100),MOD($C$3,100))+(ROW()-ROW($C$3))/86400</s:f>
        <s:v>46247.53445601852</s:v>
      </s:c>
    </s:row>
    <s:row r="864">
      <s:c r="A864" s="0" t="n">
        <s:v>260813</s:v>
      </s:c>
      <s:c r="B864" s="0" t="inlineStr">
        <s:is>
          <s:t>이종훈</s:t>
        </s:is>
      </s:c>
      <s:c r="C864" s="0" t="n">
        <s:v>123517</s:v>
      </s:c>
      <s:c r="D864" s="0" t="n">
        <s:v>1384</s:v>
      </s:c>
      <s:c r="F864" s="24">
        <s:f>'자료구성'!$B$2+TIME(INT($C$3/10000),INT(MOD($C$3,10000)/100),MOD($C$3,100))+(ROW()-ROW($C$3))/86400</s:f>
        <s:v>46247.534467592595</s:v>
      </s:c>
    </s:row>
    <s:row r="865">
      <s:c r="A865" s="0" t="n">
        <s:v>260813</s:v>
      </s:c>
      <s:c r="B865" s="0" t="inlineStr">
        <s:is>
          <s:t>이종훈</s:t>
        </s:is>
      </s:c>
      <s:c r="C865" s="0" t="n">
        <s:v>123517</s:v>
      </s:c>
      <s:c r="D865" s="0" t="n">
        <s:v>1451</s:v>
      </s:c>
      <s:c r="F865" s="24">
        <s:f>'자료구성'!$B$2+TIME(INT($C$3/10000),INT(MOD($C$3,10000)/100),MOD($C$3,100))+(ROW()-ROW($C$3))/86400</s:f>
        <s:v>46247.534479166665</s:v>
      </s:c>
    </s:row>
    <s:row r="866">
      <s:c r="A866" s="0" t="n">
        <s:v>260813</s:v>
      </s:c>
      <s:c r="B866" s="0" t="inlineStr">
        <s:is>
          <s:t>이종훈</s:t>
        </s:is>
      </s:c>
      <s:c r="C866" s="0" t="n">
        <s:v>123517</s:v>
      </s:c>
      <s:c r="D866" s="0" t="n">
        <s:v>1516</s:v>
      </s:c>
      <s:c r="F866" s="24">
        <s:f>'자료구성'!$B$2+TIME(INT($C$3/10000),INT(MOD($C$3,10000)/100),MOD($C$3,100))+(ROW()-ROW($C$3))/86400</s:f>
        <s:v>46247.53449074074</s:v>
      </s:c>
    </s:row>
    <s:row r="867">
      <s:c r="A867" s="0" t="n">
        <s:v>260813</s:v>
      </s:c>
      <s:c r="B867" s="0" t="inlineStr">
        <s:is>
          <s:t>이종훈</s:t>
        </s:is>
      </s:c>
      <s:c r="C867" s="0" t="n">
        <s:v>123517</s:v>
      </s:c>
      <s:c r="D867" s="0" t="n">
        <s:v>1578</s:v>
      </s:c>
      <s:c r="F867" s="24">
        <s:f>'자료구성'!$B$2+TIME(INT($C$3/10000),INT(MOD($C$3,10000)/100),MOD($C$3,100))+(ROW()-ROW($C$3))/86400</s:f>
        <s:v>46247.53450231482</s:v>
      </s:c>
    </s:row>
    <s:row r="868">
      <s:c r="A868" s="0" t="n">
        <s:v>260813</s:v>
      </s:c>
      <s:c r="B868" s="0" t="inlineStr">
        <s:is>
          <s:t>이종훈</s:t>
        </s:is>
      </s:c>
      <s:c r="C868" s="0" t="n">
        <s:v>123517</s:v>
      </s:c>
      <s:c r="D868" s="0" t="n">
        <s:v>1597</s:v>
      </s:c>
      <s:c r="F868" s="24">
        <s:f>'자료구성'!$B$2+TIME(INT($C$3/10000),INT(MOD($C$3,10000)/100),MOD($C$3,100))+(ROW()-ROW($C$3))/86400</s:f>
        <s:v>46247.53451388889</s:v>
      </s:c>
    </s:row>
    <s:row r="869">
      <s:c r="A869" s="0" t="n">
        <s:v>260813</s:v>
      </s:c>
      <s:c r="B869" s="0" t="inlineStr">
        <s:is>
          <s:t>이종훈</s:t>
        </s:is>
      </s:c>
      <s:c r="C869" s="0" t="n">
        <s:v>123517</s:v>
      </s:c>
      <s:c r="D869" s="0" t="n">
        <s:v>1577</s:v>
      </s:c>
      <s:c r="F869" s="24">
        <s:f>'자료구성'!$B$2+TIME(INT($C$3/10000),INT(MOD($C$3,10000)/100),MOD($C$3,100))+(ROW()-ROW($C$3))/86400</s:f>
        <s:v>46247.534525462965</s:v>
      </s:c>
    </s:row>
    <s:row r="870">
      <s:c r="A870" s="0" t="n">
        <s:v>260813</s:v>
      </s:c>
      <s:c r="B870" s="0" t="inlineStr">
        <s:is>
          <s:t>이종훈</s:t>
        </s:is>
      </s:c>
      <s:c r="C870" s="0" t="n">
        <s:v>123517</s:v>
      </s:c>
      <s:c r="D870" s="0" t="n">
        <s:v>1546</s:v>
      </s:c>
      <s:c r="F870" s="24">
        <s:f>'자료구성'!$B$2+TIME(INT($C$3/10000),INT(MOD($C$3,10000)/100),MOD($C$3,100))+(ROW()-ROW($C$3))/86400</s:f>
        <s:v>46247.534537037034</s:v>
      </s:c>
    </s:row>
    <s:row r="871">
      <s:c r="A871" s="0" t="n">
        <s:v>260813</s:v>
      </s:c>
      <s:c r="B871" s="0" t="inlineStr">
        <s:is>
          <s:t>이종훈</s:t>
        </s:is>
      </s:c>
      <s:c r="C871" s="0" t="n">
        <s:v>123517</s:v>
      </s:c>
      <s:c r="D871" s="0" t="n">
        <s:v>1568</s:v>
      </s:c>
      <s:c r="F871" s="24">
        <s:f>'자료구성'!$B$2+TIME(INT($C$3/10000),INT(MOD($C$3,10000)/100),MOD($C$3,100))+(ROW()-ROW($C$3))/86400</s:f>
        <s:v>46247.53454861111</s:v>
      </s:c>
    </s:row>
    <s:row r="872">
      <s:c r="A872" s="0" t="n">
        <s:v>260813</s:v>
      </s:c>
      <s:c r="B872" s="0" t="inlineStr">
        <s:is>
          <s:t>이종훈</s:t>
        </s:is>
      </s:c>
      <s:c r="C872" s="0" t="n">
        <s:v>123517</s:v>
      </s:c>
      <s:c r="D872" s="0" t="n">
        <s:v>1617</s:v>
      </s:c>
      <s:c r="F872" s="24">
        <s:f>'자료구성'!$B$2+TIME(INT($C$3/10000),INT(MOD($C$3,10000)/100),MOD($C$3,100))+(ROW()-ROW($C$3))/86400</s:f>
        <s:v>46247.53456018519</s:v>
      </s:c>
    </s:row>
    <s:row r="873">
      <s:c r="A873" s="0" t="n">
        <s:v>260813</s:v>
      </s:c>
      <s:c r="B873" s="0" t="inlineStr">
        <s:is>
          <s:t>이종훈</s:t>
        </s:is>
      </s:c>
      <s:c r="C873" s="0" t="n">
        <s:v>123517</s:v>
      </s:c>
      <s:c r="D873" s="0" t="n">
        <s:v>1654</s:v>
      </s:c>
      <s:c r="F873" s="24">
        <s:f>'자료구성'!$B$2+TIME(INT($C$3/10000),INT(MOD($C$3,10000)/100),MOD($C$3,100))+(ROW()-ROW($C$3))/86400</s:f>
        <s:v>46247.53457175926</s:v>
      </s:c>
    </s:row>
    <s:row r="874">
      <s:c r="A874" s="0" t="n">
        <s:v>260813</s:v>
      </s:c>
      <s:c r="B874" s="0" t="inlineStr">
        <s:is>
          <s:t>이종훈</s:t>
        </s:is>
      </s:c>
      <s:c r="C874" s="0" t="n">
        <s:v>123517</s:v>
      </s:c>
      <s:c r="D874" s="0" t="n">
        <s:v>1687</s:v>
      </s:c>
      <s:c r="F874" s="24">
        <s:f>'자료구성'!$B$2+TIME(INT($C$3/10000),INT(MOD($C$3,10000)/100),MOD($C$3,100))+(ROW()-ROW($C$3))/86400</s:f>
        <s:v>46247.534583333334</s:v>
      </s:c>
    </s:row>
    <s:row r="875">
      <s:c r="A875" s="0" t="n">
        <s:v>260813</s:v>
      </s:c>
      <s:c r="B875" s="0" t="inlineStr">
        <s:is>
          <s:t>이종훈</s:t>
        </s:is>
      </s:c>
      <s:c r="C875" s="0" t="n">
        <s:v>123517</s:v>
      </s:c>
      <s:c r="D875" s="0" t="n">
        <s:v>1694</s:v>
      </s:c>
      <s:c r="F875" s="24">
        <s:f>'자료구성'!$B$2+TIME(INT($C$3/10000),INT(MOD($C$3,10000)/100),MOD($C$3,100))+(ROW()-ROW($C$3))/86400</s:f>
        <s:v>46247.53459490741</s:v>
      </s:c>
    </s:row>
    <s:row r="876">
      <s:c r="A876" s="0" t="n">
        <s:v>260813</s:v>
      </s:c>
      <s:c r="B876" s="0" t="inlineStr">
        <s:is>
          <s:t>이종훈</s:t>
        </s:is>
      </s:c>
      <s:c r="C876" s="0" t="n">
        <s:v>123517</s:v>
      </s:c>
      <s:c r="D876" s="0" t="n">
        <s:v>1738</s:v>
      </s:c>
      <s:c r="F876" s="24">
        <s:f>'자료구성'!$B$2+TIME(INT($C$3/10000),INT(MOD($C$3,10000)/100),MOD($C$3,100))+(ROW()-ROW($C$3))/86400</s:f>
        <s:v>46247.53460648148</s:v>
      </s:c>
    </s:row>
    <s:row r="877">
      <s:c r="A877" s="0" t="n">
        <s:v>260813</s:v>
      </s:c>
      <s:c r="B877" s="0" t="inlineStr">
        <s:is>
          <s:t>이종훈</s:t>
        </s:is>
      </s:c>
      <s:c r="C877" s="0" t="n">
        <s:v>123517</s:v>
      </s:c>
      <s:c r="D877" s="0" t="n">
        <s:v>1825</s:v>
      </s:c>
      <s:c r="F877" s="24">
        <s:f>'자료구성'!$B$2+TIME(INT($C$3/10000),INT(MOD($C$3,10000)/100),MOD($C$3,100))+(ROW()-ROW($C$3))/86400</s:f>
        <s:v>46247.53461805556</s:v>
      </s:c>
    </s:row>
    <s:row r="878">
      <s:c r="A878" s="0" t="n">
        <s:v>260813</s:v>
      </s:c>
      <s:c r="B878" s="0" t="inlineStr">
        <s:is>
          <s:t>이종훈</s:t>
        </s:is>
      </s:c>
      <s:c r="C878" s="0" t="n">
        <s:v>123517</s:v>
      </s:c>
      <s:c r="D878" s="0" t="n">
        <s:v>1891</s:v>
      </s:c>
      <s:c r="F878" s="24">
        <s:f>'자료구성'!$B$2+TIME(INT($C$3/10000),INT(MOD($C$3,10000)/100),MOD($C$3,100))+(ROW()-ROW($C$3))/86400</s:f>
        <s:v>46247.53462962963</s:v>
      </s:c>
    </s:row>
    <s:row r="879">
      <s:c r="A879" s="0" t="n">
        <s:v>260813</s:v>
      </s:c>
      <s:c r="B879" s="0" t="inlineStr">
        <s:is>
          <s:t>이종훈</s:t>
        </s:is>
      </s:c>
      <s:c r="C879" s="0" t="n">
        <s:v>123517</s:v>
      </s:c>
      <s:c r="D879" s="0" t="n">
        <s:v>1940</s:v>
      </s:c>
      <s:c r="F879" s="24">
        <s:f>'자료구성'!$B$2+TIME(INT($C$3/10000),INT(MOD($C$3,10000)/100),MOD($C$3,100))+(ROW()-ROW($C$3))/86400</s:f>
        <s:v>46247.5346412037</s:v>
      </s:c>
    </s:row>
    <s:row r="880">
      <s:c r="A880" s="0" t="n">
        <s:v>260813</s:v>
      </s:c>
      <s:c r="B880" s="0" t="inlineStr">
        <s:is>
          <s:t>이종훈</s:t>
        </s:is>
      </s:c>
      <s:c r="C880" s="0" t="n">
        <s:v>123517</s:v>
      </s:c>
      <s:c r="D880" s="0" t="n">
        <s:v>1899</s:v>
      </s:c>
      <s:c r="F880" s="24">
        <s:f>'자료구성'!$B$2+TIME(INT($C$3/10000),INT(MOD($C$3,10000)/100),MOD($C$3,100))+(ROW()-ROW($C$3))/86400</s:f>
        <s:v>46247.53465277778</s:v>
      </s:c>
    </s:row>
    <s:row r="881">
      <s:c r="A881" s="0" t="n">
        <s:v>260813</s:v>
      </s:c>
      <s:c r="B881" s="0" t="inlineStr">
        <s:is>
          <s:t>이종훈</s:t>
        </s:is>
      </s:c>
      <s:c r="C881" s="0" t="n">
        <s:v>123517</s:v>
      </s:c>
      <s:c r="D881" s="0" t="n">
        <s:v>1829</s:v>
      </s:c>
      <s:c r="F881" s="24">
        <s:f>'자료구성'!$B$2+TIME(INT($C$3/10000),INT(MOD($C$3,10000)/100),MOD($C$3,100))+(ROW()-ROW($C$3))/86400</s:f>
        <s:v>46247.53466435185</s:v>
      </s:c>
    </s:row>
    <s:row r="882">
      <s:c r="A882" s="0" t="n">
        <s:v>260813</s:v>
      </s:c>
      <s:c r="B882" s="0" t="inlineStr">
        <s:is>
          <s:t>이종훈</s:t>
        </s:is>
      </s:c>
      <s:c r="C882" s="0" t="n">
        <s:v>123517</s:v>
      </s:c>
      <s:c r="D882" s="0" t="n">
        <s:v>1761</s:v>
      </s:c>
      <s:c r="F882" s="24">
        <s:f>'자료구성'!$B$2+TIME(INT($C$3/10000),INT(MOD($C$3,10000)/100),MOD($C$3,100))+(ROW()-ROW($C$3))/86400</s:f>
        <s:v>46247.53467592593</s:v>
      </s:c>
    </s:row>
    <s:row r="883">
      <s:c r="A883" s="0" t="n">
        <s:v>260813</s:v>
      </s:c>
      <s:c r="B883" s="0" t="inlineStr">
        <s:is>
          <s:t>이종훈</s:t>
        </s:is>
      </s:c>
      <s:c r="C883" s="0" t="n">
        <s:v>123517</s:v>
      </s:c>
      <s:c r="D883" s="0" t="n">
        <s:v>1738</s:v>
      </s:c>
      <s:c r="F883" s="24">
        <s:f>'자료구성'!$B$2+TIME(INT($C$3/10000),INT(MOD($C$3,10000)/100),MOD($C$3,100))+(ROW()-ROW($C$3))/86400</s:f>
        <s:v>46247.5346875</s:v>
      </s:c>
    </s:row>
    <s:row r="884">
      <s:c r="A884" s="0" t="n">
        <s:v>260813</s:v>
      </s:c>
      <s:c r="B884" s="0" t="inlineStr">
        <s:is>
          <s:t>이종훈</s:t>
        </s:is>
      </s:c>
      <s:c r="C884" s="0" t="n">
        <s:v>123517</s:v>
      </s:c>
      <s:c r="D884" s="0" t="n">
        <s:v>1741</s:v>
      </s:c>
      <s:c r="F884" s="24">
        <s:f>'자료구성'!$B$2+TIME(INT($C$3/10000),INT(MOD($C$3,10000)/100),MOD($C$3,100))+(ROW()-ROW($C$3))/86400</s:f>
        <s:v>46247.53469907407</s:v>
      </s:c>
    </s:row>
    <s:row r="885">
      <s:c r="A885" s="0" t="n">
        <s:v>260813</s:v>
      </s:c>
      <s:c r="B885" s="0" t="inlineStr">
        <s:is>
          <s:t>이종훈</s:t>
        </s:is>
      </s:c>
      <s:c r="C885" s="0" t="n">
        <s:v>123517</s:v>
      </s:c>
      <s:c r="D885" s="0" t="n">
        <s:v>1711</s:v>
      </s:c>
      <s:c r="F885" s="24">
        <s:f>'자료구성'!$B$2+TIME(INT($C$3/10000),INT(MOD($C$3,10000)/100),MOD($C$3,100))+(ROW()-ROW($C$3))/86400</s:f>
        <s:v>46247.53471064815</s:v>
      </s:c>
    </s:row>
    <s:row r="886">
      <s:c r="A886" s="0" t="n">
        <s:v>260813</s:v>
      </s:c>
      <s:c r="B886" s="0" t="inlineStr">
        <s:is>
          <s:t>이종훈</s:t>
        </s:is>
      </s:c>
      <s:c r="C886" s="0" t="n">
        <s:v>123517</s:v>
      </s:c>
      <s:c r="D886" s="0" t="n">
        <s:v>1675</s:v>
      </s:c>
      <s:c r="F886" s="24">
        <s:f>'자료구성'!$B$2+TIME(INT($C$3/10000),INT(MOD($C$3,10000)/100),MOD($C$3,100))+(ROW()-ROW($C$3))/86400</s:f>
        <s:v>46247.53472222222</s:v>
      </s:c>
    </s:row>
    <s:row r="887">
      <s:c r="A887" s="0" t="n">
        <s:v>260813</s:v>
      </s:c>
      <s:c r="B887" s="0" t="inlineStr">
        <s:is>
          <s:t>이종훈</s:t>
        </s:is>
      </s:c>
      <s:c r="C887" s="0" t="n">
        <s:v>123517</s:v>
      </s:c>
      <s:c r="D887" s="0" t="n">
        <s:v>1641</s:v>
      </s:c>
      <s:c r="F887" s="24">
        <s:f>'자료구성'!$B$2+TIME(INT($C$3/10000),INT(MOD($C$3,10000)/100),MOD($C$3,100))+(ROW()-ROW($C$3))/86400</s:f>
        <s:v>46247.534733796296</s:v>
      </s:c>
    </s:row>
    <s:row r="888">
      <s:c r="A888" s="0" t="n">
        <s:v>260813</s:v>
      </s:c>
      <s:c r="B888" s="0" t="inlineStr">
        <s:is>
          <s:t>이종훈</s:t>
        </s:is>
      </s:c>
      <s:c r="C888" s="0" t="n">
        <s:v>123517</s:v>
      </s:c>
      <s:c r="D888" s="0" t="n">
        <s:v>1626</s:v>
      </s:c>
      <s:c r="F888" s="24">
        <s:f>'자료구성'!$B$2+TIME(INT($C$3/10000),INT(MOD($C$3,10000)/100),MOD($C$3,100))+(ROW()-ROW($C$3))/86400</s:f>
        <s:v>46247.53474537037</s:v>
      </s:c>
    </s:row>
    <s:row r="889">
      <s:c r="A889" s="0" t="n">
        <s:v>260813</s:v>
      </s:c>
      <s:c r="B889" s="0" t="inlineStr">
        <s:is>
          <s:t>이종훈</s:t>
        </s:is>
      </s:c>
      <s:c r="C889" s="0" t="n">
        <s:v>123517</s:v>
      </s:c>
      <s:c r="D889" s="0" t="n">
        <s:v>1618</s:v>
      </s:c>
      <s:c r="F889" s="24">
        <s:f>'자료구성'!$B$2+TIME(INT($C$3/10000),INT(MOD($C$3,10000)/100),MOD($C$3,100))+(ROW()-ROW($C$3))/86400</s:f>
        <s:v>46247.53475694444</s:v>
      </s:c>
    </s:row>
    <s:row r="890">
      <s:c r="A890" s="0" t="n">
        <s:v>260813</s:v>
      </s:c>
      <s:c r="B890" s="0" t="inlineStr">
        <s:is>
          <s:t>이종훈</s:t>
        </s:is>
      </s:c>
      <s:c r="C890" s="0" t="n">
        <s:v>123517</s:v>
      </s:c>
      <s:c r="D890" s="0" t="n">
        <s:v>1596</s:v>
      </s:c>
      <s:c r="F890" s="24">
        <s:f>'자료구성'!$B$2+TIME(INT($C$3/10000),INT(MOD($C$3,10000)/100),MOD($C$3,100))+(ROW()-ROW($C$3))/86400</s:f>
        <s:v>46247.53476851852</s:v>
      </s:c>
    </s:row>
    <s:row r="891">
      <s:c r="A891" s="0" t="n">
        <s:v>260813</s:v>
      </s:c>
      <s:c r="B891" s="0" t="inlineStr">
        <s:is>
          <s:t>이종훈</s:t>
        </s:is>
      </s:c>
      <s:c r="C891" s="0" t="n">
        <s:v>123517</s:v>
      </s:c>
      <s:c r="D891" s="0" t="n">
        <s:v>1566</s:v>
      </s:c>
      <s:c r="F891" s="24">
        <s:f>'자료구성'!$B$2+TIME(INT($C$3/10000),INT(MOD($C$3,10000)/100),MOD($C$3,100))+(ROW()-ROW($C$3))/86400</s:f>
        <s:v>46247.534780092596</s:v>
      </s:c>
    </s:row>
    <s:row r="892">
      <s:c r="A892" s="0" t="n">
        <s:v>260813</s:v>
      </s:c>
      <s:c r="B892" s="0" t="inlineStr">
        <s:is>
          <s:t>이종훈</s:t>
        </s:is>
      </s:c>
      <s:c r="C892" s="0" t="n">
        <s:v>123517</s:v>
      </s:c>
      <s:c r="D892" s="0" t="n">
        <s:v>1585</s:v>
      </s:c>
      <s:c r="F892" s="24">
        <s:f>'자료구성'!$B$2+TIME(INT($C$3/10000),INT(MOD($C$3,10000)/100),MOD($C$3,100))+(ROW()-ROW($C$3))/86400</s:f>
        <s:v>46247.534791666665</s:v>
      </s:c>
    </s:row>
    <s:row r="893">
      <s:c r="A893" s="0" t="n">
        <s:v>260813</s:v>
      </s:c>
      <s:c r="B893" s="0" t="inlineStr">
        <s:is>
          <s:t>이종훈</s:t>
        </s:is>
      </s:c>
      <s:c r="C893" s="0" t="n">
        <s:v>123517</s:v>
      </s:c>
      <s:c r="D893" s="0" t="n">
        <s:v>1638</s:v>
      </s:c>
      <s:c r="F893" s="24">
        <s:f>'자료구성'!$B$2+TIME(INT($C$3/10000),INT(MOD($C$3,10000)/100),MOD($C$3,100))+(ROW()-ROW($C$3))/86400</s:f>
        <s:v>46247.53480324074</s:v>
      </s:c>
    </s:row>
    <s:row r="894">
      <s:c r="A894" s="0" t="n">
        <s:v>260813</s:v>
      </s:c>
      <s:c r="B894" s="0" t="inlineStr">
        <s:is>
          <s:t>이종훈</s:t>
        </s:is>
      </s:c>
      <s:c r="C894" s="0" t="n">
        <s:v>123517</s:v>
      </s:c>
      <s:c r="D894" s="0" t="n">
        <s:v>1630</s:v>
      </s:c>
      <s:c r="F894" s="24">
        <s:f>'자료구성'!$B$2+TIME(INT($C$3/10000),INT(MOD($C$3,10000)/100),MOD($C$3,100))+(ROW()-ROW($C$3))/86400</s:f>
        <s:v>46247.53481481481</s:v>
      </s:c>
    </s:row>
    <s:row r="895">
      <s:c r="A895" s="0" t="n">
        <s:v>260813</s:v>
      </s:c>
      <s:c r="B895" s="0" t="inlineStr">
        <s:is>
          <s:t>이종훈</s:t>
        </s:is>
      </s:c>
      <s:c r="C895" s="0" t="n">
        <s:v>123517</s:v>
      </s:c>
      <s:c r="D895" s="0" t="n">
        <s:v>1635</s:v>
      </s:c>
      <s:c r="F895" s="24">
        <s:f>'자료구성'!$B$2+TIME(INT($C$3/10000),INT(MOD($C$3,10000)/100),MOD($C$3,100))+(ROW()-ROW($C$3))/86400</s:f>
        <s:v>46247.53482638889</s:v>
      </s:c>
    </s:row>
    <s:row r="896">
      <s:c r="A896" s="0" t="n">
        <s:v>260813</s:v>
      </s:c>
      <s:c r="B896" s="0" t="inlineStr">
        <s:is>
          <s:t>이종훈</s:t>
        </s:is>
      </s:c>
      <s:c r="C896" s="0" t="n">
        <s:v>123517</s:v>
      </s:c>
      <s:c r="D896" s="0" t="n">
        <s:v>1669</s:v>
      </s:c>
      <s:c r="F896" s="24">
        <s:f>'자료구성'!$B$2+TIME(INT($C$3/10000),INT(MOD($C$3,10000)/100),MOD($C$3,100))+(ROW()-ROW($C$3))/86400</s:f>
        <s:v>46247.534837962965</s:v>
      </s:c>
    </s:row>
    <s:row r="897">
      <s:c r="A897" s="0" t="n">
        <s:v>260813</s:v>
      </s:c>
      <s:c r="B897" s="0" t="inlineStr">
        <s:is>
          <s:t>이종훈</s:t>
        </s:is>
      </s:c>
      <s:c r="C897" s="0" t="n">
        <s:v>123517</s:v>
      </s:c>
      <s:c r="D897" s="0" t="n">
        <s:v>1725</s:v>
      </s:c>
      <s:c r="F897" s="24">
        <s:f>'자료구성'!$B$2+TIME(INT($C$3/10000),INT(MOD($C$3,10000)/100),MOD($C$3,100))+(ROW()-ROW($C$3))/86400</s:f>
        <s:v>46247.534849537034</s:v>
      </s:c>
    </s:row>
    <s:row r="898">
      <s:c r="A898" s="0" t="n">
        <s:v>260813</s:v>
      </s:c>
      <s:c r="B898" s="0" t="inlineStr">
        <s:is>
          <s:t>이종훈</s:t>
        </s:is>
      </s:c>
      <s:c r="C898" s="0" t="n">
        <s:v>123517</s:v>
      </s:c>
      <s:c r="D898" s="0" t="n">
        <s:v>1834</s:v>
      </s:c>
      <s:c r="F898" s="24">
        <s:f>'자료구성'!$B$2+TIME(INT($C$3/10000),INT(MOD($C$3,10000)/100),MOD($C$3,100))+(ROW()-ROW($C$3))/86400</s:f>
        <s:v>46247.53486111111</s:v>
      </s:c>
    </s:row>
    <s:row r="899">
      <s:c r="A899" s="0" t="n">
        <s:v>260813</s:v>
      </s:c>
      <s:c r="B899" s="0" t="inlineStr">
        <s:is>
          <s:t>이종훈</s:t>
        </s:is>
      </s:c>
      <s:c r="C899" s="0" t="n">
        <s:v>123517</s:v>
      </s:c>
      <s:c r="D899" s="0" t="n">
        <s:v>1908</s:v>
      </s:c>
      <s:c r="F899" s="24">
        <s:f>'자료구성'!$B$2+TIME(INT($C$3/10000),INT(MOD($C$3,10000)/100),MOD($C$3,100))+(ROW()-ROW($C$3))/86400</s:f>
        <s:v>46247.53487268519</s:v>
      </s:c>
    </s:row>
    <s:row r="900">
      <s:c r="A900" s="0" t="n">
        <s:v>260813</s:v>
      </s:c>
      <s:c r="B900" s="0" t="inlineStr">
        <s:is>
          <s:t>이종훈</s:t>
        </s:is>
      </s:c>
      <s:c r="C900" s="0" t="n">
        <s:v>123517</s:v>
      </s:c>
      <s:c r="D900" s="0" t="n">
        <s:v>2072</s:v>
      </s:c>
      <s:c r="F900" s="24">
        <s:f>'자료구성'!$B$2+TIME(INT($C$3/10000),INT(MOD($C$3,10000)/100),MOD($C$3,100))+(ROW()-ROW($C$3))/86400</s:f>
        <s:v>46247.53488425926</s:v>
      </s:c>
    </s:row>
    <s:row r="901">
      <s:c r="A901" s="0" t="n">
        <s:v>260813</s:v>
      </s:c>
      <s:c r="B901" s="0" t="inlineStr">
        <s:is>
          <s:t>이종훈</s:t>
        </s:is>
      </s:c>
      <s:c r="C901" s="0" t="n">
        <s:v>123517</s:v>
      </s:c>
      <s:c r="D901" s="0" t="n">
        <s:v>2128</s:v>
      </s:c>
      <s:c r="F901" s="24">
        <s:f>'자료구성'!$B$2+TIME(INT($C$3/10000),INT(MOD($C$3,10000)/100),MOD($C$3,100))+(ROW()-ROW($C$3))/86400</s:f>
        <s:v>46247.534895833334</s:v>
      </s:c>
    </s:row>
    <s:row r="902">
      <s:c r="A902" s="0" t="n">
        <s:v>260813</s:v>
      </s:c>
      <s:c r="B902" s="0" t="inlineStr">
        <s:is>
          <s:t>이종훈</s:t>
        </s:is>
      </s:c>
      <s:c r="C902" s="0" t="n">
        <s:v>123517</s:v>
      </s:c>
      <s:c r="D902" s="0" t="n">
        <s:v>2050</s:v>
      </s:c>
      <s:c r="F902" s="24">
        <s:f>'자료구성'!$B$2+TIME(INT($C$3/10000),INT(MOD($C$3,10000)/100),MOD($C$3,100))+(ROW()-ROW($C$3))/86400</s:f>
        <s:v>46247.534907407404</s:v>
      </s:c>
    </s:row>
  </s:sheetData>
  <s:mergeCells count="1">
    <s:mergeCell ref="A1:E1"/>
  </s:mergeCells>
  <s:pageMargins left="0.7" right="0.7" top="0.75" bottom="0.75" header="0.3" footer="0.3"/>
  <s:legacyDrawing r:id="anysvml"/>
</s:worksheet>
</file>

<file path=xl/worksheets/sheet5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/>
  </s:sheetPr>
  <s:dimension ref="A1:F902"/>
  <s:sheetViews>
    <s:sheetView workbookViewId="0">
      <s:pane ySplit="2" topLeftCell="A3" activePane="bottomLeft" state="frozen"/>
      <s:selection pane="bottomLeft" activeCell="D902" sqref="D3:D902"/>
    </s:sheetView>
  </s:sheetViews>
  <s:sheetFormatPr baseColWidth="8" defaultRowHeight="16.5"/>
  <s:cols>
    <s:col width="13" bestFit="1" customWidth="1" style="7" min="3" max="4"/>
    <s:col width="25" customWidth="1" style="7" min="6" max="6"/>
  </s:cols>
  <s:sheetData>
    <s:row r="1">
      <s:c r="A1" s="4" t="inlineStr">
        <s:is>
          <s:t>밭</s:t>
        </s:is>
      </s:c>
    </s:row>
    <s:row r="2" ht="17.25" customHeight="1" s="7" thickBot="1">
      <s:c r="A2" s="2" t="inlineStr">
        <s:is>
          <s:t>조사일자</s:t>
        </s:is>
      </s:c>
      <s:c r="B2" s="3" t="inlineStr">
        <s:is>
          <s:t>조사자명</s:t>
        </s:is>
      </s:c>
      <s:c r="C2" s="3" t="inlineStr">
        <s:is>
          <s:t>조사시작시간</s:t>
        </s:is>
      </s:c>
      <s:c r="D2" s="3" t="inlineStr">
        <s:is>
          <s:t>음이온발생량</s:t>
        </s:is>
      </s:c>
      <s:c r="E2" s="1" t="inlineStr">
        <s:is>
          <s:t>비고</s:t>
        </s:is>
      </s:c>
      <s:c r="F2" s="3" t="inlineStr">
        <s:is>
          <s:t>측정일시</s:t>
        </s:is>
      </s:c>
    </s:row>
    <s:row r="3">
      <s:c r="A3" s="0" t="n">
        <s:v>260813</s:v>
      </s:c>
      <s:c r="B3" s="0" t="inlineStr">
        <s:is>
          <s:t>이종훈</s:t>
        </s:is>
      </s:c>
      <s:c r="C3" s="0" t="n">
        <s:v>112912</s:v>
      </s:c>
      <s:c r="D3" s="0" t="n">
        <s:v>876</s:v>
      </s:c>
      <s:c r="F3" s="24">
        <s:f>'자료구성'!$B$2+TIME(INT($C$3/10000),INT(MOD($C$3,10000)/100),MOD($C$3,100))+(ROW()-ROW($C$3))/86400</s:f>
        <s:v>46247.47861111111</s:v>
      </s:c>
    </s:row>
    <s:row r="4">
      <s:c r="A4" s="0" t="n">
        <s:v>260813</s:v>
      </s:c>
      <s:c r="B4" s="0" t="inlineStr">
        <s:is>
          <s:t>이종훈</s:t>
        </s:is>
      </s:c>
      <s:c r="C4" s="0" t="n">
        <s:v>112912</s:v>
      </s:c>
      <s:c r="D4" s="0" t="n">
        <s:v>850</s:v>
      </s:c>
      <s:c r="F4" s="24">
        <s:f>'자료구성'!$B$2+TIME(INT($C$3/10000),INT(MOD($C$3,10000)/100),MOD($C$3,100))+(ROW()-ROW($C$3))/86400</s:f>
        <s:v>46247.47862268519</s:v>
      </s:c>
    </s:row>
    <s:row r="5">
      <s:c r="A5" s="0" t="n">
        <s:v>260813</s:v>
      </s:c>
      <s:c r="B5" s="0" t="inlineStr">
        <s:is>
          <s:t>이종훈</s:t>
        </s:is>
      </s:c>
      <s:c r="C5" s="0" t="n">
        <s:v>112912</s:v>
      </s:c>
      <s:c r="D5" s="0" t="n">
        <s:v>826</s:v>
      </s:c>
      <s:c r="F5" s="24">
        <s:f>'자료구성'!$B$2+TIME(INT($C$3/10000),INT(MOD($C$3,10000)/100),MOD($C$3,100))+(ROW()-ROW($C$3))/86400</s:f>
        <s:v>46247.478634259256</s:v>
      </s:c>
    </s:row>
    <s:row r="6">
      <s:c r="A6" s="0" t="n">
        <s:v>260813</s:v>
      </s:c>
      <s:c r="B6" s="0" t="inlineStr">
        <s:is>
          <s:t>이종훈</s:t>
        </s:is>
      </s:c>
      <s:c r="C6" s="0" t="n">
        <s:v>112912</s:v>
      </s:c>
      <s:c r="D6" s="0" t="n">
        <s:v>816</s:v>
      </s:c>
      <s:c r="F6" s="24">
        <s:f>'자료구성'!$B$2+TIME(INT($C$3/10000),INT(MOD($C$3,10000)/100),MOD($C$3,100))+(ROW()-ROW($C$3))/86400</s:f>
        <s:v>46247.47864583333</s:v>
      </s:c>
    </s:row>
    <s:row r="7">
      <s:c r="A7" s="0" t="n">
        <s:v>260813</s:v>
      </s:c>
      <s:c r="B7" s="0" t="inlineStr">
        <s:is>
          <s:t>이종훈</s:t>
        </s:is>
      </s:c>
      <s:c r="C7" s="0" t="n">
        <s:v>112912</s:v>
      </s:c>
      <s:c r="D7" s="0" t="n">
        <s:v>811</s:v>
      </s:c>
      <s:c r="F7" s="24">
        <s:f>'자료구성'!$B$2+TIME(INT($C$3/10000),INT(MOD($C$3,10000)/100),MOD($C$3,100))+(ROW()-ROW($C$3))/86400</s:f>
        <s:v>46247.47865740741</s:v>
      </s:c>
    </s:row>
    <s:row r="8">
      <s:c r="A8" s="0" t="n">
        <s:v>260813</s:v>
      </s:c>
      <s:c r="B8" s="0" t="inlineStr">
        <s:is>
          <s:t>이종훈</s:t>
        </s:is>
      </s:c>
      <s:c r="C8" s="0" t="n">
        <s:v>112912</s:v>
      </s:c>
      <s:c r="D8" s="0" t="n">
        <s:v>793</s:v>
      </s:c>
      <s:c r="F8" s="24">
        <s:f>'자료구성'!$B$2+TIME(INT($C$3/10000),INT(MOD($C$3,10000)/100),MOD($C$3,100))+(ROW()-ROW($C$3))/86400</s:f>
        <s:v>46247.47866898148</s:v>
      </s:c>
    </s:row>
    <s:row r="9">
      <s:c r="A9" s="0" t="n">
        <s:v>260813</s:v>
      </s:c>
      <s:c r="B9" s="0" t="inlineStr">
        <s:is>
          <s:t>이종훈</s:t>
        </s:is>
      </s:c>
      <s:c r="C9" s="0" t="n">
        <s:v>112912</s:v>
      </s:c>
      <s:c r="D9" s="0" t="n">
        <s:v>781</s:v>
      </s:c>
      <s:c r="F9" s="24">
        <s:f>'자료구성'!$B$2+TIME(INT($C$3/10000),INT(MOD($C$3,10000)/100),MOD($C$3,100))+(ROW()-ROW($C$3))/86400</s:f>
        <s:v>46247.478680555556</s:v>
      </s:c>
    </s:row>
    <s:row r="10">
      <s:c r="A10" s="0" t="n">
        <s:v>260813</s:v>
      </s:c>
      <s:c r="B10" s="0" t="inlineStr">
        <s:is>
          <s:t>이종훈</s:t>
        </s:is>
      </s:c>
      <s:c r="C10" s="0" t="n">
        <s:v>112912</s:v>
      </s:c>
      <s:c r="D10" s="0" t="n">
        <s:v>760</s:v>
      </s:c>
      <s:c r="F10" s="24">
        <s:f>'자료구성'!$B$2+TIME(INT($C$3/10000),INT(MOD($C$3,10000)/100),MOD($C$3,100))+(ROW()-ROW($C$3))/86400</s:f>
        <s:v>46247.47869212963</s:v>
      </s:c>
    </s:row>
    <s:row r="11">
      <s:c r="A11" s="0" t="n">
        <s:v>260813</s:v>
      </s:c>
      <s:c r="B11" s="0" t="inlineStr">
        <s:is>
          <s:t>이종훈</s:t>
        </s:is>
      </s:c>
      <s:c r="C11" s="0" t="n">
        <s:v>112912</s:v>
      </s:c>
      <s:c r="D11" s="0" t="n">
        <s:v>736</s:v>
      </s:c>
      <s:c r="F11" s="24">
        <s:f>'자료구성'!$B$2+TIME(INT($C$3/10000),INT(MOD($C$3,10000)/100),MOD($C$3,100))+(ROW()-ROW($C$3))/86400</s:f>
        <s:v>46247.4787037037</s:v>
      </s:c>
    </s:row>
    <s:row r="12">
      <s:c r="A12" s="0" t="n">
        <s:v>260813</s:v>
      </s:c>
      <s:c r="B12" s="0" t="inlineStr">
        <s:is>
          <s:t>이종훈</s:t>
        </s:is>
      </s:c>
      <s:c r="C12" s="0" t="n">
        <s:v>112912</s:v>
      </s:c>
      <s:c r="D12" s="0" t="n">
        <s:v>708</s:v>
      </s:c>
      <s:c r="F12" s="24">
        <s:f>'자료구성'!$B$2+TIME(INT($C$3/10000),INT(MOD($C$3,10000)/100),MOD($C$3,100))+(ROW()-ROW($C$3))/86400</s:f>
        <s:v>46247.47871527778</s:v>
      </s:c>
    </s:row>
    <s:row r="13">
      <s:c r="A13" s="0" t="n">
        <s:v>260813</s:v>
      </s:c>
      <s:c r="B13" s="0" t="inlineStr">
        <s:is>
          <s:t>이종훈</s:t>
        </s:is>
      </s:c>
      <s:c r="C13" s="0" t="n">
        <s:v>112912</s:v>
      </s:c>
      <s:c r="D13" s="0" t="n">
        <s:v>686</s:v>
      </s:c>
      <s:c r="F13" s="24">
        <s:f>'자료구성'!$B$2+TIME(INT($C$3/10000),INT(MOD($C$3,10000)/100),MOD($C$3,100))+(ROW()-ROW($C$3))/86400</s:f>
        <s:v>46247.47872685185</s:v>
      </s:c>
    </s:row>
    <s:row r="14">
      <s:c r="A14" s="0" t="n">
        <s:v>260813</s:v>
      </s:c>
      <s:c r="B14" s="0" t="inlineStr">
        <s:is>
          <s:t>이종훈</s:t>
        </s:is>
      </s:c>
      <s:c r="C14" s="0" t="n">
        <s:v>112912</s:v>
      </s:c>
      <s:c r="D14" s="0" t="n">
        <s:v>653</s:v>
      </s:c>
      <s:c r="F14" s="24">
        <s:f>'자료구성'!$B$2+TIME(INT($C$3/10000),INT(MOD($C$3,10000)/100),MOD($C$3,100))+(ROW()-ROW($C$3))/86400</s:f>
        <s:v>46247.478738425925</s:v>
      </s:c>
    </s:row>
    <s:row r="15">
      <s:c r="A15" s="0" t="n">
        <s:v>260813</s:v>
      </s:c>
      <s:c r="B15" s="0" t="inlineStr">
        <s:is>
          <s:t>이종훈</s:t>
        </s:is>
      </s:c>
      <s:c r="C15" s="0" t="n">
        <s:v>112912</s:v>
      </s:c>
      <s:c r="D15" s="0" t="n">
        <s:v>630</s:v>
      </s:c>
      <s:c r="F15" s="24">
        <s:f>'자료구성'!$B$2+TIME(INT($C$3/10000),INT(MOD($C$3,10000)/100),MOD($C$3,100))+(ROW()-ROW($C$3))/86400</s:f>
        <s:v>46247.47875</s:v>
      </s:c>
    </s:row>
    <s:row r="16">
      <s:c r="A16" s="0" t="n">
        <s:v>260813</s:v>
      </s:c>
      <s:c r="B16" s="0" t="inlineStr">
        <s:is>
          <s:t>이종훈</s:t>
        </s:is>
      </s:c>
      <s:c r="C16" s="0" t="n">
        <s:v>112912</s:v>
      </s:c>
      <s:c r="D16" s="0" t="n">
        <s:v>613</s:v>
      </s:c>
      <s:c r="F16" s="24">
        <s:f>'자료구성'!$B$2+TIME(INT($C$3/10000),INT(MOD($C$3,10000)/100),MOD($C$3,100))+(ROW()-ROW($C$3))/86400</s:f>
        <s:v>46247.47876157407</s:v>
      </s:c>
    </s:row>
    <s:row r="17">
      <s:c r="A17" s="0" t="n">
        <s:v>260813</s:v>
      </s:c>
      <s:c r="B17" s="0" t="inlineStr">
        <s:is>
          <s:t>이종훈</s:t>
        </s:is>
      </s:c>
      <s:c r="C17" s="0" t="n">
        <s:v>112912</s:v>
      </s:c>
      <s:c r="D17" s="0" t="n">
        <s:v>603</s:v>
      </s:c>
      <s:c r="F17" s="24">
        <s:f>'자료구성'!$B$2+TIME(INT($C$3/10000),INT(MOD($C$3,10000)/100),MOD($C$3,100))+(ROW()-ROW($C$3))/86400</s:f>
        <s:v>46247.47877314815</s:v>
      </s:c>
    </s:row>
    <s:row r="18">
      <s:c r="A18" s="0" t="n">
        <s:v>260813</s:v>
      </s:c>
      <s:c r="B18" s="0" t="inlineStr">
        <s:is>
          <s:t>이종훈</s:t>
        </s:is>
      </s:c>
      <s:c r="C18" s="0" t="n">
        <s:v>112912</s:v>
      </s:c>
      <s:c r="D18" s="0" t="n">
        <s:v>582</s:v>
      </s:c>
      <s:c r="F18" s="24">
        <s:f>'자료구성'!$B$2+TIME(INT($C$3/10000),INT(MOD($C$3,10000)/100),MOD($C$3,100))+(ROW()-ROW($C$3))/86400</s:f>
        <s:v>46247.478784722225</s:v>
      </s:c>
    </s:row>
    <s:row r="19">
      <s:c r="A19" s="0" t="n">
        <s:v>260813</s:v>
      </s:c>
      <s:c r="B19" s="0" t="inlineStr">
        <s:is>
          <s:t>이종훈</s:t>
        </s:is>
      </s:c>
      <s:c r="C19" s="0" t="n">
        <s:v>112912</s:v>
      </s:c>
      <s:c r="D19" s="0" t="n">
        <s:v>551</s:v>
      </s:c>
      <s:c r="F19" s="24">
        <s:f>'자료구성'!$B$2+TIME(INT($C$3/10000),INT(MOD($C$3,10000)/100),MOD($C$3,100))+(ROW()-ROW($C$3))/86400</s:f>
        <s:v>46247.478796296295</s:v>
      </s:c>
    </s:row>
    <s:row r="20">
      <s:c r="A20" s="0" t="n">
        <s:v>260813</s:v>
      </s:c>
      <s:c r="B20" s="0" t="inlineStr">
        <s:is>
          <s:t>이종훈</s:t>
        </s:is>
      </s:c>
      <s:c r="C20" s="0" t="n">
        <s:v>112912</s:v>
      </s:c>
      <s:c r="D20" s="0" t="n">
        <s:v>539</s:v>
      </s:c>
      <s:c r="F20" s="24">
        <s:f>'자료구성'!$B$2+TIME(INT($C$3/10000),INT(MOD($C$3,10000)/100),MOD($C$3,100))+(ROW()-ROW($C$3))/86400</s:f>
        <s:v>46247.47880787037</s:v>
      </s:c>
    </s:row>
    <s:row r="21">
      <s:c r="A21" s="0" t="n">
        <s:v>260813</s:v>
      </s:c>
      <s:c r="B21" s="0" t="inlineStr">
        <s:is>
          <s:t>이종훈</s:t>
        </s:is>
      </s:c>
      <s:c r="C21" s="0" t="n">
        <s:v>112912</s:v>
      </s:c>
      <s:c r="D21" s="0" t="n">
        <s:v>525</s:v>
      </s:c>
      <s:c r="F21" s="24">
        <s:f>'자료구성'!$B$2+TIME(INT($C$3/10000),INT(MOD($C$3,10000)/100),MOD($C$3,100))+(ROW()-ROW($C$3))/86400</s:f>
        <s:v>46247.47881944444</s:v>
      </s:c>
    </s:row>
    <s:row r="22">
      <s:c r="A22" s="0" t="n">
        <s:v>260813</s:v>
      </s:c>
      <s:c r="B22" s="0" t="inlineStr">
        <s:is>
          <s:t>이종훈</s:t>
        </s:is>
      </s:c>
      <s:c r="C22" s="0" t="n">
        <s:v>112912</s:v>
      </s:c>
      <s:c r="D22" s="0" t="n">
        <s:v>511</s:v>
      </s:c>
      <s:c r="F22" s="24">
        <s:f>'자료구성'!$B$2+TIME(INT($C$3/10000),INT(MOD($C$3,10000)/100),MOD($C$3,100))+(ROW()-ROW($C$3))/86400</s:f>
        <s:v>46247.47883101852</s:v>
      </s:c>
    </s:row>
    <s:row r="23">
      <s:c r="A23" s="0" t="n">
        <s:v>260813</s:v>
      </s:c>
      <s:c r="B23" s="0" t="inlineStr">
        <s:is>
          <s:t>이종훈</s:t>
        </s:is>
      </s:c>
      <s:c r="C23" s="0" t="n">
        <s:v>112912</s:v>
      </s:c>
      <s:c r="D23" s="0" t="n">
        <s:v>483</s:v>
      </s:c>
      <s:c r="F23" s="24">
        <s:f>'자료구성'!$B$2+TIME(INT($C$3/10000),INT(MOD($C$3,10000)/100),MOD($C$3,100))+(ROW()-ROW($C$3))/86400</s:f>
        <s:v>46247.478842592594</s:v>
      </s:c>
    </s:row>
    <s:row r="24">
      <s:c r="A24" s="0" t="n">
        <s:v>260813</s:v>
      </s:c>
      <s:c r="B24" s="0" t="inlineStr">
        <s:is>
          <s:t>이종훈</s:t>
        </s:is>
      </s:c>
      <s:c r="C24" s="0" t="n">
        <s:v>112912</s:v>
      </s:c>
      <s:c r="D24" s="0" t="n">
        <s:v>464</s:v>
      </s:c>
      <s:c r="F24" s="24">
        <s:f>'자료구성'!$B$2+TIME(INT($C$3/10000),INT(MOD($C$3,10000)/100),MOD($C$3,100))+(ROW()-ROW($C$3))/86400</s:f>
        <s:v>46247.478854166664</s:v>
      </s:c>
    </s:row>
    <s:row r="25">
      <s:c r="A25" s="0" t="n">
        <s:v>260813</s:v>
      </s:c>
      <s:c r="B25" s="0" t="inlineStr">
        <s:is>
          <s:t>이종훈</s:t>
        </s:is>
      </s:c>
      <s:c r="C25" s="0" t="n">
        <s:v>112912</s:v>
      </s:c>
      <s:c r="D25" s="0" t="n">
        <s:v>450</s:v>
      </s:c>
      <s:c r="F25" s="24">
        <s:f>'자료구성'!$B$2+TIME(INT($C$3/10000),INT(MOD($C$3,10000)/100),MOD($C$3,100))+(ROW()-ROW($C$3))/86400</s:f>
        <s:v>46247.47886574074</s:v>
      </s:c>
    </s:row>
    <s:row r="26">
      <s:c r="A26" s="0" t="n">
        <s:v>260813</s:v>
      </s:c>
      <s:c r="B26" s="0" t="inlineStr">
        <s:is>
          <s:t>이종훈</s:t>
        </s:is>
      </s:c>
      <s:c r="C26" s="0" t="n">
        <s:v>112912</s:v>
      </s:c>
      <s:c r="D26" s="0" t="n">
        <s:v>443</s:v>
      </s:c>
      <s:c r="F26" s="24">
        <s:f>'자료구성'!$B$2+TIME(INT($C$3/10000),INT(MOD($C$3,10000)/100),MOD($C$3,100))+(ROW()-ROW($C$3))/86400</s:f>
        <s:v>46247.47887731482</s:v>
      </s:c>
    </s:row>
    <s:row r="27">
      <s:c r="A27" s="0" t="n">
        <s:v>260813</s:v>
      </s:c>
      <s:c r="B27" s="0" t="inlineStr">
        <s:is>
          <s:t>이종훈</s:t>
        </s:is>
      </s:c>
      <s:c r="C27" s="0" t="n">
        <s:v>112912</s:v>
      </s:c>
      <s:c r="D27" s="0" t="n">
        <s:v>448</s:v>
      </s:c>
      <s:c r="F27" s="24">
        <s:f>'자료구성'!$B$2+TIME(INT($C$3/10000),INT(MOD($C$3,10000)/100),MOD($C$3,100))+(ROW()-ROW($C$3))/86400</s:f>
        <s:v>46247.47888888889</s:v>
      </s:c>
    </s:row>
    <s:row r="28">
      <s:c r="A28" s="0" t="n">
        <s:v>260813</s:v>
      </s:c>
      <s:c r="B28" s="0" t="inlineStr">
        <s:is>
          <s:t>이종훈</s:t>
        </s:is>
      </s:c>
      <s:c r="C28" s="0" t="n">
        <s:v>112912</s:v>
      </s:c>
      <s:c r="D28" s="0" t="n">
        <s:v>451</s:v>
      </s:c>
      <s:c r="F28" s="24">
        <s:f>'자료구성'!$B$2+TIME(INT($C$3/10000),INT(MOD($C$3,10000)/100),MOD($C$3,100))+(ROW()-ROW($C$3))/86400</s:f>
        <s:v>46247.478900462964</s:v>
      </s:c>
    </s:row>
    <s:row r="29">
      <s:c r="A29" s="0" t="n">
        <s:v>260813</s:v>
      </s:c>
      <s:c r="B29" s="0" t="inlineStr">
        <s:is>
          <s:t>이종훈</s:t>
        </s:is>
      </s:c>
      <s:c r="C29" s="0" t="n">
        <s:v>112912</s:v>
      </s:c>
      <s:c r="D29" s="0" t="n">
        <s:v>456</s:v>
      </s:c>
      <s:c r="F29" s="24">
        <s:f>'자료구성'!$B$2+TIME(INT($C$3/10000),INT(MOD($C$3,10000)/100),MOD($C$3,100))+(ROW()-ROW($C$3))/86400</s:f>
        <s:v>46247.47891203704</s:v>
      </s:c>
    </s:row>
    <s:row r="30">
      <s:c r="A30" s="0" t="n">
        <s:v>260813</s:v>
      </s:c>
      <s:c r="B30" s="0" t="inlineStr">
        <s:is>
          <s:t>이종훈</s:t>
        </s:is>
      </s:c>
      <s:c r="C30" s="0" t="n">
        <s:v>112912</s:v>
      </s:c>
      <s:c r="D30" s="0" t="n">
        <s:v>456</s:v>
      </s:c>
      <s:c r="F30" s="24">
        <s:f>'자료구성'!$B$2+TIME(INT($C$3/10000),INT(MOD($C$3,10000)/100),MOD($C$3,100))+(ROW()-ROW($C$3))/86400</s:f>
        <s:v>46247.47892361111</s:v>
      </s:c>
    </s:row>
    <s:row r="31">
      <s:c r="A31" s="0" t="n">
        <s:v>260813</s:v>
      </s:c>
      <s:c r="B31" s="0" t="inlineStr">
        <s:is>
          <s:t>이종훈</s:t>
        </s:is>
      </s:c>
      <s:c r="C31" s="0" t="n">
        <s:v>112912</s:v>
      </s:c>
      <s:c r="D31" s="0" t="n">
        <s:v>457</s:v>
      </s:c>
      <s:c r="F31" s="24">
        <s:f>'자료구성'!$B$2+TIME(INT($C$3/10000),INT(MOD($C$3,10000)/100),MOD($C$3,100))+(ROW()-ROW($C$3))/86400</s:f>
        <s:v>46247.47893518519</s:v>
      </s:c>
    </s:row>
    <s:row r="32">
      <s:c r="A32" s="0" t="n">
        <s:v>260813</s:v>
      </s:c>
      <s:c r="B32" s="0" t="inlineStr">
        <s:is>
          <s:t>이종훈</s:t>
        </s:is>
      </s:c>
      <s:c r="C32" s="0" t="n">
        <s:v>112912</s:v>
      </s:c>
      <s:c r="D32" s="0" t="n">
        <s:v>464</s:v>
      </s:c>
      <s:c r="F32" s="24">
        <s:f>'자료구성'!$B$2+TIME(INT($C$3/10000),INT(MOD($C$3,10000)/100),MOD($C$3,100))+(ROW()-ROW($C$3))/86400</s:f>
        <s:v>46247.478946759256</s:v>
      </s:c>
    </s:row>
    <s:row r="33">
      <s:c r="A33" s="0" t="n">
        <s:v>260813</s:v>
      </s:c>
      <s:c r="B33" s="0" t="inlineStr">
        <s:is>
          <s:t>이종훈</s:t>
        </s:is>
      </s:c>
      <s:c r="C33" s="0" t="n">
        <s:v>112912</s:v>
      </s:c>
      <s:c r="D33" s="0" t="n">
        <s:v>480</s:v>
      </s:c>
      <s:c r="F33" s="24">
        <s:f>'자료구성'!$B$2+TIME(INT($C$3/10000),INT(MOD($C$3,10000)/100),MOD($C$3,100))+(ROW()-ROW($C$3))/86400</s:f>
        <s:v>46247.47895833333</s:v>
      </s:c>
    </s:row>
    <s:row r="34">
      <s:c r="A34" s="0" t="n">
        <s:v>260813</s:v>
      </s:c>
      <s:c r="B34" s="0" t="inlineStr">
        <s:is>
          <s:t>이종훈</s:t>
        </s:is>
      </s:c>
      <s:c r="C34" s="0" t="n">
        <s:v>112912</s:v>
      </s:c>
      <s:c r="D34" s="0" t="n">
        <s:v>500</s:v>
      </s:c>
      <s:c r="F34" s="24">
        <s:f>'자료구성'!$B$2+TIME(INT($C$3/10000),INT(MOD($C$3,10000)/100),MOD($C$3,100))+(ROW()-ROW($C$3))/86400</s:f>
        <s:v>46247.47896990741</s:v>
      </s:c>
    </s:row>
    <s:row r="35">
      <s:c r="A35" s="0" t="n">
        <s:v>260813</s:v>
      </s:c>
      <s:c r="B35" s="0" t="inlineStr">
        <s:is>
          <s:t>이종훈</s:t>
        </s:is>
      </s:c>
      <s:c r="C35" s="0" t="n">
        <s:v>112912</s:v>
      </s:c>
      <s:c r="D35" s="0" t="n">
        <s:v>527</s:v>
      </s:c>
      <s:c r="F35" s="24">
        <s:f>'자료구성'!$B$2+TIME(INT($C$3/10000),INT(MOD($C$3,10000)/100),MOD($C$3,100))+(ROW()-ROW($C$3))/86400</s:f>
        <s:v>46247.47898148148</s:v>
      </s:c>
    </s:row>
    <s:row r="36">
      <s:c r="A36" s="0" t="n">
        <s:v>260813</s:v>
      </s:c>
      <s:c r="B36" s="0" t="inlineStr">
        <s:is>
          <s:t>이종훈</s:t>
        </s:is>
      </s:c>
      <s:c r="C36" s="0" t="n">
        <s:v>112912</s:v>
      </s:c>
      <s:c r="D36" s="0" t="n">
        <s:v>562</s:v>
      </s:c>
      <s:c r="F36" s="24">
        <s:f>'자료구성'!$B$2+TIME(INT($C$3/10000),INT(MOD($C$3,10000)/100),MOD($C$3,100))+(ROW()-ROW($C$3))/86400</s:f>
        <s:v>46247.478993055556</s:v>
      </s:c>
    </s:row>
    <s:row r="37">
      <s:c r="A37" s="0" t="n">
        <s:v>260813</s:v>
      </s:c>
      <s:c r="B37" s="0" t="inlineStr">
        <s:is>
          <s:t>이종훈</s:t>
        </s:is>
      </s:c>
      <s:c r="C37" s="0" t="n">
        <s:v>112912</s:v>
      </s:c>
      <s:c r="D37" s="0" t="n">
        <s:v>573</s:v>
      </s:c>
      <s:c r="F37" s="24">
        <s:f>'자료구성'!$B$2+TIME(INT($C$3/10000),INT(MOD($C$3,10000)/100),MOD($C$3,100))+(ROW()-ROW($C$3))/86400</s:f>
        <s:v>46247.47900462963</s:v>
      </s:c>
    </s:row>
    <s:row r="38">
      <s:c r="A38" s="0" t="n">
        <s:v>260813</s:v>
      </s:c>
      <s:c r="B38" s="0" t="inlineStr">
        <s:is>
          <s:t>이종훈</s:t>
        </s:is>
      </s:c>
      <s:c r="C38" s="0" t="n">
        <s:v>112912</s:v>
      </s:c>
      <s:c r="D38" s="0" t="n">
        <s:v>587</s:v>
      </s:c>
      <s:c r="F38" s="24">
        <s:f>'자료구성'!$B$2+TIME(INT($C$3/10000),INT(MOD($C$3,10000)/100),MOD($C$3,100))+(ROW()-ROW($C$3))/86400</s:f>
        <s:v>46247.4790162037</s:v>
      </s:c>
    </s:row>
    <s:row r="39">
      <s:c r="A39" s="0" t="n">
        <s:v>260813</s:v>
      </s:c>
      <s:c r="B39" s="0" t="inlineStr">
        <s:is>
          <s:t>이종훈</s:t>
        </s:is>
      </s:c>
      <s:c r="C39" s="0" t="n">
        <s:v>112912</s:v>
      </s:c>
      <s:c r="D39" s="0" t="n">
        <s:v>590</s:v>
      </s:c>
      <s:c r="F39" s="24">
        <s:f>'자료구성'!$B$2+TIME(INT($C$3/10000),INT(MOD($C$3,10000)/100),MOD($C$3,100))+(ROW()-ROW($C$3))/86400</s:f>
        <s:v>46247.47902777778</s:v>
      </s:c>
    </s:row>
    <s:row r="40">
      <s:c r="A40" s="0" t="n">
        <s:v>260813</s:v>
      </s:c>
      <s:c r="B40" s="0" t="inlineStr">
        <s:is>
          <s:t>이종훈</s:t>
        </s:is>
      </s:c>
      <s:c r="C40" s="0" t="n">
        <s:v>112912</s:v>
      </s:c>
      <s:c r="D40" s="0" t="n">
        <s:v>585</s:v>
      </s:c>
      <s:c r="F40" s="24">
        <s:f>'자료구성'!$B$2+TIME(INT($C$3/10000),INT(MOD($C$3,10000)/100),MOD($C$3,100))+(ROW()-ROW($C$3))/86400</s:f>
        <s:v>46247.47903935185</s:v>
      </s:c>
    </s:row>
    <s:row r="41">
      <s:c r="A41" s="0" t="n">
        <s:v>260813</s:v>
      </s:c>
      <s:c r="B41" s="0" t="inlineStr">
        <s:is>
          <s:t>이종훈</s:t>
        </s:is>
      </s:c>
      <s:c r="C41" s="0" t="n">
        <s:v>112912</s:v>
      </s:c>
      <s:c r="D41" s="0" t="n">
        <s:v>587</s:v>
      </s:c>
      <s:c r="F41" s="24">
        <s:f>'자료구성'!$B$2+TIME(INT($C$3/10000),INT(MOD($C$3,10000)/100),MOD($C$3,100))+(ROW()-ROW($C$3))/86400</s:f>
        <s:v>46247.479050925926</s:v>
      </s:c>
    </s:row>
    <s:row r="42">
      <s:c r="A42" s="0" t="n">
        <s:v>260813</s:v>
      </s:c>
      <s:c r="B42" s="0" t="inlineStr">
        <s:is>
          <s:t>이종훈</s:t>
        </s:is>
      </s:c>
      <s:c r="C42" s="0" t="n">
        <s:v>112912</s:v>
      </s:c>
      <s:c r="D42" s="0" t="n">
        <s:v>580</s:v>
      </s:c>
      <s:c r="F42" s="24">
        <s:f>'자료구성'!$B$2+TIME(INT($C$3/10000),INT(MOD($C$3,10000)/100),MOD($C$3,100))+(ROW()-ROW($C$3))/86400</s:f>
        <s:v>46247.4790625</s:v>
      </s:c>
    </s:row>
    <s:row r="43">
      <s:c r="A43" s="0" t="n">
        <s:v>260813</s:v>
      </s:c>
      <s:c r="B43" s="0" t="inlineStr">
        <s:is>
          <s:t>이종훈</s:t>
        </s:is>
      </s:c>
      <s:c r="C43" s="0" t="n">
        <s:v>112912</s:v>
      </s:c>
      <s:c r="D43" s="0" t="n">
        <s:v>594</s:v>
      </s:c>
      <s:c r="F43" s="24">
        <s:f>'자료구성'!$B$2+TIME(INT($C$3/10000),INT(MOD($C$3,10000)/100),MOD($C$3,100))+(ROW()-ROW($C$3))/86400</s:f>
        <s:v>46247.47907407407</s:v>
      </s:c>
    </s:row>
    <s:row r="44">
      <s:c r="A44" s="0" t="n">
        <s:v>260813</s:v>
      </s:c>
      <s:c r="B44" s="0" t="inlineStr">
        <s:is>
          <s:t>이종훈</s:t>
        </s:is>
      </s:c>
      <s:c r="C44" s="0" t="n">
        <s:v>112912</s:v>
      </s:c>
      <s:c r="D44" s="0" t="n">
        <s:v>596</s:v>
      </s:c>
      <s:c r="F44" s="24">
        <s:f>'자료구성'!$B$2+TIME(INT($C$3/10000),INT(MOD($C$3,10000)/100),MOD($C$3,100))+(ROW()-ROW($C$3))/86400</s:f>
        <s:v>46247.47908564815</s:v>
      </s:c>
    </s:row>
    <s:row r="45">
      <s:c r="A45" s="0" t="n">
        <s:v>260813</s:v>
      </s:c>
      <s:c r="B45" s="0" t="inlineStr">
        <s:is>
          <s:t>이종훈</s:t>
        </s:is>
      </s:c>
      <s:c r="C45" s="0" t="n">
        <s:v>112912</s:v>
      </s:c>
      <s:c r="D45" s="0" t="n">
        <s:v>600</s:v>
      </s:c>
      <s:c r="F45" s="24">
        <s:f>'자료구성'!$B$2+TIME(INT($C$3/10000),INT(MOD($C$3,10000)/100),MOD($C$3,100))+(ROW()-ROW($C$3))/86400</s:f>
        <s:v>46247.479097222225</s:v>
      </s:c>
    </s:row>
    <s:row r="46">
      <s:c r="A46" s="0" t="n">
        <s:v>260813</s:v>
      </s:c>
      <s:c r="B46" s="0" t="inlineStr">
        <s:is>
          <s:t>이종훈</s:t>
        </s:is>
      </s:c>
      <s:c r="C46" s="0" t="n">
        <s:v>112912</s:v>
      </s:c>
      <s:c r="D46" s="0" t="n">
        <s:v>659</s:v>
      </s:c>
      <s:c r="F46" s="24">
        <s:f>'자료구성'!$B$2+TIME(INT($C$3/10000),INT(MOD($C$3,10000)/100),MOD($C$3,100))+(ROW()-ROW($C$3))/86400</s:f>
        <s:v>46247.479108796295</s:v>
      </s:c>
    </s:row>
    <s:row r="47">
      <s:c r="A47" s="0" t="n">
        <s:v>260813</s:v>
      </s:c>
      <s:c r="B47" s="0" t="inlineStr">
        <s:is>
          <s:t>이종훈</s:t>
        </s:is>
      </s:c>
      <s:c r="C47" s="0" t="n">
        <s:v>112912</s:v>
      </s:c>
      <s:c r="D47" s="0" t="n">
        <s:v>704</s:v>
      </s:c>
      <s:c r="F47" s="24">
        <s:f>'자료구성'!$B$2+TIME(INT($C$3/10000),INT(MOD($C$3,10000)/100),MOD($C$3,100))+(ROW()-ROW($C$3))/86400</s:f>
        <s:v>46247.47912037037</s:v>
      </s:c>
    </s:row>
    <s:row r="48">
      <s:c r="A48" s="0" t="n">
        <s:v>260813</s:v>
      </s:c>
      <s:c r="B48" s="0" t="inlineStr">
        <s:is>
          <s:t>이종훈</s:t>
        </s:is>
      </s:c>
      <s:c r="C48" s="0" t="n">
        <s:v>112912</s:v>
      </s:c>
      <s:c r="D48" s="0" t="n">
        <s:v>707</s:v>
      </s:c>
      <s:c r="F48" s="24">
        <s:f>'자료구성'!$B$2+TIME(INT($C$3/10000),INT(MOD($C$3,10000)/100),MOD($C$3,100))+(ROW()-ROW($C$3))/86400</s:f>
        <s:v>46247.47913194444</s:v>
      </s:c>
    </s:row>
    <s:row r="49">
      <s:c r="A49" s="0" t="n">
        <s:v>260813</s:v>
      </s:c>
      <s:c r="B49" s="0" t="inlineStr">
        <s:is>
          <s:t>이종훈</s:t>
        </s:is>
      </s:c>
      <s:c r="C49" s="0" t="n">
        <s:v>112912</s:v>
      </s:c>
      <s:c r="D49" s="0" t="n">
        <s:v>718</s:v>
      </s:c>
      <s:c r="F49" s="24">
        <s:f>'자료구성'!$B$2+TIME(INT($C$3/10000),INT(MOD($C$3,10000)/100),MOD($C$3,100))+(ROW()-ROW($C$3))/86400</s:f>
        <s:v>46247.47914351852</s:v>
      </s:c>
    </s:row>
    <s:row r="50">
      <s:c r="A50" s="0" t="n">
        <s:v>260813</s:v>
      </s:c>
      <s:c r="B50" s="0" t="inlineStr">
        <s:is>
          <s:t>이종훈</s:t>
        </s:is>
      </s:c>
      <s:c r="C50" s="0" t="n">
        <s:v>112912</s:v>
      </s:c>
      <s:c r="D50" s="0" t="n">
        <s:v>729</s:v>
      </s:c>
      <s:c r="F50" s="24">
        <s:f>'자료구성'!$B$2+TIME(INT($C$3/10000),INT(MOD($C$3,10000)/100),MOD($C$3,100))+(ROW()-ROW($C$3))/86400</s:f>
        <s:v>46247.479155092595</s:v>
      </s:c>
    </s:row>
    <s:row r="51">
      <s:c r="A51" s="0" t="n">
        <s:v>260813</s:v>
      </s:c>
      <s:c r="B51" s="0" t="inlineStr">
        <s:is>
          <s:t>이종훈</s:t>
        </s:is>
      </s:c>
      <s:c r="C51" s="0" t="n">
        <s:v>112912</s:v>
      </s:c>
      <s:c r="D51" s="0" t="n">
        <s:v>766</s:v>
      </s:c>
      <s:c r="F51" s="24">
        <s:f>'자료구성'!$B$2+TIME(INT($C$3/10000),INT(MOD($C$3,10000)/100),MOD($C$3,100))+(ROW()-ROW($C$3))/86400</s:f>
        <s:v>46247.479166666664</s:v>
      </s:c>
    </s:row>
    <s:row r="52">
      <s:c r="A52" s="0" t="n">
        <s:v>260813</s:v>
      </s:c>
      <s:c r="B52" s="0" t="inlineStr">
        <s:is>
          <s:t>이종훈</s:t>
        </s:is>
      </s:c>
      <s:c r="C52" s="0" t="n">
        <s:v>112912</s:v>
      </s:c>
      <s:c r="D52" s="0" t="n">
        <s:v>836</s:v>
      </s:c>
      <s:c r="F52" s="24">
        <s:f>'자료구성'!$B$2+TIME(INT($C$3/10000),INT(MOD($C$3,10000)/100),MOD($C$3,100))+(ROW()-ROW($C$3))/86400</s:f>
        <s:v>46247.47917824074</s:v>
      </s:c>
    </s:row>
    <s:row r="53">
      <s:c r="A53" s="0" t="n">
        <s:v>260813</s:v>
      </s:c>
      <s:c r="B53" s="0" t="inlineStr">
        <s:is>
          <s:t>이종훈</s:t>
        </s:is>
      </s:c>
      <s:c r="C53" s="0" t="n">
        <s:v>112912</s:v>
      </s:c>
      <s:c r="D53" s="0" t="n">
        <s:v>908</s:v>
      </s:c>
      <s:c r="F53" s="24">
        <s:f>'자료구성'!$B$2+TIME(INT($C$3/10000),INT(MOD($C$3,10000)/100),MOD($C$3,100))+(ROW()-ROW($C$3))/86400</s:f>
        <s:v>46247.47918981482</s:v>
      </s:c>
    </s:row>
    <s:row r="54">
      <s:c r="A54" s="0" t="n">
        <s:v>260813</s:v>
      </s:c>
      <s:c r="B54" s="0" t="inlineStr">
        <s:is>
          <s:t>이종훈</s:t>
        </s:is>
      </s:c>
      <s:c r="C54" s="0" t="n">
        <s:v>112912</s:v>
      </s:c>
      <s:c r="D54" s="0" t="n">
        <s:v>939</s:v>
      </s:c>
      <s:c r="F54" s="24">
        <s:f>'자료구성'!$B$2+TIME(INT($C$3/10000),INT(MOD($C$3,10000)/100),MOD($C$3,100))+(ROW()-ROW($C$3))/86400</s:f>
        <s:v>46247.47920138889</s:v>
      </s:c>
    </s:row>
    <s:row r="55">
      <s:c r="A55" s="0" t="n">
        <s:v>260813</s:v>
      </s:c>
      <s:c r="B55" s="0" t="inlineStr">
        <s:is>
          <s:t>이종훈</s:t>
        </s:is>
      </s:c>
      <s:c r="C55" s="0" t="n">
        <s:v>112912</s:v>
      </s:c>
      <s:c r="D55" s="0" t="n">
        <s:v>935</s:v>
      </s:c>
      <s:c r="F55" s="24">
        <s:f>'자료구성'!$B$2+TIME(INT($C$3/10000),INT(MOD($C$3,10000)/100),MOD($C$3,100))+(ROW()-ROW($C$3))/86400</s:f>
        <s:v>46247.479212962964</s:v>
      </s:c>
    </s:row>
    <s:row r="56">
      <s:c r="A56" s="0" t="n">
        <s:v>260813</s:v>
      </s:c>
      <s:c r="B56" s="0" t="inlineStr">
        <s:is>
          <s:t>이종훈</s:t>
        </s:is>
      </s:c>
      <s:c r="C56" s="0" t="n">
        <s:v>112912</s:v>
      </s:c>
      <s:c r="D56" s="0" t="n">
        <s:v>936</s:v>
      </s:c>
      <s:c r="F56" s="24">
        <s:f>'자료구성'!$B$2+TIME(INT($C$3/10000),INT(MOD($C$3,10000)/100),MOD($C$3,100))+(ROW()-ROW($C$3))/86400</s:f>
        <s:v>46247.47922453703</s:v>
      </s:c>
    </s:row>
    <s:row r="57">
      <s:c r="A57" s="0" t="n">
        <s:v>260813</s:v>
      </s:c>
      <s:c r="B57" s="0" t="inlineStr">
        <s:is>
          <s:t>이종훈</s:t>
        </s:is>
      </s:c>
      <s:c r="C57" s="0" t="n">
        <s:v>112912</s:v>
      </s:c>
      <s:c r="D57" s="0" t="n">
        <s:v>945</s:v>
      </s:c>
      <s:c r="F57" s="24">
        <s:f>'자료구성'!$B$2+TIME(INT($C$3/10000),INT(MOD($C$3,10000)/100),MOD($C$3,100))+(ROW()-ROW($C$3))/86400</s:f>
        <s:v>46247.47923611111</s:v>
      </s:c>
    </s:row>
    <s:row r="58">
      <s:c r="A58" s="0" t="n">
        <s:v>260813</s:v>
      </s:c>
      <s:c r="B58" s="0" t="inlineStr">
        <s:is>
          <s:t>이종훈</s:t>
        </s:is>
      </s:c>
      <s:c r="C58" s="0" t="n">
        <s:v>112912</s:v>
      </s:c>
      <s:c r="D58" s="0" t="n">
        <s:v>982</s:v>
      </s:c>
      <s:c r="F58" s="24">
        <s:f>'자료구성'!$B$2+TIME(INT($C$3/10000),INT(MOD($C$3,10000)/100),MOD($C$3,100))+(ROW()-ROW($C$3))/86400</s:f>
        <s:v>46247.47924768519</s:v>
      </s:c>
    </s:row>
    <s:row r="59">
      <s:c r="A59" s="0" t="n">
        <s:v>260813</s:v>
      </s:c>
      <s:c r="B59" s="0" t="inlineStr">
        <s:is>
          <s:t>이종훈</s:t>
        </s:is>
      </s:c>
      <s:c r="C59" s="0" t="n">
        <s:v>112912</s:v>
      </s:c>
      <s:c r="D59" s="0" t="n">
        <s:v>19</s:v>
      </s:c>
      <s:c r="F59" s="24">
        <s:f>'자료구성'!$B$2+TIME(INT($C$3/10000),INT(MOD($C$3,10000)/100),MOD($C$3,100))+(ROW()-ROW($C$3))/86400</s:f>
        <s:v>46247.47925925926</s:v>
      </s:c>
    </s:row>
    <s:row r="60">
      <s:c r="A60" s="0" t="n">
        <s:v>260813</s:v>
      </s:c>
      <s:c r="B60" s="0" t="inlineStr">
        <s:is>
          <s:t>이종훈</s:t>
        </s:is>
      </s:c>
      <s:c r="C60" s="0" t="n">
        <s:v>112912</s:v>
      </s:c>
      <s:c r="D60" s="0" t="n">
        <s:v>24</s:v>
      </s:c>
      <s:c r="F60" s="24">
        <s:f>'자료구성'!$B$2+TIME(INT($C$3/10000),INT(MOD($C$3,10000)/100),MOD($C$3,100))+(ROW()-ROW($C$3))/86400</s:f>
        <s:v>46247.47927083333</s:v>
      </s:c>
    </s:row>
    <s:row r="61">
      <s:c r="A61" s="0" t="n">
        <s:v>260813</s:v>
      </s:c>
      <s:c r="B61" s="0" t="inlineStr">
        <s:is>
          <s:t>이종훈</s:t>
        </s:is>
      </s:c>
      <s:c r="C61" s="0" t="n">
        <s:v>112912</s:v>
      </s:c>
      <s:c r="D61" s="0" t="n">
        <s:v>99</s:v>
      </s:c>
      <s:c r="F61" s="24">
        <s:f>'자료구성'!$B$2+TIME(INT($C$3/10000),INT(MOD($C$3,10000)/100),MOD($C$3,100))+(ROW()-ROW($C$3))/86400</s:f>
        <s:v>46247.47928240741</s:v>
      </s:c>
    </s:row>
    <s:row r="62">
      <s:c r="A62" s="0" t="n">
        <s:v>260813</s:v>
      </s:c>
      <s:c r="B62" s="0" t="inlineStr">
        <s:is>
          <s:t>이종훈</s:t>
        </s:is>
      </s:c>
      <s:c r="C62" s="0" t="n">
        <s:v>112912</s:v>
      </s:c>
      <s:c r="D62" s="0" t="n">
        <s:v>120</s:v>
      </s:c>
      <s:c r="F62" s="24">
        <s:f>'자료구성'!$B$2+TIME(INT($C$3/10000),INT(MOD($C$3,10000)/100),MOD($C$3,100))+(ROW()-ROW($C$3))/86400</s:f>
        <s:v>46247.47929398148</s:v>
      </s:c>
    </s:row>
    <s:row r="63">
      <s:c r="A63" s="0" t="n">
        <s:v>260813</s:v>
      </s:c>
      <s:c r="B63" s="0" t="inlineStr">
        <s:is>
          <s:t>이종훈</s:t>
        </s:is>
      </s:c>
      <s:c r="C63" s="0" t="n">
        <s:v>112912</s:v>
      </s:c>
      <s:c r="D63" s="0" t="n">
        <s:v>137</s:v>
      </s:c>
      <s:c r="F63" s="24">
        <s:f>'자료구성'!$B$2+TIME(INT($C$3/10000),INT(MOD($C$3,10000)/100),MOD($C$3,100))+(ROW()-ROW($C$3))/86400</s:f>
        <s:v>46247.47930555556</s:v>
      </s:c>
    </s:row>
    <s:row r="64">
      <s:c r="A64" s="0" t="n">
        <s:v>260813</s:v>
      </s:c>
      <s:c r="B64" s="0" t="inlineStr">
        <s:is>
          <s:t>이종훈</s:t>
        </s:is>
      </s:c>
      <s:c r="C64" s="0" t="n">
        <s:v>112912</s:v>
      </s:c>
      <s:c r="D64" s="0" t="n">
        <s:v>115</s:v>
      </s:c>
      <s:c r="F64" s="24">
        <s:f>'자료구성'!$B$2+TIME(INT($C$3/10000),INT(MOD($C$3,10000)/100),MOD($C$3,100))+(ROW()-ROW($C$3))/86400</s:f>
        <s:v>46247.479317129626</s:v>
      </s:c>
    </s:row>
    <s:row r="65">
      <s:c r="A65" s="0" t="n">
        <s:v>260813</s:v>
      </s:c>
      <s:c r="B65" s="0" t="inlineStr">
        <s:is>
          <s:t>이종훈</s:t>
        </s:is>
      </s:c>
      <s:c r="C65" s="0" t="n">
        <s:v>112912</s:v>
      </s:c>
      <s:c r="D65" s="0" t="n">
        <s:v>37</s:v>
      </s:c>
      <s:c r="F65" s="24">
        <s:f>'자료구성'!$B$2+TIME(INT($C$3/10000),INT(MOD($C$3,10000)/100),MOD($C$3,100))+(ROW()-ROW($C$3))/86400</s:f>
        <s:v>46247.4793287037</s:v>
      </s:c>
    </s:row>
    <s:row r="66">
      <s:c r="A66" s="0" t="n">
        <s:v>260813</s:v>
      </s:c>
      <s:c r="B66" s="0" t="inlineStr">
        <s:is>
          <s:t>이종훈</s:t>
        </s:is>
      </s:c>
      <s:c r="C66" s="0" t="n">
        <s:v>112912</s:v>
      </s:c>
      <s:c r="D66" s="0" t="n">
        <s:v>986</s:v>
      </s:c>
      <s:c r="F66" s="24">
        <s:f>'자료구성'!$B$2+TIME(INT($C$3/10000),INT(MOD($C$3,10000)/100),MOD($C$3,100))+(ROW()-ROW($C$3))/86400</s:f>
        <s:v>46247.47934027778</s:v>
      </s:c>
    </s:row>
    <s:row r="67">
      <s:c r="A67" s="0" t="n">
        <s:v>260813</s:v>
      </s:c>
      <s:c r="B67" s="0" t="inlineStr">
        <s:is>
          <s:t>이종훈</s:t>
        </s:is>
      </s:c>
      <s:c r="C67" s="0" t="n">
        <s:v>112912</s:v>
      </s:c>
      <s:c r="D67" s="0" t="n">
        <s:v>955</s:v>
      </s:c>
      <s:c r="F67" s="24">
        <s:f>'자료구성'!$B$2+TIME(INT($C$3/10000),INT(MOD($C$3,10000)/100),MOD($C$3,100))+(ROW()-ROW($C$3))/86400</s:f>
        <s:v>46247.47935185185</s:v>
      </s:c>
    </s:row>
    <s:row r="68">
      <s:c r="A68" s="0" t="n">
        <s:v>260813</s:v>
      </s:c>
      <s:c r="B68" s="0" t="inlineStr">
        <s:is>
          <s:t>이종훈</s:t>
        </s:is>
      </s:c>
      <s:c r="C68" s="0" t="n">
        <s:v>112912</s:v>
      </s:c>
      <s:c r="D68" s="0" t="n">
        <s:v>915</s:v>
      </s:c>
      <s:c r="F68" s="24">
        <s:f>'자료구성'!$B$2+TIME(INT($C$3/10000),INT(MOD($C$3,10000)/100),MOD($C$3,100))+(ROW()-ROW($C$3))/86400</s:f>
        <s:v>46247.479363425926</s:v>
      </s:c>
    </s:row>
    <s:row r="69">
      <s:c r="A69" s="0" t="n">
        <s:v>260813</s:v>
      </s:c>
      <s:c r="B69" s="0" t="inlineStr">
        <s:is>
          <s:t>이종훈</s:t>
        </s:is>
      </s:c>
      <s:c r="C69" s="0" t="n">
        <s:v>112912</s:v>
      </s:c>
      <s:c r="D69" s="0" t="n">
        <s:v>874</s:v>
      </s:c>
      <s:c r="F69" s="24">
        <s:f>'자료구성'!$B$2+TIME(INT($C$3/10000),INT(MOD($C$3,10000)/100),MOD($C$3,100))+(ROW()-ROW($C$3))/86400</s:f>
        <s:v>46247.479375</s:v>
      </s:c>
    </s:row>
    <s:row r="70">
      <s:c r="A70" s="0" t="n">
        <s:v>260813</s:v>
      </s:c>
      <s:c r="B70" s="0" t="inlineStr">
        <s:is>
          <s:t>이종훈</s:t>
        </s:is>
      </s:c>
      <s:c r="C70" s="0" t="n">
        <s:v>112912</s:v>
      </s:c>
      <s:c r="D70" s="0" t="n">
        <s:v>846</s:v>
      </s:c>
      <s:c r="F70" s="24">
        <s:f>'자료구성'!$B$2+TIME(INT($C$3/10000),INT(MOD($C$3,10000)/100),MOD($C$3,100))+(ROW()-ROW($C$3))/86400</s:f>
        <s:v>46247.47938657407</s:v>
      </s:c>
    </s:row>
    <s:row r="71">
      <s:c r="A71" s="0" t="n">
        <s:v>260813</s:v>
      </s:c>
      <s:c r="B71" s="0" t="inlineStr">
        <s:is>
          <s:t>이종훈</s:t>
        </s:is>
      </s:c>
      <s:c r="C71" s="0" t="n">
        <s:v>112912</s:v>
      </s:c>
      <s:c r="D71" s="0" t="n">
        <s:v>854</s:v>
      </s:c>
      <s:c r="F71" s="24">
        <s:f>'자료구성'!$B$2+TIME(INT($C$3/10000),INT(MOD($C$3,10000)/100),MOD($C$3,100))+(ROW()-ROW($C$3))/86400</s:f>
        <s:v>46247.47939814815</s:v>
      </s:c>
    </s:row>
    <s:row r="72">
      <s:c r="A72" s="0" t="n">
        <s:v>260813</s:v>
      </s:c>
      <s:c r="B72" s="0" t="inlineStr">
        <s:is>
          <s:t>이종훈</s:t>
        </s:is>
      </s:c>
      <s:c r="C72" s="0" t="n">
        <s:v>112912</s:v>
      </s:c>
      <s:c r="D72" s="0" t="n">
        <s:v>845</s:v>
      </s:c>
      <s:c r="F72" s="24">
        <s:f>'자료구성'!$B$2+TIME(INT($C$3/10000),INT(MOD($C$3,10000)/100),MOD($C$3,100))+(ROW()-ROW($C$3))/86400</s:f>
        <s:v>46247.479409722226</s:v>
      </s:c>
    </s:row>
    <s:row r="73">
      <s:c r="A73" s="0" t="n">
        <s:v>260813</s:v>
      </s:c>
      <s:c r="B73" s="0" t="inlineStr">
        <s:is>
          <s:t>이종훈</s:t>
        </s:is>
      </s:c>
      <s:c r="C73" s="0" t="n">
        <s:v>112912</s:v>
      </s:c>
      <s:c r="D73" s="0" t="n">
        <s:v>828</s:v>
      </s:c>
      <s:c r="F73" s="24">
        <s:f>'자료구성'!$B$2+TIME(INT($C$3/10000),INT(MOD($C$3,10000)/100),MOD($C$3,100))+(ROW()-ROW($C$3))/86400</s:f>
        <s:v>46247.479421296295</s:v>
      </s:c>
    </s:row>
    <s:row r="74">
      <s:c r="A74" s="0" t="n">
        <s:v>260813</s:v>
      </s:c>
      <s:c r="B74" s="0" t="inlineStr">
        <s:is>
          <s:t>이종훈</s:t>
        </s:is>
      </s:c>
      <s:c r="C74" s="0" t="n">
        <s:v>112912</s:v>
      </s:c>
      <s:c r="D74" s="0" t="n">
        <s:v>791</s:v>
      </s:c>
      <s:c r="F74" s="24">
        <s:f>'자료구성'!$B$2+TIME(INT($C$3/10000),INT(MOD($C$3,10000)/100),MOD($C$3,100))+(ROW()-ROW($C$3))/86400</s:f>
        <s:v>46247.47943287037</s:v>
      </s:c>
    </s:row>
    <s:row r="75">
      <s:c r="A75" s="0" t="n">
        <s:v>260813</s:v>
      </s:c>
      <s:c r="B75" s="0" t="inlineStr">
        <s:is>
          <s:t>이종훈</s:t>
        </s:is>
      </s:c>
      <s:c r="C75" s="0" t="n">
        <s:v>112912</s:v>
      </s:c>
      <s:c r="D75" s="0" t="n">
        <s:v>762</s:v>
      </s:c>
      <s:c r="F75" s="24">
        <s:f>'자료구성'!$B$2+TIME(INT($C$3/10000),INT(MOD($C$3,10000)/100),MOD($C$3,100))+(ROW()-ROW($C$3))/86400</s:f>
        <s:v>46247.47944444444</s:v>
      </s:c>
    </s:row>
    <s:row r="76">
      <s:c r="A76" s="0" t="n">
        <s:v>260813</s:v>
      </s:c>
      <s:c r="B76" s="0" t="inlineStr">
        <s:is>
          <s:t>이종훈</s:t>
        </s:is>
      </s:c>
      <s:c r="C76" s="0" t="n">
        <s:v>112912</s:v>
      </s:c>
      <s:c r="D76" s="0" t="n">
        <s:v>737</s:v>
      </s:c>
      <s:c r="F76" s="24">
        <s:f>'자료구성'!$B$2+TIME(INT($C$3/10000),INT(MOD($C$3,10000)/100),MOD($C$3,100))+(ROW()-ROW($C$3))/86400</s:f>
        <s:v>46247.47945601852</s:v>
      </s:c>
    </s:row>
    <s:row r="77">
      <s:c r="A77" s="0" t="n">
        <s:v>260813</s:v>
      </s:c>
      <s:c r="B77" s="0" t="inlineStr">
        <s:is>
          <s:t>이종훈</s:t>
        </s:is>
      </s:c>
      <s:c r="C77" s="0" t="n">
        <s:v>112912</s:v>
      </s:c>
      <s:c r="D77" s="0" t="n">
        <s:v>761</s:v>
      </s:c>
      <s:c r="F77" s="24">
        <s:f>'자료구성'!$B$2+TIME(INT($C$3/10000),INT(MOD($C$3,10000)/100),MOD($C$3,100))+(ROW()-ROW($C$3))/86400</s:f>
        <s:v>46247.479467592595</s:v>
      </s:c>
    </s:row>
    <s:row r="78">
      <s:c r="A78" s="0" t="n">
        <s:v>260813</s:v>
      </s:c>
      <s:c r="B78" s="0" t="inlineStr">
        <s:is>
          <s:t>이종훈</s:t>
        </s:is>
      </s:c>
      <s:c r="C78" s="0" t="n">
        <s:v>112912</s:v>
      </s:c>
      <s:c r="D78" s="0" t="n">
        <s:v>777</s:v>
      </s:c>
      <s:c r="F78" s="24">
        <s:f>'자료구성'!$B$2+TIME(INT($C$3/10000),INT(MOD($C$3,10000)/100),MOD($C$3,100))+(ROW()-ROW($C$3))/86400</s:f>
        <s:v>46247.479479166665</s:v>
      </s:c>
    </s:row>
    <s:row r="79">
      <s:c r="A79" s="0" t="n">
        <s:v>260813</s:v>
      </s:c>
      <s:c r="B79" s="0" t="inlineStr">
        <s:is>
          <s:t>이종훈</s:t>
        </s:is>
      </s:c>
      <s:c r="C79" s="0" t="n">
        <s:v>112912</s:v>
      </s:c>
      <s:c r="D79" s="0" t="n">
        <s:v>778</s:v>
      </s:c>
      <s:c r="F79" s="24">
        <s:f>'자료구성'!$B$2+TIME(INT($C$3/10000),INT(MOD($C$3,10000)/100),MOD($C$3,100))+(ROW()-ROW($C$3))/86400</s:f>
        <s:v>46247.47949074074</s:v>
      </s:c>
    </s:row>
    <s:row r="80">
      <s:c r="A80" s="0" t="n">
        <s:v>260813</s:v>
      </s:c>
      <s:c r="B80" s="0" t="inlineStr">
        <s:is>
          <s:t>이종훈</s:t>
        </s:is>
      </s:c>
      <s:c r="C80" s="0" t="n">
        <s:v>112912</s:v>
      </s:c>
      <s:c r="D80" s="0" t="n">
        <s:v>780</s:v>
      </s:c>
      <s:c r="F80" s="24">
        <s:f>'자료구성'!$B$2+TIME(INT($C$3/10000),INT(MOD($C$3,10000)/100),MOD($C$3,100))+(ROW()-ROW($C$3))/86400</s:f>
        <s:v>46247.47950231482</s:v>
      </s:c>
    </s:row>
    <s:row r="81">
      <s:c r="A81" s="0" t="n">
        <s:v>260813</s:v>
      </s:c>
      <s:c r="B81" s="0" t="inlineStr">
        <s:is>
          <s:t>이종훈</s:t>
        </s:is>
      </s:c>
      <s:c r="C81" s="0" t="n">
        <s:v>112912</s:v>
      </s:c>
      <s:c r="D81" s="0" t="n">
        <s:v>746</s:v>
      </s:c>
      <s:c r="F81" s="24">
        <s:f>'자료구성'!$B$2+TIME(INT($C$3/10000),INT(MOD($C$3,10000)/100),MOD($C$3,100))+(ROW()-ROW($C$3))/86400</s:f>
        <s:v>46247.47951388889</s:v>
      </s:c>
    </s:row>
    <s:row r="82">
      <s:c r="A82" s="0" t="n">
        <s:v>260813</s:v>
      </s:c>
      <s:c r="B82" s="0" t="inlineStr">
        <s:is>
          <s:t>이종훈</s:t>
        </s:is>
      </s:c>
      <s:c r="C82" s="0" t="n">
        <s:v>112912</s:v>
      </s:c>
      <s:c r="D82" s="0" t="n">
        <s:v>697</s:v>
      </s:c>
      <s:c r="F82" s="24">
        <s:f>'자료구성'!$B$2+TIME(INT($C$3/10000),INT(MOD($C$3,10000)/100),MOD($C$3,100))+(ROW()-ROW($C$3))/86400</s:f>
        <s:v>46247.479525462964</s:v>
      </s:c>
    </s:row>
    <s:row r="83">
      <s:c r="A83" s="0" t="n">
        <s:v>260813</s:v>
      </s:c>
      <s:c r="B83" s="0" t="inlineStr">
        <s:is>
          <s:t>이종훈</s:t>
        </s:is>
      </s:c>
      <s:c r="C83" s="0" t="n">
        <s:v>112912</s:v>
      </s:c>
      <s:c r="D83" s="0" t="n">
        <s:v>680</s:v>
      </s:c>
      <s:c r="F83" s="24">
        <s:f>'자료구성'!$B$2+TIME(INT($C$3/10000),INT(MOD($C$3,10000)/100),MOD($C$3,100))+(ROW()-ROW($C$3))/86400</s:f>
        <s:v>46247.479537037034</s:v>
      </s:c>
    </s:row>
    <s:row r="84">
      <s:c r="A84" s="0" t="n">
        <s:v>260813</s:v>
      </s:c>
      <s:c r="B84" s="0" t="inlineStr">
        <s:is>
          <s:t>이종훈</s:t>
        </s:is>
      </s:c>
      <s:c r="C84" s="0" t="n">
        <s:v>112912</s:v>
      </s:c>
      <s:c r="D84" s="0" t="n">
        <s:v>683</s:v>
      </s:c>
      <s:c r="F84" s="24">
        <s:f>'자료구성'!$B$2+TIME(INT($C$3/10000),INT(MOD($C$3,10000)/100),MOD($C$3,100))+(ROW()-ROW($C$3))/86400</s:f>
        <s:v>46247.47954861111</s:v>
      </s:c>
    </s:row>
    <s:row r="85">
      <s:c r="A85" s="0" t="n">
        <s:v>260813</s:v>
      </s:c>
      <s:c r="B85" s="0" t="inlineStr">
        <s:is>
          <s:t>이종훈</s:t>
        </s:is>
      </s:c>
      <s:c r="C85" s="0" t="n">
        <s:v>112912</s:v>
      </s:c>
      <s:c r="D85" s="0" t="n">
        <s:v>670</s:v>
      </s:c>
      <s:c r="F85" s="24">
        <s:f>'자료구성'!$B$2+TIME(INT($C$3/10000),INT(MOD($C$3,10000)/100),MOD($C$3,100))+(ROW()-ROW($C$3))/86400</s:f>
        <s:v>46247.47956018519</s:v>
      </s:c>
    </s:row>
    <s:row r="86">
      <s:c r="A86" s="0" t="n">
        <s:v>260813</s:v>
      </s:c>
      <s:c r="B86" s="0" t="inlineStr">
        <s:is>
          <s:t>이종훈</s:t>
        </s:is>
      </s:c>
      <s:c r="C86" s="0" t="n">
        <s:v>112912</s:v>
      </s:c>
      <s:c r="D86" s="0" t="n">
        <s:v>657</s:v>
      </s:c>
      <s:c r="F86" s="24">
        <s:f>'자료구성'!$B$2+TIME(INT($C$3/10000),INT(MOD($C$3,10000)/100),MOD($C$3,100))+(ROW()-ROW($C$3))/86400</s:f>
        <s:v>46247.47957175926</s:v>
      </s:c>
    </s:row>
    <s:row r="87">
      <s:c r="A87" s="0" t="n">
        <s:v>260813</s:v>
      </s:c>
      <s:c r="B87" s="0" t="inlineStr">
        <s:is>
          <s:t>이종훈</s:t>
        </s:is>
      </s:c>
      <s:c r="C87" s="0" t="n">
        <s:v>112912</s:v>
      </s:c>
      <s:c r="D87" s="0" t="n">
        <s:v>653</s:v>
      </s:c>
      <s:c r="F87" s="24">
        <s:f>'자료구성'!$B$2+TIME(INT($C$3/10000),INT(MOD($C$3,10000)/100),MOD($C$3,100))+(ROW()-ROW($C$3))/86400</s:f>
        <s:v>46247.479583333334</s:v>
      </s:c>
    </s:row>
    <s:row r="88">
      <s:c r="A88" s="0" t="n">
        <s:v>260813</s:v>
      </s:c>
      <s:c r="B88" s="0" t="inlineStr">
        <s:is>
          <s:t>이종훈</s:t>
        </s:is>
      </s:c>
      <s:c r="C88" s="0" t="n">
        <s:v>112912</s:v>
      </s:c>
      <s:c r="D88" s="0" t="n">
        <s:v>658</s:v>
      </s:c>
      <s:c r="F88" s="24">
        <s:f>'자료구성'!$B$2+TIME(INT($C$3/10000),INT(MOD($C$3,10000)/100),MOD($C$3,100))+(ROW()-ROW($C$3))/86400</s:f>
        <s:v>46247.47959490741</s:v>
      </s:c>
    </s:row>
    <s:row r="89">
      <s:c r="A89" s="0" t="n">
        <s:v>260813</s:v>
      </s:c>
      <s:c r="B89" s="0" t="inlineStr">
        <s:is>
          <s:t>이종훈</s:t>
        </s:is>
      </s:c>
      <s:c r="C89" s="0" t="n">
        <s:v>112912</s:v>
      </s:c>
      <s:c r="D89" s="0" t="n">
        <s:v>648</s:v>
      </s:c>
      <s:c r="F89" s="24">
        <s:f>'자료구성'!$B$2+TIME(INT($C$3/10000),INT(MOD($C$3,10000)/100),MOD($C$3,100))+(ROW()-ROW($C$3))/86400</s:f>
        <s:v>46247.47960648148</s:v>
      </s:c>
    </s:row>
    <s:row r="90">
      <s:c r="A90" s="0" t="n">
        <s:v>260813</s:v>
      </s:c>
      <s:c r="B90" s="0" t="inlineStr">
        <s:is>
          <s:t>이종훈</s:t>
        </s:is>
      </s:c>
      <s:c r="C90" s="0" t="n">
        <s:v>112912</s:v>
      </s:c>
      <s:c r="D90" s="0" t="n">
        <s:v>649</s:v>
      </s:c>
      <s:c r="F90" s="24">
        <s:f>'자료구성'!$B$2+TIME(INT($C$3/10000),INT(MOD($C$3,10000)/100),MOD($C$3,100))+(ROW()-ROW($C$3))/86400</s:f>
        <s:v>46247.47961805556</s:v>
      </s:c>
    </s:row>
    <s:row r="91">
      <s:c r="A91" s="0" t="n">
        <s:v>260813</s:v>
      </s:c>
      <s:c r="B91" s="0" t="inlineStr">
        <s:is>
          <s:t>이종훈</s:t>
        </s:is>
      </s:c>
      <s:c r="C91" s="0" t="n">
        <s:v>112912</s:v>
      </s:c>
      <s:c r="D91" s="0" t="n">
        <s:v>643</s:v>
      </s:c>
      <s:c r="F91" s="24">
        <s:f>'자료구성'!$B$2+TIME(INT($C$3/10000),INT(MOD($C$3,10000)/100),MOD($C$3,100))+(ROW()-ROW($C$3))/86400</s:f>
        <s:v>46247.479629629626</s:v>
      </s:c>
    </s:row>
    <s:row r="92">
      <s:c r="A92" s="0" t="n">
        <s:v>260813</s:v>
      </s:c>
      <s:c r="B92" s="0" t="inlineStr">
        <s:is>
          <s:t>이종훈</s:t>
        </s:is>
      </s:c>
      <s:c r="C92" s="0" t="n">
        <s:v>112912</s:v>
      </s:c>
      <s:c r="D92" s="0" t="n">
        <s:v>634</s:v>
      </s:c>
      <s:c r="F92" s="24">
        <s:f>'자료구성'!$B$2+TIME(INT($C$3/10000),INT(MOD($C$3,10000)/100),MOD($C$3,100))+(ROW()-ROW($C$3))/86400</s:f>
        <s:v>46247.4796412037</s:v>
      </s:c>
    </s:row>
    <s:row r="93">
      <s:c r="A93" s="0" t="n">
        <s:v>260813</s:v>
      </s:c>
      <s:c r="B93" s="0" t="inlineStr">
        <s:is>
          <s:t>이종훈</s:t>
        </s:is>
      </s:c>
      <s:c r="C93" s="0" t="n">
        <s:v>112912</s:v>
      </s:c>
      <s:c r="D93" s="0" t="n">
        <s:v>647</s:v>
      </s:c>
      <s:c r="F93" s="24">
        <s:f>'자료구성'!$B$2+TIME(INT($C$3/10000),INT(MOD($C$3,10000)/100),MOD($C$3,100))+(ROW()-ROW($C$3))/86400</s:f>
        <s:v>46247.47965277778</s:v>
      </s:c>
    </s:row>
    <s:row r="94">
      <s:c r="A94" s="0" t="n">
        <s:v>260813</s:v>
      </s:c>
      <s:c r="B94" s="0" t="inlineStr">
        <s:is>
          <s:t>이종훈</s:t>
        </s:is>
      </s:c>
      <s:c r="C94" s="0" t="n">
        <s:v>112912</s:v>
      </s:c>
      <s:c r="D94" s="0" t="n">
        <s:v>632</s:v>
      </s:c>
      <s:c r="F94" s="24">
        <s:f>'자료구성'!$B$2+TIME(INT($C$3/10000),INT(MOD($C$3,10000)/100),MOD($C$3,100))+(ROW()-ROW($C$3))/86400</s:f>
        <s:v>46247.47966435185</s:v>
      </s:c>
    </s:row>
    <s:row r="95">
      <s:c r="A95" s="0" t="n">
        <s:v>260813</s:v>
      </s:c>
      <s:c r="B95" s="0" t="inlineStr">
        <s:is>
          <s:t>이종훈</s:t>
        </s:is>
      </s:c>
      <s:c r="C95" s="0" t="n">
        <s:v>112912</s:v>
      </s:c>
      <s:c r="D95" s="0" t="n">
        <s:v>608</s:v>
      </s:c>
      <s:c r="F95" s="24">
        <s:f>'자료구성'!$B$2+TIME(INT($C$3/10000),INT(MOD($C$3,10000)/100),MOD($C$3,100))+(ROW()-ROW($C$3))/86400</s:f>
        <s:v>46247.479675925926</s:v>
      </s:c>
    </s:row>
    <s:row r="96">
      <s:c r="A96" s="0" t="n">
        <s:v>260813</s:v>
      </s:c>
      <s:c r="B96" s="0" t="inlineStr">
        <s:is>
          <s:t>이종훈</s:t>
        </s:is>
      </s:c>
      <s:c r="C96" s="0" t="n">
        <s:v>112912</s:v>
      </s:c>
      <s:c r="D96" s="0" t="n">
        <s:v>598</s:v>
      </s:c>
      <s:c r="F96" s="24">
        <s:f>'자료구성'!$B$2+TIME(INT($C$3/10000),INT(MOD($C$3,10000)/100),MOD($C$3,100))+(ROW()-ROW($C$3))/86400</s:f>
        <s:v>46247.4796875</s:v>
      </s:c>
    </s:row>
    <s:row r="97">
      <s:c r="A97" s="0" t="n">
        <s:v>260813</s:v>
      </s:c>
      <s:c r="B97" s="0" t="inlineStr">
        <s:is>
          <s:t>이종훈</s:t>
        </s:is>
      </s:c>
      <s:c r="C97" s="0" t="n">
        <s:v>112912</s:v>
      </s:c>
      <s:c r="D97" s="0" t="n">
        <s:v>590</s:v>
      </s:c>
      <s:c r="F97" s="24">
        <s:f>'자료구성'!$B$2+TIME(INT($C$3/10000),INT(MOD($C$3,10000)/100),MOD($C$3,100))+(ROW()-ROW($C$3))/86400</s:f>
        <s:v>46247.47969907407</s:v>
      </s:c>
    </s:row>
    <s:row r="98">
      <s:c r="A98" s="0" t="n">
        <s:v>260813</s:v>
      </s:c>
      <s:c r="B98" s="0" t="inlineStr">
        <s:is>
          <s:t>이종훈</s:t>
        </s:is>
      </s:c>
      <s:c r="C98" s="0" t="n">
        <s:v>112912</s:v>
      </s:c>
      <s:c r="D98" s="0" t="n">
        <s:v>576</s:v>
      </s:c>
      <s:c r="F98" s="24">
        <s:f>'자료구성'!$B$2+TIME(INT($C$3/10000),INT(MOD($C$3,10000)/100),MOD($C$3,100))+(ROW()-ROW($C$3))/86400</s:f>
        <s:v>46247.47971064815</s:v>
      </s:c>
    </s:row>
    <s:row r="99">
      <s:c r="A99" s="0" t="n">
        <s:v>260813</s:v>
      </s:c>
      <s:c r="B99" s="0" t="inlineStr">
        <s:is>
          <s:t>이종훈</s:t>
        </s:is>
      </s:c>
      <s:c r="C99" s="0" t="n">
        <s:v>112912</s:v>
      </s:c>
      <s:c r="D99" s="0" t="n">
        <s:v>563</s:v>
      </s:c>
      <s:c r="F99" s="24">
        <s:f>'자료구성'!$B$2+TIME(INT($C$3/10000),INT(MOD($C$3,10000)/100),MOD($C$3,100))+(ROW()-ROW($C$3))/86400</s:f>
        <s:v>46247.47972222222</s:v>
      </s:c>
    </s:row>
    <s:row r="100">
      <s:c r="A100" s="0" t="n">
        <s:v>260813</s:v>
      </s:c>
      <s:c r="B100" s="0" t="inlineStr">
        <s:is>
          <s:t>이종훈</s:t>
        </s:is>
      </s:c>
      <s:c r="C100" s="0" t="n">
        <s:v>112912</s:v>
      </s:c>
      <s:c r="D100" s="0" t="n">
        <s:v>560</s:v>
      </s:c>
      <s:c r="F100" s="24">
        <s:f>'자료구성'!$B$2+TIME(INT($C$3/10000),INT(MOD($C$3,10000)/100),MOD($C$3,100))+(ROW()-ROW($C$3))/86400</s:f>
        <s:v>46247.479733796295</s:v>
      </s:c>
    </s:row>
    <s:row r="101">
      <s:c r="A101" s="0" t="n">
        <s:v>260813</s:v>
      </s:c>
      <s:c r="B101" s="0" t="inlineStr">
        <s:is>
          <s:t>이종훈</s:t>
        </s:is>
      </s:c>
      <s:c r="C101" s="0" t="n">
        <s:v>112912</s:v>
      </s:c>
      <s:c r="D101" s="0" t="n">
        <s:v>561</s:v>
      </s:c>
      <s:c r="F101" s="24">
        <s:f>'자료구성'!$B$2+TIME(INT($C$3/10000),INT(MOD($C$3,10000)/100),MOD($C$3,100))+(ROW()-ROW($C$3))/86400</s:f>
        <s:v>46247.47974537037</s:v>
      </s:c>
    </s:row>
    <s:row r="102">
      <s:c r="A102" s="0" t="n">
        <s:v>260813</s:v>
      </s:c>
      <s:c r="B102" s="0" t="inlineStr">
        <s:is>
          <s:t>이종훈</s:t>
        </s:is>
      </s:c>
      <s:c r="C102" s="0" t="n">
        <s:v>112912</s:v>
      </s:c>
      <s:c r="D102" s="0" t="n">
        <s:v>558</s:v>
      </s:c>
      <s:c r="F102" s="24">
        <s:f>'자료구성'!$B$2+TIME(INT($C$3/10000),INT(MOD($C$3,10000)/100),MOD($C$3,100))+(ROW()-ROW($C$3))/86400</s:f>
        <s:v>46247.47975694444</s:v>
      </s:c>
    </s:row>
    <s:row r="103">
      <s:c r="A103" s="0" t="n">
        <s:v>260813</s:v>
      </s:c>
      <s:c r="B103" s="0" t="inlineStr">
        <s:is>
          <s:t>이종훈</s:t>
        </s:is>
      </s:c>
      <s:c r="C103" s="0" t="n">
        <s:v>112912</s:v>
      </s:c>
      <s:c r="D103" s="0" t="n">
        <s:v>554</s:v>
      </s:c>
      <s:c r="F103" s="24">
        <s:f>'자료구성'!$B$2+TIME(INT($C$3/10000),INT(MOD($C$3,10000)/100),MOD($C$3,100))+(ROW()-ROW($C$3))/86400</s:f>
        <s:v>46247.47976851852</s:v>
      </s:c>
    </s:row>
    <s:row r="104">
      <s:c r="A104" s="0" t="n">
        <s:v>260813</s:v>
      </s:c>
      <s:c r="B104" s="0" t="inlineStr">
        <s:is>
          <s:t>이종훈</s:t>
        </s:is>
      </s:c>
      <s:c r="C104" s="0" t="n">
        <s:v>112912</s:v>
      </s:c>
      <s:c r="D104" s="0" t="n">
        <s:v>564</s:v>
      </s:c>
      <s:c r="F104" s="24">
        <s:f>'자료구성'!$B$2+TIME(INT($C$3/10000),INT(MOD($C$3,10000)/100),MOD($C$3,100))+(ROW()-ROW($C$3))/86400</s:f>
        <s:v>46247.479780092595</s:v>
      </s:c>
    </s:row>
    <s:row r="105">
      <s:c r="A105" s="0" t="n">
        <s:v>260813</s:v>
      </s:c>
      <s:c r="B105" s="0" t="inlineStr">
        <s:is>
          <s:t>이종훈</s:t>
        </s:is>
      </s:c>
      <s:c r="C105" s="0" t="n">
        <s:v>112912</s:v>
      </s:c>
      <s:c r="D105" s="0" t="n">
        <s:v>612</s:v>
      </s:c>
      <s:c r="F105" s="24">
        <s:f>'자료구성'!$B$2+TIME(INT($C$3/10000),INT(MOD($C$3,10000)/100),MOD($C$3,100))+(ROW()-ROW($C$3))/86400</s:f>
        <s:v>46247.479791666665</s:v>
      </s:c>
    </s:row>
    <s:row r="106">
      <s:c r="A106" s="0" t="n">
        <s:v>260813</s:v>
      </s:c>
      <s:c r="B106" s="0" t="inlineStr">
        <s:is>
          <s:t>이종훈</s:t>
        </s:is>
      </s:c>
      <s:c r="C106" s="0" t="n">
        <s:v>112912</s:v>
      </s:c>
      <s:c r="D106" s="0" t="n">
        <s:v>700</s:v>
      </s:c>
      <s:c r="F106" s="24">
        <s:f>'자료구성'!$B$2+TIME(INT($C$3/10000),INT(MOD($C$3,10000)/100),MOD($C$3,100))+(ROW()-ROW($C$3))/86400</s:f>
        <s:v>46247.47980324074</s:v>
      </s:c>
    </s:row>
    <s:row r="107">
      <s:c r="A107" s="0" t="n">
        <s:v>260813</s:v>
      </s:c>
      <s:c r="B107" s="0" t="inlineStr">
        <s:is>
          <s:t>이종훈</s:t>
        </s:is>
      </s:c>
      <s:c r="C107" s="0" t="n">
        <s:v>112912</s:v>
      </s:c>
      <s:c r="D107" s="0" t="n">
        <s:v>807</s:v>
      </s:c>
      <s:c r="F107" s="24">
        <s:f>'자료구성'!$B$2+TIME(INT($C$3/10000),INT(MOD($C$3,10000)/100),MOD($C$3,100))+(ROW()-ROW($C$3))/86400</s:f>
        <s:v>46247.47981481482</s:v>
      </s:c>
    </s:row>
    <s:row r="108">
      <s:c r="A108" s="0" t="n">
        <s:v>260813</s:v>
      </s:c>
      <s:c r="B108" s="0" t="inlineStr">
        <s:is>
          <s:t>이종훈</s:t>
        </s:is>
      </s:c>
      <s:c r="C108" s="0" t="n">
        <s:v>112912</s:v>
      </s:c>
      <s:c r="D108" s="0" t="n">
        <s:v>898</s:v>
      </s:c>
      <s:c r="F108" s="24">
        <s:f>'자료구성'!$B$2+TIME(INT($C$3/10000),INT(MOD($C$3,10000)/100),MOD($C$3,100))+(ROW()-ROW($C$3))/86400</s:f>
        <s:v>46247.47982638889</s:v>
      </s:c>
    </s:row>
    <s:row r="109">
      <s:c r="A109" s="0" t="n">
        <s:v>260813</s:v>
      </s:c>
      <s:c r="B109" s="0" t="inlineStr">
        <s:is>
          <s:t>이종훈</s:t>
        </s:is>
      </s:c>
      <s:c r="C109" s="0" t="n">
        <s:v>112912</s:v>
      </s:c>
      <s:c r="D109" s="0" t="n">
        <s:v>952</s:v>
      </s:c>
      <s:c r="F109" s="24">
        <s:f>'자료구성'!$B$2+TIME(INT($C$3/10000),INT(MOD($C$3,10000)/100),MOD($C$3,100))+(ROW()-ROW($C$3))/86400</s:f>
        <s:v>46247.479837962965</s:v>
      </s:c>
    </s:row>
    <s:row r="110">
      <s:c r="A110" s="0" t="n">
        <s:v>260813</s:v>
      </s:c>
      <s:c r="B110" s="0" t="inlineStr">
        <s:is>
          <s:t>이종훈</s:t>
        </s:is>
      </s:c>
      <s:c r="C110" s="0" t="n">
        <s:v>112912</s:v>
      </s:c>
      <s:c r="D110" s="0" t="n">
        <s:v>18</s:v>
      </s:c>
      <s:c r="F110" s="24">
        <s:f>'자료구성'!$B$2+TIME(INT($C$3/10000),INT(MOD($C$3,10000)/100),MOD($C$3,100))+(ROW()-ROW($C$3))/86400</s:f>
        <s:v>46247.479849537034</s:v>
      </s:c>
    </s:row>
    <s:row r="111">
      <s:c r="A111" s="0" t="n">
        <s:v>260813</s:v>
      </s:c>
      <s:c r="B111" s="0" t="inlineStr">
        <s:is>
          <s:t>이종훈</s:t>
        </s:is>
      </s:c>
      <s:c r="C111" s="0" t="n">
        <s:v>112912</s:v>
      </s:c>
      <s:c r="D111" s="0" t="n">
        <s:v>77</s:v>
      </s:c>
      <s:c r="F111" s="24">
        <s:f>'자료구성'!$B$2+TIME(INT($C$3/10000),INT(MOD($C$3,10000)/100),MOD($C$3,100))+(ROW()-ROW($C$3))/86400</s:f>
        <s:v>46247.47986111111</s:v>
      </s:c>
    </s:row>
    <s:row r="112">
      <s:c r="A112" s="0" t="n">
        <s:v>260813</s:v>
      </s:c>
      <s:c r="B112" s="0" t="inlineStr">
        <s:is>
          <s:t>이종훈</s:t>
        </s:is>
      </s:c>
      <s:c r="C112" s="0" t="n">
        <s:v>112912</s:v>
      </s:c>
      <s:c r="D112" s="0" t="n">
        <s:v>126</s:v>
      </s:c>
      <s:c r="F112" s="24">
        <s:f>'자료구성'!$B$2+TIME(INT($C$3/10000),INT(MOD($C$3,10000)/100),MOD($C$3,100))+(ROW()-ROW($C$3))/86400</s:f>
        <s:v>46247.47987268519</s:v>
      </s:c>
    </s:row>
    <s:row r="113">
      <s:c r="A113" s="0" t="n">
        <s:v>260813</s:v>
      </s:c>
      <s:c r="B113" s="0" t="inlineStr">
        <s:is>
          <s:t>이종훈</s:t>
        </s:is>
      </s:c>
      <s:c r="C113" s="0" t="n">
        <s:v>112912</s:v>
      </s:c>
      <s:c r="D113" s="0" t="n">
        <s:v>173</s:v>
      </s:c>
      <s:c r="F113" s="24">
        <s:f>'자료구성'!$B$2+TIME(INT($C$3/10000),INT(MOD($C$3,10000)/100),MOD($C$3,100))+(ROW()-ROW($C$3))/86400</s:f>
        <s:v>46247.47988425926</s:v>
      </s:c>
    </s:row>
    <s:row r="114">
      <s:c r="A114" s="0" t="n">
        <s:v>260813</s:v>
      </s:c>
      <s:c r="B114" s="0" t="inlineStr">
        <s:is>
          <s:t>이종훈</s:t>
        </s:is>
      </s:c>
      <s:c r="C114" s="0" t="n">
        <s:v>112912</s:v>
      </s:c>
      <s:c r="D114" s="0" t="n">
        <s:v>177</s:v>
      </s:c>
      <s:c r="F114" s="24">
        <s:f>'자료구성'!$B$2+TIME(INT($C$3/10000),INT(MOD($C$3,10000)/100),MOD($C$3,100))+(ROW()-ROW($C$3))/86400</s:f>
        <s:v>46247.479895833334</s:v>
      </s:c>
    </s:row>
    <s:row r="115">
      <s:c r="A115" s="0" t="n">
        <s:v>260813</s:v>
      </s:c>
      <s:c r="B115" s="0" t="inlineStr">
        <s:is>
          <s:t>이종훈</s:t>
        </s:is>
      </s:c>
      <s:c r="C115" s="0" t="n">
        <s:v>112912</s:v>
      </s:c>
      <s:c r="D115" s="0" t="n">
        <s:v>163</s:v>
      </s:c>
      <s:c r="F115" s="24">
        <s:f>'자료구성'!$B$2+TIME(INT($C$3/10000),INT(MOD($C$3,10000)/100),MOD($C$3,100))+(ROW()-ROW($C$3))/86400</s:f>
        <s:v>46247.47990740741</s:v>
      </s:c>
    </s:row>
    <s:row r="116">
      <s:c r="A116" s="0" t="n">
        <s:v>260813</s:v>
      </s:c>
      <s:c r="B116" s="0" t="inlineStr">
        <s:is>
          <s:t>이종훈</s:t>
        </s:is>
      </s:c>
      <s:c r="C116" s="0" t="n">
        <s:v>112912</s:v>
      </s:c>
      <s:c r="D116" s="0" t="n">
        <s:v>167</s:v>
      </s:c>
      <s:c r="F116" s="24">
        <s:f>'자료구성'!$B$2+TIME(INT($C$3/10000),INT(MOD($C$3,10000)/100),MOD($C$3,100))+(ROW()-ROW($C$3))/86400</s:f>
        <s:v>46247.47991898148</s:v>
      </s:c>
    </s:row>
    <s:row r="117">
      <s:c r="A117" s="0" t="n">
        <s:v>260813</s:v>
      </s:c>
      <s:c r="B117" s="0" t="inlineStr">
        <s:is>
          <s:t>이종훈</s:t>
        </s:is>
      </s:c>
      <s:c r="C117" s="0" t="n">
        <s:v>112912</s:v>
      </s:c>
      <s:c r="D117" s="0" t="n">
        <s:v>186</s:v>
      </s:c>
      <s:c r="F117" s="24">
        <s:f>'자료구성'!$B$2+TIME(INT($C$3/10000),INT(MOD($C$3,10000)/100),MOD($C$3,100))+(ROW()-ROW($C$3))/86400</s:f>
        <s:v>46247.47993055556</s:v>
      </s:c>
    </s:row>
    <s:row r="118">
      <s:c r="A118" s="0" t="n">
        <s:v>260813</s:v>
      </s:c>
      <s:c r="B118" s="0" t="inlineStr">
        <s:is>
          <s:t>이종훈</s:t>
        </s:is>
      </s:c>
      <s:c r="C118" s="0" t="n">
        <s:v>112912</s:v>
      </s:c>
      <s:c r="D118" s="0" t="n">
        <s:v>109</s:v>
      </s:c>
      <s:c r="F118" s="24">
        <s:f>'자료구성'!$B$2+TIME(INT($C$3/10000),INT(MOD($C$3,10000)/100),MOD($C$3,100))+(ROW()-ROW($C$3))/86400</s:f>
        <s:v>46247.47994212963</s:v>
      </s:c>
    </s:row>
    <s:row r="119">
      <s:c r="A119" s="0" t="n">
        <s:v>260813</s:v>
      </s:c>
      <s:c r="B119" s="0" t="inlineStr">
        <s:is>
          <s:t>이종훈</s:t>
        </s:is>
      </s:c>
      <s:c r="C119" s="0" t="n">
        <s:v>112912</s:v>
      </s:c>
      <s:c r="D119" s="0" t="n">
        <s:v>2</s:v>
      </s:c>
      <s:c r="F119" s="24">
        <s:f>'자료구성'!$B$2+TIME(INT($C$3/10000),INT(MOD($C$3,10000)/100),MOD($C$3,100))+(ROW()-ROW($C$3))/86400</s:f>
        <s:v>46247.4799537037</s:v>
      </s:c>
    </s:row>
    <s:row r="120">
      <s:c r="A120" s="0" t="n">
        <s:v>260813</s:v>
      </s:c>
      <s:c r="B120" s="0" t="inlineStr">
        <s:is>
          <s:t>이종훈</s:t>
        </s:is>
      </s:c>
      <s:c r="C120" s="0" t="n">
        <s:v>112912</s:v>
      </s:c>
      <s:c r="D120" s="0" t="n">
        <s:v>913</s:v>
      </s:c>
      <s:c r="F120" s="24">
        <s:f>'자료구성'!$B$2+TIME(INT($C$3/10000),INT(MOD($C$3,10000)/100),MOD($C$3,100))+(ROW()-ROW($C$3))/86400</s:f>
        <s:v>46247.47996527778</s:v>
      </s:c>
    </s:row>
    <s:row r="121">
      <s:c r="A121" s="0" t="n">
        <s:v>260813</s:v>
      </s:c>
      <s:c r="B121" s="0" t="inlineStr">
        <s:is>
          <s:t>이종훈</s:t>
        </s:is>
      </s:c>
      <s:c r="C121" s="0" t="n">
        <s:v>112912</s:v>
      </s:c>
      <s:c r="D121" s="0" t="n">
        <s:v>850</s:v>
      </s:c>
      <s:c r="F121" s="24">
        <s:f>'자료구성'!$B$2+TIME(INT($C$3/10000),INT(MOD($C$3,10000)/100),MOD($C$3,100))+(ROW()-ROW($C$3))/86400</s:f>
        <s:v>46247.47997685185</s:v>
      </s:c>
    </s:row>
    <s:row r="122">
      <s:c r="A122" s="0" t="n">
        <s:v>260813</s:v>
      </s:c>
      <s:c r="B122" s="0" t="inlineStr">
        <s:is>
          <s:t>이종훈</s:t>
        </s:is>
      </s:c>
      <s:c r="C122" s="0" t="n">
        <s:v>112912</s:v>
      </s:c>
      <s:c r="D122" s="0" t="n">
        <s:v>839</s:v>
      </s:c>
      <s:c r="F122" s="24">
        <s:f>'자료구성'!$B$2+TIME(INT($C$3/10000),INT(MOD($C$3,10000)/100),MOD($C$3,100))+(ROW()-ROW($C$3))/86400</s:f>
        <s:v>46247.47998842593</s:v>
      </s:c>
    </s:row>
    <s:row r="123">
      <s:c r="A123" s="0" t="n">
        <s:v>260813</s:v>
      </s:c>
      <s:c r="B123" s="0" t="inlineStr">
        <s:is>
          <s:t>이종훈</s:t>
        </s:is>
      </s:c>
      <s:c r="C123" s="0" t="n">
        <s:v>112912</s:v>
      </s:c>
      <s:c r="D123" s="0" t="n">
        <s:v>819</s:v>
      </s:c>
      <s:c r="F123" s="24">
        <s:f>'자료구성'!$B$2+TIME(INT($C$3/10000),INT(MOD($C$3,10000)/100),MOD($C$3,100))+(ROW()-ROW($C$3))/86400</s:f>
        <s:v>46247.48</s:v>
      </s:c>
    </s:row>
    <s:row r="124">
      <s:c r="A124" s="0" t="n">
        <s:v>260813</s:v>
      </s:c>
      <s:c r="B124" s="0" t="inlineStr">
        <s:is>
          <s:t>이종훈</s:t>
        </s:is>
      </s:c>
      <s:c r="C124" s="0" t="n">
        <s:v>112912</s:v>
      </s:c>
      <s:c r="D124" s="0" t="n">
        <s:v>830</s:v>
      </s:c>
      <s:c r="F124" s="24">
        <s:f>'자료구성'!$B$2+TIME(INT($C$3/10000),INT(MOD($C$3,10000)/100),MOD($C$3,100))+(ROW()-ROW($C$3))/86400</s:f>
        <s:v>46247.48001157407</s:v>
      </s:c>
    </s:row>
    <s:row r="125">
      <s:c r="A125" s="0" t="n">
        <s:v>260813</s:v>
      </s:c>
      <s:c r="B125" s="0" t="inlineStr">
        <s:is>
          <s:t>이종훈</s:t>
        </s:is>
      </s:c>
      <s:c r="C125" s="0" t="n">
        <s:v>112912</s:v>
      </s:c>
      <s:c r="D125" s="0" t="n">
        <s:v>801</s:v>
      </s:c>
      <s:c r="F125" s="24">
        <s:f>'자료구성'!$B$2+TIME(INT($C$3/10000),INT(MOD($C$3,10000)/100),MOD($C$3,100))+(ROW()-ROW($C$3))/86400</s:f>
        <s:v>46247.48002314815</s:v>
      </s:c>
    </s:row>
    <s:row r="126">
      <s:c r="A126" s="0" t="n">
        <s:v>260813</s:v>
      </s:c>
      <s:c r="B126" s="0" t="inlineStr">
        <s:is>
          <s:t>이종훈</s:t>
        </s:is>
      </s:c>
      <s:c r="C126" s="0" t="n">
        <s:v>112912</s:v>
      </s:c>
      <s:c r="D126" s="0" t="n">
        <s:v>756</s:v>
      </s:c>
      <s:c r="F126" s="24">
        <s:f>'자료구성'!$B$2+TIME(INT($C$3/10000),INT(MOD($C$3,10000)/100),MOD($C$3,100))+(ROW()-ROW($C$3))/86400</s:f>
        <s:v>46247.48003472222</s:v>
      </s:c>
    </s:row>
    <s:row r="127">
      <s:c r="A127" s="0" t="n">
        <s:v>260813</s:v>
      </s:c>
      <s:c r="B127" s="0" t="inlineStr">
        <s:is>
          <s:t>이종훈</s:t>
        </s:is>
      </s:c>
      <s:c r="C127" s="0" t="n">
        <s:v>112912</s:v>
      </s:c>
      <s:c r="D127" s="0" t="n">
        <s:v>733</s:v>
      </s:c>
      <s:c r="F127" s="24">
        <s:f>'자료구성'!$B$2+TIME(INT($C$3/10000),INT(MOD($C$3,10000)/100),MOD($C$3,100))+(ROW()-ROW($C$3))/86400</s:f>
        <s:v>46247.480046296296</s:v>
      </s:c>
    </s:row>
    <s:row r="128">
      <s:c r="A128" s="0" t="n">
        <s:v>260813</s:v>
      </s:c>
      <s:c r="B128" s="0" t="inlineStr">
        <s:is>
          <s:t>이종훈</s:t>
        </s:is>
      </s:c>
      <s:c r="C128" s="0" t="n">
        <s:v>112912</s:v>
      </s:c>
      <s:c r="D128" s="0" t="n">
        <s:v>715</s:v>
      </s:c>
      <s:c r="F128" s="24">
        <s:f>'자료구성'!$B$2+TIME(INT($C$3/10000),INT(MOD($C$3,10000)/100),MOD($C$3,100))+(ROW()-ROW($C$3))/86400</s:f>
        <s:v>46247.48005787037</s:v>
      </s:c>
    </s:row>
    <s:row r="129">
      <s:c r="A129" s="0" t="n">
        <s:v>260813</s:v>
      </s:c>
      <s:c r="B129" s="0" t="inlineStr">
        <s:is>
          <s:t>이종훈</s:t>
        </s:is>
      </s:c>
      <s:c r="C129" s="0" t="n">
        <s:v>112912</s:v>
      </s:c>
      <s:c r="D129" s="0" t="n">
        <s:v>699</s:v>
      </s:c>
      <s:c r="F129" s="24">
        <s:f>'자료구성'!$B$2+TIME(INT($C$3/10000),INT(MOD($C$3,10000)/100),MOD($C$3,100))+(ROW()-ROW($C$3))/86400</s:f>
        <s:v>46247.48006944444</s:v>
      </s:c>
    </s:row>
    <s:row r="130">
      <s:c r="A130" s="0" t="n">
        <s:v>260813</s:v>
      </s:c>
      <s:c r="B130" s="0" t="inlineStr">
        <s:is>
          <s:t>이종훈</s:t>
        </s:is>
      </s:c>
      <s:c r="C130" s="0" t="n">
        <s:v>112912</s:v>
      </s:c>
      <s:c r="D130" s="0" t="n">
        <s:v>711</s:v>
      </s:c>
      <s:c r="F130" s="24">
        <s:f>'자료구성'!$B$2+TIME(INT($C$3/10000),INT(MOD($C$3,10000)/100),MOD($C$3,100))+(ROW()-ROW($C$3))/86400</s:f>
        <s:v>46247.48008101852</s:v>
      </s:c>
    </s:row>
    <s:row r="131">
      <s:c r="A131" s="0" t="n">
        <s:v>260813</s:v>
      </s:c>
      <s:c r="B131" s="0" t="inlineStr">
        <s:is>
          <s:t>이종훈</s:t>
        </s:is>
      </s:c>
      <s:c r="C131" s="0" t="n">
        <s:v>112912</s:v>
      </s:c>
      <s:c r="D131" s="0" t="n">
        <s:v>801</s:v>
      </s:c>
      <s:c r="F131" s="24">
        <s:f>'자료구성'!$B$2+TIME(INT($C$3/10000),INT(MOD($C$3,10000)/100),MOD($C$3,100))+(ROW()-ROW($C$3))/86400</s:f>
        <s:v>46247.480092592596</s:v>
      </s:c>
    </s:row>
    <s:row r="132">
      <s:c r="A132" s="0" t="n">
        <s:v>260813</s:v>
      </s:c>
      <s:c r="B132" s="0" t="inlineStr">
        <s:is>
          <s:t>이종훈</s:t>
        </s:is>
      </s:c>
      <s:c r="C132" s="0" t="n">
        <s:v>112912</s:v>
      </s:c>
      <s:c r="D132" s="0" t="n">
        <s:v>878</s:v>
      </s:c>
      <s:c r="F132" s="24">
        <s:f>'자료구성'!$B$2+TIME(INT($C$3/10000),INT(MOD($C$3,10000)/100),MOD($C$3,100))+(ROW()-ROW($C$3))/86400</s:f>
        <s:v>46247.480104166665</s:v>
      </s:c>
    </s:row>
    <s:row r="133">
      <s:c r="A133" s="0" t="n">
        <s:v>260813</s:v>
      </s:c>
      <s:c r="B133" s="0" t="inlineStr">
        <s:is>
          <s:t>이종훈</s:t>
        </s:is>
      </s:c>
      <s:c r="C133" s="0" t="n">
        <s:v>112912</s:v>
      </s:c>
      <s:c r="D133" s="0" t="n">
        <s:v>914</s:v>
      </s:c>
      <s:c r="F133" s="24">
        <s:f>'자료구성'!$B$2+TIME(INT($C$3/10000),INT(MOD($C$3,10000)/100),MOD($C$3,100))+(ROW()-ROW($C$3))/86400</s:f>
        <s:v>46247.48011574074</s:v>
      </s:c>
    </s:row>
    <s:row r="134">
      <s:c r="A134" s="0" t="n">
        <s:v>260813</s:v>
      </s:c>
      <s:c r="B134" s="0" t="inlineStr">
        <s:is>
          <s:t>이종훈</s:t>
        </s:is>
      </s:c>
      <s:c r="C134" s="0" t="n">
        <s:v>112912</s:v>
      </s:c>
      <s:c r="D134" s="0" t="n">
        <s:v>904</s:v>
      </s:c>
      <s:c r="F134" s="24">
        <s:f>'자료구성'!$B$2+TIME(INT($C$3/10000),INT(MOD($C$3,10000)/100),MOD($C$3,100))+(ROW()-ROW($C$3))/86400</s:f>
        <s:v>46247.48012731481</s:v>
      </s:c>
    </s:row>
    <s:row r="135">
      <s:c r="A135" s="0" t="n">
        <s:v>260813</s:v>
      </s:c>
      <s:c r="B135" s="0" t="inlineStr">
        <s:is>
          <s:t>이종훈</s:t>
        </s:is>
      </s:c>
      <s:c r="C135" s="0" t="n">
        <s:v>112912</s:v>
      </s:c>
      <s:c r="D135" s="0" t="n">
        <s:v>802</s:v>
      </s:c>
      <s:c r="F135" s="24">
        <s:f>'자료구성'!$B$2+TIME(INT($C$3/10000),INT(MOD($C$3,10000)/100),MOD($C$3,100))+(ROW()-ROW($C$3))/86400</s:f>
        <s:v>46247.48013888889</s:v>
      </s:c>
    </s:row>
    <s:row r="136">
      <s:c r="A136" s="0" t="n">
        <s:v>260813</s:v>
      </s:c>
      <s:c r="B136" s="0" t="inlineStr">
        <s:is>
          <s:t>이종훈</s:t>
        </s:is>
      </s:c>
      <s:c r="C136" s="0" t="n">
        <s:v>112912</s:v>
      </s:c>
      <s:c r="D136" s="0" t="n">
        <s:v>745</s:v>
      </s:c>
      <s:c r="F136" s="24">
        <s:f>'자료구성'!$B$2+TIME(INT($C$3/10000),INT(MOD($C$3,10000)/100),MOD($C$3,100))+(ROW()-ROW($C$3))/86400</s:f>
        <s:v>46247.480150462965</s:v>
      </s:c>
    </s:row>
    <s:row r="137">
      <s:c r="A137" s="0" t="n">
        <s:v>260813</s:v>
      </s:c>
      <s:c r="B137" s="0" t="inlineStr">
        <s:is>
          <s:t>이종훈</s:t>
        </s:is>
      </s:c>
      <s:c r="C137" s="0" t="n">
        <s:v>112912</s:v>
      </s:c>
      <s:c r="D137" s="0" t="n">
        <s:v>745</s:v>
      </s:c>
      <s:c r="F137" s="24">
        <s:f>'자료구성'!$B$2+TIME(INT($C$3/10000),INT(MOD($C$3,10000)/100),MOD($C$3,100))+(ROW()-ROW($C$3))/86400</s:f>
        <s:v>46247.480162037034</s:v>
      </s:c>
    </s:row>
    <s:row r="138">
      <s:c r="A138" s="0" t="n">
        <s:v>260813</s:v>
      </s:c>
      <s:c r="B138" s="0" t="inlineStr">
        <s:is>
          <s:t>이종훈</s:t>
        </s:is>
      </s:c>
      <s:c r="C138" s="0" t="n">
        <s:v>112912</s:v>
      </s:c>
      <s:c r="D138" s="0" t="n">
        <s:v>661</s:v>
      </s:c>
      <s:c r="F138" s="24">
        <s:f>'자료구성'!$B$2+TIME(INT($C$3/10000),INT(MOD($C$3,10000)/100),MOD($C$3,100))+(ROW()-ROW($C$3))/86400</s:f>
        <s:v>46247.48017361111</s:v>
      </s:c>
    </s:row>
    <s:row r="139">
      <s:c r="A139" s="0" t="n">
        <s:v>260813</s:v>
      </s:c>
      <s:c r="B139" s="0" t="inlineStr">
        <s:is>
          <s:t>이종훈</s:t>
        </s:is>
      </s:c>
      <s:c r="C139" s="0" t="n">
        <s:v>112912</s:v>
      </s:c>
      <s:c r="D139" s="0" t="n">
        <s:v>642</s:v>
      </s:c>
      <s:c r="F139" s="24">
        <s:f>'자료구성'!$B$2+TIME(INT($C$3/10000),INT(MOD($C$3,10000)/100),MOD($C$3,100))+(ROW()-ROW($C$3))/86400</s:f>
        <s:v>46247.48018518519</s:v>
      </s:c>
    </s:row>
    <s:row r="140">
      <s:c r="A140" s="0" t="n">
        <s:v>260813</s:v>
      </s:c>
      <s:c r="B140" s="0" t="inlineStr">
        <s:is>
          <s:t>이종훈</s:t>
        </s:is>
      </s:c>
      <s:c r="C140" s="0" t="n">
        <s:v>112912</s:v>
      </s:c>
      <s:c r="D140" s="0" t="n">
        <s:v>623</s:v>
      </s:c>
      <s:c r="F140" s="24">
        <s:f>'자료구성'!$B$2+TIME(INT($C$3/10000),INT(MOD($C$3,10000)/100),MOD($C$3,100))+(ROW()-ROW($C$3))/86400</s:f>
        <s:v>46247.48019675926</s:v>
      </s:c>
    </s:row>
    <s:row r="141">
      <s:c r="A141" s="0" t="n">
        <s:v>260813</s:v>
      </s:c>
      <s:c r="B141" s="0" t="inlineStr">
        <s:is>
          <s:t>이종훈</s:t>
        </s:is>
      </s:c>
      <s:c r="C141" s="0" t="n">
        <s:v>112912</s:v>
      </s:c>
      <s:c r="D141" s="0" t="n">
        <s:v>585</s:v>
      </s:c>
      <s:c r="F141" s="24">
        <s:f>'자료구성'!$B$2+TIME(INT($C$3/10000),INT(MOD($C$3,10000)/100),MOD($C$3,100))+(ROW()-ROW($C$3))/86400</s:f>
        <s:v>46247.480208333334</s:v>
      </s:c>
    </s:row>
    <s:row r="142">
      <s:c r="A142" s="0" t="n">
        <s:v>260813</s:v>
      </s:c>
      <s:c r="B142" s="0" t="inlineStr">
        <s:is>
          <s:t>이종훈</s:t>
        </s:is>
      </s:c>
      <s:c r="C142" s="0" t="n">
        <s:v>112912</s:v>
      </s:c>
      <s:c r="D142" s="0" t="n">
        <s:v>557</s:v>
      </s:c>
      <s:c r="F142" s="24">
        <s:f>'자료구성'!$B$2+TIME(INT($C$3/10000),INT(MOD($C$3,10000)/100),MOD($C$3,100))+(ROW()-ROW($C$3))/86400</s:f>
        <s:v>46247.480219907404</s:v>
      </s:c>
    </s:row>
    <s:row r="143">
      <s:c r="A143" s="0" t="n">
        <s:v>260813</s:v>
      </s:c>
      <s:c r="B143" s="0" t="inlineStr">
        <s:is>
          <s:t>이종훈</s:t>
        </s:is>
      </s:c>
      <s:c r="C143" s="0" t="n">
        <s:v>112912</s:v>
      </s:c>
      <s:c r="D143" s="0" t="n">
        <s:v>530</s:v>
      </s:c>
      <s:c r="F143" s="24">
        <s:f>'자료구성'!$B$2+TIME(INT($C$3/10000),INT(MOD($C$3,10000)/100),MOD($C$3,100))+(ROW()-ROW($C$3))/86400</s:f>
        <s:v>46247.48023148148</s:v>
      </s:c>
    </s:row>
    <s:row r="144">
      <s:c r="A144" s="0" t="n">
        <s:v>260813</s:v>
      </s:c>
      <s:c r="B144" s="0" t="inlineStr">
        <s:is>
          <s:t>이종훈</s:t>
        </s:is>
      </s:c>
      <s:c r="C144" s="0" t="n">
        <s:v>112912</s:v>
      </s:c>
      <s:c r="D144" s="0" t="n">
        <s:v>506</s:v>
      </s:c>
      <s:c r="F144" s="24">
        <s:f>'자료구성'!$B$2+TIME(INT($C$3/10000),INT(MOD($C$3,10000)/100),MOD($C$3,100))+(ROW()-ROW($C$3))/86400</s:f>
        <s:v>46247.48024305556</s:v>
      </s:c>
    </s:row>
    <s:row r="145">
      <s:c r="A145" s="0" t="n">
        <s:v>260813</s:v>
      </s:c>
      <s:c r="B145" s="0" t="inlineStr">
        <s:is>
          <s:t>이종훈</s:t>
        </s:is>
      </s:c>
      <s:c r="C145" s="0" t="n">
        <s:v>112912</s:v>
      </s:c>
      <s:c r="D145" s="0" t="n">
        <s:v>514</s:v>
      </s:c>
      <s:c r="F145" s="24">
        <s:f>'자료구성'!$B$2+TIME(INT($C$3/10000),INT(MOD($C$3,10000)/100),MOD($C$3,100))+(ROW()-ROW($C$3))/86400</s:f>
        <s:v>46247.48025462963</s:v>
      </s:c>
    </s:row>
    <s:row r="146">
      <s:c r="A146" s="0" t="n">
        <s:v>260813</s:v>
      </s:c>
      <s:c r="B146" s="0" t="inlineStr">
        <s:is>
          <s:t>이종훈</s:t>
        </s:is>
      </s:c>
      <s:c r="C146" s="0" t="n">
        <s:v>112912</s:v>
      </s:c>
      <s:c r="D146" s="0" t="n">
        <s:v>504</s:v>
      </s:c>
      <s:c r="F146" s="24">
        <s:f>'자료구성'!$B$2+TIME(INT($C$3/10000),INT(MOD($C$3,10000)/100),MOD($C$3,100))+(ROW()-ROW($C$3))/86400</s:f>
        <s:v>46247.480266203704</s:v>
      </s:c>
    </s:row>
    <s:row r="147">
      <s:c r="A147" s="0" t="n">
        <s:v>260813</s:v>
      </s:c>
      <s:c r="B147" s="0" t="inlineStr">
        <s:is>
          <s:t>이종훈</s:t>
        </s:is>
      </s:c>
      <s:c r="C147" s="0" t="n">
        <s:v>112912</s:v>
      </s:c>
      <s:c r="D147" s="0" t="n">
        <s:v>488</s:v>
      </s:c>
      <s:c r="F147" s="24">
        <s:f>'자료구성'!$B$2+TIME(INT($C$3/10000),INT(MOD($C$3,10000)/100),MOD($C$3,100))+(ROW()-ROW($C$3))/86400</s:f>
        <s:v>46247.48027777778</s:v>
      </s:c>
    </s:row>
    <s:row r="148">
      <s:c r="A148" s="0" t="n">
        <s:v>260813</s:v>
      </s:c>
      <s:c r="B148" s="0" t="inlineStr">
        <s:is>
          <s:t>이종훈</s:t>
        </s:is>
      </s:c>
      <s:c r="C148" s="0" t="n">
        <s:v>112912</s:v>
      </s:c>
      <s:c r="D148" s="0" t="n">
        <s:v>482</s:v>
      </s:c>
      <s:c r="F148" s="24">
        <s:f>'자료구성'!$B$2+TIME(INT($C$3/10000),INT(MOD($C$3,10000)/100),MOD($C$3,100))+(ROW()-ROW($C$3))/86400</s:f>
        <s:v>46247.48028935185</s:v>
      </s:c>
    </s:row>
    <s:row r="149">
      <s:c r="A149" s="0" t="n">
        <s:v>260813</s:v>
      </s:c>
      <s:c r="B149" s="0" t="inlineStr">
        <s:is>
          <s:t>이종훈</s:t>
        </s:is>
      </s:c>
      <s:c r="C149" s="0" t="n">
        <s:v>112912</s:v>
      </s:c>
      <s:c r="D149" s="0" t="n">
        <s:v>534</s:v>
      </s:c>
      <s:c r="F149" s="24">
        <s:f>'자료구성'!$B$2+TIME(INT($C$3/10000),INT(MOD($C$3,10000)/100),MOD($C$3,100))+(ROW()-ROW($C$3))/86400</s:f>
        <s:v>46247.48030092593</s:v>
      </s:c>
    </s:row>
    <s:row r="150">
      <s:c r="A150" s="0" t="n">
        <s:v>260813</s:v>
      </s:c>
      <s:c r="B150" s="0" t="inlineStr">
        <s:is>
          <s:t>이종훈</s:t>
        </s:is>
      </s:c>
      <s:c r="C150" s="0" t="n">
        <s:v>112912</s:v>
      </s:c>
      <s:c r="D150" s="0" t="n">
        <s:v>567</s:v>
      </s:c>
      <s:c r="F150" s="24">
        <s:f>'자료구성'!$B$2+TIME(INT($C$3/10000),INT(MOD($C$3,10000)/100),MOD($C$3,100))+(ROW()-ROW($C$3))/86400</s:f>
        <s:v>46247.4803125</s:v>
      </s:c>
    </s:row>
    <s:row r="151">
      <s:c r="A151" s="0" t="n">
        <s:v>260813</s:v>
      </s:c>
      <s:c r="B151" s="0" t="inlineStr">
        <s:is>
          <s:t>이종훈</s:t>
        </s:is>
      </s:c>
      <s:c r="C151" s="0" t="n">
        <s:v>112912</s:v>
      </s:c>
      <s:c r="D151" s="0" t="n">
        <s:v>595</s:v>
      </s:c>
      <s:c r="F151" s="24">
        <s:f>'자료구성'!$B$2+TIME(INT($C$3/10000),INT(MOD($C$3,10000)/100),MOD($C$3,100))+(ROW()-ROW($C$3))/86400</s:f>
        <s:v>46247.48032407407</s:v>
      </s:c>
    </s:row>
    <s:row r="152">
      <s:c r="A152" s="0" t="n">
        <s:v>260813</s:v>
      </s:c>
      <s:c r="B152" s="0" t="inlineStr">
        <s:is>
          <s:t>이종훈</s:t>
        </s:is>
      </s:c>
      <s:c r="C152" s="0" t="n">
        <s:v>112912</s:v>
      </s:c>
      <s:c r="D152" s="0" t="n">
        <s:v>622</s:v>
      </s:c>
      <s:c r="F152" s="24">
        <s:f>'자료구성'!$B$2+TIME(INT($C$3/10000),INT(MOD($C$3,10000)/100),MOD($C$3,100))+(ROW()-ROW($C$3))/86400</s:f>
        <s:v>46247.48033564815</s:v>
      </s:c>
    </s:row>
    <s:row r="153">
      <s:c r="A153" s="0" t="n">
        <s:v>260813</s:v>
      </s:c>
      <s:c r="B153" s="0" t="inlineStr">
        <s:is>
          <s:t>이종훈</s:t>
        </s:is>
      </s:c>
      <s:c r="C153" s="0" t="n">
        <s:v>112912</s:v>
      </s:c>
      <s:c r="D153" s="0" t="n">
        <s:v>673</s:v>
      </s:c>
      <s:c r="F153" s="24">
        <s:f>'자료구성'!$B$2+TIME(INT($C$3/10000),INT(MOD($C$3,10000)/100),MOD($C$3,100))+(ROW()-ROW($C$3))/86400</s:f>
        <s:v>46247.48034722222</s:v>
      </s:c>
    </s:row>
    <s:row r="154">
      <s:c r="A154" s="0" t="n">
        <s:v>260813</s:v>
      </s:c>
      <s:c r="B154" s="0" t="inlineStr">
        <s:is>
          <s:t>이종훈</s:t>
        </s:is>
      </s:c>
      <s:c r="C154" s="0" t="n">
        <s:v>112912</s:v>
      </s:c>
      <s:c r="D154" s="0" t="n">
        <s:v>724</s:v>
      </s:c>
      <s:c r="F154" s="24">
        <s:f>'자료구성'!$B$2+TIME(INT($C$3/10000),INT(MOD($C$3,10000)/100),MOD($C$3,100))+(ROW()-ROW($C$3))/86400</s:f>
        <s:v>46247.480358796296</s:v>
      </s:c>
    </s:row>
    <s:row r="155">
      <s:c r="A155" s="0" t="n">
        <s:v>260813</s:v>
      </s:c>
      <s:c r="B155" s="0" t="inlineStr">
        <s:is>
          <s:t>이종훈</s:t>
        </s:is>
      </s:c>
      <s:c r="C155" s="0" t="n">
        <s:v>112912</s:v>
      </s:c>
      <s:c r="D155" s="0" t="n">
        <s:v>735</s:v>
      </s:c>
      <s:c r="F155" s="24">
        <s:f>'자료구성'!$B$2+TIME(INT($C$3/10000),INT(MOD($C$3,10000)/100),MOD($C$3,100))+(ROW()-ROW($C$3))/86400</s:f>
        <s:v>46247.48037037037</s:v>
      </s:c>
    </s:row>
    <s:row r="156">
      <s:c r="A156" s="0" t="n">
        <s:v>260813</s:v>
      </s:c>
      <s:c r="B156" s="0" t="inlineStr">
        <s:is>
          <s:t>이종훈</s:t>
        </s:is>
      </s:c>
      <s:c r="C156" s="0" t="n">
        <s:v>112912</s:v>
      </s:c>
      <s:c r="D156" s="0" t="n">
        <s:v>755</s:v>
      </s:c>
      <s:c r="F156" s="24">
        <s:f>'자료구성'!$B$2+TIME(INT($C$3/10000),INT(MOD($C$3,10000)/100),MOD($C$3,100))+(ROW()-ROW($C$3))/86400</s:f>
        <s:v>46247.48038194444</s:v>
      </s:c>
    </s:row>
    <s:row r="157">
      <s:c r="A157" s="0" t="n">
        <s:v>260813</s:v>
      </s:c>
      <s:c r="B157" s="0" t="inlineStr">
        <s:is>
          <s:t>이종훈</s:t>
        </s:is>
      </s:c>
      <s:c r="C157" s="0" t="n">
        <s:v>112912</s:v>
      </s:c>
      <s:c r="D157" s="0" t="n">
        <s:v>768</s:v>
      </s:c>
      <s:c r="F157" s="24">
        <s:f>'자료구성'!$B$2+TIME(INT($C$3/10000),INT(MOD($C$3,10000)/100),MOD($C$3,100))+(ROW()-ROW($C$3))/86400</s:f>
        <s:v>46247.48039351852</s:v>
      </s:c>
    </s:row>
    <s:row r="158">
      <s:c r="A158" s="0" t="n">
        <s:v>260813</s:v>
      </s:c>
      <s:c r="B158" s="0" t="inlineStr">
        <s:is>
          <s:t>이종훈</s:t>
        </s:is>
      </s:c>
      <s:c r="C158" s="0" t="n">
        <s:v>112912</s:v>
      </s:c>
      <s:c r="D158" s="0" t="n">
        <s:v>829</s:v>
      </s:c>
      <s:c r="F158" s="24">
        <s:f>'자료구성'!$B$2+TIME(INT($C$3/10000),INT(MOD($C$3,10000)/100),MOD($C$3,100))+(ROW()-ROW($C$3))/86400</s:f>
        <s:v>46247.480405092596</s:v>
      </s:c>
    </s:row>
    <s:row r="159">
      <s:c r="A159" s="0" t="n">
        <s:v>260813</s:v>
      </s:c>
      <s:c r="B159" s="0" t="inlineStr">
        <s:is>
          <s:t>이종훈</s:t>
        </s:is>
      </s:c>
      <s:c r="C159" s="0" t="n">
        <s:v>112912</s:v>
      </s:c>
      <s:c r="D159" s="0" t="n">
        <s:v>835</s:v>
      </s:c>
      <s:c r="F159" s="24">
        <s:f>'자료구성'!$B$2+TIME(INT($C$3/10000),INT(MOD($C$3,10000)/100),MOD($C$3,100))+(ROW()-ROW($C$3))/86400</s:f>
        <s:v>46247.480416666665</s:v>
      </s:c>
    </s:row>
    <s:row r="160">
      <s:c r="A160" s="0" t="n">
        <s:v>260813</s:v>
      </s:c>
      <s:c r="B160" s="0" t="inlineStr">
        <s:is>
          <s:t>이종훈</s:t>
        </s:is>
      </s:c>
      <s:c r="C160" s="0" t="n">
        <s:v>112912</s:v>
      </s:c>
      <s:c r="D160" s="0" t="n">
        <s:v>795</s:v>
      </s:c>
      <s:c r="F160" s="24">
        <s:f>'자료구성'!$B$2+TIME(INT($C$3/10000),INT(MOD($C$3,10000)/100),MOD($C$3,100))+(ROW()-ROW($C$3))/86400</s:f>
        <s:v>46247.48042824074</s:v>
      </s:c>
    </s:row>
    <s:row r="161">
      <s:c r="A161" s="0" t="n">
        <s:v>260813</s:v>
      </s:c>
      <s:c r="B161" s="0" t="inlineStr">
        <s:is>
          <s:t>이종훈</s:t>
        </s:is>
      </s:c>
      <s:c r="C161" s="0" t="n">
        <s:v>112912</s:v>
      </s:c>
      <s:c r="D161" s="0" t="n">
        <s:v>748</s:v>
      </s:c>
      <s:c r="F161" s="24">
        <s:f>'자료구성'!$B$2+TIME(INT($C$3/10000),INT(MOD($C$3,10000)/100),MOD($C$3,100))+(ROW()-ROW($C$3))/86400</s:f>
        <s:v>46247.48043981481</s:v>
      </s:c>
    </s:row>
    <s:row r="162">
      <s:c r="A162" s="0" t="n">
        <s:v>260813</s:v>
      </s:c>
      <s:c r="B162" s="0" t="inlineStr">
        <s:is>
          <s:t>이종훈</s:t>
        </s:is>
      </s:c>
      <s:c r="C162" s="0" t="n">
        <s:v>112912</s:v>
      </s:c>
      <s:c r="D162" s="0" t="n">
        <s:v>718</s:v>
      </s:c>
      <s:c r="F162" s="24">
        <s:f>'자료구성'!$B$2+TIME(INT($C$3/10000),INT(MOD($C$3,10000)/100),MOD($C$3,100))+(ROW()-ROW($C$3))/86400</s:f>
        <s:v>46247.48045138889</s:v>
      </s:c>
    </s:row>
    <s:row r="163">
      <s:c r="A163" s="0" t="n">
        <s:v>260813</s:v>
      </s:c>
      <s:c r="B163" s="0" t="inlineStr">
        <s:is>
          <s:t>이종훈</s:t>
        </s:is>
      </s:c>
      <s:c r="C163" s="0" t="n">
        <s:v>112912</s:v>
      </s:c>
      <s:c r="D163" s="0" t="n">
        <s:v>688</s:v>
      </s:c>
      <s:c r="F163" s="24">
        <s:f>'자료구성'!$B$2+TIME(INT($C$3/10000),INT(MOD($C$3,10000)/100),MOD($C$3,100))+(ROW()-ROW($C$3))/86400</s:f>
        <s:v>46247.480462962965</s:v>
      </s:c>
    </s:row>
    <s:row r="164">
      <s:c r="A164" s="0" t="n">
        <s:v>260813</s:v>
      </s:c>
      <s:c r="B164" s="0" t="inlineStr">
        <s:is>
          <s:t>이종훈</s:t>
        </s:is>
      </s:c>
      <s:c r="C164" s="0" t="n">
        <s:v>112912</s:v>
      </s:c>
      <s:c r="D164" s="0" t="n">
        <s:v>666</s:v>
      </s:c>
      <s:c r="F164" s="24">
        <s:f>'자료구성'!$B$2+TIME(INT($C$3/10000),INT(MOD($C$3,10000)/100),MOD($C$3,100))+(ROW()-ROW($C$3))/86400</s:f>
        <s:v>46247.480474537035</s:v>
      </s:c>
    </s:row>
    <s:row r="165">
      <s:c r="A165" s="0" t="n">
        <s:v>260813</s:v>
      </s:c>
      <s:c r="B165" s="0" t="inlineStr">
        <s:is>
          <s:t>이종훈</s:t>
        </s:is>
      </s:c>
      <s:c r="C165" s="0" t="n">
        <s:v>112912</s:v>
      </s:c>
      <s:c r="D165" s="0" t="n">
        <s:v>641</s:v>
      </s:c>
      <s:c r="F165" s="24">
        <s:f>'자료구성'!$B$2+TIME(INT($C$3/10000),INT(MOD($C$3,10000)/100),MOD($C$3,100))+(ROW()-ROW($C$3))/86400</s:f>
        <s:v>46247.48048611111</s:v>
      </s:c>
    </s:row>
    <s:row r="166">
      <s:c r="A166" s="0" t="n">
        <s:v>260813</s:v>
      </s:c>
      <s:c r="B166" s="0" t="inlineStr">
        <s:is>
          <s:t>이종훈</s:t>
        </s:is>
      </s:c>
      <s:c r="C166" s="0" t="n">
        <s:v>112912</s:v>
      </s:c>
      <s:c r="D166" s="0" t="n">
        <s:v>614</s:v>
      </s:c>
      <s:c r="F166" s="24">
        <s:f>'자료구성'!$B$2+TIME(INT($C$3/10000),INT(MOD($C$3,10000)/100),MOD($C$3,100))+(ROW()-ROW($C$3))/86400</s:f>
        <s:v>46247.48049768519</s:v>
      </s:c>
    </s:row>
    <s:row r="167">
      <s:c r="A167" s="0" t="n">
        <s:v>260813</s:v>
      </s:c>
      <s:c r="B167" s="0" t="inlineStr">
        <s:is>
          <s:t>이종훈</s:t>
        </s:is>
      </s:c>
      <s:c r="C167" s="0" t="n">
        <s:v>112912</s:v>
      </s:c>
      <s:c r="D167" s="0" t="n">
        <s:v>598</s:v>
      </s:c>
      <s:c r="F167" s="24">
        <s:f>'자료구성'!$B$2+TIME(INT($C$3/10000),INT(MOD($C$3,10000)/100),MOD($C$3,100))+(ROW()-ROW($C$3))/86400</s:f>
        <s:v>46247.48050925926</s:v>
      </s:c>
    </s:row>
    <s:row r="168">
      <s:c r="A168" s="0" t="n">
        <s:v>260813</s:v>
      </s:c>
      <s:c r="B168" s="0" t="inlineStr">
        <s:is>
          <s:t>이종훈</s:t>
        </s:is>
      </s:c>
      <s:c r="C168" s="0" t="n">
        <s:v>112912</s:v>
      </s:c>
      <s:c r="D168" s="0" t="n">
        <s:v>584</s:v>
      </s:c>
      <s:c r="F168" s="24">
        <s:f>'자료구성'!$B$2+TIME(INT($C$3/10000),INT(MOD($C$3,10000)/100),MOD($C$3,100))+(ROW()-ROW($C$3))/86400</s:f>
        <s:v>46247.480520833335</s:v>
      </s:c>
    </s:row>
    <s:row r="169">
      <s:c r="A169" s="0" t="n">
        <s:v>260813</s:v>
      </s:c>
      <s:c r="B169" s="0" t="inlineStr">
        <s:is>
          <s:t>이종훈</s:t>
        </s:is>
      </s:c>
      <s:c r="C169" s="0" t="n">
        <s:v>112912</s:v>
      </s:c>
      <s:c r="D169" s="0" t="n">
        <s:v>580</s:v>
      </s:c>
      <s:c r="F169" s="24">
        <s:f>'자료구성'!$B$2+TIME(INT($C$3/10000),INT(MOD($C$3,10000)/100),MOD($C$3,100))+(ROW()-ROW($C$3))/86400</s:f>
        <s:v>46247.480532407404</s:v>
      </s:c>
    </s:row>
    <s:row r="170">
      <s:c r="A170" s="0" t="n">
        <s:v>260813</s:v>
      </s:c>
      <s:c r="B170" s="0" t="inlineStr">
        <s:is>
          <s:t>이종훈</s:t>
        </s:is>
      </s:c>
      <s:c r="C170" s="0" t="n">
        <s:v>112912</s:v>
      </s:c>
      <s:c r="D170" s="0" t="n">
        <s:v>571</s:v>
      </s:c>
      <s:c r="F170" s="24">
        <s:f>'자료구성'!$B$2+TIME(INT($C$3/10000),INT(MOD($C$3,10000)/100),MOD($C$3,100))+(ROW()-ROW($C$3))/86400</s:f>
        <s:v>46247.48054398148</s:v>
      </s:c>
    </s:row>
    <s:row r="171">
      <s:c r="A171" s="0" t="n">
        <s:v>260813</s:v>
      </s:c>
      <s:c r="B171" s="0" t="inlineStr">
        <s:is>
          <s:t>이종훈</s:t>
        </s:is>
      </s:c>
      <s:c r="C171" s="0" t="n">
        <s:v>112912</s:v>
      </s:c>
      <s:c r="D171" s="0" t="n">
        <s:v>558</s:v>
      </s:c>
      <s:c r="F171" s="24">
        <s:f>'자료구성'!$B$2+TIME(INT($C$3/10000),INT(MOD($C$3,10000)/100),MOD($C$3,100))+(ROW()-ROW($C$3))/86400</s:f>
        <s:v>46247.48055555556</s:v>
      </s:c>
    </s:row>
    <s:row r="172">
      <s:c r="A172" s="0" t="n">
        <s:v>260813</s:v>
      </s:c>
      <s:c r="B172" s="0" t="inlineStr">
        <s:is>
          <s:t>이종훈</s:t>
        </s:is>
      </s:c>
      <s:c r="C172" s="0" t="n">
        <s:v>112912</s:v>
      </s:c>
      <s:c r="D172" s="0" t="n">
        <s:v>552</s:v>
      </s:c>
      <s:c r="F172" s="24">
        <s:f>'자료구성'!$B$2+TIME(INT($C$3/10000),INT(MOD($C$3,10000)/100),MOD($C$3,100))+(ROW()-ROW($C$3))/86400</s:f>
        <s:v>46247.48056712963</s:v>
      </s:c>
    </s:row>
    <s:row r="173">
      <s:c r="A173" s="0" t="n">
        <s:v>260813</s:v>
      </s:c>
      <s:c r="B173" s="0" t="inlineStr">
        <s:is>
          <s:t>이종훈</s:t>
        </s:is>
      </s:c>
      <s:c r="C173" s="0" t="n">
        <s:v>112912</s:v>
      </s:c>
      <s:c r="D173" s="0" t="n">
        <s:v>546</s:v>
      </s:c>
      <s:c r="F173" s="24">
        <s:f>'자료구성'!$B$2+TIME(INT($C$3/10000),INT(MOD($C$3,10000)/100),MOD($C$3,100))+(ROW()-ROW($C$3))/86400</s:f>
        <s:v>46247.480578703704</s:v>
      </s:c>
    </s:row>
    <s:row r="174">
      <s:c r="A174" s="0" t="n">
        <s:v>260813</s:v>
      </s:c>
      <s:c r="B174" s="0" t="inlineStr">
        <s:is>
          <s:t>이종훈</s:t>
        </s:is>
      </s:c>
      <s:c r="C174" s="0" t="n">
        <s:v>112912</s:v>
      </s:c>
      <s:c r="D174" s="0" t="n">
        <s:v>546</s:v>
      </s:c>
      <s:c r="F174" s="24">
        <s:f>'자료구성'!$B$2+TIME(INT($C$3/10000),INT(MOD($C$3,10000)/100),MOD($C$3,100))+(ROW()-ROW($C$3))/86400</s:f>
        <s:v>46247.48059027778</s:v>
      </s:c>
    </s:row>
    <s:row r="175">
      <s:c r="A175" s="0" t="n">
        <s:v>260813</s:v>
      </s:c>
      <s:c r="B175" s="0" t="inlineStr">
        <s:is>
          <s:t>이종훈</s:t>
        </s:is>
      </s:c>
      <s:c r="C175" s="0" t="n">
        <s:v>112912</s:v>
      </s:c>
      <s:c r="D175" s="0" t="n">
        <s:v>541</s:v>
      </s:c>
      <s:c r="F175" s="24">
        <s:f>'자료구성'!$B$2+TIME(INT($C$3/10000),INT(MOD($C$3,10000)/100),MOD($C$3,100))+(ROW()-ROW($C$3))/86400</s:f>
        <s:v>46247.48060185185</s:v>
      </s:c>
    </s:row>
    <s:row r="176">
      <s:c r="A176" s="0" t="n">
        <s:v>260813</s:v>
      </s:c>
      <s:c r="B176" s="0" t="inlineStr">
        <s:is>
          <s:t>이종훈</s:t>
        </s:is>
      </s:c>
      <s:c r="C176" s="0" t="n">
        <s:v>112912</s:v>
      </s:c>
      <s:c r="D176" s="0" t="n">
        <s:v>550</s:v>
      </s:c>
      <s:c r="F176" s="24">
        <s:f>'자료구성'!$B$2+TIME(INT($C$3/10000),INT(MOD($C$3,10000)/100),MOD($C$3,100))+(ROW()-ROW($C$3))/86400</s:f>
        <s:v>46247.48061342593</s:v>
      </s:c>
    </s:row>
    <s:row r="177">
      <s:c r="A177" s="0" t="n">
        <s:v>260813</s:v>
      </s:c>
      <s:c r="B177" s="0" t="inlineStr">
        <s:is>
          <s:t>이종훈</s:t>
        </s:is>
      </s:c>
      <s:c r="C177" s="0" t="n">
        <s:v>112912</s:v>
      </s:c>
      <s:c r="D177" s="0" t="n">
        <s:v>541</s:v>
      </s:c>
      <s:c r="F177" s="24">
        <s:f>'자료구성'!$B$2+TIME(INT($C$3/10000),INT(MOD($C$3,10000)/100),MOD($C$3,100))+(ROW()-ROW($C$3))/86400</s:f>
        <s:v>46247.480625</s:v>
      </s:c>
    </s:row>
    <s:row r="178">
      <s:c r="A178" s="0" t="n">
        <s:v>260813</s:v>
      </s:c>
      <s:c r="B178" s="0" t="inlineStr">
        <s:is>
          <s:t>이종훈</s:t>
        </s:is>
      </s:c>
      <s:c r="C178" s="0" t="n">
        <s:v>112912</s:v>
      </s:c>
      <s:c r="D178" s="0" t="n">
        <s:v>544</s:v>
      </s:c>
      <s:c r="F178" s="24">
        <s:f>'자료구성'!$B$2+TIME(INT($C$3/10000),INT(MOD($C$3,10000)/100),MOD($C$3,100))+(ROW()-ROW($C$3))/86400</s:f>
        <s:v>46247.48063657407</s:v>
      </s:c>
    </s:row>
    <s:row r="179">
      <s:c r="A179" s="0" t="n">
        <s:v>260813</s:v>
      </s:c>
      <s:c r="B179" s="0" t="inlineStr">
        <s:is>
          <s:t>이종훈</s:t>
        </s:is>
      </s:c>
      <s:c r="C179" s="0" t="n">
        <s:v>112912</s:v>
      </s:c>
      <s:c r="D179" s="0" t="n">
        <s:v>549</s:v>
      </s:c>
      <s:c r="F179" s="24">
        <s:f>'자료구성'!$B$2+TIME(INT($C$3/10000),INT(MOD($C$3,10000)/100),MOD($C$3,100))+(ROW()-ROW($C$3))/86400</s:f>
        <s:v>46247.48064814815</s:v>
      </s:c>
    </s:row>
    <s:row r="180">
      <s:c r="A180" s="0" t="n">
        <s:v>260813</s:v>
      </s:c>
      <s:c r="B180" s="0" t="inlineStr">
        <s:is>
          <s:t>이종훈</s:t>
        </s:is>
      </s:c>
      <s:c r="C180" s="0" t="n">
        <s:v>112912</s:v>
      </s:c>
      <s:c r="D180" s="0" t="n">
        <s:v>535</s:v>
      </s:c>
      <s:c r="F180" s="24">
        <s:f>'자료구성'!$B$2+TIME(INT($C$3/10000),INT(MOD($C$3,10000)/100),MOD($C$3,100))+(ROW()-ROW($C$3))/86400</s:f>
        <s:v>46247.48065972222</s:v>
      </s:c>
    </s:row>
    <s:row r="181">
      <s:c r="A181" s="0" t="n">
        <s:v>260813</s:v>
      </s:c>
      <s:c r="B181" s="0" t="inlineStr">
        <s:is>
          <s:t>이종훈</s:t>
        </s:is>
      </s:c>
      <s:c r="C181" s="0" t="n">
        <s:v>112912</s:v>
      </s:c>
      <s:c r="D181" s="0" t="n">
        <s:v>523</s:v>
      </s:c>
      <s:c r="F181" s="24">
        <s:f>'자료구성'!$B$2+TIME(INT($C$3/10000),INT(MOD($C$3,10000)/100),MOD($C$3,100))+(ROW()-ROW($C$3))/86400</s:f>
        <s:v>46247.480671296296</s:v>
      </s:c>
    </s:row>
    <s:row r="182">
      <s:c r="A182" s="0" t="n">
        <s:v>260813</s:v>
      </s:c>
      <s:c r="B182" s="0" t="inlineStr">
        <s:is>
          <s:t>이종훈</s:t>
        </s:is>
      </s:c>
      <s:c r="C182" s="0" t="n">
        <s:v>112912</s:v>
      </s:c>
      <s:c r="D182" s="0" t="n">
        <s:v>508</s:v>
      </s:c>
      <s:c r="F182" s="24">
        <s:f>'자료구성'!$B$2+TIME(INT($C$3/10000),INT(MOD($C$3,10000)/100),MOD($C$3,100))+(ROW()-ROW($C$3))/86400</s:f>
        <s:v>46247.48068287037</s:v>
      </s:c>
    </s:row>
    <s:row r="183">
      <s:c r="A183" s="0" t="n">
        <s:v>260813</s:v>
      </s:c>
      <s:c r="B183" s="0" t="inlineStr">
        <s:is>
          <s:t>이종훈</s:t>
        </s:is>
      </s:c>
      <s:c r="C183" s="0" t="n">
        <s:v>112912</s:v>
      </s:c>
      <s:c r="D183" s="0" t="n">
        <s:v>503</s:v>
      </s:c>
      <s:c r="F183" s="24">
        <s:f>'자료구성'!$B$2+TIME(INT($C$3/10000),INT(MOD($C$3,10000)/100),MOD($C$3,100))+(ROW()-ROW($C$3))/86400</s:f>
        <s:v>46247.48069444444</s:v>
      </s:c>
    </s:row>
    <s:row r="184">
      <s:c r="A184" s="0" t="n">
        <s:v>260813</s:v>
      </s:c>
      <s:c r="B184" s="0" t="inlineStr">
        <s:is>
          <s:t>이종훈</s:t>
        </s:is>
      </s:c>
      <s:c r="C184" s="0" t="n">
        <s:v>112912</s:v>
      </s:c>
      <s:c r="D184" s="0" t="n">
        <s:v>523</s:v>
      </s:c>
      <s:c r="F184" s="24">
        <s:f>'자료구성'!$B$2+TIME(INT($C$3/10000),INT(MOD($C$3,10000)/100),MOD($C$3,100))+(ROW()-ROW($C$3))/86400</s:f>
        <s:v>46247.48070601852</s:v>
      </s:c>
    </s:row>
    <s:row r="185">
      <s:c r="A185" s="0" t="n">
        <s:v>260813</s:v>
      </s:c>
      <s:c r="B185" s="0" t="inlineStr">
        <s:is>
          <s:t>이종훈</s:t>
        </s:is>
      </s:c>
      <s:c r="C185" s="0" t="n">
        <s:v>112912</s:v>
      </s:c>
      <s:c r="D185" s="0" t="n">
        <s:v>540</s:v>
      </s:c>
      <s:c r="F185" s="24">
        <s:f>'자료구성'!$B$2+TIME(INT($C$3/10000),INT(MOD($C$3,10000)/100),MOD($C$3,100))+(ROW()-ROW($C$3))/86400</s:f>
        <s:v>46247.480717592596</s:v>
      </s:c>
    </s:row>
    <s:row r="186">
      <s:c r="A186" s="0" t="n">
        <s:v>260813</s:v>
      </s:c>
      <s:c r="B186" s="0" t="inlineStr">
        <s:is>
          <s:t>이종훈</s:t>
        </s:is>
      </s:c>
      <s:c r="C186" s="0" t="n">
        <s:v>112912</s:v>
      </s:c>
      <s:c r="D186" s="0" t="n">
        <s:v>542</s:v>
      </s:c>
      <s:c r="F186" s="24">
        <s:f>'자료구성'!$B$2+TIME(INT($C$3/10000),INT(MOD($C$3,10000)/100),MOD($C$3,100))+(ROW()-ROW($C$3))/86400</s:f>
        <s:v>46247.480729166666</s:v>
      </s:c>
    </s:row>
    <s:row r="187">
      <s:c r="A187" s="0" t="n">
        <s:v>260813</s:v>
      </s:c>
      <s:c r="B187" s="0" t="inlineStr">
        <s:is>
          <s:t>이종훈</s:t>
        </s:is>
      </s:c>
      <s:c r="C187" s="0" t="n">
        <s:v>112912</s:v>
      </s:c>
      <s:c r="D187" s="0" t="n">
        <s:v>545</s:v>
      </s:c>
      <s:c r="F187" s="24">
        <s:f>'자료구성'!$B$2+TIME(INT($C$3/10000),INT(MOD($C$3,10000)/100),MOD($C$3,100))+(ROW()-ROW($C$3))/86400</s:f>
        <s:v>46247.48074074074</s:v>
      </s:c>
    </s:row>
    <s:row r="188">
      <s:c r="A188" s="0" t="n">
        <s:v>260813</s:v>
      </s:c>
      <s:c r="B188" s="0" t="inlineStr">
        <s:is>
          <s:t>이종훈</s:t>
        </s:is>
      </s:c>
      <s:c r="C188" s="0" t="n">
        <s:v>112912</s:v>
      </s:c>
      <s:c r="D188" s="0" t="n">
        <s:v>539</s:v>
      </s:c>
      <s:c r="F188" s="24">
        <s:f>'자료구성'!$B$2+TIME(INT($C$3/10000),INT(MOD($C$3,10000)/100),MOD($C$3,100))+(ROW()-ROW($C$3))/86400</s:f>
        <s:v>46247.48075231481</s:v>
      </s:c>
    </s:row>
    <s:row r="189">
      <s:c r="A189" s="0" t="n">
        <s:v>260813</s:v>
      </s:c>
      <s:c r="B189" s="0" t="inlineStr">
        <s:is>
          <s:t>이종훈</s:t>
        </s:is>
      </s:c>
      <s:c r="C189" s="0" t="n">
        <s:v>112912</s:v>
      </s:c>
      <s:c r="D189" s="0" t="n">
        <s:v>547</s:v>
      </s:c>
      <s:c r="F189" s="24">
        <s:f>'자료구성'!$B$2+TIME(INT($C$3/10000),INT(MOD($C$3,10000)/100),MOD($C$3,100))+(ROW()-ROW($C$3))/86400</s:f>
        <s:v>46247.48076388889</s:v>
      </s:c>
    </s:row>
    <s:row r="190">
      <s:c r="A190" s="0" t="n">
        <s:v>260813</s:v>
      </s:c>
      <s:c r="B190" s="0" t="inlineStr">
        <s:is>
          <s:t>이종훈</s:t>
        </s:is>
      </s:c>
      <s:c r="C190" s="0" t="n">
        <s:v>112912</s:v>
      </s:c>
      <s:c r="D190" s="0" t="n">
        <s:v>555</s:v>
      </s:c>
      <s:c r="F190" s="24">
        <s:f>'자료구성'!$B$2+TIME(INT($C$3/10000),INT(MOD($C$3,10000)/100),MOD($C$3,100))+(ROW()-ROW($C$3))/86400</s:f>
        <s:v>46247.480775462966</s:v>
      </s:c>
    </s:row>
    <s:row r="191">
      <s:c r="A191" s="0" t="n">
        <s:v>260813</s:v>
      </s:c>
      <s:c r="B191" s="0" t="inlineStr">
        <s:is>
          <s:t>이종훈</s:t>
        </s:is>
      </s:c>
      <s:c r="C191" s="0" t="n">
        <s:v>112912</s:v>
      </s:c>
      <s:c r="D191" s="0" t="n">
        <s:v>559</s:v>
      </s:c>
      <s:c r="F191" s="24">
        <s:f>'자료구성'!$B$2+TIME(INT($C$3/10000),INT(MOD($C$3,10000)/100),MOD($C$3,100))+(ROW()-ROW($C$3))/86400</s:f>
        <s:v>46247.480787037035</s:v>
      </s:c>
    </s:row>
    <s:row r="192">
      <s:c r="A192" s="0" t="n">
        <s:v>260813</s:v>
      </s:c>
      <s:c r="B192" s="0" t="inlineStr">
        <s:is>
          <s:t>이종훈</s:t>
        </s:is>
      </s:c>
      <s:c r="C192" s="0" t="n">
        <s:v>112912</s:v>
      </s:c>
      <s:c r="D192" s="0" t="n">
        <s:v>550</s:v>
      </s:c>
      <s:c r="F192" s="24">
        <s:f>'자료구성'!$B$2+TIME(INT($C$3/10000),INT(MOD($C$3,10000)/100),MOD($C$3,100))+(ROW()-ROW($C$3))/86400</s:f>
        <s:v>46247.48079861111</s:v>
      </s:c>
    </s:row>
    <s:row r="193">
      <s:c r="A193" s="0" t="n">
        <s:v>260813</s:v>
      </s:c>
      <s:c r="B193" s="0" t="inlineStr">
        <s:is>
          <s:t>이종훈</s:t>
        </s:is>
      </s:c>
      <s:c r="C193" s="0" t="n">
        <s:v>112912</s:v>
      </s:c>
      <s:c r="D193" s="0" t="n">
        <s:v>584</s:v>
      </s:c>
      <s:c r="F193" s="24">
        <s:f>'자료구성'!$B$2+TIME(INT($C$3/10000),INT(MOD($C$3,10000)/100),MOD($C$3,100))+(ROW()-ROW($C$3))/86400</s:f>
        <s:v>46247.48081018519</s:v>
      </s:c>
    </s:row>
    <s:row r="194">
      <s:c r="A194" s="0" t="n">
        <s:v>260813</s:v>
      </s:c>
      <s:c r="B194" s="0" t="inlineStr">
        <s:is>
          <s:t>이종훈</s:t>
        </s:is>
      </s:c>
      <s:c r="C194" s="0" t="n">
        <s:v>112912</s:v>
      </s:c>
      <s:c r="D194" s="0" t="n">
        <s:v>584</s:v>
      </s:c>
      <s:c r="F194" s="24">
        <s:f>'자료구성'!$B$2+TIME(INT($C$3/10000),INT(MOD($C$3,10000)/100),MOD($C$3,100))+(ROW()-ROW($C$3))/86400</s:f>
        <s:v>46247.48082175926</s:v>
      </s:c>
    </s:row>
    <s:row r="195">
      <s:c r="A195" s="0" t="n">
        <s:v>260813</s:v>
      </s:c>
      <s:c r="B195" s="0" t="inlineStr">
        <s:is>
          <s:t>이종훈</s:t>
        </s:is>
      </s:c>
      <s:c r="C195" s="0" t="n">
        <s:v>112912</s:v>
      </s:c>
      <s:c r="D195" s="0" t="n">
        <s:v>580</s:v>
      </s:c>
      <s:c r="F195" s="24">
        <s:f>'자료구성'!$B$2+TIME(INT($C$3/10000),INT(MOD($C$3,10000)/100),MOD($C$3,100))+(ROW()-ROW($C$3))/86400</s:f>
        <s:v>46247.480833333335</s:v>
      </s:c>
    </s:row>
    <s:row r="196">
      <s:c r="A196" s="0" t="n">
        <s:v>260813</s:v>
      </s:c>
      <s:c r="B196" s="0" t="inlineStr">
        <s:is>
          <s:t>이종훈</s:t>
        </s:is>
      </s:c>
      <s:c r="C196" s="0" t="n">
        <s:v>112912</s:v>
      </s:c>
      <s:c r="D196" s="0" t="n">
        <s:v>564</s:v>
      </s:c>
      <s:c r="F196" s="24">
        <s:f>'자료구성'!$B$2+TIME(INT($C$3/10000),INT(MOD($C$3,10000)/100),MOD($C$3,100))+(ROW()-ROW($C$3))/86400</s:f>
        <s:v>46247.480844907404</s:v>
      </s:c>
    </s:row>
    <s:row r="197">
      <s:c r="A197" s="0" t="n">
        <s:v>260813</s:v>
      </s:c>
      <s:c r="B197" s="0" t="inlineStr">
        <s:is>
          <s:t>이종훈</s:t>
        </s:is>
      </s:c>
      <s:c r="C197" s="0" t="n">
        <s:v>112912</s:v>
      </s:c>
      <s:c r="D197" s="0" t="n">
        <s:v>558</s:v>
      </s:c>
      <s:c r="F197" s="24">
        <s:f>'자료구성'!$B$2+TIME(INT($C$3/10000),INT(MOD($C$3,10000)/100),MOD($C$3,100))+(ROW()-ROW($C$3))/86400</s:f>
        <s:v>46247.48085648148</s:v>
      </s:c>
    </s:row>
    <s:row r="198">
      <s:c r="A198" s="0" t="n">
        <s:v>260813</s:v>
      </s:c>
      <s:c r="B198" s="0" t="inlineStr">
        <s:is>
          <s:t>이종훈</s:t>
        </s:is>
      </s:c>
      <s:c r="C198" s="0" t="n">
        <s:v>112912</s:v>
      </s:c>
      <s:c r="D198" s="0" t="n">
        <s:v>552</s:v>
      </s:c>
      <s:c r="F198" s="24">
        <s:f>'자료구성'!$B$2+TIME(INT($C$3/10000),INT(MOD($C$3,10000)/100),MOD($C$3,100))+(ROW()-ROW($C$3))/86400</s:f>
        <s:v>46247.48086805556</s:v>
      </s:c>
    </s:row>
    <s:row r="199">
      <s:c r="A199" s="0" t="n">
        <s:v>260813</s:v>
      </s:c>
      <s:c r="B199" s="0" t="inlineStr">
        <s:is>
          <s:t>이종훈</s:t>
        </s:is>
      </s:c>
      <s:c r="C199" s="0" t="n">
        <s:v>112912</s:v>
      </s:c>
      <s:c r="D199" s="0" t="n">
        <s:v>549</s:v>
      </s:c>
      <s:c r="F199" s="24">
        <s:f>'자료구성'!$B$2+TIME(INT($C$3/10000),INT(MOD($C$3,10000)/100),MOD($C$3,100))+(ROW()-ROW($C$3))/86400</s:f>
        <s:v>46247.48087962963</s:v>
      </s:c>
    </s:row>
    <s:row r="200">
      <s:c r="A200" s="0" t="n">
        <s:v>260813</s:v>
      </s:c>
      <s:c r="B200" s="0" t="inlineStr">
        <s:is>
          <s:t>이종훈</s:t>
        </s:is>
      </s:c>
      <s:c r="C200" s="0" t="n">
        <s:v>112912</s:v>
      </s:c>
      <s:c r="D200" s="0" t="n">
        <s:v>544</s:v>
      </s:c>
      <s:c r="F200" s="24">
        <s:f>'자료구성'!$B$2+TIME(INT($C$3/10000),INT(MOD($C$3,10000)/100),MOD($C$3,100))+(ROW()-ROW($C$3))/86400</s:f>
        <s:v>46247.480891203704</s:v>
      </s:c>
    </s:row>
    <s:row r="201">
      <s:c r="A201" s="0" t="n">
        <s:v>260813</s:v>
      </s:c>
      <s:c r="B201" s="0" t="inlineStr">
        <s:is>
          <s:t>이종훈</s:t>
        </s:is>
      </s:c>
      <s:c r="C201" s="0" t="n">
        <s:v>112912</s:v>
      </s:c>
      <s:c r="D201" s="0" t="n">
        <s:v>540</s:v>
      </s:c>
      <s:c r="F201" s="24">
        <s:f>'자료구성'!$B$2+TIME(INT($C$3/10000),INT(MOD($C$3,10000)/100),MOD($C$3,100))+(ROW()-ROW($C$3))/86400</s:f>
        <s:v>46247.48090277778</s:v>
      </s:c>
    </s:row>
    <s:row r="202">
      <s:c r="A202" s="0" t="n">
        <s:v>260813</s:v>
      </s:c>
      <s:c r="B202" s="0" t="inlineStr">
        <s:is>
          <s:t>이종훈</s:t>
        </s:is>
      </s:c>
      <s:c r="C202" s="0" t="n">
        <s:v>112912</s:v>
      </s:c>
      <s:c r="D202" s="0" t="n">
        <s:v>527</s:v>
      </s:c>
      <s:c r="F202" s="24">
        <s:f>'자료구성'!$B$2+TIME(INT($C$3/10000),INT(MOD($C$3,10000)/100),MOD($C$3,100))+(ROW()-ROW($C$3))/86400</s:f>
        <s:v>46247.48091435185</s:v>
      </s:c>
    </s:row>
    <s:row r="203">
      <s:c r="A203" s="0" t="n">
        <s:v>260813</s:v>
      </s:c>
      <s:c r="B203" s="0" t="inlineStr">
        <s:is>
          <s:t>이종훈</s:t>
        </s:is>
      </s:c>
      <s:c r="C203" s="0" t="n">
        <s:v>112912</s:v>
      </s:c>
      <s:c r="D203" s="0" t="n">
        <s:v>503</s:v>
      </s:c>
      <s:c r="F203" s="24">
        <s:f>'자료구성'!$B$2+TIME(INT($C$3/10000),INT(MOD($C$3,10000)/100),MOD($C$3,100))+(ROW()-ROW($C$3))/86400</s:f>
        <s:v>46247.48092592593</s:v>
      </s:c>
    </s:row>
    <s:row r="204">
      <s:c r="A204" s="0" t="n">
        <s:v>260813</s:v>
      </s:c>
      <s:c r="B204" s="0" t="inlineStr">
        <s:is>
          <s:t>이종훈</s:t>
        </s:is>
      </s:c>
      <s:c r="C204" s="0" t="n">
        <s:v>112912</s:v>
      </s:c>
      <s:c r="D204" s="0" t="n">
        <s:v>479</s:v>
      </s:c>
      <s:c r="F204" s="24">
        <s:f>'자료구성'!$B$2+TIME(INT($C$3/10000),INT(MOD($C$3,10000)/100),MOD($C$3,100))+(ROW()-ROW($C$3))/86400</s:f>
        <s:v>46247.4809375</s:v>
      </s:c>
    </s:row>
    <s:row r="205">
      <s:c r="A205" s="0" t="n">
        <s:v>260813</s:v>
      </s:c>
      <s:c r="B205" s="0" t="inlineStr">
        <s:is>
          <s:t>이종훈</s:t>
        </s:is>
      </s:c>
      <s:c r="C205" s="0" t="n">
        <s:v>112912</s:v>
      </s:c>
      <s:c r="D205" s="0" t="n">
        <s:v>453</s:v>
      </s:c>
      <s:c r="F205" s="24">
        <s:f>'자료구성'!$B$2+TIME(INT($C$3/10000),INT(MOD($C$3,10000)/100),MOD($C$3,100))+(ROW()-ROW($C$3))/86400</s:f>
        <s:v>46247.48094907407</s:v>
      </s:c>
    </s:row>
    <s:row r="206">
      <s:c r="A206" s="0" t="n">
        <s:v>260813</s:v>
      </s:c>
      <s:c r="B206" s="0" t="inlineStr">
        <s:is>
          <s:t>이종훈</s:t>
        </s:is>
      </s:c>
      <s:c r="C206" s="0" t="n">
        <s:v>112912</s:v>
      </s:c>
      <s:c r="D206" s="0" t="n">
        <s:v>448</s:v>
      </s:c>
      <s:c r="F206" s="24">
        <s:f>'자료구성'!$B$2+TIME(INT($C$3/10000),INT(MOD($C$3,10000)/100),MOD($C$3,100))+(ROW()-ROW($C$3))/86400</s:f>
        <s:v>46247.48096064815</s:v>
      </s:c>
    </s:row>
    <s:row r="207">
      <s:c r="A207" s="0" t="n">
        <s:v>260813</s:v>
      </s:c>
      <s:c r="B207" s="0" t="inlineStr">
        <s:is>
          <s:t>이종훈</s:t>
        </s:is>
      </s:c>
      <s:c r="C207" s="0" t="n">
        <s:v>112912</s:v>
      </s:c>
      <s:c r="D207" s="0" t="n">
        <s:v>463</s:v>
      </s:c>
      <s:c r="F207" s="24">
        <s:f>'자료구성'!$B$2+TIME(INT($C$3/10000),INT(MOD($C$3,10000)/100),MOD($C$3,100))+(ROW()-ROW($C$3))/86400</s:f>
        <s:v>46247.48097222222</s:v>
      </s:c>
    </s:row>
    <s:row r="208">
      <s:c r="A208" s="0" t="n">
        <s:v>260813</s:v>
      </s:c>
      <s:c r="B208" s="0" t="inlineStr">
        <s:is>
          <s:t>이종훈</s:t>
        </s:is>
      </s:c>
      <s:c r="C208" s="0" t="n">
        <s:v>112912</s:v>
      </s:c>
      <s:c r="D208" s="0" t="n">
        <s:v>500</s:v>
      </s:c>
      <s:c r="F208" s="24">
        <s:f>'자료구성'!$B$2+TIME(INT($C$3/10000),INT(MOD($C$3,10000)/100),MOD($C$3,100))+(ROW()-ROW($C$3))/86400</s:f>
        <s:v>46247.4809837963</s:v>
      </s:c>
    </s:row>
    <s:row r="209">
      <s:c r="A209" s="0" t="n">
        <s:v>260813</s:v>
      </s:c>
      <s:c r="B209" s="0" t="inlineStr">
        <s:is>
          <s:t>이종훈</s:t>
        </s:is>
      </s:c>
      <s:c r="C209" s="0" t="n">
        <s:v>112912</s:v>
      </s:c>
      <s:c r="D209" s="0" t="n">
        <s:v>500</s:v>
      </s:c>
      <s:c r="F209" s="24">
        <s:f>'자료구성'!$B$2+TIME(INT($C$3/10000),INT(MOD($C$3,10000)/100),MOD($C$3,100))+(ROW()-ROW($C$3))/86400</s:f>
        <s:v>46247.48099537037</s:v>
      </s:c>
    </s:row>
    <s:row r="210">
      <s:c r="A210" s="0" t="n">
        <s:v>260813</s:v>
      </s:c>
      <s:c r="B210" s="0" t="inlineStr">
        <s:is>
          <s:t>이종훈</s:t>
        </s:is>
      </s:c>
      <s:c r="C210" s="0" t="n">
        <s:v>112912</s:v>
      </s:c>
      <s:c r="D210" s="0" t="n">
        <s:v>505</s:v>
      </s:c>
      <s:c r="F210" s="24">
        <s:f>'자료구성'!$B$2+TIME(INT($C$3/10000),INT(MOD($C$3,10000)/100),MOD($C$3,100))+(ROW()-ROW($C$3))/86400</s:f>
        <s:v>46247.48100694444</s:v>
      </s:c>
    </s:row>
    <s:row r="211">
      <s:c r="A211" s="0" t="n">
        <s:v>260813</s:v>
      </s:c>
      <s:c r="B211" s="0" t="inlineStr">
        <s:is>
          <s:t>이종훈</s:t>
        </s:is>
      </s:c>
      <s:c r="C211" s="0" t="n">
        <s:v>112912</s:v>
      </s:c>
      <s:c r="D211" s="0" t="n">
        <s:v>550</s:v>
      </s:c>
      <s:c r="F211" s="24">
        <s:f>'자료구성'!$B$2+TIME(INT($C$3/10000),INT(MOD($C$3,10000)/100),MOD($C$3,100))+(ROW()-ROW($C$3))/86400</s:f>
        <s:v>46247.48101851852</s:v>
      </s:c>
    </s:row>
    <s:row r="212">
      <s:c r="A212" s="0" t="n">
        <s:v>260813</s:v>
      </s:c>
      <s:c r="B212" s="0" t="inlineStr">
        <s:is>
          <s:t>이종훈</s:t>
        </s:is>
      </s:c>
      <s:c r="C212" s="0" t="n">
        <s:v>112912</s:v>
      </s:c>
      <s:c r="D212" s="0" t="n">
        <s:v>599</s:v>
      </s:c>
      <s:c r="F212" s="24">
        <s:f>'자료구성'!$B$2+TIME(INT($C$3/10000),INT(MOD($C$3,10000)/100),MOD($C$3,100))+(ROW()-ROW($C$3))/86400</s:f>
        <s:v>46247.48103009259</s:v>
      </s:c>
    </s:row>
    <s:row r="213">
      <s:c r="A213" s="0" t="n">
        <s:v>260813</s:v>
      </s:c>
      <s:c r="B213" s="0" t="inlineStr">
        <s:is>
          <s:t>이종훈</s:t>
        </s:is>
      </s:c>
      <s:c r="C213" s="0" t="n">
        <s:v>112912</s:v>
      </s:c>
      <s:c r="D213" s="0" t="n">
        <s:v>653</s:v>
      </s:c>
      <s:c r="F213" s="24">
        <s:f>'자료구성'!$B$2+TIME(INT($C$3/10000),INT(MOD($C$3,10000)/100),MOD($C$3,100))+(ROW()-ROW($C$3))/86400</s:f>
        <s:v>46247.481041666666</s:v>
      </s:c>
    </s:row>
    <s:row r="214">
      <s:c r="A214" s="0" t="n">
        <s:v>260813</s:v>
      </s:c>
      <s:c r="B214" s="0" t="inlineStr">
        <s:is>
          <s:t>이종훈</s:t>
        </s:is>
      </s:c>
      <s:c r="C214" s="0" t="n">
        <s:v>112912</s:v>
      </s:c>
      <s:c r="D214" s="0" t="n">
        <s:v>768</s:v>
      </s:c>
      <s:c r="F214" s="24">
        <s:f>'자료구성'!$B$2+TIME(INT($C$3/10000),INT(MOD($C$3,10000)/100),MOD($C$3,100))+(ROW()-ROW($C$3))/86400</s:f>
        <s:v>46247.48105324074</s:v>
      </s:c>
    </s:row>
    <s:row r="215">
      <s:c r="A215" s="0" t="n">
        <s:v>260813</s:v>
      </s:c>
      <s:c r="B215" s="0" t="inlineStr">
        <s:is>
          <s:t>이종훈</s:t>
        </s:is>
      </s:c>
      <s:c r="C215" s="0" t="n">
        <s:v>112912</s:v>
      </s:c>
      <s:c r="D215" s="0" t="n">
        <s:v>844</s:v>
      </s:c>
      <s:c r="F215" s="24">
        <s:f>'자료구성'!$B$2+TIME(INT($C$3/10000),INT(MOD($C$3,10000)/100),MOD($C$3,100))+(ROW()-ROW($C$3))/86400</s:f>
        <s:v>46247.48106481481</s:v>
      </s:c>
    </s:row>
    <s:row r="216">
      <s:c r="A216" s="0" t="n">
        <s:v>260813</s:v>
      </s:c>
      <s:c r="B216" s="0" t="inlineStr">
        <s:is>
          <s:t>이종훈</s:t>
        </s:is>
      </s:c>
      <s:c r="C216" s="0" t="n">
        <s:v>112912</s:v>
      </s:c>
      <s:c r="D216" s="0" t="n">
        <s:v>862</s:v>
      </s:c>
      <s:c r="F216" s="24">
        <s:f>'자료구성'!$B$2+TIME(INT($C$3/10000),INT(MOD($C$3,10000)/100),MOD($C$3,100))+(ROW()-ROW($C$3))/86400</s:f>
        <s:v>46247.48107638889</s:v>
      </s:c>
    </s:row>
    <s:row r="217">
      <s:c r="A217" s="0" t="n">
        <s:v>260813</s:v>
      </s:c>
      <s:c r="B217" s="0" t="inlineStr">
        <s:is>
          <s:t>이종훈</s:t>
        </s:is>
      </s:c>
      <s:c r="C217" s="0" t="n">
        <s:v>112912</s:v>
      </s:c>
      <s:c r="D217" s="0" t="n">
        <s:v>910</s:v>
      </s:c>
      <s:c r="F217" s="24">
        <s:f>'자료구성'!$B$2+TIME(INT($C$3/10000),INT(MOD($C$3,10000)/100),MOD($C$3,100))+(ROW()-ROW($C$3))/86400</s:f>
        <s:v>46247.481087962966</s:v>
      </s:c>
    </s:row>
    <s:row r="218">
      <s:c r="A218" s="0" t="n">
        <s:v>260813</s:v>
      </s:c>
      <s:c r="B218" s="0" t="inlineStr">
        <s:is>
          <s:t>이종훈</s:t>
        </s:is>
      </s:c>
      <s:c r="C218" s="0" t="n">
        <s:v>112912</s:v>
      </s:c>
      <s:c r="D218" s="0" t="n">
        <s:v>906</s:v>
      </s:c>
      <s:c r="F218" s="24">
        <s:f>'자료구성'!$B$2+TIME(INT($C$3/10000),INT(MOD($C$3,10000)/100),MOD($C$3,100))+(ROW()-ROW($C$3))/86400</s:f>
        <s:v>46247.481099537035</s:v>
      </s:c>
    </s:row>
    <s:row r="219">
      <s:c r="A219" s="0" t="n">
        <s:v>260813</s:v>
      </s:c>
      <s:c r="B219" s="0" t="inlineStr">
        <s:is>
          <s:t>이종훈</s:t>
        </s:is>
      </s:c>
      <s:c r="C219" s="0" t="n">
        <s:v>112912</s:v>
      </s:c>
      <s:c r="D219" s="0" t="n">
        <s:v>872</s:v>
      </s:c>
      <s:c r="F219" s="24">
        <s:f>'자료구성'!$B$2+TIME(INT($C$3/10000),INT(MOD($C$3,10000)/100),MOD($C$3,100))+(ROW()-ROW($C$3))/86400</s:f>
        <s:v>46247.48111111111</s:v>
      </s:c>
    </s:row>
    <s:row r="220">
      <s:c r="A220" s="0" t="n">
        <s:v>260813</s:v>
      </s:c>
      <s:c r="B220" s="0" t="inlineStr">
        <s:is>
          <s:t>이종훈</s:t>
        </s:is>
      </s:c>
      <s:c r="C220" s="0" t="n">
        <s:v>112912</s:v>
      </s:c>
      <s:c r="D220" s="0" t="n">
        <s:v>878</s:v>
      </s:c>
      <s:c r="F220" s="24">
        <s:f>'자료구성'!$B$2+TIME(INT($C$3/10000),INT(MOD($C$3,10000)/100),MOD($C$3,100))+(ROW()-ROW($C$3))/86400</s:f>
        <s:v>46247.48112268518</s:v>
      </s:c>
    </s:row>
    <s:row r="221">
      <s:c r="A221" s="0" t="n">
        <s:v>260813</s:v>
      </s:c>
      <s:c r="B221" s="0" t="inlineStr">
        <s:is>
          <s:t>이종훈</s:t>
        </s:is>
      </s:c>
      <s:c r="C221" s="0" t="n">
        <s:v>112912</s:v>
      </s:c>
      <s:c r="D221" s="0" t="n">
        <s:v>911</s:v>
      </s:c>
      <s:c r="F221" s="24">
        <s:f>'자료구성'!$B$2+TIME(INT($C$3/10000),INT(MOD($C$3,10000)/100),MOD($C$3,100))+(ROW()-ROW($C$3))/86400</s:f>
        <s:v>46247.48113425926</s:v>
      </s:c>
    </s:row>
    <s:row r="222">
      <s:c r="A222" s="0" t="n">
        <s:v>260813</s:v>
      </s:c>
      <s:c r="B222" s="0" t="inlineStr">
        <s:is>
          <s:t>이종훈</s:t>
        </s:is>
      </s:c>
      <s:c r="C222" s="0" t="n">
        <s:v>112912</s:v>
      </s:c>
      <s:c r="D222" s="0" t="n">
        <s:v>940</s:v>
      </s:c>
      <s:c r="F222" s="24">
        <s:f>'자료구성'!$B$2+TIME(INT($C$3/10000),INT(MOD($C$3,10000)/100),MOD($C$3,100))+(ROW()-ROW($C$3))/86400</s:f>
        <s:v>46247.481145833335</s:v>
      </s:c>
    </s:row>
    <s:row r="223">
      <s:c r="A223" s="0" t="n">
        <s:v>260813</s:v>
      </s:c>
      <s:c r="B223" s="0" t="inlineStr">
        <s:is>
          <s:t>이종훈</s:t>
        </s:is>
      </s:c>
      <s:c r="C223" s="0" t="n">
        <s:v>112912</s:v>
      </s:c>
      <s:c r="D223" s="0" t="n">
        <s:v>32</s:v>
      </s:c>
      <s:c r="F223" s="24">
        <s:f>'자료구성'!$B$2+TIME(INT($C$3/10000),INT(MOD($C$3,10000)/100),MOD($C$3,100))+(ROW()-ROW($C$3))/86400</s:f>
        <s:v>46247.481157407405</s:v>
      </s:c>
    </s:row>
    <s:row r="224">
      <s:c r="A224" s="0" t="n">
        <s:v>260813</s:v>
      </s:c>
      <s:c r="B224" s="0" t="inlineStr">
        <s:is>
          <s:t>이종훈</s:t>
        </s:is>
      </s:c>
      <s:c r="C224" s="0" t="n">
        <s:v>112912</s:v>
      </s:c>
      <s:c r="D224" s="0" t="n">
        <s:v>132</s:v>
      </s:c>
      <s:c r="F224" s="24">
        <s:f>'자료구성'!$B$2+TIME(INT($C$3/10000),INT(MOD($C$3,10000)/100),MOD($C$3,100))+(ROW()-ROW($C$3))/86400</s:f>
        <s:v>46247.48116898148</s:v>
      </s:c>
    </s:row>
    <s:row r="225">
      <s:c r="A225" s="0" t="n">
        <s:v>260813</s:v>
      </s:c>
      <s:c r="B225" s="0" t="inlineStr">
        <s:is>
          <s:t>이종훈</s:t>
        </s:is>
      </s:c>
      <s:c r="C225" s="0" t="n">
        <s:v>112912</s:v>
      </s:c>
      <s:c r="D225" s="0" t="n">
        <s:v>211</s:v>
      </s:c>
      <s:c r="F225" s="24">
        <s:f>'자료구성'!$B$2+TIME(INT($C$3/10000),INT(MOD($C$3,10000)/100),MOD($C$3,100))+(ROW()-ROW($C$3))/86400</s:f>
        <s:v>46247.48118055556</s:v>
      </s:c>
    </s:row>
    <s:row r="226">
      <s:c r="A226" s="0" t="n">
        <s:v>260813</s:v>
      </s:c>
      <s:c r="B226" s="0" t="inlineStr">
        <s:is>
          <s:t>이종훈</s:t>
        </s:is>
      </s:c>
      <s:c r="C226" s="0" t="n">
        <s:v>112912</s:v>
      </s:c>
      <s:c r="D226" s="0" t="n">
        <s:v>237</s:v>
      </s:c>
      <s:c r="F226" s="24">
        <s:f>'자료구성'!$B$2+TIME(INT($C$3/10000),INT(MOD($C$3,10000)/100),MOD($C$3,100))+(ROW()-ROW($C$3))/86400</s:f>
        <s:v>46247.48119212963</s:v>
      </s:c>
    </s:row>
    <s:row r="227">
      <s:c r="A227" s="0" t="n">
        <s:v>260813</s:v>
      </s:c>
      <s:c r="B227" s="0" t="inlineStr">
        <s:is>
          <s:t>이종훈</s:t>
        </s:is>
      </s:c>
      <s:c r="C227" s="0" t="n">
        <s:v>112912</s:v>
      </s:c>
      <s:c r="D227" s="0" t="n">
        <s:v>285</s:v>
      </s:c>
      <s:c r="F227" s="24">
        <s:f>'자료구성'!$B$2+TIME(INT($C$3/10000),INT(MOD($C$3,10000)/100),MOD($C$3,100))+(ROW()-ROW($C$3))/86400</s:f>
        <s:v>46247.481203703705</s:v>
      </s:c>
    </s:row>
    <s:row r="228">
      <s:c r="A228" s="0" t="n">
        <s:v>260813</s:v>
      </s:c>
      <s:c r="B228" s="0" t="inlineStr">
        <s:is>
          <s:t>이종훈</s:t>
        </s:is>
      </s:c>
      <s:c r="C228" s="0" t="n">
        <s:v>112912</s:v>
      </s:c>
      <s:c r="D228" s="0" t="n">
        <s:v>305</s:v>
      </s:c>
      <s:c r="F228" s="24">
        <s:f>'자료구성'!$B$2+TIME(INT($C$3/10000),INT(MOD($C$3,10000)/100),MOD($C$3,100))+(ROW()-ROW($C$3))/86400</s:f>
        <s:v>46247.48121527778</s:v>
      </s:c>
    </s:row>
    <s:row r="229">
      <s:c r="A229" s="0" t="n">
        <s:v>260813</s:v>
      </s:c>
      <s:c r="B229" s="0" t="inlineStr">
        <s:is>
          <s:t>이종훈</s:t>
        </s:is>
      </s:c>
      <s:c r="C229" s="0" t="n">
        <s:v>112912</s:v>
      </s:c>
      <s:c r="D229" s="0" t="n">
        <s:v>311</s:v>
      </s:c>
      <s:c r="F229" s="24">
        <s:f>'자료구성'!$B$2+TIME(INT($C$3/10000),INT(MOD($C$3,10000)/100),MOD($C$3,100))+(ROW()-ROW($C$3))/86400</s:f>
        <s:v>46247.48122685185</s:v>
      </s:c>
    </s:row>
    <s:row r="230">
      <s:c r="A230" s="0" t="n">
        <s:v>260813</s:v>
      </s:c>
      <s:c r="B230" s="0" t="inlineStr">
        <s:is>
          <s:t>이종훈</s:t>
        </s:is>
      </s:c>
      <s:c r="C230" s="0" t="n">
        <s:v>112912</s:v>
      </s:c>
      <s:c r="D230" s="0" t="n">
        <s:v>331</s:v>
      </s:c>
      <s:c r="F230" s="24">
        <s:f>'자료구성'!$B$2+TIME(INT($C$3/10000),INT(MOD($C$3,10000)/100),MOD($C$3,100))+(ROW()-ROW($C$3))/86400</s:f>
        <s:v>46247.48123842593</s:v>
      </s:c>
    </s:row>
    <s:row r="231">
      <s:c r="A231" s="0" t="n">
        <s:v>260813</s:v>
      </s:c>
      <s:c r="B231" s="0" t="inlineStr">
        <s:is>
          <s:t>이종훈</s:t>
        </s:is>
      </s:c>
      <s:c r="C231" s="0" t="n">
        <s:v>112912</s:v>
      </s:c>
      <s:c r="D231" s="0" t="n">
        <s:v>230</s:v>
      </s:c>
      <s:c r="F231" s="24">
        <s:f>'자료구성'!$B$2+TIME(INT($C$3/10000),INT(MOD($C$3,10000)/100),MOD($C$3,100))+(ROW()-ROW($C$3))/86400</s:f>
        <s:v>46247.48125</s:v>
      </s:c>
    </s:row>
    <s:row r="232">
      <s:c r="A232" s="0" t="n">
        <s:v>260813</s:v>
      </s:c>
      <s:c r="B232" s="0" t="inlineStr">
        <s:is>
          <s:t>이종훈</s:t>
        </s:is>
      </s:c>
      <s:c r="C232" s="0" t="n">
        <s:v>112912</s:v>
      </s:c>
      <s:c r="D232" s="0" t="n">
        <s:v>139</s:v>
      </s:c>
      <s:c r="F232" s="24">
        <s:f>'자료구성'!$B$2+TIME(INT($C$3/10000),INT(MOD($C$3,10000)/100),MOD($C$3,100))+(ROW()-ROW($C$3))/86400</s:f>
        <s:v>46247.481261574074</s:v>
      </s:c>
    </s:row>
    <s:row r="233">
      <s:c r="A233" s="0" t="n">
        <s:v>260813</s:v>
      </s:c>
      <s:c r="B233" s="0" t="inlineStr">
        <s:is>
          <s:t>이종훈</s:t>
        </s:is>
      </s:c>
      <s:c r="C233" s="0" t="n">
        <s:v>112912</s:v>
      </s:c>
      <s:c r="D233" s="0" t="n">
        <s:v>188</s:v>
      </s:c>
      <s:c r="F233" s="24">
        <s:f>'자료구성'!$B$2+TIME(INT($C$3/10000),INT(MOD($C$3,10000)/100),MOD($C$3,100))+(ROW()-ROW($C$3))/86400</s:f>
        <s:v>46247.48127314815</s:v>
      </s:c>
    </s:row>
    <s:row r="234">
      <s:c r="A234" s="0" t="n">
        <s:v>260813</s:v>
      </s:c>
      <s:c r="B234" s="0" t="inlineStr">
        <s:is>
          <s:t>이종훈</s:t>
        </s:is>
      </s:c>
      <s:c r="C234" s="0" t="n">
        <s:v>112912</s:v>
      </s:c>
      <s:c r="D234" s="0" t="n">
        <s:v>304</s:v>
      </s:c>
      <s:c r="F234" s="24">
        <s:f>'자료구성'!$B$2+TIME(INT($C$3/10000),INT(MOD($C$3,10000)/100),MOD($C$3,100))+(ROW()-ROW($C$3))/86400</s:f>
        <s:v>46247.48128472222</s:v>
      </s:c>
    </s:row>
    <s:row r="235">
      <s:c r="A235" s="0" t="n">
        <s:v>260813</s:v>
      </s:c>
      <s:c r="B235" s="0" t="inlineStr">
        <s:is>
          <s:t>이종훈</s:t>
        </s:is>
      </s:c>
      <s:c r="C235" s="0" t="n">
        <s:v>112912</s:v>
      </s:c>
      <s:c r="D235" s="0" t="n">
        <s:v>336</s:v>
      </s:c>
      <s:c r="F235" s="24">
        <s:f>'자료구성'!$B$2+TIME(INT($C$3/10000),INT(MOD($C$3,10000)/100),MOD($C$3,100))+(ROW()-ROW($C$3))/86400</s:f>
        <s:v>46247.4812962963</s:v>
      </s:c>
    </s:row>
    <s:row r="236">
      <s:c r="A236" s="0" t="n">
        <s:v>260813</s:v>
      </s:c>
      <s:c r="B236" s="0" t="inlineStr">
        <s:is>
          <s:t>이종훈</s:t>
        </s:is>
      </s:c>
      <s:c r="C236" s="0" t="n">
        <s:v>112912</s:v>
      </s:c>
      <s:c r="D236" s="0" t="n">
        <s:v>312</s:v>
      </s:c>
      <s:c r="F236" s="24">
        <s:f>'자료구성'!$B$2+TIME(INT($C$3/10000),INT(MOD($C$3,10000)/100),MOD($C$3,100))+(ROW()-ROW($C$3))/86400</s:f>
        <s:v>46247.481307870374</s:v>
      </s:c>
    </s:row>
    <s:row r="237">
      <s:c r="A237" s="0" t="n">
        <s:v>260813</s:v>
      </s:c>
      <s:c r="B237" s="0" t="inlineStr">
        <s:is>
          <s:t>이종훈</s:t>
        </s:is>
      </s:c>
      <s:c r="C237" s="0" t="n">
        <s:v>112912</s:v>
      </s:c>
      <s:c r="D237" s="0" t="n">
        <s:v>295</s:v>
      </s:c>
      <s:c r="F237" s="24">
        <s:f>'자료구성'!$B$2+TIME(INT($C$3/10000),INT(MOD($C$3,10000)/100),MOD($C$3,100))+(ROW()-ROW($C$3))/86400</s:f>
        <s:v>46247.48131944444</s:v>
      </s:c>
    </s:row>
    <s:row r="238">
      <s:c r="A238" s="0" t="n">
        <s:v>260813</s:v>
      </s:c>
      <s:c r="B238" s="0" t="inlineStr">
        <s:is>
          <s:t>이종훈</s:t>
        </s:is>
      </s:c>
      <s:c r="C238" s="0" t="n">
        <s:v>112912</s:v>
      </s:c>
      <s:c r="D238" s="0" t="n">
        <s:v>312</s:v>
      </s:c>
      <s:c r="F238" s="24">
        <s:f>'자료구성'!$B$2+TIME(INT($C$3/10000),INT(MOD($C$3,10000)/100),MOD($C$3,100))+(ROW()-ROW($C$3))/86400</s:f>
        <s:v>46247.48133101852</s:v>
      </s:c>
    </s:row>
    <s:row r="239">
      <s:c r="A239" s="0" t="n">
        <s:v>260813</s:v>
      </s:c>
      <s:c r="B239" s="0" t="inlineStr">
        <s:is>
          <s:t>이종훈</s:t>
        </s:is>
      </s:c>
      <s:c r="C239" s="0" t="n">
        <s:v>112912</s:v>
      </s:c>
      <s:c r="D239" s="0" t="n">
        <s:v>352</s:v>
      </s:c>
      <s:c r="F239" s="24">
        <s:f>'자료구성'!$B$2+TIME(INT($C$3/10000),INT(MOD($C$3,10000)/100),MOD($C$3,100))+(ROW()-ROW($C$3))/86400</s:f>
        <s:v>46247.48134259259</s:v>
      </s:c>
    </s:row>
    <s:row r="240">
      <s:c r="A240" s="0" t="n">
        <s:v>260813</s:v>
      </s:c>
      <s:c r="B240" s="0" t="inlineStr">
        <s:is>
          <s:t>이종훈</s:t>
        </s:is>
      </s:c>
      <s:c r="C240" s="0" t="n">
        <s:v>112912</s:v>
      </s:c>
      <s:c r="D240" s="0" t="n">
        <s:v>390</s:v>
      </s:c>
      <s:c r="F240" s="24">
        <s:f>'자료구성'!$B$2+TIME(INT($C$3/10000),INT(MOD($C$3,10000)/100),MOD($C$3,100))+(ROW()-ROW($C$3))/86400</s:f>
        <s:v>46247.481354166666</s:v>
      </s:c>
    </s:row>
    <s:row r="241">
      <s:c r="A241" s="0" t="n">
        <s:v>260813</s:v>
      </s:c>
      <s:c r="B241" s="0" t="inlineStr">
        <s:is>
          <s:t>이종훈</s:t>
        </s:is>
      </s:c>
      <s:c r="C241" s="0" t="n">
        <s:v>112912</s:v>
      </s:c>
      <s:c r="D241" s="0" t="n">
        <s:v>381</s:v>
      </s:c>
      <s:c r="F241" s="24">
        <s:f>'자료구성'!$B$2+TIME(INT($C$3/10000),INT(MOD($C$3,10000)/100),MOD($C$3,100))+(ROW()-ROW($C$3))/86400</s:f>
        <s:v>46247.48136574074</s:v>
      </s:c>
    </s:row>
    <s:row r="242">
      <s:c r="A242" s="0" t="n">
        <s:v>260813</s:v>
      </s:c>
      <s:c r="B242" s="0" t="inlineStr">
        <s:is>
          <s:t>이종훈</s:t>
        </s:is>
      </s:c>
      <s:c r="C242" s="0" t="n">
        <s:v>112912</s:v>
      </s:c>
      <s:c r="D242" s="0" t="n">
        <s:v>340</s:v>
      </s:c>
      <s:c r="F242" s="24">
        <s:f>'자료구성'!$B$2+TIME(INT($C$3/10000),INT(MOD($C$3,10000)/100),MOD($C$3,100))+(ROW()-ROW($C$3))/86400</s:f>
        <s:v>46247.48137731481</s:v>
      </s:c>
    </s:row>
    <s:row r="243">
      <s:c r="A243" s="0" t="n">
        <s:v>260813</s:v>
      </s:c>
      <s:c r="B243" s="0" t="inlineStr">
        <s:is>
          <s:t>이종훈</s:t>
        </s:is>
      </s:c>
      <s:c r="C243" s="0" t="n">
        <s:v>112912</s:v>
      </s:c>
      <s:c r="D243" s="0" t="n">
        <s:v>271</s:v>
      </s:c>
      <s:c r="F243" s="24">
        <s:f>'자료구성'!$B$2+TIME(INT($C$3/10000),INT(MOD($C$3,10000)/100),MOD($C$3,100))+(ROW()-ROW($C$3))/86400</s:f>
        <s:v>46247.48138888889</s:v>
      </s:c>
    </s:row>
    <s:row r="244">
      <s:c r="A244" s="0" t="n">
        <s:v>260813</s:v>
      </s:c>
      <s:c r="B244" s="0" t="inlineStr">
        <s:is>
          <s:t>이종훈</s:t>
        </s:is>
      </s:c>
      <s:c r="C244" s="0" t="n">
        <s:v>112912</s:v>
      </s:c>
      <s:c r="D244" s="0" t="n">
        <s:v>234</s:v>
      </s:c>
      <s:c r="F244" s="24">
        <s:f>'자료구성'!$B$2+TIME(INT($C$3/10000),INT(MOD($C$3,10000)/100),MOD($C$3,100))+(ROW()-ROW($C$3))/86400</s:f>
        <s:v>46247.481400462966</s:v>
      </s:c>
    </s:row>
    <s:row r="245">
      <s:c r="A245" s="0" t="n">
        <s:v>260813</s:v>
      </s:c>
      <s:c r="B245" s="0" t="inlineStr">
        <s:is>
          <s:t>이종훈</s:t>
        </s:is>
      </s:c>
      <s:c r="C245" s="0" t="n">
        <s:v>112912</s:v>
      </s:c>
      <s:c r="D245" s="0" t="n">
        <s:v>237</s:v>
      </s:c>
      <s:c r="F245" s="24">
        <s:f>'자료구성'!$B$2+TIME(INT($C$3/10000),INT(MOD($C$3,10000)/100),MOD($C$3,100))+(ROW()-ROW($C$3))/86400</s:f>
        <s:v>46247.481412037036</s:v>
      </s:c>
    </s:row>
    <s:row r="246">
      <s:c r="A246" s="0" t="n">
        <s:v>260813</s:v>
      </s:c>
      <s:c r="B246" s="0" t="inlineStr">
        <s:is>
          <s:t>이종훈</s:t>
        </s:is>
      </s:c>
      <s:c r="C246" s="0" t="n">
        <s:v>112912</s:v>
      </s:c>
      <s:c r="D246" s="0" t="n">
        <s:v>239</s:v>
      </s:c>
      <s:c r="F246" s="24">
        <s:f>'자료구성'!$B$2+TIME(INT($C$3/10000),INT(MOD($C$3,10000)/100),MOD($C$3,100))+(ROW()-ROW($C$3))/86400</s:f>
        <s:v>46247.48142361111</s:v>
      </s:c>
    </s:row>
    <s:row r="247">
      <s:c r="A247" s="0" t="n">
        <s:v>260813</s:v>
      </s:c>
      <s:c r="B247" s="0" t="inlineStr">
        <s:is>
          <s:t>이종훈</s:t>
        </s:is>
      </s:c>
      <s:c r="C247" s="0" t="n">
        <s:v>112912</s:v>
      </s:c>
      <s:c r="D247" s="0" t="n">
        <s:v>270</s:v>
      </s:c>
      <s:c r="F247" s="24">
        <s:f>'자료구성'!$B$2+TIME(INT($C$3/10000),INT(MOD($C$3,10000)/100),MOD($C$3,100))+(ROW()-ROW($C$3))/86400</s:f>
        <s:v>46247.48143518518</s:v>
      </s:c>
    </s:row>
    <s:row r="248">
      <s:c r="A248" s="0" t="n">
        <s:v>260813</s:v>
      </s:c>
      <s:c r="B248" s="0" t="inlineStr">
        <s:is>
          <s:t>이종훈</s:t>
        </s:is>
      </s:c>
      <s:c r="C248" s="0" t="n">
        <s:v>112912</s:v>
      </s:c>
      <s:c r="D248" s="0" t="n">
        <s:v>279</s:v>
      </s:c>
      <s:c r="F248" s="24">
        <s:f>'자료구성'!$B$2+TIME(INT($C$3/10000),INT(MOD($C$3,10000)/100),MOD($C$3,100))+(ROW()-ROW($C$3))/86400</s:f>
        <s:v>46247.48144675926</s:v>
      </s:c>
    </s:row>
    <s:row r="249">
      <s:c r="A249" s="0" t="n">
        <s:v>260813</s:v>
      </s:c>
      <s:c r="B249" s="0" t="inlineStr">
        <s:is>
          <s:t>이종훈</s:t>
        </s:is>
      </s:c>
      <s:c r="C249" s="0" t="n">
        <s:v>112912</s:v>
      </s:c>
      <s:c r="D249" s="0" t="n">
        <s:v>310</s:v>
      </s:c>
      <s:c r="F249" s="24">
        <s:f>'자료구성'!$B$2+TIME(INT($C$3/10000),INT(MOD($C$3,10000)/100),MOD($C$3,100))+(ROW()-ROW($C$3))/86400</s:f>
        <s:v>46247.481458333335</s:v>
      </s:c>
    </s:row>
    <s:row r="250">
      <s:c r="A250" s="0" t="n">
        <s:v>260813</s:v>
      </s:c>
      <s:c r="B250" s="0" t="inlineStr">
        <s:is>
          <s:t>이종훈</s:t>
        </s:is>
      </s:c>
      <s:c r="C250" s="0" t="n">
        <s:v>112912</s:v>
      </s:c>
      <s:c r="D250" s="0" t="n">
        <s:v>307</s:v>
      </s:c>
      <s:c r="F250" s="24">
        <s:f>'자료구성'!$B$2+TIME(INT($C$3/10000),INT(MOD($C$3,10000)/100),MOD($C$3,100))+(ROW()-ROW($C$3))/86400</s:f>
        <s:v>46247.481469907405</s:v>
      </s:c>
    </s:row>
    <s:row r="251">
      <s:c r="A251" s="0" t="n">
        <s:v>260813</s:v>
      </s:c>
      <s:c r="B251" s="0" t="inlineStr">
        <s:is>
          <s:t>이종훈</s:t>
        </s:is>
      </s:c>
      <s:c r="C251" s="0" t="n">
        <s:v>112912</s:v>
      </s:c>
      <s:c r="D251" s="0" t="n">
        <s:v>286</s:v>
      </s:c>
      <s:c r="F251" s="24">
        <s:f>'자료구성'!$B$2+TIME(INT($C$3/10000),INT(MOD($C$3,10000)/100),MOD($C$3,100))+(ROW()-ROW($C$3))/86400</s:f>
        <s:v>46247.48148148148</s:v>
      </s:c>
    </s:row>
    <s:row r="252">
      <s:c r="A252" s="0" t="n">
        <s:v>260813</s:v>
      </s:c>
      <s:c r="B252" s="0" t="inlineStr">
        <s:is>
          <s:t>이종훈</s:t>
        </s:is>
      </s:c>
      <s:c r="C252" s="0" t="n">
        <s:v>112912</s:v>
      </s:c>
      <s:c r="D252" s="0" t="n">
        <s:v>387</s:v>
      </s:c>
      <s:c r="F252" s="24">
        <s:f>'자료구성'!$B$2+TIME(INT($C$3/10000),INT(MOD($C$3,10000)/100),MOD($C$3,100))+(ROW()-ROW($C$3))/86400</s:f>
        <s:v>46247.48149305556</s:v>
      </s:c>
    </s:row>
    <s:row r="253">
      <s:c r="A253" s="0" t="n">
        <s:v>260813</s:v>
      </s:c>
      <s:c r="B253" s="0" t="inlineStr">
        <s:is>
          <s:t>이종훈</s:t>
        </s:is>
      </s:c>
      <s:c r="C253" s="0" t="n">
        <s:v>112912</s:v>
      </s:c>
      <s:c r="D253" s="0" t="n">
        <s:v>475</s:v>
      </s:c>
      <s:c r="F253" s="24">
        <s:f>'자료구성'!$B$2+TIME(INT($C$3/10000),INT(MOD($C$3,10000)/100),MOD($C$3,100))+(ROW()-ROW($C$3))/86400</s:f>
        <s:v>46247.48150462963</s:v>
      </s:c>
    </s:row>
    <s:row r="254">
      <s:c r="A254" s="0" t="n">
        <s:v>260813</s:v>
      </s:c>
      <s:c r="B254" s="0" t="inlineStr">
        <s:is>
          <s:t>이종훈</s:t>
        </s:is>
      </s:c>
      <s:c r="C254" s="0" t="n">
        <s:v>112912</s:v>
      </s:c>
      <s:c r="D254" s="0" t="n">
        <s:v>510</s:v>
      </s:c>
      <s:c r="F254" s="24">
        <s:f>'자료구성'!$B$2+TIME(INT($C$3/10000),INT(MOD($C$3,10000)/100),MOD($C$3,100))+(ROW()-ROW($C$3))/86400</s:f>
        <s:v>46247.481516203705</s:v>
      </s:c>
    </s:row>
    <s:row r="255">
      <s:c r="A255" s="0" t="n">
        <s:v>260813</s:v>
      </s:c>
      <s:c r="B255" s="0" t="inlineStr">
        <s:is>
          <s:t>이종훈</s:t>
        </s:is>
      </s:c>
      <s:c r="C255" s="0" t="n">
        <s:v>112912</s:v>
      </s:c>
      <s:c r="D255" s="0" t="n">
        <s:v>518</s:v>
      </s:c>
      <s:c r="F255" s="24">
        <s:f>'자료구성'!$B$2+TIME(INT($C$3/10000),INT(MOD($C$3,10000)/100),MOD($C$3,100))+(ROW()-ROW($C$3))/86400</s:f>
        <s:v>46247.481527777774</s:v>
      </s:c>
    </s:row>
    <s:row r="256">
      <s:c r="A256" s="0" t="n">
        <s:v>260813</s:v>
      </s:c>
      <s:c r="B256" s="0" t="inlineStr">
        <s:is>
          <s:t>이종훈</s:t>
        </s:is>
      </s:c>
      <s:c r="C256" s="0" t="n">
        <s:v>112912</s:v>
      </s:c>
      <s:c r="D256" s="0" t="n">
        <s:v>498</s:v>
      </s:c>
      <s:c r="F256" s="24">
        <s:f>'자료구성'!$B$2+TIME(INT($C$3/10000),INT(MOD($C$3,10000)/100),MOD($C$3,100))+(ROW()-ROW($C$3))/86400</s:f>
        <s:v>46247.48153935185</s:v>
      </s:c>
    </s:row>
    <s:row r="257">
      <s:c r="A257" s="0" t="n">
        <s:v>260813</s:v>
      </s:c>
      <s:c r="B257" s="0" t="inlineStr">
        <s:is>
          <s:t>이종훈</s:t>
        </s:is>
      </s:c>
      <s:c r="C257" s="0" t="n">
        <s:v>112912</s:v>
      </s:c>
      <s:c r="D257" s="0" t="n">
        <s:v>502</s:v>
      </s:c>
      <s:c r="F257" s="24">
        <s:f>'자료구성'!$B$2+TIME(INT($C$3/10000),INT(MOD($C$3,10000)/100),MOD($C$3,100))+(ROW()-ROW($C$3))/86400</s:f>
        <s:v>46247.48155092593</s:v>
      </s:c>
    </s:row>
    <s:row r="258">
      <s:c r="A258" s="0" t="n">
        <s:v>260813</s:v>
      </s:c>
      <s:c r="B258" s="0" t="inlineStr">
        <s:is>
          <s:t>이종훈</s:t>
        </s:is>
      </s:c>
      <s:c r="C258" s="0" t="n">
        <s:v>112912</s:v>
      </s:c>
      <s:c r="D258" s="0" t="n">
        <s:v>478</s:v>
      </s:c>
      <s:c r="F258" s="24">
        <s:f>'자료구성'!$B$2+TIME(INT($C$3/10000),INT(MOD($C$3,10000)/100),MOD($C$3,100))+(ROW()-ROW($C$3))/86400</s:f>
        <s:v>46247.4815625</s:v>
      </s:c>
    </s:row>
    <s:row r="259">
      <s:c r="A259" s="0" t="n">
        <s:v>260813</s:v>
      </s:c>
      <s:c r="B259" s="0" t="inlineStr">
        <s:is>
          <s:t>이종훈</s:t>
        </s:is>
      </s:c>
      <s:c r="C259" s="0" t="n">
        <s:v>112912</s:v>
      </s:c>
      <s:c r="D259" s="0" t="n">
        <s:v>457</s:v>
      </s:c>
      <s:c r="F259" s="24">
        <s:f>'자료구성'!$B$2+TIME(INT($C$3/10000),INT(MOD($C$3,10000)/100),MOD($C$3,100))+(ROW()-ROW($C$3))/86400</s:f>
        <s:v>46247.481574074074</s:v>
      </s:c>
    </s:row>
    <s:row r="260">
      <s:c r="A260" s="0" t="n">
        <s:v>260813</s:v>
      </s:c>
      <s:c r="B260" s="0" t="inlineStr">
        <s:is>
          <s:t>이종훈</s:t>
        </s:is>
      </s:c>
      <s:c r="C260" s="0" t="n">
        <s:v>112912</s:v>
      </s:c>
      <s:c r="D260" s="0" t="n">
        <s:v>429</s:v>
      </s:c>
      <s:c r="F260" s="24">
        <s:f>'자료구성'!$B$2+TIME(INT($C$3/10000),INT(MOD($C$3,10000)/100),MOD($C$3,100))+(ROW()-ROW($C$3))/86400</s:f>
        <s:v>46247.48158564815</s:v>
      </s:c>
    </s:row>
    <s:row r="261">
      <s:c r="A261" s="0" t="n">
        <s:v>260813</s:v>
      </s:c>
      <s:c r="B261" s="0" t="inlineStr">
        <s:is>
          <s:t>이종훈</s:t>
        </s:is>
      </s:c>
      <s:c r="C261" s="0" t="n">
        <s:v>112912</s:v>
      </s:c>
      <s:c r="D261" s="0" t="n">
        <s:v>400</s:v>
      </s:c>
      <s:c r="F261" s="24">
        <s:f>'자료구성'!$B$2+TIME(INT($C$3/10000),INT(MOD($C$3,10000)/100),MOD($C$3,100))+(ROW()-ROW($C$3))/86400</s:f>
        <s:v>46247.48159722222</s:v>
      </s:c>
    </s:row>
    <s:row r="262">
      <s:c r="A262" s="0" t="n">
        <s:v>260813</s:v>
      </s:c>
      <s:c r="B262" s="0" t="inlineStr">
        <s:is>
          <s:t>이종훈</s:t>
        </s:is>
      </s:c>
      <s:c r="C262" s="0" t="n">
        <s:v>112912</s:v>
      </s:c>
      <s:c r="D262" s="0" t="n">
        <s:v>403</s:v>
      </s:c>
      <s:c r="F262" s="24">
        <s:f>'자료구성'!$B$2+TIME(INT($C$3/10000),INT(MOD($C$3,10000)/100),MOD($C$3,100))+(ROW()-ROW($C$3))/86400</s:f>
        <s:v>46247.4816087963</s:v>
      </s:c>
    </s:row>
    <s:row r="263">
      <s:c r="A263" s="0" t="n">
        <s:v>260813</s:v>
      </s:c>
      <s:c r="B263" s="0" t="inlineStr">
        <s:is>
          <s:t>이종훈</s:t>
        </s:is>
      </s:c>
      <s:c r="C263" s="0" t="n">
        <s:v>112912</s:v>
      </s:c>
      <s:c r="D263" s="0" t="n">
        <s:v>403</s:v>
      </s:c>
      <s:c r="F263" s="24">
        <s:f>'자료구성'!$B$2+TIME(INT($C$3/10000),INT(MOD($C$3,10000)/100),MOD($C$3,100))+(ROW()-ROW($C$3))/86400</s:f>
        <s:v>46247.481620370374</s:v>
      </s:c>
    </s:row>
    <s:row r="264">
      <s:c r="A264" s="0" t="n">
        <s:v>260813</s:v>
      </s:c>
      <s:c r="B264" s="0" t="inlineStr">
        <s:is>
          <s:t>이종훈</s:t>
        </s:is>
      </s:c>
      <s:c r="C264" s="0" t="n">
        <s:v>112912</s:v>
      </s:c>
      <s:c r="D264" s="0" t="n">
        <s:v>394</s:v>
      </s:c>
      <s:c r="F264" s="24">
        <s:f>'자료구성'!$B$2+TIME(INT($C$3/10000),INT(MOD($C$3,10000)/100),MOD($C$3,100))+(ROW()-ROW($C$3))/86400</s:f>
        <s:v>46247.48163194444</s:v>
      </s:c>
    </s:row>
    <s:row r="265">
      <s:c r="A265" s="0" t="n">
        <s:v>260813</s:v>
      </s:c>
      <s:c r="B265" s="0" t="inlineStr">
        <s:is>
          <s:t>이종훈</s:t>
        </s:is>
      </s:c>
      <s:c r="C265" s="0" t="n">
        <s:v>112912</s:v>
      </s:c>
      <s:c r="D265" s="0" t="n">
        <s:v>352</s:v>
      </s:c>
      <s:c r="F265" s="24">
        <s:f>'자료구성'!$B$2+TIME(INT($C$3/10000),INT(MOD($C$3,10000)/100),MOD($C$3,100))+(ROW()-ROW($C$3))/86400</s:f>
        <s:v>46247.48164351852</s:v>
      </s:c>
    </s:row>
    <s:row r="266">
      <s:c r="A266" s="0" t="n">
        <s:v>260813</s:v>
      </s:c>
      <s:c r="B266" s="0" t="inlineStr">
        <s:is>
          <s:t>이종훈</s:t>
        </s:is>
      </s:c>
      <s:c r="C266" s="0" t="n">
        <s:v>112912</s:v>
      </s:c>
      <s:c r="D266" s="0" t="n">
        <s:v>317</s:v>
      </s:c>
      <s:c r="F266" s="24">
        <s:f>'자료구성'!$B$2+TIME(INT($C$3/10000),INT(MOD($C$3,10000)/100),MOD($C$3,100))+(ROW()-ROW($C$3))/86400</s:f>
        <s:v>46247.48165509259</s:v>
      </s:c>
    </s:row>
    <s:row r="267">
      <s:c r="A267" s="0" t="n">
        <s:v>260813</s:v>
      </s:c>
      <s:c r="B267" s="0" t="inlineStr">
        <s:is>
          <s:t>이종훈</s:t>
        </s:is>
      </s:c>
      <s:c r="C267" s="0" t="n">
        <s:v>112912</s:v>
      </s:c>
      <s:c r="D267" s="0" t="n">
        <s:v>287</s:v>
      </s:c>
      <s:c r="F267" s="24">
        <s:f>'자료구성'!$B$2+TIME(INT($C$3/10000),INT(MOD($C$3,10000)/100),MOD($C$3,100))+(ROW()-ROW($C$3))/86400</s:f>
        <s:v>46247.48166666667</s:v>
      </s:c>
    </s:row>
    <s:row r="268">
      <s:c r="A268" s="0" t="n">
        <s:v>260813</s:v>
      </s:c>
      <s:c r="B268" s="0" t="inlineStr">
        <s:is>
          <s:t>이종훈</s:t>
        </s:is>
      </s:c>
      <s:c r="C268" s="0" t="n">
        <s:v>112912</s:v>
      </s:c>
      <s:c r="D268" s="0" t="n">
        <s:v>266</s:v>
      </s:c>
      <s:c r="F268" s="24">
        <s:f>'자료구성'!$B$2+TIME(INT($C$3/10000),INT(MOD($C$3,10000)/100),MOD($C$3,100))+(ROW()-ROW($C$3))/86400</s:f>
        <s:v>46247.48167824074</s:v>
      </s:c>
    </s:row>
    <s:row r="269">
      <s:c r="A269" s="0" t="n">
        <s:v>260813</s:v>
      </s:c>
      <s:c r="B269" s="0" t="inlineStr">
        <s:is>
          <s:t>이종훈</s:t>
        </s:is>
      </s:c>
      <s:c r="C269" s="0" t="n">
        <s:v>112912</s:v>
      </s:c>
      <s:c r="D269" s="0" t="n">
        <s:v>242</s:v>
      </s:c>
      <s:c r="F269" s="24">
        <s:f>'자료구성'!$B$2+TIME(INT($C$3/10000),INT(MOD($C$3,10000)/100),MOD($C$3,100))+(ROW()-ROW($C$3))/86400</s:f>
        <s:v>46247.48168981481</s:v>
      </s:c>
    </s:row>
    <s:row r="270">
      <s:c r="A270" s="0" t="n">
        <s:v>260813</s:v>
      </s:c>
      <s:c r="B270" s="0" t="inlineStr">
        <s:is>
          <s:t>이종훈</s:t>
        </s:is>
      </s:c>
      <s:c r="C270" s="0" t="n">
        <s:v>112912</s:v>
      </s:c>
      <s:c r="D270" s="0" t="n">
        <s:v>227</s:v>
      </s:c>
      <s:c r="F270" s="24">
        <s:f>'자료구성'!$B$2+TIME(INT($C$3/10000),INT(MOD($C$3,10000)/100),MOD($C$3,100))+(ROW()-ROW($C$3))/86400</s:f>
        <s:v>46247.48170138889</s:v>
      </s:c>
    </s:row>
    <s:row r="271">
      <s:c r="A271" s="0" t="n">
        <s:v>260813</s:v>
      </s:c>
      <s:c r="B271" s="0" t="inlineStr">
        <s:is>
          <s:t>이종훈</s:t>
        </s:is>
      </s:c>
      <s:c r="C271" s="0" t="n">
        <s:v>112912</s:v>
      </s:c>
      <s:c r="D271" s="0" t="n">
        <s:v>220</s:v>
      </s:c>
      <s:c r="F271" s="24">
        <s:f>'자료구성'!$B$2+TIME(INT($C$3/10000),INT(MOD($C$3,10000)/100),MOD($C$3,100))+(ROW()-ROW($C$3))/86400</s:f>
        <s:v>46247.48171296297</s:v>
      </s:c>
    </s:row>
    <s:row r="272">
      <s:c r="A272" s="0" t="n">
        <s:v>260813</s:v>
      </s:c>
      <s:c r="B272" s="0" t="inlineStr">
        <s:is>
          <s:t>이종훈</s:t>
        </s:is>
      </s:c>
      <s:c r="C272" s="0" t="n">
        <s:v>112912</s:v>
      </s:c>
      <s:c r="D272" s="0" t="n">
        <s:v>214</s:v>
      </s:c>
      <s:c r="F272" s="24">
        <s:f>'자료구성'!$B$2+TIME(INT($C$3/10000),INT(MOD($C$3,10000)/100),MOD($C$3,100))+(ROW()-ROW($C$3))/86400</s:f>
        <s:v>46247.481724537036</s:v>
      </s:c>
    </s:row>
    <s:row r="273">
      <s:c r="A273" s="0" t="n">
        <s:v>260813</s:v>
      </s:c>
      <s:c r="B273" s="0" t="inlineStr">
        <s:is>
          <s:t>이종훈</s:t>
        </s:is>
      </s:c>
      <s:c r="C273" s="0" t="n">
        <s:v>112912</s:v>
      </s:c>
      <s:c r="D273" s="0" t="n">
        <s:v>206</s:v>
      </s:c>
      <s:c r="F273" s="24">
        <s:f>'자료구성'!$B$2+TIME(INT($C$3/10000),INT(MOD($C$3,10000)/100),MOD($C$3,100))+(ROW()-ROW($C$3))/86400</s:f>
        <s:v>46247.48173611111</s:v>
      </s:c>
    </s:row>
    <s:row r="274">
      <s:c r="A274" s="0" t="n">
        <s:v>260813</s:v>
      </s:c>
      <s:c r="B274" s="0" t="inlineStr">
        <s:is>
          <s:t>이종훈</s:t>
        </s:is>
      </s:c>
      <s:c r="C274" s="0" t="n">
        <s:v>112912</s:v>
      </s:c>
      <s:c r="D274" s="0" t="n">
        <s:v>205</s:v>
      </s:c>
      <s:c r="F274" s="24">
        <s:f>'자료구성'!$B$2+TIME(INT($C$3/10000),INT(MOD($C$3,10000)/100),MOD($C$3,100))+(ROW()-ROW($C$3))/86400</s:f>
        <s:v>46247.48174768518</s:v>
      </s:c>
    </s:row>
    <s:row r="275">
      <s:c r="A275" s="0" t="n">
        <s:v>260813</s:v>
      </s:c>
      <s:c r="B275" s="0" t="inlineStr">
        <s:is>
          <s:t>이종훈</s:t>
        </s:is>
      </s:c>
      <s:c r="C275" s="0" t="n">
        <s:v>112912</s:v>
      </s:c>
      <s:c r="D275" s="0" t="n">
        <s:v>207</s:v>
      </s:c>
      <s:c r="F275" s="24">
        <s:f>'자료구성'!$B$2+TIME(INT($C$3/10000),INT(MOD($C$3,10000)/100),MOD($C$3,100))+(ROW()-ROW($C$3))/86400</s:f>
        <s:v>46247.48175925926</s:v>
      </s:c>
    </s:row>
    <s:row r="276">
      <s:c r="A276" s="0" t="n">
        <s:v>260813</s:v>
      </s:c>
      <s:c r="B276" s="0" t="inlineStr">
        <s:is>
          <s:t>이종훈</s:t>
        </s:is>
      </s:c>
      <s:c r="C276" s="0" t="n">
        <s:v>112912</s:v>
      </s:c>
      <s:c r="D276" s="0" t="n">
        <s:v>213</s:v>
      </s:c>
      <s:c r="F276" s="24">
        <s:f>'자료구성'!$B$2+TIME(INT($C$3/10000),INT(MOD($C$3,10000)/100),MOD($C$3,100))+(ROW()-ROW($C$3))/86400</s:f>
        <s:v>46247.481770833336</s:v>
      </s:c>
    </s:row>
    <s:row r="277">
      <s:c r="A277" s="0" t="n">
        <s:v>260813</s:v>
      </s:c>
      <s:c r="B277" s="0" t="inlineStr">
        <s:is>
          <s:t>이종훈</s:t>
        </s:is>
      </s:c>
      <s:c r="C277" s="0" t="n">
        <s:v>112912</s:v>
      </s:c>
      <s:c r="D277" s="0" t="n">
        <s:v>201</s:v>
      </s:c>
      <s:c r="F277" s="24">
        <s:f>'자료구성'!$B$2+TIME(INT($C$3/10000),INT(MOD($C$3,10000)/100),MOD($C$3,100))+(ROW()-ROW($C$3))/86400</s:f>
        <s:v>46247.481782407405</s:v>
      </s:c>
    </s:row>
    <s:row r="278">
      <s:c r="A278" s="0" t="n">
        <s:v>260813</s:v>
      </s:c>
      <s:c r="B278" s="0" t="inlineStr">
        <s:is>
          <s:t>이종훈</s:t>
        </s:is>
      </s:c>
      <s:c r="C278" s="0" t="n">
        <s:v>112912</s:v>
      </s:c>
      <s:c r="D278" s="0" t="n">
        <s:v>194</s:v>
      </s:c>
      <s:c r="F278" s="24">
        <s:f>'자료구성'!$B$2+TIME(INT($C$3/10000),INT(MOD($C$3,10000)/100),MOD($C$3,100))+(ROW()-ROW($C$3))/86400</s:f>
        <s:v>46247.48179398148</s:v>
      </s:c>
    </s:row>
    <s:row r="279">
      <s:c r="A279" s="0" t="n">
        <s:v>260813</s:v>
      </s:c>
      <s:c r="B279" s="0" t="inlineStr">
        <s:is>
          <s:t>이종훈</s:t>
        </s:is>
      </s:c>
      <s:c r="C279" s="0" t="n">
        <s:v>112912</s:v>
      </s:c>
      <s:c r="D279" s="0" t="n">
        <s:v>189</s:v>
      </s:c>
      <s:c r="F279" s="24">
        <s:f>'자료구성'!$B$2+TIME(INT($C$3/10000),INT(MOD($C$3,10000)/100),MOD($C$3,100))+(ROW()-ROW($C$3))/86400</s:f>
        <s:v>46247.48180555556</s:v>
      </s:c>
    </s:row>
    <s:row r="280">
      <s:c r="A280" s="0" t="n">
        <s:v>260813</s:v>
      </s:c>
      <s:c r="B280" s="0" t="inlineStr">
        <s:is>
          <s:t>이종훈</s:t>
        </s:is>
      </s:c>
      <s:c r="C280" s="0" t="n">
        <s:v>112912</s:v>
      </s:c>
      <s:c r="D280" s="0" t="n">
        <s:v>181</s:v>
      </s:c>
      <s:c r="F280" s="24">
        <s:f>'자료구성'!$B$2+TIME(INT($C$3/10000),INT(MOD($C$3,10000)/100),MOD($C$3,100))+(ROW()-ROW($C$3))/86400</s:f>
        <s:v>46247.48181712963</s:v>
      </s:c>
    </s:row>
    <s:row r="281">
      <s:c r="A281" s="0" t="n">
        <s:v>260813</s:v>
      </s:c>
      <s:c r="B281" s="0" t="inlineStr">
        <s:is>
          <s:t>이종훈</s:t>
        </s:is>
      </s:c>
      <s:c r="C281" s="0" t="n">
        <s:v>112912</s:v>
      </s:c>
      <s:c r="D281" s="0" t="n">
        <s:v>173</s:v>
      </s:c>
      <s:c r="F281" s="24">
        <s:f>'자료구성'!$B$2+TIME(INT($C$3/10000),INT(MOD($C$3,10000)/100),MOD($C$3,100))+(ROW()-ROW($C$3))/86400</s:f>
        <s:v>46247.481828703705</s:v>
      </s:c>
    </s:row>
    <s:row r="282">
      <s:c r="A282" s="0" t="n">
        <s:v>260813</s:v>
      </s:c>
      <s:c r="B282" s="0" t="inlineStr">
        <s:is>
          <s:t>이종훈</s:t>
        </s:is>
      </s:c>
      <s:c r="C282" s="0" t="n">
        <s:v>112912</s:v>
      </s:c>
      <s:c r="D282" s="0" t="n">
        <s:v>163</s:v>
      </s:c>
      <s:c r="F282" s="24">
        <s:f>'자료구성'!$B$2+TIME(INT($C$3/10000),INT(MOD($C$3,10000)/100),MOD($C$3,100))+(ROW()-ROW($C$3))/86400</s:f>
        <s:v>46247.481840277775</s:v>
      </s:c>
    </s:row>
    <s:row r="283">
      <s:c r="A283" s="0" t="n">
        <s:v>260813</s:v>
      </s:c>
      <s:c r="B283" s="0" t="inlineStr">
        <s:is>
          <s:t>이종훈</s:t>
        </s:is>
      </s:c>
      <s:c r="C283" s="0" t="n">
        <s:v>112912</s:v>
      </s:c>
      <s:c r="D283" s="0" t="n">
        <s:v>168</s:v>
      </s:c>
      <s:c r="F283" s="24">
        <s:f>'자료구성'!$B$2+TIME(INT($C$3/10000),INT(MOD($C$3,10000)/100),MOD($C$3,100))+(ROW()-ROW($C$3))/86400</s:f>
        <s:v>46247.48185185185</s:v>
      </s:c>
    </s:row>
    <s:row r="284">
      <s:c r="A284" s="0" t="n">
        <s:v>260813</s:v>
      </s:c>
      <s:c r="B284" s="0" t="inlineStr">
        <s:is>
          <s:t>이종훈</s:t>
        </s:is>
      </s:c>
      <s:c r="C284" s="0" t="n">
        <s:v>112912</s:v>
      </s:c>
      <s:c r="D284" s="0" t="n">
        <s:v>163</s:v>
      </s:c>
      <s:c r="F284" s="24">
        <s:f>'자료구성'!$B$2+TIME(INT($C$3/10000),INT(MOD($C$3,10000)/100),MOD($C$3,100))+(ROW()-ROW($C$3))/86400</s:f>
        <s:v>46247.48186342593</s:v>
      </s:c>
    </s:row>
    <s:row r="285">
      <s:c r="A285" s="0" t="n">
        <s:v>260813</s:v>
      </s:c>
      <s:c r="B285" s="0" t="inlineStr">
        <s:is>
          <s:t>이종훈</s:t>
        </s:is>
      </s:c>
      <s:c r="C285" s="0" t="n">
        <s:v>112912</s:v>
      </s:c>
      <s:c r="D285" s="0" t="n">
        <s:v>165</s:v>
      </s:c>
      <s:c r="F285" s="24">
        <s:f>'자료구성'!$B$2+TIME(INT($C$3/10000),INT(MOD($C$3,10000)/100),MOD($C$3,100))+(ROW()-ROW($C$3))/86400</s:f>
        <s:v>46247.481875</s:v>
      </s:c>
    </s:row>
    <s:row r="286">
      <s:c r="A286" s="0" t="n">
        <s:v>260813</s:v>
      </s:c>
      <s:c r="B286" s="0" t="inlineStr">
        <s:is>
          <s:t>이종훈</s:t>
        </s:is>
      </s:c>
      <s:c r="C286" s="0" t="n">
        <s:v>112912</s:v>
      </s:c>
      <s:c r="D286" s="0" t="n">
        <s:v>165</s:v>
      </s:c>
      <s:c r="F286" s="24">
        <s:f>'자료구성'!$B$2+TIME(INT($C$3/10000),INT(MOD($C$3,10000)/100),MOD($C$3,100))+(ROW()-ROW($C$3))/86400</s:f>
        <s:v>46247.481886574074</s:v>
      </s:c>
    </s:row>
    <s:row r="287">
      <s:c r="A287" s="0" t="n">
        <s:v>260813</s:v>
      </s:c>
      <s:c r="B287" s="0" t="inlineStr">
        <s:is>
          <s:t>이종훈</s:t>
        </s:is>
      </s:c>
      <s:c r="C287" s="0" t="n">
        <s:v>112912</s:v>
      </s:c>
      <s:c r="D287" s="0" t="n">
        <s:v>172</s:v>
      </s:c>
      <s:c r="F287" s="24">
        <s:f>'자료구성'!$B$2+TIME(INT($C$3/10000),INT(MOD($C$3,10000)/100),MOD($C$3,100))+(ROW()-ROW($C$3))/86400</s:f>
        <s:v>46247.48189814815</s:v>
      </s:c>
    </s:row>
    <s:row r="288">
      <s:c r="A288" s="0" t="n">
        <s:v>260813</s:v>
      </s:c>
      <s:c r="B288" s="0" t="inlineStr">
        <s:is>
          <s:t>이종훈</s:t>
        </s:is>
      </s:c>
      <s:c r="C288" s="0" t="n">
        <s:v>112912</s:v>
      </s:c>
      <s:c r="D288" s="0" t="n">
        <s:v>186</s:v>
      </s:c>
      <s:c r="F288" s="24">
        <s:f>'자료구성'!$B$2+TIME(INT($C$3/10000),INT(MOD($C$3,10000)/100),MOD($C$3,100))+(ROW()-ROW($C$3))/86400</s:f>
        <s:v>46247.48190972222</s:v>
      </s:c>
    </s:row>
    <s:row r="289">
      <s:c r="A289" s="0" t="n">
        <s:v>260813</s:v>
      </s:c>
      <s:c r="B289" s="0" t="inlineStr">
        <s:is>
          <s:t>이종훈</s:t>
        </s:is>
      </s:c>
      <s:c r="C289" s="0" t="n">
        <s:v>112912</s:v>
      </s:c>
      <s:c r="D289" s="0" t="n">
        <s:v>194</s:v>
      </s:c>
      <s:c r="F289" s="24">
        <s:f>'자료구성'!$B$2+TIME(INT($C$3/10000),INT(MOD($C$3,10000)/100),MOD($C$3,100))+(ROW()-ROW($C$3))/86400</s:f>
        <s:v>46247.4819212963</s:v>
      </s:c>
    </s:row>
    <s:row r="290">
      <s:c r="A290" s="0" t="n">
        <s:v>260813</s:v>
      </s:c>
      <s:c r="B290" s="0" t="inlineStr">
        <s:is>
          <s:t>이종훈</s:t>
        </s:is>
      </s:c>
      <s:c r="C290" s="0" t="n">
        <s:v>112912</s:v>
      </s:c>
      <s:c r="D290" s="0" t="n">
        <s:v>186</s:v>
      </s:c>
      <s:c r="F290" s="24">
        <s:f>'자료구성'!$B$2+TIME(INT($C$3/10000),INT(MOD($C$3,10000)/100),MOD($C$3,100))+(ROW()-ROW($C$3))/86400</s:f>
        <s:v>46247.48193287037</s:v>
      </s:c>
    </s:row>
    <s:row r="291">
      <s:c r="A291" s="0" t="n">
        <s:v>260813</s:v>
      </s:c>
      <s:c r="B291" s="0" t="inlineStr">
        <s:is>
          <s:t>이종훈</s:t>
        </s:is>
      </s:c>
      <s:c r="C291" s="0" t="n">
        <s:v>112912</s:v>
      </s:c>
      <s:c r="D291" s="0" t="n">
        <s:v>187</s:v>
      </s:c>
      <s:c r="F291" s="24">
        <s:f>'자료구성'!$B$2+TIME(INT($C$3/10000),INT(MOD($C$3,10000)/100),MOD($C$3,100))+(ROW()-ROW($C$3))/86400</s:f>
        <s:v>46247.481944444444</s:v>
      </s:c>
    </s:row>
    <s:row r="292">
      <s:c r="A292" s="0" t="n">
        <s:v>260813</s:v>
      </s:c>
      <s:c r="B292" s="0" t="inlineStr">
        <s:is>
          <s:t>이종훈</s:t>
        </s:is>
      </s:c>
      <s:c r="C292" s="0" t="n">
        <s:v>112912</s:v>
      </s:c>
      <s:c r="D292" s="0" t="n">
        <s:v>188</s:v>
      </s:c>
      <s:c r="F292" s="24">
        <s:f>'자료구성'!$B$2+TIME(INT($C$3/10000),INT(MOD($C$3,10000)/100),MOD($C$3,100))+(ROW()-ROW($C$3))/86400</s:f>
        <s:v>46247.48195601852</s:v>
      </s:c>
    </s:row>
    <s:row r="293">
      <s:c r="A293" s="0" t="n">
        <s:v>260813</s:v>
      </s:c>
      <s:c r="B293" s="0" t="inlineStr">
        <s:is>
          <s:t>이종훈</s:t>
        </s:is>
      </s:c>
      <s:c r="C293" s="0" t="n">
        <s:v>112912</s:v>
      </s:c>
      <s:c r="D293" s="0" t="n">
        <s:v>186</s:v>
      </s:c>
      <s:c r="F293" s="24">
        <s:f>'자료구성'!$B$2+TIME(INT($C$3/10000),INT(MOD($C$3,10000)/100),MOD($C$3,100))+(ROW()-ROW($C$3))/86400</s:f>
        <s:v>46247.48196759259</s:v>
      </s:c>
    </s:row>
    <s:row r="294">
      <s:c r="A294" s="0" t="n">
        <s:v>260813</s:v>
      </s:c>
      <s:c r="B294" s="0" t="inlineStr">
        <s:is>
          <s:t>이종훈</s:t>
        </s:is>
      </s:c>
      <s:c r="C294" s="0" t="n">
        <s:v>112912</s:v>
      </s:c>
      <s:c r="D294" s="0" t="n">
        <s:v>187</s:v>
      </s:c>
      <s:c r="F294" s="24">
        <s:f>'자료구성'!$B$2+TIME(INT($C$3/10000),INT(MOD($C$3,10000)/100),MOD($C$3,100))+(ROW()-ROW($C$3))/86400</s:f>
        <s:v>46247.48197916667</s:v>
      </s:c>
    </s:row>
    <s:row r="295">
      <s:c r="A295" s="0" t="n">
        <s:v>260813</s:v>
      </s:c>
      <s:c r="B295" s="0" t="inlineStr">
        <s:is>
          <s:t>이종훈</s:t>
        </s:is>
      </s:c>
      <s:c r="C295" s="0" t="n">
        <s:v>112912</s:v>
      </s:c>
      <s:c r="D295" s="0" t="n">
        <s:v>188</s:v>
      </s:c>
      <s:c r="F295" s="24">
        <s:f>'자료구성'!$B$2+TIME(INT($C$3/10000),INT(MOD($C$3,10000)/100),MOD($C$3,100))+(ROW()-ROW($C$3))/86400</s:f>
        <s:v>46247.481990740744</s:v>
      </s:c>
    </s:row>
    <s:row r="296">
      <s:c r="A296" s="0" t="n">
        <s:v>260813</s:v>
      </s:c>
      <s:c r="B296" s="0" t="inlineStr">
        <s:is>
          <s:t>이종훈</s:t>
        </s:is>
      </s:c>
      <s:c r="C296" s="0" t="n">
        <s:v>112912</s:v>
      </s:c>
      <s:c r="D296" s="0" t="n">
        <s:v>189</s:v>
      </s:c>
      <s:c r="F296" s="24">
        <s:f>'자료구성'!$B$2+TIME(INT($C$3/10000),INT(MOD($C$3,10000)/100),MOD($C$3,100))+(ROW()-ROW($C$3))/86400</s:f>
        <s:v>46247.48200231481</s:v>
      </s:c>
    </s:row>
    <s:row r="297">
      <s:c r="A297" s="0" t="n">
        <s:v>260813</s:v>
      </s:c>
      <s:c r="B297" s="0" t="inlineStr">
        <s:is>
          <s:t>이종훈</s:t>
        </s:is>
      </s:c>
      <s:c r="C297" s="0" t="n">
        <s:v>112912</s:v>
      </s:c>
      <s:c r="D297" s="0" t="n">
        <s:v>187</s:v>
      </s:c>
      <s:c r="F297" s="24">
        <s:f>'자료구성'!$B$2+TIME(INT($C$3/10000),INT(MOD($C$3,10000)/100),MOD($C$3,100))+(ROW()-ROW($C$3))/86400</s:f>
        <s:v>46247.48201388889</s:v>
      </s:c>
    </s:row>
    <s:row r="298">
      <s:c r="A298" s="0" t="n">
        <s:v>260813</s:v>
      </s:c>
      <s:c r="B298" s="0" t="inlineStr">
        <s:is>
          <s:t>이종훈</s:t>
        </s:is>
      </s:c>
      <s:c r="C298" s="0" t="n">
        <s:v>112912</s:v>
      </s:c>
      <s:c r="D298" s="0" t="n">
        <s:v>180</s:v>
      </s:c>
      <s:c r="F298" s="24">
        <s:f>'자료구성'!$B$2+TIME(INT($C$3/10000),INT(MOD($C$3,10000)/100),MOD($C$3,100))+(ROW()-ROW($C$3))/86400</s:f>
        <s:v>46247.48202546296</s:v>
      </s:c>
    </s:row>
    <s:row r="299">
      <s:c r="A299" s="0" t="n">
        <s:v>260813</s:v>
      </s:c>
      <s:c r="B299" s="0" t="inlineStr">
        <s:is>
          <s:t>이종훈</s:t>
        </s:is>
      </s:c>
      <s:c r="C299" s="0" t="n">
        <s:v>112912</s:v>
      </s:c>
      <s:c r="D299" s="0" t="n">
        <s:v>178</s:v>
      </s:c>
      <s:c r="F299" s="24">
        <s:f>'자료구성'!$B$2+TIME(INT($C$3/10000),INT(MOD($C$3,10000)/100),MOD($C$3,100))+(ROW()-ROW($C$3))/86400</s:f>
        <s:v>46247.482037037036</s:v>
      </s:c>
    </s:row>
    <s:row r="300">
      <s:c r="A300" s="0" t="n">
        <s:v>260813</s:v>
      </s:c>
      <s:c r="B300" s="0" t="inlineStr">
        <s:is>
          <s:t>이종훈</s:t>
        </s:is>
      </s:c>
      <s:c r="C300" s="0" t="n">
        <s:v>112912</s:v>
      </s:c>
      <s:c r="D300" s="0" t="n">
        <s:v>177</s:v>
      </s:c>
      <s:c r="F300" s="24">
        <s:f>'자료구성'!$B$2+TIME(INT($C$3/10000),INT(MOD($C$3,10000)/100),MOD($C$3,100))+(ROW()-ROW($C$3))/86400</s:f>
        <s:v>46247.48204861111</s:v>
      </s:c>
    </s:row>
    <s:row r="301">
      <s:c r="A301" s="0" t="n">
        <s:v>260813</s:v>
      </s:c>
      <s:c r="B301" s="0" t="inlineStr">
        <s:is>
          <s:t>이종훈</s:t>
        </s:is>
      </s:c>
      <s:c r="C301" s="0" t="n">
        <s:v>112912</s:v>
      </s:c>
      <s:c r="D301" s="0" t="n">
        <s:v>175</s:v>
      </s:c>
      <s:c r="F301" s="24">
        <s:f>'자료구성'!$B$2+TIME(INT($C$3/10000),INT(MOD($C$3,10000)/100),MOD($C$3,100))+(ROW()-ROW($C$3))/86400</s:f>
        <s:v>46247.48206018518</s:v>
      </s:c>
    </s:row>
    <s:row r="302">
      <s:c r="A302" s="0" t="n">
        <s:v>260813</s:v>
      </s:c>
      <s:c r="B302" s="0" t="inlineStr">
        <s:is>
          <s:t>이종훈</s:t>
        </s:is>
      </s:c>
      <s:c r="C302" s="0" t="n">
        <s:v>112912</s:v>
      </s:c>
      <s:c r="D302" s="0" t="n">
        <s:v>175</s:v>
      </s:c>
      <s:c r="F302" s="24">
        <s:f>'자료구성'!$B$2+TIME(INT($C$3/10000),INT(MOD($C$3,10000)/100),MOD($C$3,100))+(ROW()-ROW($C$3))/86400</s:f>
        <s:v>46247.48207175926</s:v>
      </s:c>
    </s:row>
    <s:row r="303">
      <s:c r="A303" s="0" t="n">
        <s:v>260813</s:v>
      </s:c>
      <s:c r="B303" s="0" t="inlineStr">
        <s:is>
          <s:t>이종훈</s:t>
        </s:is>
      </s:c>
      <s:c r="C303" s="0" t="n">
        <s:v>112912</s:v>
      </s:c>
      <s:c r="D303" s="0" t="n">
        <s:v>183</s:v>
      </s:c>
      <s:c r="F303" s="24">
        <s:f>'자료구성'!$B$2+TIME(INT($C$3/10000),INT(MOD($C$3,10000)/100),MOD($C$3,100))+(ROW()-ROW($C$3))/86400</s:f>
        <s:v>46247.482083333336</s:v>
      </s:c>
    </s:row>
    <s:row r="304">
      <s:c r="A304" s="0" t="n">
        <s:v>260813</s:v>
      </s:c>
      <s:c r="B304" s="0" t="inlineStr">
        <s:is>
          <s:t>이종훈</s:t>
        </s:is>
      </s:c>
      <s:c r="C304" s="0" t="n">
        <s:v>112912</s:v>
      </s:c>
      <s:c r="D304" s="0" t="n">
        <s:v>192</s:v>
      </s:c>
      <s:c r="F304" s="24">
        <s:f>'자료구성'!$B$2+TIME(INT($C$3/10000),INT(MOD($C$3,10000)/100),MOD($C$3,100))+(ROW()-ROW($C$3))/86400</s:f>
        <s:v>46247.482094907406</s:v>
      </s:c>
    </s:row>
    <s:row r="305">
      <s:c r="A305" s="0" t="n">
        <s:v>260813</s:v>
      </s:c>
      <s:c r="B305" s="0" t="inlineStr">
        <s:is>
          <s:t>이종훈</s:t>
        </s:is>
      </s:c>
      <s:c r="C305" s="0" t="n">
        <s:v>112912</s:v>
      </s:c>
      <s:c r="D305" s="0" t="n">
        <s:v>182</s:v>
      </s:c>
      <s:c r="F305" s="24">
        <s:f>'자료구성'!$B$2+TIME(INT($C$3/10000),INT(MOD($C$3,10000)/100),MOD($C$3,100))+(ROW()-ROW($C$3))/86400</s:f>
        <s:v>46247.48210648148</s:v>
      </s:c>
    </s:row>
    <s:row r="306">
      <s:c r="A306" s="0" t="n">
        <s:v>260813</s:v>
      </s:c>
      <s:c r="B306" s="0" t="inlineStr">
        <s:is>
          <s:t>이종훈</s:t>
        </s:is>
      </s:c>
      <s:c r="C306" s="0" t="n">
        <s:v>112912</s:v>
      </s:c>
      <s:c r="D306" s="0" t="n">
        <s:v>171</s:v>
      </s:c>
      <s:c r="F306" s="24">
        <s:f>'자료구성'!$B$2+TIME(INT($C$3/10000),INT(MOD($C$3,10000)/100),MOD($C$3,100))+(ROW()-ROW($C$3))/86400</s:f>
        <s:v>46247.48211805556</s:v>
      </s:c>
    </s:row>
    <s:row r="307">
      <s:c r="A307" s="0" t="n">
        <s:v>260813</s:v>
      </s:c>
      <s:c r="B307" s="0" t="inlineStr">
        <s:is>
          <s:t>이종훈</s:t>
        </s:is>
      </s:c>
      <s:c r="C307" s="0" t="n">
        <s:v>112912</s:v>
      </s:c>
      <s:c r="D307" s="0" t="n">
        <s:v>172</s:v>
      </s:c>
      <s:c r="F307" s="24">
        <s:f>'자료구성'!$B$2+TIME(INT($C$3/10000),INT(MOD($C$3,10000)/100),MOD($C$3,100))+(ROW()-ROW($C$3))/86400</s:f>
        <s:v>46247.48212962963</s:v>
      </s:c>
    </s:row>
    <s:row r="308">
      <s:c r="A308" s="0" t="n">
        <s:v>260813</s:v>
      </s:c>
      <s:c r="B308" s="0" t="inlineStr">
        <s:is>
          <s:t>이종훈</s:t>
        </s:is>
      </s:c>
      <s:c r="C308" s="0" t="n">
        <s:v>112912</s:v>
      </s:c>
      <s:c r="D308" s="0" t="n">
        <s:v>174</s:v>
      </s:c>
      <s:c r="F308" s="24">
        <s:f>'자료구성'!$B$2+TIME(INT($C$3/10000),INT(MOD($C$3,10000)/100),MOD($C$3,100))+(ROW()-ROW($C$3))/86400</s:f>
        <s:v>46247.482141203705</s:v>
      </s:c>
    </s:row>
    <s:row r="309">
      <s:c r="A309" s="0" t="n">
        <s:v>260813</s:v>
      </s:c>
      <s:c r="B309" s="0" t="inlineStr">
        <s:is>
          <s:t>이종훈</s:t>
        </s:is>
      </s:c>
      <s:c r="C309" s="0" t="n">
        <s:v>112912</s:v>
      </s:c>
      <s:c r="D309" s="0" t="n">
        <s:v>164</s:v>
      </s:c>
      <s:c r="F309" s="24">
        <s:f>'자료구성'!$B$2+TIME(INT($C$3/10000),INT(MOD($C$3,10000)/100),MOD($C$3,100))+(ROW()-ROW($C$3))/86400</s:f>
        <s:v>46247.482152777775</s:v>
      </s:c>
    </s:row>
    <s:row r="310">
      <s:c r="A310" s="0" t="n">
        <s:v>260813</s:v>
      </s:c>
      <s:c r="B310" s="0" t="inlineStr">
        <s:is>
          <s:t>이종훈</s:t>
        </s:is>
      </s:c>
      <s:c r="C310" s="0" t="n">
        <s:v>112912</s:v>
      </s:c>
      <s:c r="D310" s="0" t="n">
        <s:v>177</s:v>
      </s:c>
      <s:c r="F310" s="24">
        <s:f>'자료구성'!$B$2+TIME(INT($C$3/10000),INT(MOD($C$3,10000)/100),MOD($C$3,100))+(ROW()-ROW($C$3))/86400</s:f>
        <s:v>46247.48216435185</s:v>
      </s:c>
    </s:row>
    <s:row r="311">
      <s:c r="A311" s="0" t="n">
        <s:v>260813</s:v>
      </s:c>
      <s:c r="B311" s="0" t="inlineStr">
        <s:is>
          <s:t>이종훈</s:t>
        </s:is>
      </s:c>
      <s:c r="C311" s="0" t="n">
        <s:v>112912</s:v>
      </s:c>
      <s:c r="D311" s="0" t="n">
        <s:v>176</s:v>
      </s:c>
      <s:c r="F311" s="24">
        <s:f>'자료구성'!$B$2+TIME(INT($C$3/10000),INT(MOD($C$3,10000)/100),MOD($C$3,100))+(ROW()-ROW($C$3))/86400</s:f>
        <s:v>46247.48217592593</s:v>
      </s:c>
    </s:row>
    <s:row r="312">
      <s:c r="A312" s="0" t="n">
        <s:v>260813</s:v>
      </s:c>
      <s:c r="B312" s="0" t="inlineStr">
        <s:is>
          <s:t>이종훈</s:t>
        </s:is>
      </s:c>
      <s:c r="C312" s="0" t="n">
        <s:v>112912</s:v>
      </s:c>
      <s:c r="D312" s="0" t="n">
        <s:v>170</s:v>
      </s:c>
      <s:c r="F312" s="24">
        <s:f>'자료구성'!$B$2+TIME(INT($C$3/10000),INT(MOD($C$3,10000)/100),MOD($C$3,100))+(ROW()-ROW($C$3))/86400</s:f>
        <s:v>46247.4821875</s:v>
      </s:c>
    </s:row>
    <s:row r="313">
      <s:c r="A313" s="0" t="n">
        <s:v>260813</s:v>
      </s:c>
      <s:c r="B313" s="0" t="inlineStr">
        <s:is>
          <s:t>이종훈</s:t>
        </s:is>
      </s:c>
      <s:c r="C313" s="0" t="n">
        <s:v>112912</s:v>
      </s:c>
      <s:c r="D313" s="0" t="n">
        <s:v>174</s:v>
      </s:c>
      <s:c r="F313" s="24">
        <s:f>'자료구성'!$B$2+TIME(INT($C$3/10000),INT(MOD($C$3,10000)/100),MOD($C$3,100))+(ROW()-ROW($C$3))/86400</s:f>
        <s:v>46247.482199074075</s:v>
      </s:c>
    </s:row>
    <s:row r="314">
      <s:c r="A314" s="0" t="n">
        <s:v>260813</s:v>
      </s:c>
      <s:c r="B314" s="0" t="inlineStr">
        <s:is>
          <s:t>이종훈</s:t>
        </s:is>
      </s:c>
      <s:c r="C314" s="0" t="n">
        <s:v>112912</s:v>
      </s:c>
      <s:c r="D314" s="0" t="n">
        <s:v>167</s:v>
      </s:c>
      <s:c r="F314" s="24">
        <s:f>'자료구성'!$B$2+TIME(INT($C$3/10000),INT(MOD($C$3,10000)/100),MOD($C$3,100))+(ROW()-ROW($C$3))/86400</s:f>
        <s:v>46247.48221064815</s:v>
      </s:c>
    </s:row>
    <s:row r="315">
      <s:c r="A315" s="0" t="n">
        <s:v>260813</s:v>
      </s:c>
      <s:c r="B315" s="0" t="inlineStr">
        <s:is>
          <s:t>이종훈</s:t>
        </s:is>
      </s:c>
      <s:c r="C315" s="0" t="n">
        <s:v>112912</s:v>
      </s:c>
      <s:c r="D315" s="0" t="n">
        <s:v>165</s:v>
      </s:c>
      <s:c r="F315" s="24">
        <s:f>'자료구성'!$B$2+TIME(INT($C$3/10000),INT(MOD($C$3,10000)/100),MOD($C$3,100))+(ROW()-ROW($C$3))/86400</s:f>
        <s:v>46247.48222222222</s:v>
      </s:c>
    </s:row>
    <s:row r="316">
      <s:c r="A316" s="0" t="n">
        <s:v>260813</s:v>
      </s:c>
      <s:c r="B316" s="0" t="inlineStr">
        <s:is>
          <s:t>이종훈</s:t>
        </s:is>
      </s:c>
      <s:c r="C316" s="0" t="n">
        <s:v>112912</s:v>
      </s:c>
      <s:c r="D316" s="0" t="n">
        <s:v>159</s:v>
      </s:c>
      <s:c r="F316" s="24">
        <s:f>'자료구성'!$B$2+TIME(INT($C$3/10000),INT(MOD($C$3,10000)/100),MOD($C$3,100))+(ROW()-ROW($C$3))/86400</s:f>
        <s:v>46247.4822337963</s:v>
      </s:c>
    </s:row>
    <s:row r="317">
      <s:c r="A317" s="0" t="n">
        <s:v>260813</s:v>
      </s:c>
      <s:c r="B317" s="0" t="inlineStr">
        <s:is>
          <s:t>이종훈</s:t>
        </s:is>
      </s:c>
      <s:c r="C317" s="0" t="n">
        <s:v>112912</s:v>
      </s:c>
      <s:c r="D317" s="0" t="n">
        <s:v>167</s:v>
      </s:c>
      <s:c r="F317" s="24">
        <s:f>'자료구성'!$B$2+TIME(INT($C$3/10000),INT(MOD($C$3,10000)/100),MOD($C$3,100))+(ROW()-ROW($C$3))/86400</s:f>
        <s:v>46247.48224537037</s:v>
      </s:c>
    </s:row>
    <s:row r="318">
      <s:c r="A318" s="0" t="n">
        <s:v>260813</s:v>
      </s:c>
      <s:c r="B318" s="0" t="inlineStr">
        <s:is>
          <s:t>이종훈</s:t>
        </s:is>
      </s:c>
      <s:c r="C318" s="0" t="n">
        <s:v>112912</s:v>
      </s:c>
      <s:c r="D318" s="0" t="n">
        <s:v>161</s:v>
      </s:c>
      <s:c r="F318" s="24">
        <s:f>'자료구성'!$B$2+TIME(INT($C$3/10000),INT(MOD($C$3,10000)/100),MOD($C$3,100))+(ROW()-ROW($C$3))/86400</s:f>
        <s:v>46247.482256944444</s:v>
      </s:c>
    </s:row>
    <s:row r="319">
      <s:c r="A319" s="0" t="n">
        <s:v>260813</s:v>
      </s:c>
      <s:c r="B319" s="0" t="inlineStr">
        <s:is>
          <s:t>이종훈</s:t>
        </s:is>
      </s:c>
      <s:c r="C319" s="0" t="n">
        <s:v>112912</s:v>
      </s:c>
      <s:c r="D319" s="0" t="n">
        <s:v>123</s:v>
      </s:c>
      <s:c r="F319" s="24">
        <s:f>'자료구성'!$B$2+TIME(INT($C$3/10000),INT(MOD($C$3,10000)/100),MOD($C$3,100))+(ROW()-ROW($C$3))/86400</s:f>
        <s:v>46247.48226851852</s:v>
      </s:c>
    </s:row>
    <s:row r="320">
      <s:c r="A320" s="0" t="n">
        <s:v>260813</s:v>
      </s:c>
      <s:c r="B320" s="0" t="inlineStr">
        <s:is>
          <s:t>이종훈</s:t>
        </s:is>
      </s:c>
      <s:c r="C320" s="0" t="n">
        <s:v>112912</s:v>
      </s:c>
      <s:c r="D320" s="0" t="n">
        <s:v>130</s:v>
      </s:c>
      <s:c r="F320" s="24">
        <s:f>'자료구성'!$B$2+TIME(INT($C$3/10000),INT(MOD($C$3,10000)/100),MOD($C$3,100))+(ROW()-ROW($C$3))/86400</s:f>
        <s:v>46247.48228009259</s:v>
      </s:c>
    </s:row>
    <s:row r="321">
      <s:c r="A321" s="0" t="n">
        <s:v>260813</s:v>
      </s:c>
      <s:c r="B321" s="0" t="inlineStr">
        <s:is>
          <s:t>이종훈</s:t>
        </s:is>
      </s:c>
      <s:c r="C321" s="0" t="n">
        <s:v>112912</s:v>
      </s:c>
      <s:c r="D321" s="0" t="n">
        <s:v>99</s:v>
      </s:c>
      <s:c r="F321" s="24">
        <s:f>'자료구성'!$B$2+TIME(INT($C$3/10000),INT(MOD($C$3,10000)/100),MOD($C$3,100))+(ROW()-ROW($C$3))/86400</s:f>
        <s:v>46247.48229166667</s:v>
      </s:c>
    </s:row>
    <s:row r="322">
      <s:c r="A322" s="0" t="n">
        <s:v>260813</s:v>
      </s:c>
      <s:c r="B322" s="0" t="inlineStr">
        <s:is>
          <s:t>이종훈</s:t>
        </s:is>
      </s:c>
      <s:c r="C322" s="0" t="n">
        <s:v>112912</s:v>
      </s:c>
      <s:c r="D322" s="0" t="n">
        <s:v>57</s:v>
      </s:c>
      <s:c r="F322" s="24">
        <s:f>'자료구성'!$B$2+TIME(INT($C$3/10000),INT(MOD($C$3,10000)/100),MOD($C$3,100))+(ROW()-ROW($C$3))/86400</s:f>
        <s:v>46247.482303240744</s:v>
      </s:c>
    </s:row>
    <s:row r="323">
      <s:c r="A323" s="0" t="n">
        <s:v>260813</s:v>
      </s:c>
      <s:c r="B323" s="0" t="inlineStr">
        <s:is>
          <s:t>이종훈</s:t>
        </s:is>
      </s:c>
      <s:c r="C323" s="0" t="n">
        <s:v>112912</s:v>
      </s:c>
      <s:c r="D323" s="0" t="n">
        <s:v>993</s:v>
      </s:c>
      <s:c r="F323" s="24">
        <s:f>'자료구성'!$B$2+TIME(INT($C$3/10000),INT(MOD($C$3,10000)/100),MOD($C$3,100))+(ROW()-ROW($C$3))/86400</s:f>
        <s:v>46247.48231481481</s:v>
      </s:c>
    </s:row>
    <s:row r="324">
      <s:c r="A324" s="0" t="n">
        <s:v>260813</s:v>
      </s:c>
      <s:c r="B324" s="0" t="inlineStr">
        <s:is>
          <s:t>이종훈</s:t>
        </s:is>
      </s:c>
      <s:c r="C324" s="0" t="n">
        <s:v>112912</s:v>
      </s:c>
      <s:c r="D324" s="0" t="n">
        <s:v>917</s:v>
      </s:c>
      <s:c r="F324" s="24">
        <s:f>'자료구성'!$B$2+TIME(INT($C$3/10000),INT(MOD($C$3,10000)/100),MOD($C$3,100))+(ROW()-ROW($C$3))/86400</s:f>
        <s:v>46247.48232638889</s:v>
      </s:c>
    </s:row>
    <s:row r="325">
      <s:c r="A325" s="0" t="n">
        <s:v>260813</s:v>
      </s:c>
      <s:c r="B325" s="0" t="inlineStr">
        <s:is>
          <s:t>이종훈</s:t>
        </s:is>
      </s:c>
      <s:c r="C325" s="0" t="n">
        <s:v>112912</s:v>
      </s:c>
      <s:c r="D325" s="0" t="n">
        <s:v>864</s:v>
      </s:c>
      <s:c r="F325" s="24">
        <s:f>'자료구성'!$B$2+TIME(INT($C$3/10000),INT(MOD($C$3,10000)/100),MOD($C$3,100))+(ROW()-ROW($C$3))/86400</s:f>
        <s:v>46247.48233796296</s:v>
      </s:c>
    </s:row>
    <s:row r="326">
      <s:c r="A326" s="0" t="n">
        <s:v>260813</s:v>
      </s:c>
      <s:c r="B326" s="0" t="inlineStr">
        <s:is>
          <s:t>이종훈</s:t>
        </s:is>
      </s:c>
      <s:c r="C326" s="0" t="n">
        <s:v>112912</s:v>
      </s:c>
      <s:c r="D326" s="0" t="n">
        <s:v>815</s:v>
      </s:c>
      <s:c r="F326" s="24">
        <s:f>'자료구성'!$B$2+TIME(INT($C$3/10000),INT(MOD($C$3,10000)/100),MOD($C$3,100))+(ROW()-ROW($C$3))/86400</s:f>
        <s:v>46247.48234953704</s:v>
      </s:c>
    </s:row>
    <s:row r="327">
      <s:c r="A327" s="0" t="n">
        <s:v>260813</s:v>
      </s:c>
      <s:c r="B327" s="0" t="inlineStr">
        <s:is>
          <s:t>이종훈</s:t>
        </s:is>
      </s:c>
      <s:c r="C327" s="0" t="n">
        <s:v>112912</s:v>
      </s:c>
      <s:c r="D327" s="0" t="n">
        <s:v>774</s:v>
      </s:c>
      <s:c r="F327" s="24">
        <s:f>'자료구성'!$B$2+TIME(INT($C$3/10000),INT(MOD($C$3,10000)/100),MOD($C$3,100))+(ROW()-ROW($C$3))/86400</s:f>
        <s:v>46247.48236111111</s:v>
      </s:c>
    </s:row>
    <s:row r="328">
      <s:c r="A328" s="0" t="n">
        <s:v>260813</s:v>
      </s:c>
      <s:c r="B328" s="0" t="inlineStr">
        <s:is>
          <s:t>이종훈</s:t>
        </s:is>
      </s:c>
      <s:c r="C328" s="0" t="n">
        <s:v>112912</s:v>
      </s:c>
      <s:c r="D328" s="0" t="n">
        <s:v>739</s:v>
      </s:c>
      <s:c r="F328" s="24">
        <s:f>'자료구성'!$B$2+TIME(INT($C$3/10000),INT(MOD($C$3,10000)/100),MOD($C$3,100))+(ROW()-ROW($C$3))/86400</s:f>
        <s:v>46247.48237268518</s:v>
      </s:c>
    </s:row>
    <s:row r="329">
      <s:c r="A329" s="0" t="n">
        <s:v>260813</s:v>
      </s:c>
      <s:c r="B329" s="0" t="inlineStr">
        <s:is>
          <s:t>이종훈</s:t>
        </s:is>
      </s:c>
      <s:c r="C329" s="0" t="n">
        <s:v>112912</s:v>
      </s:c>
      <s:c r="D329" s="0" t="n">
        <s:v>784</s:v>
      </s:c>
      <s:c r="F329" s="24">
        <s:f>'자료구성'!$B$2+TIME(INT($C$3/10000),INT(MOD($C$3,10000)/100),MOD($C$3,100))+(ROW()-ROW($C$3))/86400</s:f>
        <s:v>46247.48238425926</s:v>
      </s:c>
    </s:row>
    <s:row r="330">
      <s:c r="A330" s="0" t="n">
        <s:v>260813</s:v>
      </s:c>
      <s:c r="B330" s="0" t="inlineStr">
        <s:is>
          <s:t>이종훈</s:t>
        </s:is>
      </s:c>
      <s:c r="C330" s="0" t="n">
        <s:v>112912</s:v>
      </s:c>
      <s:c r="D330" s="0" t="n">
        <s:v>833</s:v>
      </s:c>
      <s:c r="F330" s="24">
        <s:f>'자료구성'!$B$2+TIME(INT($C$3/10000),INT(MOD($C$3,10000)/100),MOD($C$3,100))+(ROW()-ROW($C$3))/86400</s:f>
        <s:v>46247.482395833336</s:v>
      </s:c>
    </s:row>
    <s:row r="331">
      <s:c r="A331" s="0" t="n">
        <s:v>260813</s:v>
      </s:c>
      <s:c r="B331" s="0" t="inlineStr">
        <s:is>
          <s:t>이종훈</s:t>
        </s:is>
      </s:c>
      <s:c r="C331" s="0" t="n">
        <s:v>112912</s:v>
      </s:c>
      <s:c r="D331" s="0" t="n">
        <s:v>841</s:v>
      </s:c>
      <s:c r="F331" s="24">
        <s:f>'자료구성'!$B$2+TIME(INT($C$3/10000),INT(MOD($C$3,10000)/100),MOD($C$3,100))+(ROW()-ROW($C$3))/86400</s:f>
        <s:v>46247.482407407406</s:v>
      </s:c>
    </s:row>
    <s:row r="332">
      <s:c r="A332" s="0" t="n">
        <s:v>260813</s:v>
      </s:c>
      <s:c r="B332" s="0" t="inlineStr">
        <s:is>
          <s:t>이종훈</s:t>
        </s:is>
      </s:c>
      <s:c r="C332" s="0" t="n">
        <s:v>112912</s:v>
      </s:c>
      <s:c r="D332" s="0" t="n">
        <s:v>825</s:v>
      </s:c>
      <s:c r="F332" s="24">
        <s:f>'자료구성'!$B$2+TIME(INT($C$3/10000),INT(MOD($C$3,10000)/100),MOD($C$3,100))+(ROW()-ROW($C$3))/86400</s:f>
        <s:v>46247.48241898148</s:v>
      </s:c>
    </s:row>
    <s:row r="333">
      <s:c r="A333" s="0" t="n">
        <s:v>260813</s:v>
      </s:c>
      <s:c r="B333" s="0" t="inlineStr">
        <s:is>
          <s:t>이종훈</s:t>
        </s:is>
      </s:c>
      <s:c r="C333" s="0" t="n">
        <s:v>112912</s:v>
      </s:c>
      <s:c r="D333" s="0" t="n">
        <s:v>806</s:v>
      </s:c>
      <s:c r="F333" s="24">
        <s:f>'자료구성'!$B$2+TIME(INT($C$3/10000),INT(MOD($C$3,10000)/100),MOD($C$3,100))+(ROW()-ROW($C$3))/86400</s:f>
        <s:v>46247.48243055555</s:v>
      </s:c>
    </s:row>
    <s:row r="334">
      <s:c r="A334" s="0" t="n">
        <s:v>260813</s:v>
      </s:c>
      <s:c r="B334" s="0" t="inlineStr">
        <s:is>
          <s:t>이종훈</s:t>
        </s:is>
      </s:c>
      <s:c r="C334" s="0" t="n">
        <s:v>112912</s:v>
      </s:c>
      <s:c r="D334" s="0" t="n">
        <s:v>774</s:v>
      </s:c>
      <s:c r="F334" s="24">
        <s:f>'자료구성'!$B$2+TIME(INT($C$3/10000),INT(MOD($C$3,10000)/100),MOD($C$3,100))+(ROW()-ROW($C$3))/86400</s:f>
        <s:v>46247.48244212963</s:v>
      </s:c>
    </s:row>
    <s:row r="335">
      <s:c r="A335" s="0" t="n">
        <s:v>260813</s:v>
      </s:c>
      <s:c r="B335" s="0" t="inlineStr">
        <s:is>
          <s:t>이종훈</s:t>
        </s:is>
      </s:c>
      <s:c r="C335" s="0" t="n">
        <s:v>112912</s:v>
      </s:c>
      <s:c r="D335" s="0" t="n">
        <s:v>758</s:v>
      </s:c>
      <s:c r="F335" s="24">
        <s:f>'자료구성'!$B$2+TIME(INT($C$3/10000),INT(MOD($C$3,10000)/100),MOD($C$3,100))+(ROW()-ROW($C$3))/86400</s:f>
        <s:v>46247.482453703706</s:v>
      </s:c>
    </s:row>
    <s:row r="336">
      <s:c r="A336" s="0" t="n">
        <s:v>260813</s:v>
      </s:c>
      <s:c r="B336" s="0" t="inlineStr">
        <s:is>
          <s:t>이종훈</s:t>
        </s:is>
      </s:c>
      <s:c r="C336" s="0" t="n">
        <s:v>112912</s:v>
      </s:c>
      <s:c r="D336" s="0" t="n">
        <s:v>709</s:v>
      </s:c>
      <s:c r="F336" s="24">
        <s:f>'자료구성'!$B$2+TIME(INT($C$3/10000),INT(MOD($C$3,10000)/100),MOD($C$3,100))+(ROW()-ROW($C$3))/86400</s:f>
        <s:v>46247.482465277775</s:v>
      </s:c>
    </s:row>
    <s:row r="337">
      <s:c r="A337" s="0" t="n">
        <s:v>260813</s:v>
      </s:c>
      <s:c r="B337" s="0" t="inlineStr">
        <s:is>
          <s:t>이종훈</s:t>
        </s:is>
      </s:c>
      <s:c r="C337" s="0" t="n">
        <s:v>112912</s:v>
      </s:c>
      <s:c r="D337" s="0" t="n">
        <s:v>681</s:v>
      </s:c>
      <s:c r="F337" s="24">
        <s:f>'자료구성'!$B$2+TIME(INT($C$3/10000),INT(MOD($C$3,10000)/100),MOD($C$3,100))+(ROW()-ROW($C$3))/86400</s:f>
        <s:v>46247.48247685185</s:v>
      </s:c>
    </s:row>
    <s:row r="338">
      <s:c r="A338" s="0" t="n">
        <s:v>260813</s:v>
      </s:c>
      <s:c r="B338" s="0" t="inlineStr">
        <s:is>
          <s:t>이종훈</s:t>
        </s:is>
      </s:c>
      <s:c r="C338" s="0" t="n">
        <s:v>112912</s:v>
      </s:c>
      <s:c r="D338" s="0" t="n">
        <s:v>648</s:v>
      </s:c>
      <s:c r="F338" s="24">
        <s:f>'자료구성'!$B$2+TIME(INT($C$3/10000),INT(MOD($C$3,10000)/100),MOD($C$3,100))+(ROW()-ROW($C$3))/86400</s:f>
        <s:v>46247.48248842593</s:v>
      </s:c>
    </s:row>
    <s:row r="339">
      <s:c r="A339" s="0" t="n">
        <s:v>260813</s:v>
      </s:c>
      <s:c r="B339" s="0" t="inlineStr">
        <s:is>
          <s:t>이종훈</s:t>
        </s:is>
      </s:c>
      <s:c r="C339" s="0" t="n">
        <s:v>112912</s:v>
      </s:c>
      <s:c r="D339" s="0" t="n">
        <s:v>654</s:v>
      </s:c>
      <s:c r="F339" s="24">
        <s:f>'자료구성'!$B$2+TIME(INT($C$3/10000),INT(MOD($C$3,10000)/100),MOD($C$3,100))+(ROW()-ROW($C$3))/86400</s:f>
        <s:v>46247.4825</s:v>
      </s:c>
    </s:row>
    <s:row r="340">
      <s:c r="A340" s="0" t="n">
        <s:v>260813</s:v>
      </s:c>
      <s:c r="B340" s="0" t="inlineStr">
        <s:is>
          <s:t>이종훈</s:t>
        </s:is>
      </s:c>
      <s:c r="C340" s="0" t="n">
        <s:v>112912</s:v>
      </s:c>
      <s:c r="D340" s="0" t="n">
        <s:v>631</s:v>
      </s:c>
      <s:c r="F340" s="24">
        <s:f>'자료구성'!$B$2+TIME(INT($C$3/10000),INT(MOD($C$3,10000)/100),MOD($C$3,100))+(ROW()-ROW($C$3))/86400</s:f>
        <s:v>46247.482511574075</s:v>
      </s:c>
    </s:row>
    <s:row r="341">
      <s:c r="A341" s="0" t="n">
        <s:v>260813</s:v>
      </s:c>
      <s:c r="B341" s="0" t="inlineStr">
        <s:is>
          <s:t>이종훈</s:t>
        </s:is>
      </s:c>
      <s:c r="C341" s="0" t="n">
        <s:v>112912</s:v>
      </s:c>
      <s:c r="D341" s="0" t="n">
        <s:v>617</s:v>
      </s:c>
      <s:c r="F341" s="24">
        <s:f>'자료구성'!$B$2+TIME(INT($C$3/10000),INT(MOD($C$3,10000)/100),MOD($C$3,100))+(ROW()-ROW($C$3))/86400</s:f>
        <s:v>46247.482523148145</s:v>
      </s:c>
    </s:row>
    <s:row r="342">
      <s:c r="A342" s="0" t="n">
        <s:v>260813</s:v>
      </s:c>
      <s:c r="B342" s="0" t="inlineStr">
        <s:is>
          <s:t>이종훈</s:t>
        </s:is>
      </s:c>
      <s:c r="C342" s="0" t="n">
        <s:v>112912</s:v>
      </s:c>
      <s:c r="D342" s="0" t="n">
        <s:v>588</s:v>
      </s:c>
      <s:c r="F342" s="24">
        <s:f>'자료구성'!$B$2+TIME(INT($C$3/10000),INT(MOD($C$3,10000)/100),MOD($C$3,100))+(ROW()-ROW($C$3))/86400</s:f>
        <s:v>46247.48253472222</s:v>
      </s:c>
    </s:row>
    <s:row r="343">
      <s:c r="A343" s="0" t="n">
        <s:v>260813</s:v>
      </s:c>
      <s:c r="B343" s="0" t="inlineStr">
        <s:is>
          <s:t>이종훈</s:t>
        </s:is>
      </s:c>
      <s:c r="C343" s="0" t="n">
        <s:v>112912</s:v>
      </s:c>
      <s:c r="D343" s="0" t="n">
        <s:v>572</s:v>
      </s:c>
      <s:c r="F343" s="24">
        <s:f>'자료구성'!$B$2+TIME(INT($C$3/10000),INT(MOD($C$3,10000)/100),MOD($C$3,100))+(ROW()-ROW($C$3))/86400</s:f>
        <s:v>46247.4825462963</s:v>
      </s:c>
    </s:row>
    <s:row r="344">
      <s:c r="A344" s="0" t="n">
        <s:v>260813</s:v>
      </s:c>
      <s:c r="B344" s="0" t="inlineStr">
        <s:is>
          <s:t>이종훈</s:t>
        </s:is>
      </s:c>
      <s:c r="C344" s="0" t="n">
        <s:v>112912</s:v>
      </s:c>
      <s:c r="D344" s="0" t="n">
        <s:v>586</s:v>
      </s:c>
      <s:c r="F344" s="24">
        <s:f>'자료구성'!$B$2+TIME(INT($C$3/10000),INT(MOD($C$3,10000)/100),MOD($C$3,100))+(ROW()-ROW($C$3))/86400</s:f>
        <s:v>46247.48255787037</s:v>
      </s:c>
    </s:row>
    <s:row r="345">
      <s:c r="A345" s="0" t="n">
        <s:v>260813</s:v>
      </s:c>
      <s:c r="B345" s="0" t="inlineStr">
        <s:is>
          <s:t>이종훈</s:t>
        </s:is>
      </s:c>
      <s:c r="C345" s="0" t="n">
        <s:v>112912</s:v>
      </s:c>
      <s:c r="D345" s="0" t="n">
        <s:v>586</s:v>
      </s:c>
      <s:c r="F345" s="24">
        <s:f>'자료구성'!$B$2+TIME(INT($C$3/10000),INT(MOD($C$3,10000)/100),MOD($C$3,100))+(ROW()-ROW($C$3))/86400</s:f>
        <s:v>46247.482569444444</s:v>
      </s:c>
    </s:row>
    <s:row r="346">
      <s:c r="A346" s="0" t="n">
        <s:v>260813</s:v>
      </s:c>
      <s:c r="B346" s="0" t="inlineStr">
        <s:is>
          <s:t>이종훈</s:t>
        </s:is>
      </s:c>
      <s:c r="C346" s="0" t="n">
        <s:v>112912</s:v>
      </s:c>
      <s:c r="D346" s="0" t="n">
        <s:v>568</s:v>
      </s:c>
      <s:c r="F346" s="24">
        <s:f>'자료구성'!$B$2+TIME(INT($C$3/10000),INT(MOD($C$3,10000)/100),MOD($C$3,100))+(ROW()-ROW($C$3))/86400</s:f>
        <s:v>46247.48258101852</s:v>
      </s:c>
    </s:row>
    <s:row r="347">
      <s:c r="A347" s="0" t="n">
        <s:v>260813</s:v>
      </s:c>
      <s:c r="B347" s="0" t="inlineStr">
        <s:is>
          <s:t>이종훈</s:t>
        </s:is>
      </s:c>
      <s:c r="C347" s="0" t="n">
        <s:v>112912</s:v>
      </s:c>
      <s:c r="D347" s="0" t="n">
        <s:v>559</s:v>
      </s:c>
      <s:c r="F347" s="24">
        <s:f>'자료구성'!$B$2+TIME(INT($C$3/10000),INT(MOD($C$3,10000)/100),MOD($C$3,100))+(ROW()-ROW($C$3))/86400</s:f>
        <s:v>46247.48259259259</s:v>
      </s:c>
    </s:row>
    <s:row r="348">
      <s:c r="A348" s="0" t="n">
        <s:v>260813</s:v>
      </s:c>
      <s:c r="B348" s="0" t="inlineStr">
        <s:is>
          <s:t>이종훈</s:t>
        </s:is>
      </s:c>
      <s:c r="C348" s="0" t="n">
        <s:v>112912</s:v>
      </s:c>
      <s:c r="D348" s="0" t="n">
        <s:v>555</s:v>
      </s:c>
      <s:c r="F348" s="24">
        <s:f>'자료구성'!$B$2+TIME(INT($C$3/10000),INT(MOD($C$3,10000)/100),MOD($C$3,100))+(ROW()-ROW($C$3))/86400</s:f>
        <s:v>46247.48260416667</s:v>
      </s:c>
    </s:row>
    <s:row r="349">
      <s:c r="A349" s="0" t="n">
        <s:v>260813</s:v>
      </s:c>
      <s:c r="B349" s="0" t="inlineStr">
        <s:is>
          <s:t>이종훈</s:t>
        </s:is>
      </s:c>
      <s:c r="C349" s="0" t="n">
        <s:v>112912</s:v>
      </s:c>
      <s:c r="D349" s="0" t="n">
        <s:v>562</s:v>
      </s:c>
      <s:c r="F349" s="24">
        <s:f>'자료구성'!$B$2+TIME(INT($C$3/10000),INT(MOD($C$3,10000)/100),MOD($C$3,100))+(ROW()-ROW($C$3))/86400</s:f>
        <s:v>46247.482615740744</s:v>
      </s:c>
    </s:row>
    <s:row r="350">
      <s:c r="A350" s="0" t="n">
        <s:v>260813</s:v>
      </s:c>
      <s:c r="B350" s="0" t="inlineStr">
        <s:is>
          <s:t>이종훈</s:t>
        </s:is>
      </s:c>
      <s:c r="C350" s="0" t="n">
        <s:v>112912</s:v>
      </s:c>
      <s:c r="D350" s="0" t="n">
        <s:v>519</s:v>
      </s:c>
      <s:c r="F350" s="24">
        <s:f>'자료구성'!$B$2+TIME(INT($C$3/10000),INT(MOD($C$3,10000)/100),MOD($C$3,100))+(ROW()-ROW($C$3))/86400</s:f>
        <s:v>46247.482627314814</s:v>
      </s:c>
    </s:row>
    <s:row r="351">
      <s:c r="A351" s="0" t="n">
        <s:v>260813</s:v>
      </s:c>
      <s:c r="B351" s="0" t="inlineStr">
        <s:is>
          <s:t>이종훈</s:t>
        </s:is>
      </s:c>
      <s:c r="C351" s="0" t="n">
        <s:v>112912</s:v>
      </s:c>
      <s:c r="D351" s="0" t="n">
        <s:v>562</s:v>
      </s:c>
      <s:c r="F351" s="24">
        <s:f>'자료구성'!$B$2+TIME(INT($C$3/10000),INT(MOD($C$3,10000)/100),MOD($C$3,100))+(ROW()-ROW($C$3))/86400</s:f>
        <s:v>46247.48263888889</s:v>
      </s:c>
    </s:row>
    <s:row r="352">
      <s:c r="A352" s="0" t="n">
        <s:v>260813</s:v>
      </s:c>
      <s:c r="B352" s="0" t="inlineStr">
        <s:is>
          <s:t>이종훈</s:t>
        </s:is>
      </s:c>
      <s:c r="C352" s="0" t="n">
        <s:v>112912</s:v>
      </s:c>
      <s:c r="D352" s="0" t="n">
        <s:v>650</s:v>
      </s:c>
      <s:c r="F352" s="24">
        <s:f>'자료구성'!$B$2+TIME(INT($C$3/10000),INT(MOD($C$3,10000)/100),MOD($C$3,100))+(ROW()-ROW($C$3))/86400</s:f>
        <s:v>46247.48265046296</s:v>
      </s:c>
    </s:row>
    <s:row r="353">
      <s:c r="A353" s="0" t="n">
        <s:v>260813</s:v>
      </s:c>
      <s:c r="B353" s="0" t="inlineStr">
        <s:is>
          <s:t>이종훈</s:t>
        </s:is>
      </s:c>
      <s:c r="C353" s="0" t="n">
        <s:v>112912</s:v>
      </s:c>
      <s:c r="D353" s="0" t="n">
        <s:v>723</s:v>
      </s:c>
      <s:c r="F353" s="24">
        <s:f>'자료구성'!$B$2+TIME(INT($C$3/10000),INT(MOD($C$3,10000)/100),MOD($C$3,100))+(ROW()-ROW($C$3))/86400</s:f>
        <s:v>46247.48266203704</s:v>
      </s:c>
    </s:row>
    <s:row r="354">
      <s:c r="A354" s="0" t="n">
        <s:v>260813</s:v>
      </s:c>
      <s:c r="B354" s="0" t="inlineStr">
        <s:is>
          <s:t>이종훈</s:t>
        </s:is>
      </s:c>
      <s:c r="C354" s="0" t="n">
        <s:v>112912</s:v>
      </s:c>
      <s:c r="D354" s="0" t="n">
        <s:v>788</s:v>
      </s:c>
      <s:c r="F354" s="24">
        <s:f>'자료구성'!$B$2+TIME(INT($C$3/10000),INT(MOD($C$3,10000)/100),MOD($C$3,100))+(ROW()-ROW($C$3))/86400</s:f>
        <s:v>46247.48267361111</s:v>
      </s:c>
    </s:row>
    <s:row r="355">
      <s:c r="A355" s="0" t="n">
        <s:v>260813</s:v>
      </s:c>
      <s:c r="B355" s="0" t="inlineStr">
        <s:is>
          <s:t>이종훈</s:t>
        </s:is>
      </s:c>
      <s:c r="C355" s="0" t="n">
        <s:v>112912</s:v>
      </s:c>
      <s:c r="D355" s="0" t="n">
        <s:v>828</s:v>
      </s:c>
      <s:c r="F355" s="24">
        <s:f>'자료구성'!$B$2+TIME(INT($C$3/10000),INT(MOD($C$3,10000)/100),MOD($C$3,100))+(ROW()-ROW($C$3))/86400</s:f>
        <s:v>46247.48268518518</s:v>
      </s:c>
    </s:row>
    <s:row r="356">
      <s:c r="A356" s="0" t="n">
        <s:v>260813</s:v>
      </s:c>
      <s:c r="B356" s="0" t="inlineStr">
        <s:is>
          <s:t>이종훈</s:t>
        </s:is>
      </s:c>
      <s:c r="C356" s="0" t="n">
        <s:v>112912</s:v>
      </s:c>
      <s:c r="D356" s="0" t="n">
        <s:v>865</s:v>
      </s:c>
      <s:c r="F356" s="24">
        <s:f>'자료구성'!$B$2+TIME(INT($C$3/10000),INT(MOD($C$3,10000)/100),MOD($C$3,100))+(ROW()-ROW($C$3))/86400</s:f>
        <s:v>46247.48269675926</s:v>
      </s:c>
    </s:row>
    <s:row r="357">
      <s:c r="A357" s="0" t="n">
        <s:v>260813</s:v>
      </s:c>
      <s:c r="B357" s="0" t="inlineStr">
        <s:is>
          <s:t>이종훈</s:t>
        </s:is>
      </s:c>
      <s:c r="C357" s="0" t="n">
        <s:v>112912</s:v>
      </s:c>
      <s:c r="D357" s="0" t="n">
        <s:v>833</s:v>
      </s:c>
      <s:c r="F357" s="24">
        <s:f>'자료구성'!$B$2+TIME(INT($C$3/10000),INT(MOD($C$3,10000)/100),MOD($C$3,100))+(ROW()-ROW($C$3))/86400</s:f>
        <s:v>46247.48270833334</s:v>
      </s:c>
    </s:row>
    <s:row r="358">
      <s:c r="A358" s="0" t="n">
        <s:v>260813</s:v>
      </s:c>
      <s:c r="B358" s="0" t="inlineStr">
        <s:is>
          <s:t>이종훈</s:t>
        </s:is>
      </s:c>
      <s:c r="C358" s="0" t="n">
        <s:v>112912</s:v>
      </s:c>
      <s:c r="D358" s="0" t="n">
        <s:v>797</s:v>
      </s:c>
      <s:c r="F358" s="24">
        <s:f>'자료구성'!$B$2+TIME(INT($C$3/10000),INT(MOD($C$3,10000)/100),MOD($C$3,100))+(ROW()-ROW($C$3))/86400</s:f>
        <s:v>46247.482719907406</s:v>
      </s:c>
    </s:row>
    <s:row r="359">
      <s:c r="A359" s="0" t="n">
        <s:v>260813</s:v>
      </s:c>
      <s:c r="B359" s="0" t="inlineStr">
        <s:is>
          <s:t>이종훈</s:t>
        </s:is>
      </s:c>
      <s:c r="C359" s="0" t="n">
        <s:v>112912</s:v>
      </s:c>
      <s:c r="D359" s="0" t="n">
        <s:v>783</s:v>
      </s:c>
      <s:c r="F359" s="24">
        <s:f>'자료구성'!$B$2+TIME(INT($C$3/10000),INT(MOD($C$3,10000)/100),MOD($C$3,100))+(ROW()-ROW($C$3))/86400</s:f>
        <s:v>46247.48273148148</s:v>
      </s:c>
    </s:row>
    <s:row r="360">
      <s:c r="A360" s="0" t="n">
        <s:v>260813</s:v>
      </s:c>
      <s:c r="B360" s="0" t="inlineStr">
        <s:is>
          <s:t>이종훈</s:t>
        </s:is>
      </s:c>
      <s:c r="C360" s="0" t="n">
        <s:v>112912</s:v>
      </s:c>
      <s:c r="D360" s="0" t="n">
        <s:v>763</s:v>
      </s:c>
      <s:c r="F360" s="24">
        <s:f>'자료구성'!$B$2+TIME(INT($C$3/10000),INT(MOD($C$3,10000)/100),MOD($C$3,100))+(ROW()-ROW($C$3))/86400</s:f>
        <s:v>46247.48274305555</s:v>
      </s:c>
    </s:row>
    <s:row r="361">
      <s:c r="A361" s="0" t="n">
        <s:v>260813</s:v>
      </s:c>
      <s:c r="B361" s="0" t="inlineStr">
        <s:is>
          <s:t>이종훈</s:t>
        </s:is>
      </s:c>
      <s:c r="C361" s="0" t="n">
        <s:v>112912</s:v>
      </s:c>
      <s:c r="D361" s="0" t="n">
        <s:v>745</s:v>
      </s:c>
      <s:c r="F361" s="24">
        <s:f>'자료구성'!$B$2+TIME(INT($C$3/10000),INT(MOD($C$3,10000)/100),MOD($C$3,100))+(ROW()-ROW($C$3))/86400</s:f>
        <s:v>46247.48275462963</s:v>
      </s:c>
    </s:row>
    <s:row r="362">
      <s:c r="A362" s="0" t="n">
        <s:v>260813</s:v>
      </s:c>
      <s:c r="B362" s="0" t="inlineStr">
        <s:is>
          <s:t>이종훈</s:t>
        </s:is>
      </s:c>
      <s:c r="C362" s="0" t="n">
        <s:v>112912</s:v>
      </s:c>
      <s:c r="D362" s="0" t="n">
        <s:v>734</s:v>
      </s:c>
      <s:c r="F362" s="24">
        <s:f>'자료구성'!$B$2+TIME(INT($C$3/10000),INT(MOD($C$3,10000)/100),MOD($C$3,100))+(ROW()-ROW($C$3))/86400</s:f>
        <s:v>46247.482766203706</s:v>
      </s:c>
    </s:row>
    <s:row r="363">
      <s:c r="A363" s="0" t="n">
        <s:v>260813</s:v>
      </s:c>
      <s:c r="B363" s="0" t="inlineStr">
        <s:is>
          <s:t>이종훈</s:t>
        </s:is>
      </s:c>
      <s:c r="C363" s="0" t="n">
        <s:v>112912</s:v>
      </s:c>
      <s:c r="D363" s="0" t="n">
        <s:v>707</s:v>
      </s:c>
      <s:c r="F363" s="24">
        <s:f>'자료구성'!$B$2+TIME(INT($C$3/10000),INT(MOD($C$3,10000)/100),MOD($C$3,100))+(ROW()-ROW($C$3))/86400</s:f>
        <s:v>46247.482777777775</s:v>
      </s:c>
    </s:row>
    <s:row r="364">
      <s:c r="A364" s="0" t="n">
        <s:v>260813</s:v>
      </s:c>
      <s:c r="B364" s="0" t="inlineStr">
        <s:is>
          <s:t>이종훈</s:t>
        </s:is>
      </s:c>
      <s:c r="C364" s="0" t="n">
        <s:v>112912</s:v>
      </s:c>
      <s:c r="D364" s="0" t="n">
        <s:v>708</s:v>
      </s:c>
      <s:c r="F364" s="24">
        <s:f>'자료구성'!$B$2+TIME(INT($C$3/10000),INT(MOD($C$3,10000)/100),MOD($C$3,100))+(ROW()-ROW($C$3))/86400</s:f>
        <s:v>46247.48278935185</s:v>
      </s:c>
    </s:row>
    <s:row r="365">
      <s:c r="A365" s="0" t="n">
        <s:v>260813</s:v>
      </s:c>
      <s:c r="B365" s="0" t="inlineStr">
        <s:is>
          <s:t>이종훈</s:t>
        </s:is>
      </s:c>
      <s:c r="C365" s="0" t="n">
        <s:v>112912</s:v>
      </s:c>
      <s:c r="D365" s="0" t="n">
        <s:v>725</s:v>
      </s:c>
      <s:c r="F365" s="24">
        <s:f>'자료구성'!$B$2+TIME(INT($C$3/10000),INT(MOD($C$3,10000)/100),MOD($C$3,100))+(ROW()-ROW($C$3))/86400</s:f>
        <s:v>46247.48280092593</s:v>
      </s:c>
    </s:row>
    <s:row r="366">
      <s:c r="A366" s="0" t="n">
        <s:v>260813</s:v>
      </s:c>
      <s:c r="B366" s="0" t="inlineStr">
        <s:is>
          <s:t>이종훈</s:t>
        </s:is>
      </s:c>
      <s:c r="C366" s="0" t="n">
        <s:v>112912</s:v>
      </s:c>
      <s:c r="D366" s="0" t="n">
        <s:v>814</s:v>
      </s:c>
      <s:c r="F366" s="24">
        <s:f>'자료구성'!$B$2+TIME(INT($C$3/10000),INT(MOD($C$3,10000)/100),MOD($C$3,100))+(ROW()-ROW($C$3))/86400</s:f>
        <s:v>46247.4828125</s:v>
      </s:c>
    </s:row>
    <s:row r="367">
      <s:c r="A367" s="0" t="n">
        <s:v>260813</s:v>
      </s:c>
      <s:c r="B367" s="0" t="inlineStr">
        <s:is>
          <s:t>이종훈</s:t>
        </s:is>
      </s:c>
      <s:c r="C367" s="0" t="n">
        <s:v>112912</s:v>
      </s:c>
      <s:c r="D367" s="0" t="n">
        <s:v>865</s:v>
      </s:c>
      <s:c r="F367" s="24">
        <s:f>'자료구성'!$B$2+TIME(INT($C$3/10000),INT(MOD($C$3,10000)/100),MOD($C$3,100))+(ROW()-ROW($C$3))/86400</s:f>
        <s:v>46247.482824074075</s:v>
      </s:c>
    </s:row>
    <s:row r="368">
      <s:c r="A368" s="0" t="n">
        <s:v>260813</s:v>
      </s:c>
      <s:c r="B368" s="0" t="inlineStr">
        <s:is>
          <s:t>이종훈</s:t>
        </s:is>
      </s:c>
      <s:c r="C368" s="0" t="n">
        <s:v>112912</s:v>
      </s:c>
      <s:c r="D368" s="0" t="n">
        <s:v>888</s:v>
      </s:c>
      <s:c r="F368" s="24">
        <s:f>'자료구성'!$B$2+TIME(INT($C$3/10000),INT(MOD($C$3,10000)/100),MOD($C$3,100))+(ROW()-ROW($C$3))/86400</s:f>
        <s:v>46247.482835648145</s:v>
      </s:c>
    </s:row>
    <s:row r="369">
      <s:c r="A369" s="0" t="n">
        <s:v>260813</s:v>
      </s:c>
      <s:c r="B369" s="0" t="inlineStr">
        <s:is>
          <s:t>이종훈</s:t>
        </s:is>
      </s:c>
      <s:c r="C369" s="0" t="n">
        <s:v>112912</s:v>
      </s:c>
      <s:c r="D369" s="0" t="n">
        <s:v>906</s:v>
      </s:c>
      <s:c r="F369" s="24">
        <s:f>'자료구성'!$B$2+TIME(INT($C$3/10000),INT(MOD($C$3,10000)/100),MOD($C$3,100))+(ROW()-ROW($C$3))/86400</s:f>
        <s:v>46247.48284722222</s:v>
      </s:c>
    </s:row>
    <s:row r="370">
      <s:c r="A370" s="0" t="n">
        <s:v>260813</s:v>
      </s:c>
      <s:c r="B370" s="0" t="inlineStr">
        <s:is>
          <s:t>이종훈</s:t>
        </s:is>
      </s:c>
      <s:c r="C370" s="0" t="n">
        <s:v>112912</s:v>
      </s:c>
      <s:c r="D370" s="0" t="n">
        <s:v>910</s:v>
      </s:c>
      <s:c r="F370" s="24">
        <s:f>'자료구성'!$B$2+TIME(INT($C$3/10000),INT(MOD($C$3,10000)/100),MOD($C$3,100))+(ROW()-ROW($C$3))/86400</s:f>
        <s:v>46247.4828587963</s:v>
      </s:c>
    </s:row>
    <s:row r="371">
      <s:c r="A371" s="0" t="n">
        <s:v>260813</s:v>
      </s:c>
      <s:c r="B371" s="0" t="inlineStr">
        <s:is>
          <s:t>이종훈</s:t>
        </s:is>
      </s:c>
      <s:c r="C371" s="0" t="n">
        <s:v>112912</s:v>
      </s:c>
      <s:c r="D371" s="0" t="n">
        <s:v>925</s:v>
      </s:c>
      <s:c r="F371" s="24">
        <s:f>'자료구성'!$B$2+TIME(INT($C$3/10000),INT(MOD($C$3,10000)/100),MOD($C$3,100))+(ROW()-ROW($C$3))/86400</s:f>
        <s:v>46247.48287037037</s:v>
      </s:c>
    </s:row>
    <s:row r="372">
      <s:c r="A372" s="0" t="n">
        <s:v>260813</s:v>
      </s:c>
      <s:c r="B372" s="0" t="inlineStr">
        <s:is>
          <s:t>이종훈</s:t>
        </s:is>
      </s:c>
      <s:c r="C372" s="0" t="n">
        <s:v>112912</s:v>
      </s:c>
      <s:c r="D372" s="0" t="n">
        <s:v>936</s:v>
      </s:c>
      <s:c r="F372" s="24">
        <s:f>'자료구성'!$B$2+TIME(INT($C$3/10000),INT(MOD($C$3,10000)/100),MOD($C$3,100))+(ROW()-ROW($C$3))/86400</s:f>
        <s:v>46247.482881944445</s:v>
      </s:c>
    </s:row>
    <s:row r="373">
      <s:c r="A373" s="0" t="n">
        <s:v>260813</s:v>
      </s:c>
      <s:c r="B373" s="0" t="inlineStr">
        <s:is>
          <s:t>이종훈</s:t>
        </s:is>
      </s:c>
      <s:c r="C373" s="0" t="n">
        <s:v>112912</s:v>
      </s:c>
      <s:c r="D373" s="0" t="n">
        <s:v>942</s:v>
      </s:c>
      <s:c r="F373" s="24">
        <s:f>'자료구성'!$B$2+TIME(INT($C$3/10000),INT(MOD($C$3,10000)/100),MOD($C$3,100))+(ROW()-ROW($C$3))/86400</s:f>
        <s:v>46247.48289351852</s:v>
      </s:c>
    </s:row>
    <s:row r="374">
      <s:c r="A374" s="0" t="n">
        <s:v>260813</s:v>
      </s:c>
      <s:c r="B374" s="0" t="inlineStr">
        <s:is>
          <s:t>이종훈</s:t>
        </s:is>
      </s:c>
      <s:c r="C374" s="0" t="n">
        <s:v>112912</s:v>
      </s:c>
      <s:c r="D374" s="0" t="n">
        <s:v>942</s:v>
      </s:c>
      <s:c r="F374" s="24">
        <s:f>'자료구성'!$B$2+TIME(INT($C$3/10000),INT(MOD($C$3,10000)/100),MOD($C$3,100))+(ROW()-ROW($C$3))/86400</s:f>
        <s:v>46247.48290509259</s:v>
      </s:c>
    </s:row>
    <s:row r="375">
      <s:c r="A375" s="0" t="n">
        <s:v>260813</s:v>
      </s:c>
      <s:c r="B375" s="0" t="inlineStr">
        <s:is>
          <s:t>이종훈</s:t>
        </s:is>
      </s:c>
      <s:c r="C375" s="0" t="n">
        <s:v>112912</s:v>
      </s:c>
      <s:c r="D375" s="0" t="n">
        <s:v>964</s:v>
      </s:c>
      <s:c r="F375" s="24">
        <s:f>'자료구성'!$B$2+TIME(INT($C$3/10000),INT(MOD($C$3,10000)/100),MOD($C$3,100))+(ROW()-ROW($C$3))/86400</s:f>
        <s:v>46247.48291666667</s:v>
      </s:c>
    </s:row>
    <s:row r="376">
      <s:c r="A376" s="0" t="n">
        <s:v>260813</s:v>
      </s:c>
      <s:c r="B376" s="0" t="inlineStr">
        <s:is>
          <s:t>이종훈</s:t>
        </s:is>
      </s:c>
      <s:c r="C376" s="0" t="n">
        <s:v>112912</s:v>
      </s:c>
      <s:c r="D376" s="0" t="n">
        <s:v>979</s:v>
      </s:c>
      <s:c r="F376" s="24">
        <s:f>'자료구성'!$B$2+TIME(INT($C$3/10000),INT(MOD($C$3,10000)/100),MOD($C$3,100))+(ROW()-ROW($C$3))/86400</s:f>
        <s:v>46247.48292824074</s:v>
      </s:c>
    </s:row>
    <s:row r="377">
      <s:c r="A377" s="0" t="n">
        <s:v>260813</s:v>
      </s:c>
      <s:c r="B377" s="0" t="inlineStr">
        <s:is>
          <s:t>이종훈</s:t>
        </s:is>
      </s:c>
      <s:c r="C377" s="0" t="n">
        <s:v>112912</s:v>
      </s:c>
      <s:c r="D377" s="0" t="n">
        <s:v>988</s:v>
      </s:c>
      <s:c r="F377" s="24">
        <s:f>'자료구성'!$B$2+TIME(INT($C$3/10000),INT(MOD($C$3,10000)/100),MOD($C$3,100))+(ROW()-ROW($C$3))/86400</s:f>
        <s:v>46247.482939814814</s:v>
      </s:c>
    </s:row>
    <s:row r="378">
      <s:c r="A378" s="0" t="n">
        <s:v>260813</s:v>
      </s:c>
      <s:c r="B378" s="0" t="inlineStr">
        <s:is>
          <s:t>이종훈</s:t>
        </s:is>
      </s:c>
      <s:c r="C378" s="0" t="n">
        <s:v>112912</s:v>
      </s:c>
      <s:c r="D378" s="0" t="n">
        <s:v>984</s:v>
      </s:c>
      <s:c r="F378" s="24">
        <s:f>'자료구성'!$B$2+TIME(INT($C$3/10000),INT(MOD($C$3,10000)/100),MOD($C$3,100))+(ROW()-ROW($C$3))/86400</s:f>
        <s:v>46247.48295138889</s:v>
      </s:c>
    </s:row>
    <s:row r="379">
      <s:c r="A379" s="0" t="n">
        <s:v>260813</s:v>
      </s:c>
      <s:c r="B379" s="0" t="inlineStr">
        <s:is>
          <s:t>이종훈</s:t>
        </s:is>
      </s:c>
      <s:c r="C379" s="0" t="n">
        <s:v>112912</s:v>
      </s:c>
      <s:c r="D379" s="0" t="n">
        <s:v>993</s:v>
      </s:c>
      <s:c r="F379" s="24">
        <s:f>'자료구성'!$B$2+TIME(INT($C$3/10000),INT(MOD($C$3,10000)/100),MOD($C$3,100))+(ROW()-ROW($C$3))/86400</s:f>
        <s:v>46247.48296296296</s:v>
      </s:c>
    </s:row>
    <s:row r="380">
      <s:c r="A380" s="0" t="n">
        <s:v>260813</s:v>
      </s:c>
      <s:c r="B380" s="0" t="inlineStr">
        <s:is>
          <s:t>이종훈</s:t>
        </s:is>
      </s:c>
      <s:c r="C380" s="0" t="n">
        <s:v>112912</s:v>
      </s:c>
      <s:c r="D380" s="0" t="n">
        <s:v>991</s:v>
      </s:c>
      <s:c r="F380" s="24">
        <s:f>'자료구성'!$B$2+TIME(INT($C$3/10000),INT(MOD($C$3,10000)/100),MOD($C$3,100))+(ROW()-ROW($C$3))/86400</s:f>
        <s:v>46247.48297453704</s:v>
      </s:c>
    </s:row>
    <s:row r="381">
      <s:c r="A381" s="0" t="n">
        <s:v>260813</s:v>
      </s:c>
      <s:c r="B381" s="0" t="inlineStr">
        <s:is>
          <s:t>이종훈</s:t>
        </s:is>
      </s:c>
      <s:c r="C381" s="0" t="n">
        <s:v>112912</s:v>
      </s:c>
      <s:c r="D381" s="0" t="n">
        <s:v>0</s:v>
      </s:c>
      <s:c r="F381" s="24">
        <s:f>'자료구성'!$B$2+TIME(INT($C$3/10000),INT(MOD($C$3,10000)/100),MOD($C$3,100))+(ROW()-ROW($C$3))/86400</s:f>
        <s:v>46247.482986111114</s:v>
      </s:c>
    </s:row>
    <s:row r="382">
      <s:c r="A382" s="0" t="n">
        <s:v>260813</s:v>
      </s:c>
      <s:c r="B382" s="0" t="inlineStr">
        <s:is>
          <s:t>이종훈</s:t>
        </s:is>
      </s:c>
      <s:c r="C382" s="0" t="n">
        <s:v>112912</s:v>
      </s:c>
      <s:c r="D382" s="0" t="n">
        <s:v>32</s:v>
      </s:c>
      <s:c r="F382" s="24">
        <s:f>'자료구성'!$B$2+TIME(INT($C$3/10000),INT(MOD($C$3,10000)/100),MOD($C$3,100))+(ROW()-ROW($C$3))/86400</s:f>
        <s:v>46247.48299768518</s:v>
      </s:c>
    </s:row>
    <s:row r="383">
      <s:c r="A383" s="0" t="n">
        <s:v>260813</s:v>
      </s:c>
      <s:c r="B383" s="0" t="inlineStr">
        <s:is>
          <s:t>이종훈</s:t>
        </s:is>
      </s:c>
      <s:c r="C383" s="0" t="n">
        <s:v>112912</s:v>
      </s:c>
      <s:c r="D383" s="0" t="n">
        <s:v>46</s:v>
      </s:c>
      <s:c r="F383" s="24">
        <s:f>'자료구성'!$B$2+TIME(INT($C$3/10000),INT(MOD($C$3,10000)/100),MOD($C$3,100))+(ROW()-ROW($C$3))/86400</s:f>
        <s:v>46247.48300925926</s:v>
      </s:c>
    </s:row>
    <s:row r="384">
      <s:c r="A384" s="0" t="n">
        <s:v>260813</s:v>
      </s:c>
      <s:c r="B384" s="0" t="inlineStr">
        <s:is>
          <s:t>이종훈</s:t>
        </s:is>
      </s:c>
      <s:c r="C384" s="0" t="n">
        <s:v>112912</s:v>
      </s:c>
      <s:c r="D384" s="0" t="n">
        <s:v>8</s:v>
      </s:c>
      <s:c r="F384" s="24">
        <s:f>'자료구성'!$B$2+TIME(INT($C$3/10000),INT(MOD($C$3,10000)/100),MOD($C$3,100))+(ROW()-ROW($C$3))/86400</s:f>
        <s:v>46247.48302083334</s:v>
      </s:c>
    </s:row>
    <s:row r="385">
      <s:c r="A385" s="0" t="n">
        <s:v>260813</s:v>
      </s:c>
      <s:c r="B385" s="0" t="inlineStr">
        <s:is>
          <s:t>이종훈</s:t>
        </s:is>
      </s:c>
      <s:c r="C385" s="0" t="n">
        <s:v>112912</s:v>
      </s:c>
      <s:c r="D385" s="0" t="n">
        <s:v>983</s:v>
      </s:c>
      <s:c r="F385" s="24">
        <s:f>'자료구성'!$B$2+TIME(INT($C$3/10000),INT(MOD($C$3,10000)/100),MOD($C$3,100))+(ROW()-ROW($C$3))/86400</s:f>
        <s:v>46247.48303240741</s:v>
      </s:c>
    </s:row>
    <s:row r="386">
      <s:c r="A386" s="0" t="n">
        <s:v>260813</s:v>
      </s:c>
      <s:c r="B386" s="0" t="inlineStr">
        <s:is>
          <s:t>이종훈</s:t>
        </s:is>
      </s:c>
      <s:c r="C386" s="0" t="n">
        <s:v>112912</s:v>
      </s:c>
      <s:c r="D386" s="0" t="n">
        <s:v>976</s:v>
      </s:c>
      <s:c r="F386" s="24">
        <s:f>'자료구성'!$B$2+TIME(INT($C$3/10000),INT(MOD($C$3,10000)/100),MOD($C$3,100))+(ROW()-ROW($C$3))/86400</s:f>
        <s:v>46247.48304398148</s:v>
      </s:c>
    </s:row>
    <s:row r="387">
      <s:c r="A387" s="0" t="n">
        <s:v>260813</s:v>
      </s:c>
      <s:c r="B387" s="0" t="inlineStr">
        <s:is>
          <s:t>이종훈</s:t>
        </s:is>
      </s:c>
      <s:c r="C387" s="0" t="n">
        <s:v>112912</s:v>
      </s:c>
      <s:c r="D387" s="0" t="n">
        <s:v>989</s:v>
      </s:c>
      <s:c r="F387" s="24">
        <s:f>'자료구성'!$B$2+TIME(INT($C$3/10000),INT(MOD($C$3,10000)/100),MOD($C$3,100))+(ROW()-ROW($C$3))/86400</s:f>
        <s:v>46247.48305555555</s:v>
      </s:c>
    </s:row>
    <s:row r="388">
      <s:c r="A388" s="0" t="n">
        <s:v>260813</s:v>
      </s:c>
      <s:c r="B388" s="0" t="inlineStr">
        <s:is>
          <s:t>이종훈</s:t>
        </s:is>
      </s:c>
      <s:c r="C388" s="0" t="n">
        <s:v>112912</s:v>
      </s:c>
      <s:c r="D388" s="0" t="n">
        <s:v>981</s:v>
      </s:c>
      <s:c r="F388" s="24">
        <s:f>'자료구성'!$B$2+TIME(INT($C$3/10000),INT(MOD($C$3,10000)/100),MOD($C$3,100))+(ROW()-ROW($C$3))/86400</s:f>
        <s:v>46247.48306712963</s:v>
      </s:c>
    </s:row>
    <s:row r="389">
      <s:c r="A389" s="0" t="n">
        <s:v>260813</s:v>
      </s:c>
      <s:c r="B389" s="0" t="inlineStr">
        <s:is>
          <s:t>이종훈</s:t>
        </s:is>
      </s:c>
      <s:c r="C389" s="0" t="n">
        <s:v>112912</s:v>
      </s:c>
      <s:c r="D389" s="0" t="n">
        <s:v>972</s:v>
      </s:c>
      <s:c r="F389" s="24">
        <s:f>'자료구성'!$B$2+TIME(INT($C$3/10000),INT(MOD($C$3,10000)/100),MOD($C$3,100))+(ROW()-ROW($C$3))/86400</s:f>
        <s:v>46247.483078703706</s:v>
      </s:c>
    </s:row>
    <s:row r="390">
      <s:c r="A390" s="0" t="n">
        <s:v>260813</s:v>
      </s:c>
      <s:c r="B390" s="0" t="inlineStr">
        <s:is>
          <s:t>이종훈</s:t>
        </s:is>
      </s:c>
      <s:c r="C390" s="0" t="n">
        <s:v>112912</s:v>
      </s:c>
      <s:c r="D390" s="0" t="n">
        <s:v>974</s:v>
      </s:c>
      <s:c r="F390" s="24">
        <s:f>'자료구성'!$B$2+TIME(INT($C$3/10000),INT(MOD($C$3,10000)/100),MOD($C$3,100))+(ROW()-ROW($C$3))/86400</s:f>
        <s:v>46247.483090277776</s:v>
      </s:c>
    </s:row>
    <s:row r="391">
      <s:c r="A391" s="0" t="n">
        <s:v>260813</s:v>
      </s:c>
      <s:c r="B391" s="0" t="inlineStr">
        <s:is>
          <s:t>이종훈</s:t>
        </s:is>
      </s:c>
      <s:c r="C391" s="0" t="n">
        <s:v>112912</s:v>
      </s:c>
      <s:c r="D391" s="0" t="n">
        <s:v>966</s:v>
      </s:c>
      <s:c r="F391" s="24">
        <s:f>'자료구성'!$B$2+TIME(INT($C$3/10000),INT(MOD($C$3,10000)/100),MOD($C$3,100))+(ROW()-ROW($C$3))/86400</s:f>
        <s:v>46247.48310185185</s:v>
      </s:c>
    </s:row>
    <s:row r="392">
      <s:c r="A392" s="0" t="n">
        <s:v>260813</s:v>
      </s:c>
      <s:c r="B392" s="0" t="inlineStr">
        <s:is>
          <s:t>이종훈</s:t>
        </s:is>
      </s:c>
      <s:c r="C392" s="0" t="n">
        <s:v>112912</s:v>
      </s:c>
      <s:c r="D392" s="0" t="n">
        <s:v>975</s:v>
      </s:c>
      <s:c r="F392" s="24">
        <s:f>'자료구성'!$B$2+TIME(INT($C$3/10000),INT(MOD($C$3,10000)/100),MOD($C$3,100))+(ROW()-ROW($C$3))/86400</s:f>
        <s:v>46247.48311342593</s:v>
      </s:c>
    </s:row>
    <s:row r="393">
      <s:c r="A393" s="0" t="n">
        <s:v>260813</s:v>
      </s:c>
      <s:c r="B393" s="0" t="inlineStr">
        <s:is>
          <s:t>이종훈</s:t>
        </s:is>
      </s:c>
      <s:c r="C393" s="0" t="n">
        <s:v>112912</s:v>
      </s:c>
      <s:c r="D393" s="0" t="n">
        <s:v>1</s:v>
      </s:c>
      <s:c r="F393" s="24">
        <s:f>'자료구성'!$B$2+TIME(INT($C$3/10000),INT(MOD($C$3,10000)/100),MOD($C$3,100))+(ROW()-ROW($C$3))/86400</s:f>
        <s:v>46247.483125</s:v>
      </s:c>
    </s:row>
    <s:row r="394">
      <s:c r="A394" s="0" t="n">
        <s:v>260813</s:v>
      </s:c>
      <s:c r="B394" s="0" t="inlineStr">
        <s:is>
          <s:t>이종훈</s:t>
        </s:is>
      </s:c>
      <s:c r="C394" s="0" t="n">
        <s:v>112912</s:v>
      </s:c>
      <s:c r="D394" s="0" t="n">
        <s:v>14</s:v>
      </s:c>
      <s:c r="F394" s="24">
        <s:f>'자료구성'!$B$2+TIME(INT($C$3/10000),INT(MOD($C$3,10000)/100),MOD($C$3,100))+(ROW()-ROW($C$3))/86400</s:f>
        <s:v>46247.483136574076</s:v>
      </s:c>
    </s:row>
    <s:row r="395">
      <s:c r="A395" s="0" t="n">
        <s:v>260813</s:v>
      </s:c>
      <s:c r="B395" s="0" t="inlineStr">
        <s:is>
          <s:t>이종훈</s:t>
        </s:is>
      </s:c>
      <s:c r="C395" s="0" t="n">
        <s:v>112912</s:v>
      </s:c>
      <s:c r="D395" s="0" t="n">
        <s:v>51</s:v>
      </s:c>
      <s:c r="F395" s="24">
        <s:f>'자료구성'!$B$2+TIME(INT($C$3/10000),INT(MOD($C$3,10000)/100),MOD($C$3,100))+(ROW()-ROW($C$3))/86400</s:f>
        <s:v>46247.483148148145</s:v>
      </s:c>
    </s:row>
    <s:row r="396">
      <s:c r="A396" s="0" t="n">
        <s:v>260813</s:v>
      </s:c>
      <s:c r="B396" s="0" t="inlineStr">
        <s:is>
          <s:t>이종훈</s:t>
        </s:is>
      </s:c>
      <s:c r="C396" s="0" t="n">
        <s:v>112912</s:v>
      </s:c>
      <s:c r="D396" s="0" t="n">
        <s:v>71</s:v>
      </s:c>
      <s:c r="F396" s="24">
        <s:f>'자료구성'!$B$2+TIME(INT($C$3/10000),INT(MOD($C$3,10000)/100),MOD($C$3,100))+(ROW()-ROW($C$3))/86400</s:f>
        <s:v>46247.48315972222</s:v>
      </s:c>
    </s:row>
    <s:row r="397">
      <s:c r="A397" s="0" t="n">
        <s:v>260813</s:v>
      </s:c>
      <s:c r="B397" s="0" t="inlineStr">
        <s:is>
          <s:t>이종훈</s:t>
        </s:is>
      </s:c>
      <s:c r="C397" s="0" t="n">
        <s:v>112912</s:v>
      </s:c>
      <s:c r="D397" s="0" t="n">
        <s:v>74</s:v>
      </s:c>
      <s:c r="F397" s="24">
        <s:f>'자료구성'!$B$2+TIME(INT($C$3/10000),INT(MOD($C$3,10000)/100),MOD($C$3,100))+(ROW()-ROW($C$3))/86400</s:f>
        <s:v>46247.4831712963</s:v>
      </s:c>
    </s:row>
    <s:row r="398">
      <s:c r="A398" s="0" t="n">
        <s:v>260813</s:v>
      </s:c>
      <s:c r="B398" s="0" t="inlineStr">
        <s:is>
          <s:t>이종훈</s:t>
        </s:is>
      </s:c>
      <s:c r="C398" s="0" t="n">
        <s:v>112912</s:v>
      </s:c>
      <s:c r="D398" s="0" t="n">
        <s:v>28</s:v>
      </s:c>
      <s:c r="F398" s="24">
        <s:f>'자료구성'!$B$2+TIME(INT($C$3/10000),INT(MOD($C$3,10000)/100),MOD($C$3,100))+(ROW()-ROW($C$3))/86400</s:f>
        <s:v>46247.48318287037</s:v>
      </s:c>
    </s:row>
    <s:row r="399">
      <s:c r="A399" s="0" t="n">
        <s:v>260813</s:v>
      </s:c>
      <s:c r="B399" s="0" t="inlineStr">
        <s:is>
          <s:t>이종훈</s:t>
        </s:is>
      </s:c>
      <s:c r="C399" s="0" t="n">
        <s:v>112912</s:v>
      </s:c>
      <s:c r="D399" s="0" t="n">
        <s:v>972</s:v>
      </s:c>
      <s:c r="F399" s="24">
        <s:f>'자료구성'!$B$2+TIME(INT($C$3/10000),INT(MOD($C$3,10000)/100),MOD($C$3,100))+(ROW()-ROW($C$3))/86400</s:f>
        <s:v>46247.483194444445</s:v>
      </s:c>
    </s:row>
    <s:row r="400">
      <s:c r="A400" s="0" t="n">
        <s:v>260813</s:v>
      </s:c>
      <s:c r="B400" s="0" t="inlineStr">
        <s:is>
          <s:t>이종훈</s:t>
        </s:is>
      </s:c>
      <s:c r="C400" s="0" t="n">
        <s:v>112912</s:v>
      </s:c>
      <s:c r="D400" s="0" t="n">
        <s:v>919</s:v>
      </s:c>
      <s:c r="F400" s="24">
        <s:f>'자료구성'!$B$2+TIME(INT($C$3/10000),INT(MOD($C$3,10000)/100),MOD($C$3,100))+(ROW()-ROW($C$3))/86400</s:f>
        <s:v>46247.48320601852</s:v>
      </s:c>
    </s:row>
    <s:row r="401">
      <s:c r="A401" s="0" t="n">
        <s:v>260813</s:v>
      </s:c>
      <s:c r="B401" s="0" t="inlineStr">
        <s:is>
          <s:t>이종훈</s:t>
        </s:is>
      </s:c>
      <s:c r="C401" s="0" t="n">
        <s:v>112912</s:v>
      </s:c>
      <s:c r="D401" s="0" t="n">
        <s:v>892</s:v>
      </s:c>
      <s:c r="F401" s="24">
        <s:f>'자료구성'!$B$2+TIME(INT($C$3/10000),INT(MOD($C$3,10000)/100),MOD($C$3,100))+(ROW()-ROW($C$3))/86400</s:f>
        <s:v>46247.48321759259</s:v>
      </s:c>
    </s:row>
    <s:row r="402">
      <s:c r="A402" s="0" t="n">
        <s:v>260813</s:v>
      </s:c>
      <s:c r="B402" s="0" t="inlineStr">
        <s:is>
          <s:t>이종훈</s:t>
        </s:is>
      </s:c>
      <s:c r="C402" s="0" t="n">
        <s:v>112912</s:v>
      </s:c>
      <s:c r="D402" s="0" t="n">
        <s:v>869</s:v>
      </s:c>
      <s:c r="F402" s="24">
        <s:f>'자료구성'!$B$2+TIME(INT($C$3/10000),INT(MOD($C$3,10000)/100),MOD($C$3,100))+(ROW()-ROW($C$3))/86400</s:f>
        <s:v>46247.48322916667</s:v>
      </s:c>
    </s:row>
    <s:row r="403">
      <s:c r="A403" s="0" t="n">
        <s:v>260813</s:v>
      </s:c>
      <s:c r="B403" s="0" t="inlineStr">
        <s:is>
          <s:t>이종훈</s:t>
        </s:is>
      </s:c>
      <s:c r="C403" s="0" t="n">
        <s:v>112912</s:v>
      </s:c>
      <s:c r="D403" s="0" t="n">
        <s:v>849</s:v>
      </s:c>
      <s:c r="F403" s="24">
        <s:f>'자료구성'!$B$2+TIME(INT($C$3/10000),INT(MOD($C$3,10000)/100),MOD($C$3,100))+(ROW()-ROW($C$3))/86400</s:f>
        <s:v>46247.48324074074</s:v>
      </s:c>
    </s:row>
    <s:row r="404">
      <s:c r="A404" s="0" t="n">
        <s:v>260813</s:v>
      </s:c>
      <s:c r="B404" s="0" t="inlineStr">
        <s:is>
          <s:t>이종훈</s:t>
        </s:is>
      </s:c>
      <s:c r="C404" s="0" t="n">
        <s:v>112912</s:v>
      </s:c>
      <s:c r="D404" s="0" t="n">
        <s:v>807</s:v>
      </s:c>
      <s:c r="F404" s="24">
        <s:f>'자료구성'!$B$2+TIME(INT($C$3/10000),INT(MOD($C$3,10000)/100),MOD($C$3,100))+(ROW()-ROW($C$3))/86400</s:f>
        <s:v>46247.483252314814</s:v>
      </s:c>
    </s:row>
    <s:row r="405">
      <s:c r="A405" s="0" t="n">
        <s:v>260813</s:v>
      </s:c>
      <s:c r="B405" s="0" t="inlineStr">
        <s:is>
          <s:t>이종훈</s:t>
        </s:is>
      </s:c>
      <s:c r="C405" s="0" t="n">
        <s:v>112912</s:v>
      </s:c>
      <s:c r="D405" s="0" t="n">
        <s:v>748</s:v>
      </s:c>
      <s:c r="F405" s="24">
        <s:f>'자료구성'!$B$2+TIME(INT($C$3/10000),INT(MOD($C$3,10000)/100),MOD($C$3,100))+(ROW()-ROW($C$3))/86400</s:f>
        <s:v>46247.48326388889</s:v>
      </s:c>
    </s:row>
    <s:row r="406">
      <s:c r="A406" s="0" t="n">
        <s:v>260813</s:v>
      </s:c>
      <s:c r="B406" s="0" t="inlineStr">
        <s:is>
          <s:t>이종훈</s:t>
        </s:is>
      </s:c>
      <s:c r="C406" s="0" t="n">
        <s:v>112912</s:v>
      </s:c>
      <s:c r="D406" s="0" t="n">
        <s:v>723</s:v>
      </s:c>
      <s:c r="F406" s="24">
        <s:f>'자료구성'!$B$2+TIME(INT($C$3/10000),INT(MOD($C$3,10000)/100),MOD($C$3,100))+(ROW()-ROW($C$3))/86400</s:f>
        <s:v>46247.48327546296</s:v>
      </s:c>
    </s:row>
    <s:row r="407">
      <s:c r="A407" s="0" t="n">
        <s:v>260813</s:v>
      </s:c>
      <s:c r="B407" s="0" t="inlineStr">
        <s:is>
          <s:t>이종훈</s:t>
        </s:is>
      </s:c>
      <s:c r="C407" s="0" t="n">
        <s:v>112912</s:v>
      </s:c>
      <s:c r="D407" s="0" t="n">
        <s:v>729</s:v>
      </s:c>
      <s:c r="F407" s="24">
        <s:f>'자료구성'!$B$2+TIME(INT($C$3/10000),INT(MOD($C$3,10000)/100),MOD($C$3,100))+(ROW()-ROW($C$3))/86400</s:f>
        <s:v>46247.48328703704</s:v>
      </s:c>
    </s:row>
    <s:row r="408">
      <s:c r="A408" s="0" t="n">
        <s:v>260813</s:v>
      </s:c>
      <s:c r="B408" s="0" t="inlineStr">
        <s:is>
          <s:t>이종훈</s:t>
        </s:is>
      </s:c>
      <s:c r="C408" s="0" t="n">
        <s:v>112912</s:v>
      </s:c>
      <s:c r="D408" s="0" t="n">
        <s:v>767</s:v>
      </s:c>
      <s:c r="F408" s="24">
        <s:f>'자료구성'!$B$2+TIME(INT($C$3/10000),INT(MOD($C$3,10000)/100),MOD($C$3,100))+(ROW()-ROW($C$3))/86400</s:f>
        <s:v>46247.483298611114</s:v>
      </s:c>
    </s:row>
    <s:row r="409">
      <s:c r="A409" s="0" t="n">
        <s:v>260813</s:v>
      </s:c>
      <s:c r="B409" s="0" t="inlineStr">
        <s:is>
          <s:t>이종훈</s:t>
        </s:is>
      </s:c>
      <s:c r="C409" s="0" t="n">
        <s:v>112912</s:v>
      </s:c>
      <s:c r="D409" s="0" t="n">
        <s:v>852</s:v>
      </s:c>
      <s:c r="F409" s="24">
        <s:f>'자료구성'!$B$2+TIME(INT($C$3/10000),INT(MOD($C$3,10000)/100),MOD($C$3,100))+(ROW()-ROW($C$3))/86400</s:f>
        <s:v>46247.483310185184</s:v>
      </s:c>
    </s:row>
    <s:row r="410">
      <s:c r="A410" s="0" t="n">
        <s:v>260813</s:v>
      </s:c>
      <s:c r="B410" s="0" t="inlineStr">
        <s:is>
          <s:t>이종훈</s:t>
        </s:is>
      </s:c>
      <s:c r="C410" s="0" t="n">
        <s:v>112912</s:v>
      </s:c>
      <s:c r="D410" s="0" t="n">
        <s:v>905</s:v>
      </s:c>
      <s:c r="F410" s="24">
        <s:f>'자료구성'!$B$2+TIME(INT($C$3/10000),INT(MOD($C$3,10000)/100),MOD($C$3,100))+(ROW()-ROW($C$3))/86400</s:f>
        <s:v>46247.48332175926</s:v>
      </s:c>
    </s:row>
    <s:row r="411">
      <s:c r="A411" s="0" t="n">
        <s:v>260813</s:v>
      </s:c>
      <s:c r="B411" s="0" t="inlineStr">
        <s:is>
          <s:t>이종훈</s:t>
        </s:is>
      </s:c>
      <s:c r="C411" s="0" t="n">
        <s:v>112912</s:v>
      </s:c>
      <s:c r="D411" s="0" t="n">
        <s:v>911</s:v>
      </s:c>
      <s:c r="F411" s="24">
        <s:f>'자료구성'!$B$2+TIME(INT($C$3/10000),INT(MOD($C$3,10000)/100),MOD($C$3,100))+(ROW()-ROW($C$3))/86400</s:f>
        <s:v>46247.48333333333</s:v>
      </s:c>
    </s:row>
    <s:row r="412">
      <s:c r="A412" s="0" t="n">
        <s:v>260813</s:v>
      </s:c>
      <s:c r="B412" s="0" t="inlineStr">
        <s:is>
          <s:t>이종훈</s:t>
        </s:is>
      </s:c>
      <s:c r="C412" s="0" t="n">
        <s:v>112912</s:v>
      </s:c>
      <s:c r="D412" s="0" t="n">
        <s:v>948</s:v>
      </s:c>
      <s:c r="F412" s="24">
        <s:f>'자료구성'!$B$2+TIME(INT($C$3/10000),INT(MOD($C$3,10000)/100),MOD($C$3,100))+(ROW()-ROW($C$3))/86400</s:f>
        <s:v>46247.48334490741</s:v>
      </s:c>
    </s:row>
    <s:row r="413">
      <s:c r="A413" s="0" t="n">
        <s:v>260813</s:v>
      </s:c>
      <s:c r="B413" s="0" t="inlineStr">
        <s:is>
          <s:t>이종훈</s:t>
        </s:is>
      </s:c>
      <s:c r="C413" s="0" t="n">
        <s:v>112912</s:v>
      </s:c>
      <s:c r="D413" s="0" t="n">
        <s:v>989</s:v>
      </s:c>
      <s:c r="F413" s="24">
        <s:f>'자료구성'!$B$2+TIME(INT($C$3/10000),INT(MOD($C$3,10000)/100),MOD($C$3,100))+(ROW()-ROW($C$3))/86400</s:f>
        <s:v>46247.48335648148</s:v>
      </s:c>
    </s:row>
    <s:row r="414">
      <s:c r="A414" s="0" t="n">
        <s:v>260813</s:v>
      </s:c>
      <s:c r="B414" s="0" t="inlineStr">
        <s:is>
          <s:t>이종훈</s:t>
        </s:is>
      </s:c>
      <s:c r="C414" s="0" t="n">
        <s:v>112912</s:v>
      </s:c>
      <s:c r="D414" s="0" t="n">
        <s:v>21</s:v>
      </s:c>
      <s:c r="F414" s="24">
        <s:f>'자료구성'!$B$2+TIME(INT($C$3/10000),INT(MOD($C$3,10000)/100),MOD($C$3,100))+(ROW()-ROW($C$3))/86400</s:f>
        <s:v>46247.48336805555</s:v>
      </s:c>
    </s:row>
    <s:row r="415">
      <s:c r="A415" s="0" t="n">
        <s:v>260813</s:v>
      </s:c>
      <s:c r="B415" s="0" t="inlineStr">
        <s:is>
          <s:t>이종훈</s:t>
        </s:is>
      </s:c>
      <s:c r="C415" s="0" t="n">
        <s:v>112912</s:v>
      </s:c>
      <s:c r="D415" s="0" t="n">
        <s:v>28</s:v>
      </s:c>
      <s:c r="F415" s="24">
        <s:f>'자료구성'!$B$2+TIME(INT($C$3/10000),INT(MOD($C$3,10000)/100),MOD($C$3,100))+(ROW()-ROW($C$3))/86400</s:f>
        <s:v>46247.48337962963</s:v>
      </s:c>
    </s:row>
    <s:row r="416">
      <s:c r="A416" s="0" t="n">
        <s:v>260813</s:v>
      </s:c>
      <s:c r="B416" s="0" t="inlineStr">
        <s:is>
          <s:t>이종훈</s:t>
        </s:is>
      </s:c>
      <s:c r="C416" s="0" t="n">
        <s:v>112912</s:v>
      </s:c>
      <s:c r="D416" s="0" t="n">
        <s:v>22</s:v>
      </s:c>
      <s:c r="F416" s="24">
        <s:f>'자료구성'!$B$2+TIME(INT($C$3/10000),INT(MOD($C$3,10000)/100),MOD($C$3,100))+(ROW()-ROW($C$3))/86400</s:f>
        <s:v>46247.48339120371</s:v>
      </s:c>
    </s:row>
    <s:row r="417">
      <s:c r="A417" s="0" t="n">
        <s:v>260813</s:v>
      </s:c>
      <s:c r="B417" s="0" t="inlineStr">
        <s:is>
          <s:t>이종훈</s:t>
        </s:is>
      </s:c>
      <s:c r="C417" s="0" t="n">
        <s:v>112912</s:v>
      </s:c>
      <s:c r="D417" s="0" t="n">
        <s:v>6</s:v>
      </s:c>
      <s:c r="F417" s="24">
        <s:f>'자료구성'!$B$2+TIME(INT($C$3/10000),INT(MOD($C$3,10000)/100),MOD($C$3,100))+(ROW()-ROW($C$3))/86400</s:f>
        <s:v>46247.483402777776</s:v>
      </s:c>
    </s:row>
    <s:row r="418">
      <s:c r="A418" s="0" t="n">
        <s:v>260813</s:v>
      </s:c>
      <s:c r="B418" s="0" t="inlineStr">
        <s:is>
          <s:t>이종훈</s:t>
        </s:is>
      </s:c>
      <s:c r="C418" s="0" t="n">
        <s:v>112912</s:v>
      </s:c>
      <s:c r="D418" s="0" t="n">
        <s:v>2</s:v>
      </s:c>
      <s:c r="F418" s="24">
        <s:f>'자료구성'!$B$2+TIME(INT($C$3/10000),INT(MOD($C$3,10000)/100),MOD($C$3,100))+(ROW()-ROW($C$3))/86400</s:f>
        <s:v>46247.48341435185</s:v>
      </s:c>
    </s:row>
    <s:row r="419">
      <s:c r="A419" s="0" t="n">
        <s:v>260813</s:v>
      </s:c>
      <s:c r="B419" s="0" t="inlineStr">
        <s:is>
          <s:t>이종훈</s:t>
        </s:is>
      </s:c>
      <s:c r="C419" s="0" t="n">
        <s:v>112912</s:v>
      </s:c>
      <s:c r="D419" s="0" t="n">
        <s:v>26</s:v>
      </s:c>
      <s:c r="F419" s="24">
        <s:f>'자료구성'!$B$2+TIME(INT($C$3/10000),INT(MOD($C$3,10000)/100),MOD($C$3,100))+(ROW()-ROW($C$3))/86400</s:f>
        <s:v>46247.48342592592</s:v>
      </s:c>
    </s:row>
    <s:row r="420">
      <s:c r="A420" s="0" t="n">
        <s:v>260813</s:v>
      </s:c>
      <s:c r="B420" s="0" t="inlineStr">
        <s:is>
          <s:t>이종훈</s:t>
        </s:is>
      </s:c>
      <s:c r="C420" s="0" t="n">
        <s:v>112912</s:v>
      </s:c>
      <s:c r="D420" s="0" t="n">
        <s:v>41</s:v>
      </s:c>
      <s:c r="F420" s="24">
        <s:f>'자료구성'!$B$2+TIME(INT($C$3/10000),INT(MOD($C$3,10000)/100),MOD($C$3,100))+(ROW()-ROW($C$3))/86400</s:f>
        <s:v>46247.4834375</s:v>
      </s:c>
    </s:row>
    <s:row r="421">
      <s:c r="A421" s="0" t="n">
        <s:v>260813</s:v>
      </s:c>
      <s:c r="B421" s="0" t="inlineStr">
        <s:is>
          <s:t>이종훈</s:t>
        </s:is>
      </s:c>
      <s:c r="C421" s="0" t="n">
        <s:v>112912</s:v>
      </s:c>
      <s:c r="D421" s="0" t="n">
        <s:v>28</s:v>
      </s:c>
      <s:c r="F421" s="24">
        <s:f>'자료구성'!$B$2+TIME(INT($C$3/10000),INT(MOD($C$3,10000)/100),MOD($C$3,100))+(ROW()-ROW($C$3))/86400</s:f>
        <s:v>46247.483449074076</s:v>
      </s:c>
    </s:row>
    <s:row r="422">
      <s:c r="A422" s="0" t="n">
        <s:v>260813</s:v>
      </s:c>
      <s:c r="B422" s="0" t="inlineStr">
        <s:is>
          <s:t>이종훈</s:t>
        </s:is>
      </s:c>
      <s:c r="C422" s="0" t="n">
        <s:v>112912</s:v>
      </s:c>
      <s:c r="D422" s="0" t="n">
        <s:v>13</s:v>
      </s:c>
      <s:c r="F422" s="24">
        <s:f>'자료구성'!$B$2+TIME(INT($C$3/10000),INT(MOD($C$3,10000)/100),MOD($C$3,100))+(ROW()-ROW($C$3))/86400</s:f>
        <s:v>46247.483460648145</s:v>
      </s:c>
    </s:row>
    <s:row r="423">
      <s:c r="A423" s="0" t="n">
        <s:v>260813</s:v>
      </s:c>
      <s:c r="B423" s="0" t="inlineStr">
        <s:is>
          <s:t>이종훈</s:t>
        </s:is>
      </s:c>
      <s:c r="C423" s="0" t="n">
        <s:v>112912</s:v>
      </s:c>
      <s:c r="D423" s="0" t="n">
        <s:v>7</s:v>
      </s:c>
      <s:c r="F423" s="24">
        <s:f>'자료구성'!$B$2+TIME(INT($C$3/10000),INT(MOD($C$3,10000)/100),MOD($C$3,100))+(ROW()-ROW($C$3))/86400</s:f>
        <s:v>46247.48347222222</s:v>
      </s:c>
    </s:row>
    <s:row r="424">
      <s:c r="A424" s="0" t="n">
        <s:v>260813</s:v>
      </s:c>
      <s:c r="B424" s="0" t="inlineStr">
        <s:is>
          <s:t>이종훈</s:t>
        </s:is>
      </s:c>
      <s:c r="C424" s="0" t="n">
        <s:v>112912</s:v>
      </s:c>
      <s:c r="D424" s="0" t="n">
        <s:v>7</s:v>
      </s:c>
      <s:c r="F424" s="24">
        <s:f>'자료구성'!$B$2+TIME(INT($C$3/10000),INT(MOD($C$3,10000)/100),MOD($C$3,100))+(ROW()-ROW($C$3))/86400</s:f>
        <s:v>46247.4834837963</s:v>
      </s:c>
    </s:row>
    <s:row r="425">
      <s:c r="A425" s="0" t="n">
        <s:v>260813</s:v>
      </s:c>
      <s:c r="B425" s="0" t="inlineStr">
        <s:is>
          <s:t>이종훈</s:t>
        </s:is>
      </s:c>
      <s:c r="C425" s="0" t="n">
        <s:v>112912</s:v>
      </s:c>
      <s:c r="D425" s="0" t="n">
        <s:v>24</s:v>
      </s:c>
      <s:c r="F425" s="24">
        <s:f>'자료구성'!$B$2+TIME(INT($C$3/10000),INT(MOD($C$3,10000)/100),MOD($C$3,100))+(ROW()-ROW($C$3))/86400</s:f>
        <s:v>46247.48349537037</s:v>
      </s:c>
    </s:row>
    <s:row r="426">
      <s:c r="A426" s="0" t="n">
        <s:v>260813</s:v>
      </s:c>
      <s:c r="B426" s="0" t="inlineStr">
        <s:is>
          <s:t>이종훈</s:t>
        </s:is>
      </s:c>
      <s:c r="C426" s="0" t="n">
        <s:v>112912</s:v>
      </s:c>
      <s:c r="D426" s="0" t="n">
        <s:v>38</s:v>
      </s:c>
      <s:c r="F426" s="24">
        <s:f>'자료구성'!$B$2+TIME(INT($C$3/10000),INT(MOD($C$3,10000)/100),MOD($C$3,100))+(ROW()-ROW($C$3))/86400</s:f>
        <s:v>46247.483506944445</s:v>
      </s:c>
    </s:row>
    <s:row r="427">
      <s:c r="A427" s="0" t="n">
        <s:v>260813</s:v>
      </s:c>
      <s:c r="B427" s="0" t="inlineStr">
        <s:is>
          <s:t>이종훈</s:t>
        </s:is>
      </s:c>
      <s:c r="C427" s="0" t="n">
        <s:v>112912</s:v>
      </s:c>
      <s:c r="D427" s="0" t="n">
        <s:v>32</s:v>
      </s:c>
      <s:c r="F427" s="24">
        <s:f>'자료구성'!$B$2+TIME(INT($C$3/10000),INT(MOD($C$3,10000)/100),MOD($C$3,100))+(ROW()-ROW($C$3))/86400</s:f>
        <s:v>46247.48351851852</s:v>
      </s:c>
    </s:row>
    <s:row r="428">
      <s:c r="A428" s="0" t="n">
        <s:v>260813</s:v>
      </s:c>
      <s:c r="B428" s="0" t="inlineStr">
        <s:is>
          <s:t>이종훈</s:t>
        </s:is>
      </s:c>
      <s:c r="C428" s="0" t="n">
        <s:v>112912</s:v>
      </s:c>
      <s:c r="D428" s="0" t="n">
        <s:v>32</s:v>
      </s:c>
      <s:c r="F428" s="24">
        <s:f>'자료구성'!$B$2+TIME(INT($C$3/10000),INT(MOD($C$3,10000)/100),MOD($C$3,100))+(ROW()-ROW($C$3))/86400</s:f>
        <s:v>46247.48353009259</s:v>
      </s:c>
    </s:row>
    <s:row r="429">
      <s:c r="A429" s="0" t="n">
        <s:v>260813</s:v>
      </s:c>
      <s:c r="B429" s="0" t="inlineStr">
        <s:is>
          <s:t>이종훈</s:t>
        </s:is>
      </s:c>
      <s:c r="C429" s="0" t="n">
        <s:v>112912</s:v>
      </s:c>
      <s:c r="D429" s="0" t="n">
        <s:v>26</s:v>
      </s:c>
      <s:c r="F429" s="24">
        <s:f>'자료구성'!$B$2+TIME(INT($C$3/10000),INT(MOD($C$3,10000)/100),MOD($C$3,100))+(ROW()-ROW($C$3))/86400</s:f>
        <s:v>46247.48354166667</s:v>
      </s:c>
    </s:row>
    <s:row r="430">
      <s:c r="A430" s="0" t="n">
        <s:v>260813</s:v>
      </s:c>
      <s:c r="B430" s="0" t="inlineStr">
        <s:is>
          <s:t>이종훈</s:t>
        </s:is>
      </s:c>
      <s:c r="C430" s="0" t="n">
        <s:v>112912</s:v>
      </s:c>
      <s:c r="D430" s="0" t="n">
        <s:v>38</s:v>
      </s:c>
      <s:c r="F430" s="24">
        <s:f>'자료구성'!$B$2+TIME(INT($C$3/10000),INT(MOD($C$3,10000)/100),MOD($C$3,100))+(ROW()-ROW($C$3))/86400</s:f>
        <s:v>46247.48355324074</s:v>
      </s:c>
    </s:row>
    <s:row r="431">
      <s:c r="A431" s="0" t="n">
        <s:v>260813</s:v>
      </s:c>
      <s:c r="B431" s="0" t="inlineStr">
        <s:is>
          <s:t>이종훈</s:t>
        </s:is>
      </s:c>
      <s:c r="C431" s="0" t="n">
        <s:v>112912</s:v>
      </s:c>
      <s:c r="D431" s="0" t="n">
        <s:v>34</s:v>
      </s:c>
      <s:c r="F431" s="24">
        <s:f>'자료구성'!$B$2+TIME(INT($C$3/10000),INT(MOD($C$3,10000)/100),MOD($C$3,100))+(ROW()-ROW($C$3))/86400</s:f>
        <s:v>46247.483564814815</s:v>
      </s:c>
    </s:row>
    <s:row r="432">
      <s:c r="A432" s="0" t="n">
        <s:v>260813</s:v>
      </s:c>
      <s:c r="B432" s="0" t="inlineStr">
        <s:is>
          <s:t>이종훈</s:t>
        </s:is>
      </s:c>
      <s:c r="C432" s="0" t="n">
        <s:v>112912</s:v>
      </s:c>
      <s:c r="D432" s="0" t="n">
        <s:v>35</s:v>
      </s:c>
      <s:c r="F432" s="24">
        <s:f>'자료구성'!$B$2+TIME(INT($C$3/10000),INT(MOD($C$3,10000)/100),MOD($C$3,100))+(ROW()-ROW($C$3))/86400</s:f>
        <s:v>46247.48357638889</s:v>
      </s:c>
    </s:row>
    <s:row r="433">
      <s:c r="A433" s="0" t="n">
        <s:v>260813</s:v>
      </s:c>
      <s:c r="B433" s="0" t="inlineStr">
        <s:is>
          <s:t>이종훈</s:t>
        </s:is>
      </s:c>
      <s:c r="C433" s="0" t="n">
        <s:v>112912</s:v>
      </s:c>
      <s:c r="D433" s="0" t="n">
        <s:v>26</s:v>
      </s:c>
      <s:c r="F433" s="24">
        <s:f>'자료구성'!$B$2+TIME(INT($C$3/10000),INT(MOD($C$3,10000)/100),MOD($C$3,100))+(ROW()-ROW($C$3))/86400</s:f>
        <s:v>46247.48358796296</s:v>
      </s:c>
    </s:row>
    <s:row r="434">
      <s:c r="A434" s="0" t="n">
        <s:v>260813</s:v>
      </s:c>
      <s:c r="B434" s="0" t="inlineStr">
        <s:is>
          <s:t>이종훈</s:t>
        </s:is>
      </s:c>
      <s:c r="C434" s="0" t="n">
        <s:v>112912</s:v>
      </s:c>
      <s:c r="D434" s="0" t="n">
        <s:v>20</s:v>
      </s:c>
      <s:c r="F434" s="24">
        <s:f>'자료구성'!$B$2+TIME(INT($C$3/10000),INT(MOD($C$3,10000)/100),MOD($C$3,100))+(ROW()-ROW($C$3))/86400</s:f>
        <s:v>46247.48359953704</s:v>
      </s:c>
    </s:row>
    <s:row r="435">
      <s:c r="A435" s="0" t="n">
        <s:v>260813</s:v>
      </s:c>
      <s:c r="B435" s="0" t="inlineStr">
        <s:is>
          <s:t>이종훈</s:t>
        </s:is>
      </s:c>
      <s:c r="C435" s="0" t="n">
        <s:v>112912</s:v>
      </s:c>
      <s:c r="D435" s="0" t="n">
        <s:v>959</s:v>
      </s:c>
      <s:c r="F435" s="24">
        <s:f>'자료구성'!$B$2+TIME(INT($C$3/10000),INT(MOD($C$3,10000)/100),MOD($C$3,100))+(ROW()-ROW($C$3))/86400</s:f>
        <s:v>46247.483611111114</s:v>
      </s:c>
    </s:row>
    <s:row r="436">
      <s:c r="A436" s="0" t="n">
        <s:v>260813</s:v>
      </s:c>
      <s:c r="B436" s="0" t="inlineStr">
        <s:is>
          <s:t>이종훈</s:t>
        </s:is>
      </s:c>
      <s:c r="C436" s="0" t="n">
        <s:v>112912</s:v>
      </s:c>
      <s:c r="D436" s="0" t="n">
        <s:v>905</s:v>
      </s:c>
      <s:c r="F436" s="24">
        <s:f>'자료구성'!$B$2+TIME(INT($C$3/10000),INT(MOD($C$3,10000)/100),MOD($C$3,100))+(ROW()-ROW($C$3))/86400</s:f>
        <s:v>46247.483622685184</s:v>
      </s:c>
    </s:row>
    <s:row r="437">
      <s:c r="A437" s="0" t="n">
        <s:v>260813</s:v>
      </s:c>
      <s:c r="B437" s="0" t="inlineStr">
        <s:is>
          <s:t>이종훈</s:t>
        </s:is>
      </s:c>
      <s:c r="C437" s="0" t="n">
        <s:v>112912</s:v>
      </s:c>
      <s:c r="D437" s="0" t="n">
        <s:v>867</s:v>
      </s:c>
      <s:c r="F437" s="24">
        <s:f>'자료구성'!$B$2+TIME(INT($C$3/10000),INT(MOD($C$3,10000)/100),MOD($C$3,100))+(ROW()-ROW($C$3))/86400</s:f>
        <s:v>46247.48363425926</s:v>
      </s:c>
    </s:row>
    <s:row r="438">
      <s:c r="A438" s="0" t="n">
        <s:v>260813</s:v>
      </s:c>
      <s:c r="B438" s="0" t="inlineStr">
        <s:is>
          <s:t>이종훈</s:t>
        </s:is>
      </s:c>
      <s:c r="C438" s="0" t="n">
        <s:v>112912</s:v>
      </s:c>
      <s:c r="D438" s="0" t="n">
        <s:v>823</s:v>
      </s:c>
      <s:c r="F438" s="24">
        <s:f>'자료구성'!$B$2+TIME(INT($C$3/10000),INT(MOD($C$3,10000)/100),MOD($C$3,100))+(ROW()-ROW($C$3))/86400</s:f>
        <s:v>46247.48364583333</s:v>
      </s:c>
    </s:row>
    <s:row r="439">
      <s:c r="A439" s="0" t="n">
        <s:v>260813</s:v>
      </s:c>
      <s:c r="B439" s="0" t="inlineStr">
        <s:is>
          <s:t>이종훈</s:t>
        </s:is>
      </s:c>
      <s:c r="C439" s="0" t="n">
        <s:v>112912</s:v>
      </s:c>
      <s:c r="D439" s="0" t="n">
        <s:v>807</s:v>
      </s:c>
      <s:c r="F439" s="24">
        <s:f>'자료구성'!$B$2+TIME(INT($C$3/10000),INT(MOD($C$3,10000)/100),MOD($C$3,100))+(ROW()-ROW($C$3))/86400</s:f>
        <s:v>46247.48365740741</s:v>
      </s:c>
    </s:row>
    <s:row r="440">
      <s:c r="A440" s="0" t="n">
        <s:v>260813</s:v>
      </s:c>
      <s:c r="B440" s="0" t="inlineStr">
        <s:is>
          <s:t>이종훈</s:t>
        </s:is>
      </s:c>
      <s:c r="C440" s="0" t="n">
        <s:v>112912</s:v>
      </s:c>
      <s:c r="D440" s="0" t="n">
        <s:v>782</s:v>
      </s:c>
      <s:c r="F440" s="24">
        <s:f>'자료구성'!$B$2+TIME(INT($C$3/10000),INT(MOD($C$3,10000)/100),MOD($C$3,100))+(ROW()-ROW($C$3))/86400</s:f>
        <s:v>46247.483668981484</s:v>
      </s:c>
    </s:row>
    <s:row r="441">
      <s:c r="A441" s="0" t="n">
        <s:v>260813</s:v>
      </s:c>
      <s:c r="B441" s="0" t="inlineStr">
        <s:is>
          <s:t>이종훈</s:t>
        </s:is>
      </s:c>
      <s:c r="C441" s="0" t="n">
        <s:v>112912</s:v>
      </s:c>
      <s:c r="D441" s="0" t="n">
        <s:v>768</s:v>
      </s:c>
      <s:c r="F441" s="24">
        <s:f>'자료구성'!$B$2+TIME(INT($C$3/10000),INT(MOD($C$3,10000)/100),MOD($C$3,100))+(ROW()-ROW($C$3))/86400</s:f>
        <s:v>46247.48368055555</s:v>
      </s:c>
    </s:row>
    <s:row r="442">
      <s:c r="A442" s="0" t="n">
        <s:v>260813</s:v>
      </s:c>
      <s:c r="B442" s="0" t="inlineStr">
        <s:is>
          <s:t>이종훈</s:t>
        </s:is>
      </s:c>
      <s:c r="C442" s="0" t="n">
        <s:v>112912</s:v>
      </s:c>
      <s:c r="D442" s="0" t="n">
        <s:v>741</s:v>
      </s:c>
      <s:c r="F442" s="24">
        <s:f>'자료구성'!$B$2+TIME(INT($C$3/10000),INT(MOD($C$3,10000)/100),MOD($C$3,100))+(ROW()-ROW($C$3))/86400</s:f>
        <s:v>46247.48369212963</s:v>
      </s:c>
    </s:row>
    <s:row r="443">
      <s:c r="A443" s="0" t="n">
        <s:v>260813</s:v>
      </s:c>
      <s:c r="B443" s="0" t="inlineStr">
        <s:is>
          <s:t>이종훈</s:t>
        </s:is>
      </s:c>
      <s:c r="C443" s="0" t="n">
        <s:v>112912</s:v>
      </s:c>
      <s:c r="D443" s="0" t="n">
        <s:v>738</s:v>
      </s:c>
      <s:c r="F443" s="24">
        <s:f>'자료구성'!$B$2+TIME(INT($C$3/10000),INT(MOD($C$3,10000)/100),MOD($C$3,100))+(ROW()-ROW($C$3))/86400</s:f>
        <s:v>46247.48370370371</s:v>
      </s:c>
    </s:row>
    <s:row r="444">
      <s:c r="A444" s="0" t="n">
        <s:v>260813</s:v>
      </s:c>
      <s:c r="B444" s="0" t="inlineStr">
        <s:is>
          <s:t>이종훈</s:t>
        </s:is>
      </s:c>
      <s:c r="C444" s="0" t="n">
        <s:v>112912</s:v>
      </s:c>
      <s:c r="D444" s="0" t="n">
        <s:v>731</s:v>
      </s:c>
      <s:c r="F444" s="24">
        <s:f>'자료구성'!$B$2+TIME(INT($C$3/10000),INT(MOD($C$3,10000)/100),MOD($C$3,100))+(ROW()-ROW($C$3))/86400</s:f>
        <s:v>46247.483715277776</s:v>
      </s:c>
    </s:row>
    <s:row r="445">
      <s:c r="A445" s="0" t="n">
        <s:v>260813</s:v>
      </s:c>
      <s:c r="B445" s="0" t="inlineStr">
        <s:is>
          <s:t>이종훈</s:t>
        </s:is>
      </s:c>
      <s:c r="C445" s="0" t="n">
        <s:v>112912</s:v>
      </s:c>
      <s:c r="D445" s="0" t="n">
        <s:v>718</s:v>
      </s:c>
      <s:c r="F445" s="24">
        <s:f>'자료구성'!$B$2+TIME(INT($C$3/10000),INT(MOD($C$3,10000)/100),MOD($C$3,100))+(ROW()-ROW($C$3))/86400</s:f>
        <s:v>46247.48372685185</s:v>
      </s:c>
    </s:row>
    <s:row r="446">
      <s:c r="A446" s="0" t="n">
        <s:v>260813</s:v>
      </s:c>
      <s:c r="B446" s="0" t="inlineStr">
        <s:is>
          <s:t>이종훈</s:t>
        </s:is>
      </s:c>
      <s:c r="C446" s="0" t="n">
        <s:v>112912</s:v>
      </s:c>
      <s:c r="D446" s="0" t="n">
        <s:v>688</s:v>
      </s:c>
      <s:c r="F446" s="24">
        <s:f>'자료구성'!$B$2+TIME(INT($C$3/10000),INT(MOD($C$3,10000)/100),MOD($C$3,100))+(ROW()-ROW($C$3))/86400</s:f>
        <s:v>46247.48373842592</s:v>
      </s:c>
    </s:row>
    <s:row r="447">
      <s:c r="A447" s="0" t="n">
        <s:v>260813</s:v>
      </s:c>
      <s:c r="B447" s="0" t="inlineStr">
        <s:is>
          <s:t>이종훈</s:t>
        </s:is>
      </s:c>
      <s:c r="C447" s="0" t="n">
        <s:v>112912</s:v>
      </s:c>
      <s:c r="D447" s="0" t="n">
        <s:v>665</s:v>
      </s:c>
      <s:c r="F447" s="24">
        <s:f>'자료구성'!$B$2+TIME(INT($C$3/10000),INT(MOD($C$3,10000)/100),MOD($C$3,100))+(ROW()-ROW($C$3))/86400</s:f>
        <s:v>46247.48375</s:v>
      </s:c>
    </s:row>
    <s:row r="448">
      <s:c r="A448" s="0" t="n">
        <s:v>260813</s:v>
      </s:c>
      <s:c r="B448" s="0" t="inlineStr">
        <s:is>
          <s:t>이종훈</s:t>
        </s:is>
      </s:c>
      <s:c r="C448" s="0" t="n">
        <s:v>112912</s:v>
      </s:c>
      <s:c r="D448" s="0" t="n">
        <s:v>637</s:v>
      </s:c>
      <s:c r="F448" s="24">
        <s:f>'자료구성'!$B$2+TIME(INT($C$3/10000),INT(MOD($C$3,10000)/100),MOD($C$3,100))+(ROW()-ROW($C$3))/86400</s:f>
        <s:v>46247.483761574076</s:v>
      </s:c>
    </s:row>
    <s:row r="449">
      <s:c r="A449" s="0" t="n">
        <s:v>260813</s:v>
      </s:c>
      <s:c r="B449" s="0" t="inlineStr">
        <s:is>
          <s:t>이종훈</s:t>
        </s:is>
      </s:c>
      <s:c r="C449" s="0" t="n">
        <s:v>112912</s:v>
      </s:c>
      <s:c r="D449" s="0" t="n">
        <s:v>623</s:v>
      </s:c>
      <s:c r="F449" s="24">
        <s:f>'자료구성'!$B$2+TIME(INT($C$3/10000),INT(MOD($C$3,10000)/100),MOD($C$3,100))+(ROW()-ROW($C$3))/86400</s:f>
        <s:v>46247.483773148146</s:v>
      </s:c>
    </s:row>
    <s:row r="450">
      <s:c r="A450" s="0" t="n">
        <s:v>260813</s:v>
      </s:c>
      <s:c r="B450" s="0" t="inlineStr">
        <s:is>
          <s:t>이종훈</s:t>
        </s:is>
      </s:c>
      <s:c r="C450" s="0" t="n">
        <s:v>112912</s:v>
      </s:c>
      <s:c r="D450" s="0" t="n">
        <s:v>614</s:v>
      </s:c>
      <s:c r="F450" s="24">
        <s:f>'자료구성'!$B$2+TIME(INT($C$3/10000),INT(MOD($C$3,10000)/100),MOD($C$3,100))+(ROW()-ROW($C$3))/86400</s:f>
        <s:v>46247.48378472222</s:v>
      </s:c>
    </s:row>
    <s:row r="451">
      <s:c r="A451" s="0" t="n">
        <s:v>260813</s:v>
      </s:c>
      <s:c r="B451" s="0" t="inlineStr">
        <s:is>
          <s:t>이종훈</s:t>
        </s:is>
      </s:c>
      <s:c r="C451" s="0" t="n">
        <s:v>112912</s:v>
      </s:c>
      <s:c r="D451" s="0" t="n">
        <s:v>607</s:v>
      </s:c>
      <s:c r="F451" s="24">
        <s:f>'자료구성'!$B$2+TIME(INT($C$3/10000),INT(MOD($C$3,10000)/100),MOD($C$3,100))+(ROW()-ROW($C$3))/86400</s:f>
        <s:v>46247.4837962963</s:v>
      </s:c>
    </s:row>
    <s:row r="452">
      <s:c r="A452" s="0" t="n">
        <s:v>260813</s:v>
      </s:c>
      <s:c r="B452" s="0" t="inlineStr">
        <s:is>
          <s:t>이종훈</s:t>
        </s:is>
      </s:c>
      <s:c r="C452" s="0" t="n">
        <s:v>112912</s:v>
      </s:c>
      <s:c r="D452" s="0" t="n">
        <s:v>607</s:v>
      </s:c>
      <s:c r="F452" s="24">
        <s:f>'자료구성'!$B$2+TIME(INT($C$3/10000),INT(MOD($C$3,10000)/100),MOD($C$3,100))+(ROW()-ROW($C$3))/86400</s:f>
        <s:v>46247.48380787037</s:v>
      </s:c>
    </s:row>
    <s:row r="453">
      <s:c r="A453" s="0" t="n">
        <s:v>260813</s:v>
      </s:c>
      <s:c r="B453" s="0" t="inlineStr">
        <s:is>
          <s:t>이종훈</s:t>
        </s:is>
      </s:c>
      <s:c r="C453" s="0" t="n">
        <s:v>112912</s:v>
      </s:c>
      <s:c r="D453" s="0" t="n">
        <s:v>613</s:v>
      </s:c>
      <s:c r="F453" s="24">
        <s:f>'자료구성'!$B$2+TIME(INT($C$3/10000),INT(MOD($C$3,10000)/100),MOD($C$3,100))+(ROW()-ROW($C$3))/86400</s:f>
        <s:v>46247.483819444446</s:v>
      </s:c>
    </s:row>
    <s:row r="454">
      <s:c r="A454" s="0" t="n">
        <s:v>260813</s:v>
      </s:c>
      <s:c r="B454" s="0" t="inlineStr">
        <s:is>
          <s:t>이종훈</s:t>
        </s:is>
      </s:c>
      <s:c r="C454" s="0" t="n">
        <s:v>112912</s:v>
      </s:c>
      <s:c r="D454" s="0" t="n">
        <s:v>641</s:v>
      </s:c>
      <s:c r="F454" s="24">
        <s:f>'자료구성'!$B$2+TIME(INT($C$3/10000),INT(MOD($C$3,10000)/100),MOD($C$3,100))+(ROW()-ROW($C$3))/86400</s:f>
        <s:v>46247.483831018515</s:v>
      </s:c>
    </s:row>
    <s:row r="455">
      <s:c r="A455" s="0" t="n">
        <s:v>260813</s:v>
      </s:c>
      <s:c r="B455" s="0" t="inlineStr">
        <s:is>
          <s:t>이종훈</s:t>
        </s:is>
      </s:c>
      <s:c r="C455" s="0" t="n">
        <s:v>112912</s:v>
      </s:c>
      <s:c r="D455" s="0" t="n">
        <s:v>676</s:v>
      </s:c>
      <s:c r="F455" s="24">
        <s:f>'자료구성'!$B$2+TIME(INT($C$3/10000),INT(MOD($C$3,10000)/100),MOD($C$3,100))+(ROW()-ROW($C$3))/86400</s:f>
        <s:v>46247.48384259259</s:v>
      </s:c>
    </s:row>
    <s:row r="456">
      <s:c r="A456" s="0" t="n">
        <s:v>260813</s:v>
      </s:c>
      <s:c r="B456" s="0" t="inlineStr">
        <s:is>
          <s:t>이종훈</s:t>
        </s:is>
      </s:c>
      <s:c r="C456" s="0" t="n">
        <s:v>112912</s:v>
      </s:c>
      <s:c r="D456" s="0" t="n">
        <s:v>672</s:v>
      </s:c>
      <s:c r="F456" s="24">
        <s:f>'자료구성'!$B$2+TIME(INT($C$3/10000),INT(MOD($C$3,10000)/100),MOD($C$3,100))+(ROW()-ROW($C$3))/86400</s:f>
        <s:v>46247.48385416667</s:v>
      </s:c>
    </s:row>
    <s:row r="457">
      <s:c r="A457" s="0" t="n">
        <s:v>260813</s:v>
      </s:c>
      <s:c r="B457" s="0" t="inlineStr">
        <s:is>
          <s:t>이종훈</s:t>
        </s:is>
      </s:c>
      <s:c r="C457" s="0" t="n">
        <s:v>112912</s:v>
      </s:c>
      <s:c r="D457" s="0" t="n">
        <s:v>689</s:v>
      </s:c>
      <s:c r="F457" s="24">
        <s:f>'자료구성'!$B$2+TIME(INT($C$3/10000),INT(MOD($C$3,10000)/100),MOD($C$3,100))+(ROW()-ROW($C$3))/86400</s:f>
        <s:v>46247.48386574074</s:v>
      </s:c>
    </s:row>
    <s:row r="458">
      <s:c r="A458" s="0" t="n">
        <s:v>260813</s:v>
      </s:c>
      <s:c r="B458" s="0" t="inlineStr">
        <s:is>
          <s:t>이종훈</s:t>
        </s:is>
      </s:c>
      <s:c r="C458" s="0" t="n">
        <s:v>112912</s:v>
      </s:c>
      <s:c r="D458" s="0" t="n">
        <s:v>712</s:v>
      </s:c>
      <s:c r="F458" s="24">
        <s:f>'자료구성'!$B$2+TIME(INT($C$3/10000),INT(MOD($C$3,10000)/100),MOD($C$3,100))+(ROW()-ROW($C$3))/86400</s:f>
        <s:v>46247.483877314815</s:v>
      </s:c>
    </s:row>
    <s:row r="459">
      <s:c r="A459" s="0" t="n">
        <s:v>260813</s:v>
      </s:c>
      <s:c r="B459" s="0" t="inlineStr">
        <s:is>
          <s:t>이종훈</s:t>
        </s:is>
      </s:c>
      <s:c r="C459" s="0" t="n">
        <s:v>112912</s:v>
      </s:c>
      <s:c r="D459" s="0" t="n">
        <s:v>743</s:v>
      </s:c>
      <s:c r="F459" s="24">
        <s:f>'자료구성'!$B$2+TIME(INT($C$3/10000),INT(MOD($C$3,10000)/100),MOD($C$3,100))+(ROW()-ROW($C$3))/86400</s:f>
        <s:v>46247.48388888889</s:v>
      </s:c>
    </s:row>
    <s:row r="460">
      <s:c r="A460" s="0" t="n">
        <s:v>260813</s:v>
      </s:c>
      <s:c r="B460" s="0" t="inlineStr">
        <s:is>
          <s:t>이종훈</s:t>
        </s:is>
      </s:c>
      <s:c r="C460" s="0" t="n">
        <s:v>112912</s:v>
      </s:c>
      <s:c r="D460" s="0" t="n">
        <s:v>768</s:v>
      </s:c>
      <s:c r="F460" s="24">
        <s:f>'자료구성'!$B$2+TIME(INT($C$3/10000),INT(MOD($C$3,10000)/100),MOD($C$3,100))+(ROW()-ROW($C$3))/86400</s:f>
        <s:v>46247.48390046296</s:v>
      </s:c>
    </s:row>
    <s:row r="461">
      <s:c r="A461" s="0" t="n">
        <s:v>260813</s:v>
      </s:c>
      <s:c r="B461" s="0" t="inlineStr">
        <s:is>
          <s:t>이종훈</s:t>
        </s:is>
      </s:c>
      <s:c r="C461" s="0" t="n">
        <s:v>112912</s:v>
      </s:c>
      <s:c r="D461" s="0" t="n">
        <s:v>815</s:v>
      </s:c>
      <s:c r="F461" s="24">
        <s:f>'자료구성'!$B$2+TIME(INT($C$3/10000),INT(MOD($C$3,10000)/100),MOD($C$3,100))+(ROW()-ROW($C$3))/86400</s:f>
        <s:v>46247.48391203704</s:v>
      </s:c>
    </s:row>
    <s:row r="462">
      <s:c r="A462" s="0" t="n">
        <s:v>260813</s:v>
      </s:c>
      <s:c r="B462" s="0" t="inlineStr">
        <s:is>
          <s:t>이종훈</s:t>
        </s:is>
      </s:c>
      <s:c r="C462" s="0" t="n">
        <s:v>112912</s:v>
      </s:c>
      <s:c r="D462" s="0" t="n">
        <s:v>872</s:v>
      </s:c>
      <s:c r="F462" s="24">
        <s:f>'자료구성'!$B$2+TIME(INT($C$3/10000),INT(MOD($C$3,10000)/100),MOD($C$3,100))+(ROW()-ROW($C$3))/86400</s:f>
        <s:v>46247.483923611115</s:v>
      </s:c>
    </s:row>
    <s:row r="463">
      <s:c r="A463" s="0" t="n">
        <s:v>260813</s:v>
      </s:c>
      <s:c r="B463" s="0" t="inlineStr">
        <s:is>
          <s:t>이종훈</s:t>
        </s:is>
      </s:c>
      <s:c r="C463" s="0" t="n">
        <s:v>112912</s:v>
      </s:c>
      <s:c r="D463" s="0" t="n">
        <s:v>923</s:v>
      </s:c>
      <s:c r="F463" s="24">
        <s:f>'자료구성'!$B$2+TIME(INT($C$3/10000),INT(MOD($C$3,10000)/100),MOD($C$3,100))+(ROW()-ROW($C$3))/86400</s:f>
        <s:v>46247.483935185184</s:v>
      </s:c>
    </s:row>
    <s:row r="464">
      <s:c r="A464" s="0" t="n">
        <s:v>260813</s:v>
      </s:c>
      <s:c r="B464" s="0" t="inlineStr">
        <s:is>
          <s:t>이종훈</s:t>
        </s:is>
      </s:c>
      <s:c r="C464" s="0" t="n">
        <s:v>112912</s:v>
      </s:c>
      <s:c r="D464" s="0" t="n">
        <s:v>963</s:v>
      </s:c>
      <s:c r="F464" s="24">
        <s:f>'자료구성'!$B$2+TIME(INT($C$3/10000),INT(MOD($C$3,10000)/100),MOD($C$3,100))+(ROW()-ROW($C$3))/86400</s:f>
        <s:v>46247.48394675926</s:v>
      </s:c>
    </s:row>
    <s:row r="465">
      <s:c r="A465" s="0" t="n">
        <s:v>260813</s:v>
      </s:c>
      <s:c r="B465" s="0" t="inlineStr">
        <s:is>
          <s:t>이종훈</s:t>
        </s:is>
      </s:c>
      <s:c r="C465" s="0" t="n">
        <s:v>112912</s:v>
      </s:c>
      <s:c r="D465" s="0" t="n">
        <s:v>8</s:v>
      </s:c>
      <s:c r="F465" s="24">
        <s:f>'자료구성'!$B$2+TIME(INT($C$3/10000),INT(MOD($C$3,10000)/100),MOD($C$3,100))+(ROW()-ROW($C$3))/86400</s:f>
        <s:v>46247.48395833333</s:v>
      </s:c>
    </s:row>
    <s:row r="466">
      <s:c r="A466" s="0" t="n">
        <s:v>260813</s:v>
      </s:c>
      <s:c r="B466" s="0" t="inlineStr">
        <s:is>
          <s:t>이종훈</s:t>
        </s:is>
      </s:c>
      <s:c r="C466" s="0" t="n">
        <s:v>112912</s:v>
      </s:c>
      <s:c r="D466" s="0" t="n">
        <s:v>39</s:v>
      </s:c>
      <s:c r="F466" s="24">
        <s:f>'자료구성'!$B$2+TIME(INT($C$3/10000),INT(MOD($C$3,10000)/100),MOD($C$3,100))+(ROW()-ROW($C$3))/86400</s:f>
        <s:v>46247.48396990741</s:v>
      </s:c>
    </s:row>
    <s:row r="467">
      <s:c r="A467" s="0" t="n">
        <s:v>260813</s:v>
      </s:c>
      <s:c r="B467" s="0" t="inlineStr">
        <s:is>
          <s:t>이종훈</s:t>
        </s:is>
      </s:c>
      <s:c r="C467" s="0" t="n">
        <s:v>112912</s:v>
      </s:c>
      <s:c r="D467" s="0" t="n">
        <s:v>71</s:v>
      </s:c>
      <s:c r="F467" s="24">
        <s:f>'자료구성'!$B$2+TIME(INT($C$3/10000),INT(MOD($C$3,10000)/100),MOD($C$3,100))+(ROW()-ROW($C$3))/86400</s:f>
        <s:v>46247.483981481484</s:v>
      </s:c>
    </s:row>
    <s:row r="468">
      <s:c r="A468" s="0" t="n">
        <s:v>260813</s:v>
      </s:c>
      <s:c r="B468" s="0" t="inlineStr">
        <s:is>
          <s:t>이종훈</s:t>
        </s:is>
      </s:c>
      <s:c r="C468" s="0" t="n">
        <s:v>112912</s:v>
      </s:c>
      <s:c r="D468" s="0" t="n">
        <s:v>92</s:v>
      </s:c>
      <s:c r="F468" s="24">
        <s:f>'자료구성'!$B$2+TIME(INT($C$3/10000),INT(MOD($C$3,10000)/100),MOD($C$3,100))+(ROW()-ROW($C$3))/86400</s:f>
        <s:v>46247.48399305555</s:v>
      </s:c>
    </s:row>
    <s:row r="469">
      <s:c r="A469" s="0" t="n">
        <s:v>260813</s:v>
      </s:c>
      <s:c r="B469" s="0" t="inlineStr">
        <s:is>
          <s:t>이종훈</s:t>
        </s:is>
      </s:c>
      <s:c r="C469" s="0" t="n">
        <s:v>112912</s:v>
      </s:c>
      <s:c r="D469" s="0" t="n">
        <s:v>107</s:v>
      </s:c>
      <s:c r="F469" s="24">
        <s:f>'자료구성'!$B$2+TIME(INT($C$3/10000),INT(MOD($C$3,10000)/100),MOD($C$3,100))+(ROW()-ROW($C$3))/86400</s:f>
        <s:v>46247.48400462963</s:v>
      </s:c>
    </s:row>
    <s:row r="470">
      <s:c r="A470" s="0" t="n">
        <s:v>260813</s:v>
      </s:c>
      <s:c r="B470" s="0" t="inlineStr">
        <s:is>
          <s:t>이종훈</s:t>
        </s:is>
      </s:c>
      <s:c r="C470" s="0" t="n">
        <s:v>112912</s:v>
      </s:c>
      <s:c r="D470" s="0" t="n">
        <s:v>115</s:v>
      </s:c>
      <s:c r="F470" s="24">
        <s:f>'자료구성'!$B$2+TIME(INT($C$3/10000),INT(MOD($C$3,10000)/100),MOD($C$3,100))+(ROW()-ROW($C$3))/86400</s:f>
        <s:v>46247.48401620371</s:v>
      </s:c>
    </s:row>
    <s:row r="471">
      <s:c r="A471" s="0" t="n">
        <s:v>260813</s:v>
      </s:c>
      <s:c r="B471" s="0" t="inlineStr">
        <s:is>
          <s:t>이종훈</s:t>
        </s:is>
      </s:c>
      <s:c r="C471" s="0" t="n">
        <s:v>112912</s:v>
      </s:c>
      <s:c r="D471" s="0" t="n">
        <s:v>124</s:v>
      </s:c>
      <s:c r="F471" s="24">
        <s:f>'자료구성'!$B$2+TIME(INT($C$3/10000),INT(MOD($C$3,10000)/100),MOD($C$3,100))+(ROW()-ROW($C$3))/86400</s:f>
        <s:v>46247.48402777778</s:v>
      </s:c>
    </s:row>
    <s:row r="472">
      <s:c r="A472" s="0" t="n">
        <s:v>260813</s:v>
      </s:c>
      <s:c r="B472" s="0" t="inlineStr">
        <s:is>
          <s:t>이종훈</s:t>
        </s:is>
      </s:c>
      <s:c r="C472" s="0" t="n">
        <s:v>112912</s:v>
      </s:c>
      <s:c r="D472" s="0" t="n">
        <s:v>153</s:v>
      </s:c>
      <s:c r="F472" s="24">
        <s:f>'자료구성'!$B$2+TIME(INT($C$3/10000),INT(MOD($C$3,10000)/100),MOD($C$3,100))+(ROW()-ROW($C$3))/86400</s:f>
        <s:v>46247.48403935185</s:v>
      </s:c>
    </s:row>
    <s:row r="473">
      <s:c r="A473" s="0" t="n">
        <s:v>260813</s:v>
      </s:c>
      <s:c r="B473" s="0" t="inlineStr">
        <s:is>
          <s:t>이종훈</s:t>
        </s:is>
      </s:c>
      <s:c r="C473" s="0" t="n">
        <s:v>112912</s:v>
      </s:c>
      <s:c r="D473" s="0" t="n">
        <s:v>150</s:v>
      </s:c>
      <s:c r="F473" s="24">
        <s:f>'자료구성'!$B$2+TIME(INT($C$3/10000),INT(MOD($C$3,10000)/100),MOD($C$3,100))+(ROW()-ROW($C$3))/86400</s:f>
        <s:v>46247.48405092592</s:v>
      </s:c>
    </s:row>
    <s:row r="474">
      <s:c r="A474" s="0" t="n">
        <s:v>260813</s:v>
      </s:c>
      <s:c r="B474" s="0" t="inlineStr">
        <s:is>
          <s:t>이종훈</s:t>
        </s:is>
      </s:c>
      <s:c r="C474" s="0" t="n">
        <s:v>112912</s:v>
      </s:c>
      <s:c r="D474" s="0" t="n">
        <s:v>147</s:v>
      </s:c>
      <s:c r="F474" s="24">
        <s:f>'자료구성'!$B$2+TIME(INT($C$3/10000),INT(MOD($C$3,10000)/100),MOD($C$3,100))+(ROW()-ROW($C$3))/86400</s:f>
        <s:v>46247.4840625</s:v>
      </s:c>
    </s:row>
    <s:row r="475">
      <s:c r="A475" s="0" t="n">
        <s:v>260813</s:v>
      </s:c>
      <s:c r="B475" s="0" t="inlineStr">
        <s:is>
          <s:t>이종훈</s:t>
        </s:is>
      </s:c>
      <s:c r="C475" s="0" t="n">
        <s:v>112912</s:v>
      </s:c>
      <s:c r="D475" s="0" t="n">
        <s:v>153</s:v>
      </s:c>
      <s:c r="F475" s="24">
        <s:f>'자료구성'!$B$2+TIME(INT($C$3/10000),INT(MOD($C$3,10000)/100),MOD($C$3,100))+(ROW()-ROW($C$3))/86400</s:f>
        <s:v>46247.48407407408</s:v>
      </s:c>
    </s:row>
    <s:row r="476">
      <s:c r="A476" s="0" t="n">
        <s:v>260813</s:v>
      </s:c>
      <s:c r="B476" s="0" t="inlineStr">
        <s:is>
          <s:t>이종훈</s:t>
        </s:is>
      </s:c>
      <s:c r="C476" s="0" t="n">
        <s:v>112912</s:v>
      </s:c>
      <s:c r="D476" s="0" t="n">
        <s:v>153</s:v>
      </s:c>
      <s:c r="F476" s="24">
        <s:f>'자료구성'!$B$2+TIME(INT($C$3/10000),INT(MOD($C$3,10000)/100),MOD($C$3,100))+(ROW()-ROW($C$3))/86400</s:f>
        <s:v>46247.484085648146</s:v>
      </s:c>
    </s:row>
    <s:row r="477">
      <s:c r="A477" s="0" t="n">
        <s:v>260813</s:v>
      </s:c>
      <s:c r="B477" s="0" t="inlineStr">
        <s:is>
          <s:t>이종훈</s:t>
        </s:is>
      </s:c>
      <s:c r="C477" s="0" t="n">
        <s:v>112912</s:v>
      </s:c>
      <s:c r="D477" s="0" t="n">
        <s:v>148</s:v>
      </s:c>
      <s:c r="F477" s="24">
        <s:f>'자료구성'!$B$2+TIME(INT($C$3/10000),INT(MOD($C$3,10000)/100),MOD($C$3,100))+(ROW()-ROW($C$3))/86400</s:f>
        <s:v>46247.48409722222</s:v>
      </s:c>
    </s:row>
    <s:row r="478">
      <s:c r="A478" s="0" t="n">
        <s:v>260813</s:v>
      </s:c>
      <s:c r="B478" s="0" t="inlineStr">
        <s:is>
          <s:t>이종훈</s:t>
        </s:is>
      </s:c>
      <s:c r="C478" s="0" t="n">
        <s:v>112912</s:v>
      </s:c>
      <s:c r="D478" s="0" t="n">
        <s:v>145</s:v>
      </s:c>
      <s:c r="F478" s="24">
        <s:f>'자료구성'!$B$2+TIME(INT($C$3/10000),INT(MOD($C$3,10000)/100),MOD($C$3,100))+(ROW()-ROW($C$3))/86400</s:f>
        <s:v>46247.4841087963</s:v>
      </s:c>
    </s:row>
    <s:row r="479">
      <s:c r="A479" s="0" t="n">
        <s:v>260813</s:v>
      </s:c>
      <s:c r="B479" s="0" t="inlineStr">
        <s:is>
          <s:t>이종훈</s:t>
        </s:is>
      </s:c>
      <s:c r="C479" s="0" t="n">
        <s:v>112912</s:v>
      </s:c>
      <s:c r="D479" s="0" t="n">
        <s:v>150</s:v>
      </s:c>
      <s:c r="F479" s="24">
        <s:f>'자료구성'!$B$2+TIME(INT($C$3/10000),INT(MOD($C$3,10000)/100),MOD($C$3,100))+(ROW()-ROW($C$3))/86400</s:f>
        <s:v>46247.48412037037</s:v>
      </s:c>
    </s:row>
    <s:row r="480">
      <s:c r="A480" s="0" t="n">
        <s:v>260813</s:v>
      </s:c>
      <s:c r="B480" s="0" t="inlineStr">
        <s:is>
          <s:t>이종훈</s:t>
        </s:is>
      </s:c>
      <s:c r="C480" s="0" t="n">
        <s:v>112912</s:v>
      </s:c>
      <s:c r="D480" s="0" t="n">
        <s:v>161</s:v>
      </s:c>
      <s:c r="F480" s="24">
        <s:f>'자료구성'!$B$2+TIME(INT($C$3/10000),INT(MOD($C$3,10000)/100),MOD($C$3,100))+(ROW()-ROW($C$3))/86400</s:f>
        <s:v>46247.484131944446</s:v>
      </s:c>
    </s:row>
    <s:row r="481">
      <s:c r="A481" s="0" t="n">
        <s:v>260813</s:v>
      </s:c>
      <s:c r="B481" s="0" t="inlineStr">
        <s:is>
          <s:t>이종훈</s:t>
        </s:is>
      </s:c>
      <s:c r="C481" s="0" t="n">
        <s:v>112912</s:v>
      </s:c>
      <s:c r="D481" s="0" t="n">
        <s:v>186</s:v>
      </s:c>
      <s:c r="F481" s="24">
        <s:f>'자료구성'!$B$2+TIME(INT($C$3/10000),INT(MOD($C$3,10000)/100),MOD($C$3,100))+(ROW()-ROW($C$3))/86400</s:f>
        <s:v>46247.484143518515</s:v>
      </s:c>
    </s:row>
    <s:row r="482">
      <s:c r="A482" s="0" t="n">
        <s:v>260813</s:v>
      </s:c>
      <s:c r="B482" s="0" t="inlineStr">
        <s:is>
          <s:t>이종훈</s:t>
        </s:is>
      </s:c>
      <s:c r="C482" s="0" t="n">
        <s:v>112912</s:v>
      </s:c>
      <s:c r="D482" s="0" t="n">
        <s:v>181</s:v>
      </s:c>
      <s:c r="F482" s="24">
        <s:f>'자료구성'!$B$2+TIME(INT($C$3/10000),INT(MOD($C$3,10000)/100),MOD($C$3,100))+(ROW()-ROW($C$3))/86400</s:f>
        <s:v>46247.48415509259</s:v>
      </s:c>
    </s:row>
    <s:row r="483">
      <s:c r="A483" s="0" t="n">
        <s:v>260813</s:v>
      </s:c>
      <s:c r="B483" s="0" t="inlineStr">
        <s:is>
          <s:t>이종훈</s:t>
        </s:is>
      </s:c>
      <s:c r="C483" s="0" t="n">
        <s:v>112912</s:v>
      </s:c>
      <s:c r="D483" s="0" t="n">
        <s:v>176</s:v>
      </s:c>
      <s:c r="F483" s="24">
        <s:f>'자료구성'!$B$2+TIME(INT($C$3/10000),INT(MOD($C$3,10000)/100),MOD($C$3,100))+(ROW()-ROW($C$3))/86400</s:f>
        <s:v>46247.48416666667</s:v>
      </s:c>
    </s:row>
    <s:row r="484">
      <s:c r="A484" s="0" t="n">
        <s:v>260813</s:v>
      </s:c>
      <s:c r="B484" s="0" t="inlineStr">
        <s:is>
          <s:t>이종훈</s:t>
        </s:is>
      </s:c>
      <s:c r="C484" s="0" t="n">
        <s:v>112912</s:v>
      </s:c>
      <s:c r="D484" s="0" t="n">
        <s:v>170</s:v>
      </s:c>
      <s:c r="F484" s="24">
        <s:f>'자료구성'!$B$2+TIME(INT($C$3/10000),INT(MOD($C$3,10000)/100),MOD($C$3,100))+(ROW()-ROW($C$3))/86400</s:f>
        <s:v>46247.48417824074</s:v>
      </s:c>
    </s:row>
    <s:row r="485">
      <s:c r="A485" s="0" t="n">
        <s:v>260813</s:v>
      </s:c>
      <s:c r="B485" s="0" t="inlineStr">
        <s:is>
          <s:t>이종훈</s:t>
        </s:is>
      </s:c>
      <s:c r="C485" s="0" t="n">
        <s:v>112912</s:v>
      </s:c>
      <s:c r="D485" s="0" t="n">
        <s:v>165</s:v>
      </s:c>
      <s:c r="F485" s="24">
        <s:f>'자료구성'!$B$2+TIME(INT($C$3/10000),INT(MOD($C$3,10000)/100),MOD($C$3,100))+(ROW()-ROW($C$3))/86400</s:f>
        <s:v>46247.484189814815</s:v>
      </s:c>
    </s:row>
    <s:row r="486">
      <s:c r="A486" s="0" t="n">
        <s:v>260813</s:v>
      </s:c>
      <s:c r="B486" s="0" t="inlineStr">
        <s:is>
          <s:t>이종훈</s:t>
        </s:is>
      </s:c>
      <s:c r="C486" s="0" t="n">
        <s:v>112912</s:v>
      </s:c>
      <s:c r="D486" s="0" t="n">
        <s:v>159</s:v>
      </s:c>
      <s:c r="F486" s="24">
        <s:f>'자료구성'!$B$2+TIME(INT($C$3/10000),INT(MOD($C$3,10000)/100),MOD($C$3,100))+(ROW()-ROW($C$3))/86400</s:f>
        <s:v>46247.48420138889</s:v>
      </s:c>
    </s:row>
    <s:row r="487">
      <s:c r="A487" s="0" t="n">
        <s:v>260813</s:v>
      </s:c>
      <s:c r="B487" s="0" t="inlineStr">
        <s:is>
          <s:t>이종훈</s:t>
        </s:is>
      </s:c>
      <s:c r="C487" s="0" t="n">
        <s:v>112912</s:v>
      </s:c>
      <s:c r="D487" s="0" t="n">
        <s:v>157</s:v>
      </s:c>
      <s:c r="F487" s="24">
        <s:f>'자료구성'!$B$2+TIME(INT($C$3/10000),INT(MOD($C$3,10000)/100),MOD($C$3,100))+(ROW()-ROW($C$3))/86400</s:f>
        <s:v>46247.48421296296</s:v>
      </s:c>
    </s:row>
    <s:row r="488">
      <s:c r="A488" s="0" t="n">
        <s:v>260813</s:v>
      </s:c>
      <s:c r="B488" s="0" t="inlineStr">
        <s:is>
          <s:t>이종훈</s:t>
        </s:is>
      </s:c>
      <s:c r="C488" s="0" t="n">
        <s:v>112912</s:v>
      </s:c>
      <s:c r="D488" s="0" t="n">
        <s:v>153</s:v>
      </s:c>
      <s:c r="F488" s="24">
        <s:f>'자료구성'!$B$2+TIME(INT($C$3/10000),INT(MOD($C$3,10000)/100),MOD($C$3,100))+(ROW()-ROW($C$3))/86400</s:f>
        <s:v>46247.48422453704</s:v>
      </s:c>
    </s:row>
    <s:row r="489">
      <s:c r="A489" s="0" t="n">
        <s:v>260813</s:v>
      </s:c>
      <s:c r="B489" s="0" t="inlineStr">
        <s:is>
          <s:t>이종훈</s:t>
        </s:is>
      </s:c>
      <s:c r="C489" s="0" t="n">
        <s:v>112912</s:v>
      </s:c>
      <s:c r="D489" s="0" t="n">
        <s:v>153</s:v>
      </s:c>
      <s:c r="F489" s="24">
        <s:f>'자료구성'!$B$2+TIME(INT($C$3/10000),INT(MOD($C$3,10000)/100),MOD($C$3,100))+(ROW()-ROW($C$3))/86400</s:f>
        <s:v>46247.48423611111</s:v>
      </s:c>
    </s:row>
    <s:row r="490">
      <s:c r="A490" s="0" t="n">
        <s:v>260813</s:v>
      </s:c>
      <s:c r="B490" s="0" t="inlineStr">
        <s:is>
          <s:t>이종훈</s:t>
        </s:is>
      </s:c>
      <s:c r="C490" s="0" t="n">
        <s:v>112912</s:v>
      </s:c>
      <s:c r="D490" s="0" t="n">
        <s:v>150</s:v>
      </s:c>
      <s:c r="F490" s="24">
        <s:f>'자료구성'!$B$2+TIME(INT($C$3/10000),INT(MOD($C$3,10000)/100),MOD($C$3,100))+(ROW()-ROW($C$3))/86400</s:f>
        <s:v>46247.484247685185</s:v>
      </s:c>
    </s:row>
    <s:row r="491">
      <s:c r="A491" s="0" t="n">
        <s:v>260813</s:v>
      </s:c>
      <s:c r="B491" s="0" t="inlineStr">
        <s:is>
          <s:t>이종훈</s:t>
        </s:is>
      </s:c>
      <s:c r="C491" s="0" t="n">
        <s:v>112912</s:v>
      </s:c>
      <s:c r="D491" s="0" t="n">
        <s:v>158</s:v>
      </s:c>
      <s:c r="F491" s="24">
        <s:f>'자료구성'!$B$2+TIME(INT($C$3/10000),INT(MOD($C$3,10000)/100),MOD($C$3,100))+(ROW()-ROW($C$3))/86400</s:f>
        <s:v>46247.48425925926</s:v>
      </s:c>
    </s:row>
    <s:row r="492">
      <s:c r="A492" s="0" t="n">
        <s:v>260813</s:v>
      </s:c>
      <s:c r="B492" s="0" t="inlineStr">
        <s:is>
          <s:t>이종훈</s:t>
        </s:is>
      </s:c>
      <s:c r="C492" s="0" t="n">
        <s:v>112912</s:v>
      </s:c>
      <s:c r="D492" s="0" t="n">
        <s:v>170</s:v>
      </s:c>
      <s:c r="F492" s="24">
        <s:f>'자료구성'!$B$2+TIME(INT($C$3/10000),INT(MOD($C$3,10000)/100),MOD($C$3,100))+(ROW()-ROW($C$3))/86400</s:f>
        <s:v>46247.48427083333</s:v>
      </s:c>
    </s:row>
    <s:row r="493">
      <s:c r="A493" s="0" t="n">
        <s:v>260813</s:v>
      </s:c>
      <s:c r="B493" s="0" t="inlineStr">
        <s:is>
          <s:t>이종훈</s:t>
        </s:is>
      </s:c>
      <s:c r="C493" s="0" t="n">
        <s:v>112912</s:v>
      </s:c>
      <s:c r="D493" s="0" t="n">
        <s:v>176</s:v>
      </s:c>
      <s:c r="F493" s="24">
        <s:f>'자료구성'!$B$2+TIME(INT($C$3/10000),INT(MOD($C$3,10000)/100),MOD($C$3,100))+(ROW()-ROW($C$3))/86400</s:f>
        <s:v>46247.48428240741</s:v>
      </s:c>
    </s:row>
    <s:row r="494">
      <s:c r="A494" s="0" t="n">
        <s:v>260813</s:v>
      </s:c>
      <s:c r="B494" s="0" t="inlineStr">
        <s:is>
          <s:t>이종훈</s:t>
        </s:is>
      </s:c>
      <s:c r="C494" s="0" t="n">
        <s:v>112912</s:v>
      </s:c>
      <s:c r="D494" s="0" t="n">
        <s:v>186</s:v>
      </s:c>
      <s:c r="F494" s="24">
        <s:f>'자료구성'!$B$2+TIME(INT($C$3/10000),INT(MOD($C$3,10000)/100),MOD($C$3,100))+(ROW()-ROW($C$3))/86400</s:f>
        <s:v>46247.484293981484</s:v>
      </s:c>
    </s:row>
    <s:row r="495">
      <s:c r="A495" s="0" t="n">
        <s:v>260813</s:v>
      </s:c>
      <s:c r="B495" s="0" t="inlineStr">
        <s:is>
          <s:t>이종훈</s:t>
        </s:is>
      </s:c>
      <s:c r="C495" s="0" t="n">
        <s:v>112912</s:v>
      </s:c>
      <s:c r="D495" s="0" t="n">
        <s:v>188</s:v>
      </s:c>
      <s:c r="F495" s="24">
        <s:f>'자료구성'!$B$2+TIME(INT($C$3/10000),INT(MOD($C$3,10000)/100),MOD($C$3,100))+(ROW()-ROW($C$3))/86400</s:f>
        <s:v>46247.484305555554</s:v>
      </s:c>
    </s:row>
    <s:row r="496">
      <s:c r="A496" s="0" t="n">
        <s:v>260813</s:v>
      </s:c>
      <s:c r="B496" s="0" t="inlineStr">
        <s:is>
          <s:t>이종훈</s:t>
        </s:is>
      </s:c>
      <s:c r="C496" s="0" t="n">
        <s:v>112912</s:v>
      </s:c>
      <s:c r="D496" s="0" t="n">
        <s:v>183</s:v>
      </s:c>
      <s:c r="F496" s="24">
        <s:f>'자료구성'!$B$2+TIME(INT($C$3/10000),INT(MOD($C$3,10000)/100),MOD($C$3,100))+(ROW()-ROW($C$3))/86400</s:f>
        <s:v>46247.48431712963</s:v>
      </s:c>
    </s:row>
    <s:row r="497">
      <s:c r="A497" s="0" t="n">
        <s:v>260813</s:v>
      </s:c>
      <s:c r="B497" s="0" t="inlineStr">
        <s:is>
          <s:t>이종훈</s:t>
        </s:is>
      </s:c>
      <s:c r="C497" s="0" t="n">
        <s:v>112912</s:v>
      </s:c>
      <s:c r="D497" s="0" t="n">
        <s:v>184</s:v>
      </s:c>
      <s:c r="F497" s="24">
        <s:f>'자료구성'!$B$2+TIME(INT($C$3/10000),INT(MOD($C$3,10000)/100),MOD($C$3,100))+(ROW()-ROW($C$3))/86400</s:f>
        <s:v>46247.4843287037</s:v>
      </s:c>
    </s:row>
    <s:row r="498">
      <s:c r="A498" s="0" t="n">
        <s:v>260813</s:v>
      </s:c>
      <s:c r="B498" s="0" t="inlineStr">
        <s:is>
          <s:t>이종훈</s:t>
        </s:is>
      </s:c>
      <s:c r="C498" s="0" t="n">
        <s:v>112912</s:v>
      </s:c>
      <s:c r="D498" s="0" t="n">
        <s:v>185</s:v>
      </s:c>
      <s:c r="F498" s="24">
        <s:f>'자료구성'!$B$2+TIME(INT($C$3/10000),INT(MOD($C$3,10000)/100),MOD($C$3,100))+(ROW()-ROW($C$3))/86400</s:f>
        <s:v>46247.48434027778</s:v>
      </s:c>
    </s:row>
    <s:row r="499">
      <s:c r="A499" s="0" t="n">
        <s:v>260813</s:v>
      </s:c>
      <s:c r="B499" s="0" t="inlineStr">
        <s:is>
          <s:t>이종훈</s:t>
        </s:is>
      </s:c>
      <s:c r="C499" s="0" t="n">
        <s:v>112912</s:v>
      </s:c>
      <s:c r="D499" s="0" t="n">
        <s:v>178</s:v>
      </s:c>
      <s:c r="F499" s="24">
        <s:f>'자료구성'!$B$2+TIME(INT($C$3/10000),INT(MOD($C$3,10000)/100),MOD($C$3,100))+(ROW()-ROW($C$3))/86400</s:f>
        <s:v>46247.484351851854</s:v>
      </s:c>
    </s:row>
    <s:row r="500">
      <s:c r="A500" s="0" t="n">
        <s:v>260813</s:v>
      </s:c>
      <s:c r="B500" s="0" t="inlineStr">
        <s:is>
          <s:t>이종훈</s:t>
        </s:is>
      </s:c>
      <s:c r="C500" s="0" t="n">
        <s:v>112912</s:v>
      </s:c>
      <s:c r="D500" s="0" t="n">
        <s:v>173</s:v>
      </s:c>
      <s:c r="F500" s="24">
        <s:f>'자료구성'!$B$2+TIME(INT($C$3/10000),INT(MOD($C$3,10000)/100),MOD($C$3,100))+(ROW()-ROW($C$3))/86400</s:f>
        <s:v>46247.48436342592</s:v>
      </s:c>
    </s:row>
    <s:row r="501">
      <s:c r="A501" s="0" t="n">
        <s:v>260813</s:v>
      </s:c>
      <s:c r="B501" s="0" t="inlineStr">
        <s:is>
          <s:t>이종훈</s:t>
        </s:is>
      </s:c>
      <s:c r="C501" s="0" t="n">
        <s:v>112912</s:v>
      </s:c>
      <s:c r="D501" s="0" t="n">
        <s:v>172</s:v>
      </s:c>
      <s:c r="F501" s="24">
        <s:f>'자료구성'!$B$2+TIME(INT($C$3/10000),INT(MOD($C$3,10000)/100),MOD($C$3,100))+(ROW()-ROW($C$3))/86400</s:f>
        <s:v>46247.484375</s:v>
      </s:c>
    </s:row>
    <s:row r="502">
      <s:c r="A502" s="0" t="n">
        <s:v>260813</s:v>
      </s:c>
      <s:c r="B502" s="0" t="inlineStr">
        <s:is>
          <s:t>이종훈</s:t>
        </s:is>
      </s:c>
      <s:c r="C502" s="0" t="n">
        <s:v>112912</s:v>
      </s:c>
      <s:c r="D502" s="0" t="n">
        <s:v>174</s:v>
      </s:c>
      <s:c r="F502" s="24">
        <s:f>'자료구성'!$B$2+TIME(INT($C$3/10000),INT(MOD($C$3,10000)/100),MOD($C$3,100))+(ROW()-ROW($C$3))/86400</s:f>
        <s:v>46247.48438657408</s:v>
      </s:c>
    </s:row>
    <s:row r="503">
      <s:c r="A503" s="0" t="n">
        <s:v>260813</s:v>
      </s:c>
      <s:c r="B503" s="0" t="inlineStr">
        <s:is>
          <s:t>이종훈</s:t>
        </s:is>
      </s:c>
      <s:c r="C503" s="0" t="n">
        <s:v>112912</s:v>
      </s:c>
      <s:c r="D503" s="0" t="n">
        <s:v>169</s:v>
      </s:c>
      <s:c r="F503" s="24">
        <s:f>'자료구성'!$B$2+TIME(INT($C$3/10000),INT(MOD($C$3,10000)/100),MOD($C$3,100))+(ROW()-ROW($C$3))/86400</s:f>
        <s:v>46247.484398148146</s:v>
      </s:c>
    </s:row>
    <s:row r="504">
      <s:c r="A504" s="0" t="n">
        <s:v>260813</s:v>
      </s:c>
      <s:c r="B504" s="0" t="inlineStr">
        <s:is>
          <s:t>이종훈</s:t>
        </s:is>
      </s:c>
      <s:c r="C504" s="0" t="n">
        <s:v>112912</s:v>
      </s:c>
      <s:c r="D504" s="0" t="n">
        <s:v>167</s:v>
      </s:c>
      <s:c r="F504" s="24">
        <s:f>'자료구성'!$B$2+TIME(INT($C$3/10000),INT(MOD($C$3,10000)/100),MOD($C$3,100))+(ROW()-ROW($C$3))/86400</s:f>
        <s:v>46247.48440972222</s:v>
      </s:c>
    </s:row>
    <s:row r="505">
      <s:c r="A505" s="0" t="n">
        <s:v>260813</s:v>
      </s:c>
      <s:c r="B505" s="0" t="inlineStr">
        <s:is>
          <s:t>이종훈</s:t>
        </s:is>
      </s:c>
      <s:c r="C505" s="0" t="n">
        <s:v>112912</s:v>
      </s:c>
      <s:c r="D505" s="0" t="n">
        <s:v>156</s:v>
      </s:c>
      <s:c r="F505" s="24">
        <s:f>'자료구성'!$B$2+TIME(INT($C$3/10000),INT(MOD($C$3,10000)/100),MOD($C$3,100))+(ROW()-ROW($C$3))/86400</s:f>
        <s:v>46247.4844212963</s:v>
      </s:c>
    </s:row>
    <s:row r="506">
      <s:c r="A506" s="0" t="n">
        <s:v>260813</s:v>
      </s:c>
      <s:c r="B506" s="0" t="inlineStr">
        <s:is>
          <s:t>이종훈</s:t>
        </s:is>
      </s:c>
      <s:c r="C506" s="0" t="n">
        <s:v>112912</s:v>
      </s:c>
      <s:c r="D506" s="0" t="n">
        <s:v>110</s:v>
      </s:c>
      <s:c r="F506" s="24">
        <s:f>'자료구성'!$B$2+TIME(INT($C$3/10000),INT(MOD($C$3,10000)/100),MOD($C$3,100))+(ROW()-ROW($C$3))/86400</s:f>
        <s:v>46247.48443287037</s:v>
      </s:c>
    </s:row>
    <s:row r="507">
      <s:c r="A507" s="0" t="n">
        <s:v>260813</s:v>
      </s:c>
      <s:c r="B507" s="0" t="inlineStr">
        <s:is>
          <s:t>이종훈</s:t>
        </s:is>
      </s:c>
      <s:c r="C507" s="0" t="n">
        <s:v>112912</s:v>
      </s:c>
      <s:c r="D507" s="0" t="n">
        <s:v>53</s:v>
      </s:c>
      <s:c r="F507" s="24">
        <s:f>'자료구성'!$B$2+TIME(INT($C$3/10000),INT(MOD($C$3,10000)/100),MOD($C$3,100))+(ROW()-ROW($C$3))/86400</s:f>
        <s:v>46247.484444444446</s:v>
      </s:c>
    </s:row>
    <s:row r="508">
      <s:c r="A508" s="0" t="n">
        <s:v>260813</s:v>
      </s:c>
      <s:c r="B508" s="0" t="inlineStr">
        <s:is>
          <s:t>이종훈</s:t>
        </s:is>
      </s:c>
      <s:c r="C508" s="0" t="n">
        <s:v>112912</s:v>
      </s:c>
      <s:c r="D508" s="0" t="n">
        <s:v>995</s:v>
      </s:c>
      <s:c r="F508" s="24">
        <s:f>'자료구성'!$B$2+TIME(INT($C$3/10000),INT(MOD($C$3,10000)/100),MOD($C$3,100))+(ROW()-ROW($C$3))/86400</s:f>
        <s:v>46247.484456018516</s:v>
      </s:c>
    </s:row>
    <s:row r="509">
      <s:c r="A509" s="0" t="n">
        <s:v>260813</s:v>
      </s:c>
      <s:c r="B509" s="0" t="inlineStr">
        <s:is>
          <s:t>이종훈</s:t>
        </s:is>
      </s:c>
      <s:c r="C509" s="0" t="n">
        <s:v>112912</s:v>
      </s:c>
      <s:c r="D509" s="0" t="n">
        <s:v>978</s:v>
      </s:c>
      <s:c r="F509" s="24">
        <s:f>'자료구성'!$B$2+TIME(INT($C$3/10000),INT(MOD($C$3,10000)/100),MOD($C$3,100))+(ROW()-ROW($C$3))/86400</s:f>
        <s:v>46247.48446759259</s:v>
      </s:c>
    </s:row>
    <s:row r="510">
      <s:c r="A510" s="0" t="n">
        <s:v>260813</s:v>
      </s:c>
      <s:c r="B510" s="0" t="inlineStr">
        <s:is>
          <s:t>이종훈</s:t>
        </s:is>
      </s:c>
      <s:c r="C510" s="0" t="n">
        <s:v>112912</s:v>
      </s:c>
      <s:c r="D510" s="0" t="n">
        <s:v>975</s:v>
      </s:c>
      <s:c r="F510" s="24">
        <s:f>'자료구성'!$B$2+TIME(INT($C$3/10000),INT(MOD($C$3,10000)/100),MOD($C$3,100))+(ROW()-ROW($C$3))/86400</s:f>
        <s:v>46247.48447916667</s:v>
      </s:c>
    </s:row>
    <s:row r="511">
      <s:c r="A511" s="0" t="n">
        <s:v>260813</s:v>
      </s:c>
      <s:c r="B511" s="0" t="inlineStr">
        <s:is>
          <s:t>이종훈</s:t>
        </s:is>
      </s:c>
      <s:c r="C511" s="0" t="n">
        <s:v>112912</s:v>
      </s:c>
      <s:c r="D511" s="0" t="n">
        <s:v>991</s:v>
      </s:c>
      <s:c r="F511" s="24">
        <s:f>'자료구성'!$B$2+TIME(INT($C$3/10000),INT(MOD($C$3,10000)/100),MOD($C$3,100))+(ROW()-ROW($C$3))/86400</s:f>
        <s:v>46247.48449074074</s:v>
      </s:c>
    </s:row>
    <s:row r="512">
      <s:c r="A512" s="0" t="n">
        <s:v>260813</s:v>
      </s:c>
      <s:c r="B512" s="0" t="inlineStr">
        <s:is>
          <s:t>이종훈</s:t>
        </s:is>
      </s:c>
      <s:c r="C512" s="0" t="n">
        <s:v>112912</s:v>
      </s:c>
      <s:c r="D512" s="0" t="n">
        <s:v>996</s:v>
      </s:c>
      <s:c r="F512" s="24">
        <s:f>'자료구성'!$B$2+TIME(INT($C$3/10000),INT(MOD($C$3,10000)/100),MOD($C$3,100))+(ROW()-ROW($C$3))/86400</s:f>
        <s:v>46247.484502314815</s:v>
      </s:c>
    </s:row>
    <s:row r="513">
      <s:c r="A513" s="0" t="n">
        <s:v>260813</s:v>
      </s:c>
      <s:c r="B513" s="0" t="inlineStr">
        <s:is>
          <s:t>이종훈</s:t>
        </s:is>
      </s:c>
      <s:c r="C513" s="0" t="n">
        <s:v>112912</s:v>
      </s:c>
      <s:c r="D513" s="0" t="n">
        <s:v>980</s:v>
      </s:c>
      <s:c r="F513" s="24">
        <s:f>'자료구성'!$B$2+TIME(INT($C$3/10000),INT(MOD($C$3,10000)/100),MOD($C$3,100))+(ROW()-ROW($C$3))/86400</s:f>
        <s:v>46247.48451388889</s:v>
      </s:c>
    </s:row>
    <s:row r="514">
      <s:c r="A514" s="0" t="n">
        <s:v>260813</s:v>
      </s:c>
      <s:c r="B514" s="0" t="inlineStr">
        <s:is>
          <s:t>이종훈</s:t>
        </s:is>
      </s:c>
      <s:c r="C514" s="0" t="n">
        <s:v>112912</s:v>
      </s:c>
      <s:c r="D514" s="0" t="n">
        <s:v>923</s:v>
      </s:c>
      <s:c r="F514" s="24">
        <s:f>'자료구성'!$B$2+TIME(INT($C$3/10000),INT(MOD($C$3,10000)/100),MOD($C$3,100))+(ROW()-ROW($C$3))/86400</s:f>
        <s:v>46247.48452546296</s:v>
      </s:c>
    </s:row>
    <s:row r="515">
      <s:c r="A515" s="0" t="n">
        <s:v>260813</s:v>
      </s:c>
      <s:c r="B515" s="0" t="inlineStr">
        <s:is>
          <s:t>이종훈</s:t>
        </s:is>
      </s:c>
      <s:c r="C515" s="0" t="n">
        <s:v>112912</s:v>
      </s:c>
      <s:c r="D515" s="0" t="n">
        <s:v>880</s:v>
      </s:c>
      <s:c r="F515" s="24">
        <s:f>'자료구성'!$B$2+TIME(INT($C$3/10000),INT(MOD($C$3,10000)/100),MOD($C$3,100))+(ROW()-ROW($C$3))/86400</s:f>
        <s:v>46247.48453703704</s:v>
      </s:c>
    </s:row>
    <s:row r="516">
      <s:c r="A516" s="0" t="n">
        <s:v>260813</s:v>
      </s:c>
      <s:c r="B516" s="0" t="inlineStr">
        <s:is>
          <s:t>이종훈</s:t>
        </s:is>
      </s:c>
      <s:c r="C516" s="0" t="n">
        <s:v>112912</s:v>
      </s:c>
      <s:c r="D516" s="0" t="n">
        <s:v>839</s:v>
      </s:c>
      <s:c r="F516" s="24">
        <s:f>'자료구성'!$B$2+TIME(INT($C$3/10000),INT(MOD($C$3,10000)/100),MOD($C$3,100))+(ROW()-ROW($C$3))/86400</s:f>
        <s:v>46247.48454861111</s:v>
      </s:c>
    </s:row>
    <s:row r="517">
      <s:c r="A517" s="0" t="n">
        <s:v>260813</s:v>
      </s:c>
      <s:c r="B517" s="0" t="inlineStr">
        <s:is>
          <s:t>이종훈</s:t>
        </s:is>
      </s:c>
      <s:c r="C517" s="0" t="n">
        <s:v>112912</s:v>
      </s:c>
      <s:c r="D517" s="0" t="n">
        <s:v>820</s:v>
      </s:c>
      <s:c r="F517" s="24">
        <s:f>'자료구성'!$B$2+TIME(INT($C$3/10000),INT(MOD($C$3,10000)/100),MOD($C$3,100))+(ROW()-ROW($C$3))/86400</s:f>
        <s:v>46247.484560185185</s:v>
      </s:c>
    </s:row>
    <s:row r="518">
      <s:c r="A518" s="0" t="n">
        <s:v>260813</s:v>
      </s:c>
      <s:c r="B518" s="0" t="inlineStr">
        <s:is>
          <s:t>이종훈</s:t>
        </s:is>
      </s:c>
      <s:c r="C518" s="0" t="n">
        <s:v>112912</s:v>
      </s:c>
      <s:c r="D518" s="0" t="n">
        <s:v>809</s:v>
      </s:c>
      <s:c r="F518" s="24">
        <s:f>'자료구성'!$B$2+TIME(INT($C$3/10000),INT(MOD($C$3,10000)/100),MOD($C$3,100))+(ROW()-ROW($C$3))/86400</s:f>
        <s:v>46247.48457175926</s:v>
      </s:c>
    </s:row>
    <s:row r="519">
      <s:c r="A519" s="0" t="n">
        <s:v>260813</s:v>
      </s:c>
      <s:c r="B519" s="0" t="inlineStr">
        <s:is>
          <s:t>이종훈</s:t>
        </s:is>
      </s:c>
      <s:c r="C519" s="0" t="n">
        <s:v>112912</s:v>
      </s:c>
      <s:c r="D519" s="0" t="n">
        <s:v>792</s:v>
      </s:c>
      <s:c r="F519" s="24">
        <s:f>'자료구성'!$B$2+TIME(INT($C$3/10000),INT(MOD($C$3,10000)/100),MOD($C$3,100))+(ROW()-ROW($C$3))/86400</s:f>
        <s:v>46247.48458333333</s:v>
      </s:c>
    </s:row>
    <s:row r="520">
      <s:c r="A520" s="0" t="n">
        <s:v>260813</s:v>
      </s:c>
      <s:c r="B520" s="0" t="inlineStr">
        <s:is>
          <s:t>이종훈</s:t>
        </s:is>
      </s:c>
      <s:c r="C520" s="0" t="n">
        <s:v>112912</s:v>
      </s:c>
      <s:c r="D520" s="0" t="n">
        <s:v>771</s:v>
      </s:c>
      <s:c r="F520" s="24">
        <s:f>'자료구성'!$B$2+TIME(INT($C$3/10000),INT(MOD($C$3,10000)/100),MOD($C$3,100))+(ROW()-ROW($C$3))/86400</s:f>
        <s:v>46247.48459490741</s:v>
      </s:c>
    </s:row>
    <s:row r="521">
      <s:c r="A521" s="0" t="n">
        <s:v>260813</s:v>
      </s:c>
      <s:c r="B521" s="0" t="inlineStr">
        <s:is>
          <s:t>이종훈</s:t>
        </s:is>
      </s:c>
      <s:c r="C521" s="0" t="n">
        <s:v>112912</s:v>
      </s:c>
      <s:c r="D521" s="0" t="n">
        <s:v>752</s:v>
      </s:c>
      <s:c r="F521" s="24">
        <s:f>'자료구성'!$B$2+TIME(INT($C$3/10000),INT(MOD($C$3,10000)/100),MOD($C$3,100))+(ROW()-ROW($C$3))/86400</s:f>
        <s:v>46247.484606481485</s:v>
      </s:c>
    </s:row>
    <s:row r="522">
      <s:c r="A522" s="0" t="n">
        <s:v>260813</s:v>
      </s:c>
      <s:c r="B522" s="0" t="inlineStr">
        <s:is>
          <s:t>이종훈</s:t>
        </s:is>
      </s:c>
      <s:c r="C522" s="0" t="n">
        <s:v>112912</s:v>
      </s:c>
      <s:c r="D522" s="0" t="n">
        <s:v>715</s:v>
      </s:c>
      <s:c r="F522" s="24">
        <s:f>'자료구성'!$B$2+TIME(INT($C$3/10000),INT(MOD($C$3,10000)/100),MOD($C$3,100))+(ROW()-ROW($C$3))/86400</s:f>
        <s:v>46247.484618055554</s:v>
      </s:c>
    </s:row>
    <s:row r="523">
      <s:c r="A523" s="0" t="n">
        <s:v>260813</s:v>
      </s:c>
      <s:c r="B523" s="0" t="inlineStr">
        <s:is>
          <s:t>이종훈</s:t>
        </s:is>
      </s:c>
      <s:c r="C523" s="0" t="n">
        <s:v>112912</s:v>
      </s:c>
      <s:c r="D523" s="0" t="n">
        <s:v>680</s:v>
      </s:c>
      <s:c r="F523" s="24">
        <s:f>'자료구성'!$B$2+TIME(INT($C$3/10000),INT(MOD($C$3,10000)/100),MOD($C$3,100))+(ROW()-ROW($C$3))/86400</s:f>
        <s:v>46247.48462962963</s:v>
      </s:c>
    </s:row>
    <s:row r="524">
      <s:c r="A524" s="0" t="n">
        <s:v>260813</s:v>
      </s:c>
      <s:c r="B524" s="0" t="inlineStr">
        <s:is>
          <s:t>이종훈</s:t>
        </s:is>
      </s:c>
      <s:c r="C524" s="0" t="n">
        <s:v>112912</s:v>
      </s:c>
      <s:c r="D524" s="0" t="n">
        <s:v>660</s:v>
      </s:c>
      <s:c r="F524" s="24">
        <s:f>'자료구성'!$B$2+TIME(INT($C$3/10000),INT(MOD($C$3,10000)/100),MOD($C$3,100))+(ROW()-ROW($C$3))/86400</s:f>
        <s:v>46247.4846412037</s:v>
      </s:c>
    </s:row>
    <s:row r="525">
      <s:c r="A525" s="0" t="n">
        <s:v>260813</s:v>
      </s:c>
      <s:c r="B525" s="0" t="inlineStr">
        <s:is>
          <s:t>이종훈</s:t>
        </s:is>
      </s:c>
      <s:c r="C525" s="0" t="n">
        <s:v>112912</s:v>
      </s:c>
      <s:c r="D525" s="0" t="n">
        <s:v>637</s:v>
      </s:c>
      <s:c r="F525" s="24">
        <s:f>'자료구성'!$B$2+TIME(INT($C$3/10000),INT(MOD($C$3,10000)/100),MOD($C$3,100))+(ROW()-ROW($C$3))/86400</s:f>
        <s:v>46247.48465277778</s:v>
      </s:c>
    </s:row>
    <s:row r="526">
      <s:c r="A526" s="0" t="n">
        <s:v>260813</s:v>
      </s:c>
      <s:c r="B526" s="0" t="inlineStr">
        <s:is>
          <s:t>이종훈</s:t>
        </s:is>
      </s:c>
      <s:c r="C526" s="0" t="n">
        <s:v>112912</s:v>
      </s:c>
      <s:c r="D526" s="0" t="n">
        <s:v>644</s:v>
      </s:c>
      <s:c r="F526" s="24">
        <s:f>'자료구성'!$B$2+TIME(INT($C$3/10000),INT(MOD($C$3,10000)/100),MOD($C$3,100))+(ROW()-ROW($C$3))/86400</s:f>
        <s:v>46247.484664351854</s:v>
      </s:c>
    </s:row>
    <s:row r="527">
      <s:c r="A527" s="0" t="n">
        <s:v>260813</s:v>
      </s:c>
      <s:c r="B527" s="0" t="inlineStr">
        <s:is>
          <s:t>이종훈</s:t>
        </s:is>
      </s:c>
      <s:c r="C527" s="0" t="n">
        <s:v>112912</s:v>
      </s:c>
      <s:c r="D527" s="0" t="n">
        <s:v>640</s:v>
      </s:c>
      <s:c r="F527" s="24">
        <s:f>'자료구성'!$B$2+TIME(INT($C$3/10000),INT(MOD($C$3,10000)/100),MOD($C$3,100))+(ROW()-ROW($C$3))/86400</s:f>
        <s:v>46247.48467592592</s:v>
      </s:c>
    </s:row>
    <s:row r="528">
      <s:c r="A528" s="0" t="n">
        <s:v>260813</s:v>
      </s:c>
      <s:c r="B528" s="0" t="inlineStr">
        <s:is>
          <s:t>이종훈</s:t>
        </s:is>
      </s:c>
      <s:c r="C528" s="0" t="n">
        <s:v>112912</s:v>
      </s:c>
      <s:c r="D528" s="0" t="n">
        <s:v>636</s:v>
      </s:c>
      <s:c r="F528" s="24">
        <s:f>'자료구성'!$B$2+TIME(INT($C$3/10000),INT(MOD($C$3,10000)/100),MOD($C$3,100))+(ROW()-ROW($C$3))/86400</s:f>
        <s:v>46247.4846875</s:v>
      </s:c>
    </s:row>
    <s:row r="529">
      <s:c r="A529" s="0" t="n">
        <s:v>260813</s:v>
      </s:c>
      <s:c r="B529" s="0" t="inlineStr">
        <s:is>
          <s:t>이종훈</s:t>
        </s:is>
      </s:c>
      <s:c r="C529" s="0" t="n">
        <s:v>112912</s:v>
      </s:c>
      <s:c r="D529" s="0" t="n">
        <s:v>640</s:v>
      </s:c>
      <s:c r="F529" s="24">
        <s:f>'자료구성'!$B$2+TIME(INT($C$3/10000),INT(MOD($C$3,10000)/100),MOD($C$3,100))+(ROW()-ROW($C$3))/86400</s:f>
        <s:v>46247.48469907408</s:v>
      </s:c>
    </s:row>
    <s:row r="530">
      <s:c r="A530" s="0" t="n">
        <s:v>260813</s:v>
      </s:c>
      <s:c r="B530" s="0" t="inlineStr">
        <s:is>
          <s:t>이종훈</s:t>
        </s:is>
      </s:c>
      <s:c r="C530" s="0" t="n">
        <s:v>112912</s:v>
      </s:c>
      <s:c r="D530" s="0" t="n">
        <s:v>632</s:v>
      </s:c>
      <s:c r="F530" s="24">
        <s:f>'자료구성'!$B$2+TIME(INT($C$3/10000),INT(MOD($C$3,10000)/100),MOD($C$3,100))+(ROW()-ROW($C$3))/86400</s:f>
        <s:v>46247.48471064815</s:v>
      </s:c>
    </s:row>
    <s:row r="531">
      <s:c r="A531" s="0" t="n">
        <s:v>260813</s:v>
      </s:c>
      <s:c r="B531" s="0" t="inlineStr">
        <s:is>
          <s:t>이종훈</s:t>
        </s:is>
      </s:c>
      <s:c r="C531" s="0" t="n">
        <s:v>112912</s:v>
      </s:c>
      <s:c r="D531" s="0" t="n">
        <s:v>613</s:v>
      </s:c>
      <s:c r="F531" s="24">
        <s:f>'자료구성'!$B$2+TIME(INT($C$3/10000),INT(MOD($C$3,10000)/100),MOD($C$3,100))+(ROW()-ROW($C$3))/86400</s:f>
        <s:v>46247.48472222222</s:v>
      </s:c>
    </s:row>
    <s:row r="532">
      <s:c r="A532" s="0" t="n">
        <s:v>260813</s:v>
      </s:c>
      <s:c r="B532" s="0" t="inlineStr">
        <s:is>
          <s:t>이종훈</s:t>
        </s:is>
      </s:c>
      <s:c r="C532" s="0" t="n">
        <s:v>112912</s:v>
      </s:c>
      <s:c r="D532" s="0" t="n">
        <s:v>589</s:v>
      </s:c>
      <s:c r="F532" s="24">
        <s:f>'자료구성'!$B$2+TIME(INT($C$3/10000),INT(MOD($C$3,10000)/100),MOD($C$3,100))+(ROW()-ROW($C$3))/86400</s:f>
        <s:v>46247.48473379629</s:v>
      </s:c>
    </s:row>
    <s:row r="533">
      <s:c r="A533" s="0" t="n">
        <s:v>260813</s:v>
      </s:c>
      <s:c r="B533" s="0" t="inlineStr">
        <s:is>
          <s:t>이종훈</s:t>
        </s:is>
      </s:c>
      <s:c r="C533" s="0" t="n">
        <s:v>112912</s:v>
      </s:c>
      <s:c r="D533" s="0" t="n">
        <s:v>580</s:v>
      </s:c>
      <s:c r="F533" s="24">
        <s:f>'자료구성'!$B$2+TIME(INT($C$3/10000),INT(MOD($C$3,10000)/100),MOD($C$3,100))+(ROW()-ROW($C$3))/86400</s:f>
        <s:v>46247.48474537037</s:v>
      </s:c>
    </s:row>
    <s:row r="534">
      <s:c r="A534" s="0" t="n">
        <s:v>260813</s:v>
      </s:c>
      <s:c r="B534" s="0" t="inlineStr">
        <s:is>
          <s:t>이종훈</s:t>
        </s:is>
      </s:c>
      <s:c r="C534" s="0" t="n">
        <s:v>112912</s:v>
      </s:c>
      <s:c r="D534" s="0" t="n">
        <s:v>608</s:v>
      </s:c>
      <s:c r="F534" s="24">
        <s:f>'자료구성'!$B$2+TIME(INT($C$3/10000),INT(MOD($C$3,10000)/100),MOD($C$3,100))+(ROW()-ROW($C$3))/86400</s:f>
        <s:v>46247.48475694445</s:v>
      </s:c>
    </s:row>
    <s:row r="535">
      <s:c r="A535" s="0" t="n">
        <s:v>260813</s:v>
      </s:c>
      <s:c r="B535" s="0" t="inlineStr">
        <s:is>
          <s:t>이종훈</s:t>
        </s:is>
      </s:c>
      <s:c r="C535" s="0" t="n">
        <s:v>112912</s:v>
      </s:c>
      <s:c r="D535" s="0" t="n">
        <s:v>631</s:v>
      </s:c>
      <s:c r="F535" s="24">
        <s:f>'자료구성'!$B$2+TIME(INT($C$3/10000),INT(MOD($C$3,10000)/100),MOD($C$3,100))+(ROW()-ROW($C$3))/86400</s:f>
        <s:v>46247.484768518516</s:v>
      </s:c>
    </s:row>
    <s:row r="536">
      <s:c r="A536" s="0" t="n">
        <s:v>260813</s:v>
      </s:c>
      <s:c r="B536" s="0" t="inlineStr">
        <s:is>
          <s:t>이종훈</s:t>
        </s:is>
      </s:c>
      <s:c r="C536" s="0" t="n">
        <s:v>112912</s:v>
      </s:c>
      <s:c r="D536" s="0" t="n">
        <s:v>646</s:v>
      </s:c>
      <s:c r="F536" s="24">
        <s:f>'자료구성'!$B$2+TIME(INT($C$3/10000),INT(MOD($C$3,10000)/100),MOD($C$3,100))+(ROW()-ROW($C$3))/86400</s:f>
        <s:v>46247.48478009259</s:v>
      </s:c>
    </s:row>
    <s:row r="537">
      <s:c r="A537" s="0" t="n">
        <s:v>260813</s:v>
      </s:c>
      <s:c r="B537" s="0" t="inlineStr">
        <s:is>
          <s:t>이종훈</s:t>
        </s:is>
      </s:c>
      <s:c r="C537" s="0" t="n">
        <s:v>112912</s:v>
      </s:c>
      <s:c r="D537" s="0" t="n">
        <s:v>642</s:v>
      </s:c>
      <s:c r="F537" s="24">
        <s:f>'자료구성'!$B$2+TIME(INT($C$3/10000),INT(MOD($C$3,10000)/100),MOD($C$3,100))+(ROW()-ROW($C$3))/86400</s:f>
        <s:v>46247.48479166667</s:v>
      </s:c>
    </s:row>
    <s:row r="538">
      <s:c r="A538" s="0" t="n">
        <s:v>260813</s:v>
      </s:c>
      <s:c r="B538" s="0" t="inlineStr">
        <s:is>
          <s:t>이종훈</s:t>
        </s:is>
      </s:c>
      <s:c r="C538" s="0" t="n">
        <s:v>112912</s:v>
      </s:c>
      <s:c r="D538" s="0" t="n">
        <s:v>655</s:v>
      </s:c>
      <s:c r="F538" s="24">
        <s:f>'자료구성'!$B$2+TIME(INT($C$3/10000),INT(MOD($C$3,10000)/100),MOD($C$3,100))+(ROW()-ROW($C$3))/86400</s:f>
        <s:v>46247.48480324074</s:v>
      </s:c>
    </s:row>
    <s:row r="539">
      <s:c r="A539" s="0" t="n">
        <s:v>260813</s:v>
      </s:c>
      <s:c r="B539" s="0" t="inlineStr">
        <s:is>
          <s:t>이종훈</s:t>
        </s:is>
      </s:c>
      <s:c r="C539" s="0" t="n">
        <s:v>112912</s:v>
      </s:c>
      <s:c r="D539" s="0" t="n">
        <s:v>666</s:v>
      </s:c>
      <s:c r="F539" s="24">
        <s:f>'자료구성'!$B$2+TIME(INT($C$3/10000),INT(MOD($C$3,10000)/100),MOD($C$3,100))+(ROW()-ROW($C$3))/86400</s:f>
        <s:v>46247.484814814816</s:v>
      </s:c>
    </s:row>
    <s:row r="540">
      <s:c r="A540" s="0" t="n">
        <s:v>260813</s:v>
      </s:c>
      <s:c r="B540" s="0" t="inlineStr">
        <s:is>
          <s:t>이종훈</s:t>
        </s:is>
      </s:c>
      <s:c r="C540" s="0" t="n">
        <s:v>112912</s:v>
      </s:c>
      <s:c r="D540" s="0" t="n">
        <s:v>729</s:v>
      </s:c>
      <s:c r="F540" s="24">
        <s:f>'자료구성'!$B$2+TIME(INT($C$3/10000),INT(MOD($C$3,10000)/100),MOD($C$3,100))+(ROW()-ROW($C$3))/86400</s:f>
        <s:v>46247.484826388885</s:v>
      </s:c>
    </s:row>
    <s:row r="541">
      <s:c r="A541" s="0" t="n">
        <s:v>260813</s:v>
      </s:c>
      <s:c r="B541" s="0" t="inlineStr">
        <s:is>
          <s:t>이종훈</s:t>
        </s:is>
      </s:c>
      <s:c r="C541" s="0" t="n">
        <s:v>112912</s:v>
      </s:c>
      <s:c r="D541" s="0" t="n">
        <s:v>783</s:v>
      </s:c>
      <s:c r="F541" s="24">
        <s:f>'자료구성'!$B$2+TIME(INT($C$3/10000),INT(MOD($C$3,10000)/100),MOD($C$3,100))+(ROW()-ROW($C$3))/86400</s:f>
        <s:v>46247.48483796296</s:v>
      </s:c>
    </s:row>
    <s:row r="542">
      <s:c r="A542" s="0" t="n">
        <s:v>260813</s:v>
      </s:c>
      <s:c r="B542" s="0" t="inlineStr">
        <s:is>
          <s:t>이종훈</s:t>
        </s:is>
      </s:c>
      <s:c r="C542" s="0" t="n">
        <s:v>112912</s:v>
      </s:c>
      <s:c r="D542" s="0" t="n">
        <s:v>838</s:v>
      </s:c>
      <s:c r="F542" s="24">
        <s:f>'자료구성'!$B$2+TIME(INT($C$3/10000),INT(MOD($C$3,10000)/100),MOD($C$3,100))+(ROW()-ROW($C$3))/86400</s:f>
        <s:v>46247.48484953704</s:v>
      </s:c>
    </s:row>
    <s:row r="543">
      <s:c r="A543" s="0" t="n">
        <s:v>260813</s:v>
      </s:c>
      <s:c r="B543" s="0" t="inlineStr">
        <s:is>
          <s:t>이종훈</s:t>
        </s:is>
      </s:c>
      <s:c r="C543" s="0" t="n">
        <s:v>112912</s:v>
      </s:c>
      <s:c r="D543" s="0" t="n">
        <s:v>882</s:v>
      </s:c>
      <s:c r="F543" s="24">
        <s:f>'자료구성'!$B$2+TIME(INT($C$3/10000),INT(MOD($C$3,10000)/100),MOD($C$3,100))+(ROW()-ROW($C$3))/86400</s:f>
        <s:v>46247.48486111111</s:v>
      </s:c>
    </s:row>
    <s:row r="544">
      <s:c r="A544" s="0" t="n">
        <s:v>260813</s:v>
      </s:c>
      <s:c r="B544" s="0" t="inlineStr">
        <s:is>
          <s:t>이종훈</s:t>
        </s:is>
      </s:c>
      <s:c r="C544" s="0" t="n">
        <s:v>112912</s:v>
      </s:c>
      <s:c r="D544" s="0" t="n">
        <s:v>928</s:v>
      </s:c>
      <s:c r="F544" s="24">
        <s:f>'자료구성'!$B$2+TIME(INT($C$3/10000),INT(MOD($C$3,10000)/100),MOD($C$3,100))+(ROW()-ROW($C$3))/86400</s:f>
        <s:v>46247.484872685185</s:v>
      </s:c>
    </s:row>
    <s:row r="545">
      <s:c r="A545" s="0" t="n">
        <s:v>260813</s:v>
      </s:c>
      <s:c r="B545" s="0" t="inlineStr">
        <s:is>
          <s:t>이종훈</s:t>
        </s:is>
      </s:c>
      <s:c r="C545" s="0" t="n">
        <s:v>112912</s:v>
      </s:c>
      <s:c r="D545" s="0" t="n">
        <s:v>969</s:v>
      </s:c>
      <s:c r="F545" s="24">
        <s:f>'자료구성'!$B$2+TIME(INT($C$3/10000),INT(MOD($C$3,10000)/100),MOD($C$3,100))+(ROW()-ROW($C$3))/86400</s:f>
        <s:v>46247.48488425926</s:v>
      </s:c>
    </s:row>
    <s:row r="546">
      <s:c r="A546" s="0" t="n">
        <s:v>260813</s:v>
      </s:c>
      <s:c r="B546" s="0" t="inlineStr">
        <s:is>
          <s:t>이종훈</s:t>
        </s:is>
      </s:c>
      <s:c r="C546" s="0" t="n">
        <s:v>112912</s:v>
      </s:c>
      <s:c r="D546" s="0" t="n">
        <s:v>4</s:v>
      </s:c>
      <s:c r="F546" s="24">
        <s:f>'자료구성'!$B$2+TIME(INT($C$3/10000),INT(MOD($C$3,10000)/100),MOD($C$3,100))+(ROW()-ROW($C$3))/86400</s:f>
        <s:v>46247.48489583333</s:v>
      </s:c>
    </s:row>
    <s:row r="547">
      <s:c r="A547" s="0" t="n">
        <s:v>260813</s:v>
      </s:c>
      <s:c r="B547" s="0" t="inlineStr">
        <s:is>
          <s:t>이종훈</s:t>
        </s:is>
      </s:c>
      <s:c r="C547" s="0" t="n">
        <s:v>112912</s:v>
      </s:c>
      <s:c r="D547" s="0" t="n">
        <s:v>35</s:v>
      </s:c>
      <s:c r="F547" s="24">
        <s:f>'자료구성'!$B$2+TIME(INT($C$3/10000),INT(MOD($C$3,10000)/100),MOD($C$3,100))+(ROW()-ROW($C$3))/86400</s:f>
        <s:v>46247.48490740741</s:v>
      </s:c>
    </s:row>
    <s:row r="548">
      <s:c r="A548" s="0" t="n">
        <s:v>260813</s:v>
      </s:c>
      <s:c r="B548" s="0" t="inlineStr">
        <s:is>
          <s:t>이종훈</s:t>
        </s:is>
      </s:c>
      <s:c r="C548" s="0" t="n">
        <s:v>112912</s:v>
      </s:c>
      <s:c r="D548" s="0" t="n">
        <s:v>64</s:v>
      </s:c>
      <s:c r="F548" s="24">
        <s:f>'자료구성'!$B$2+TIME(INT($C$3/10000),INT(MOD($C$3,10000)/100),MOD($C$3,100))+(ROW()-ROW($C$3))/86400</s:f>
        <s:v>46247.484918981485</s:v>
      </s:c>
    </s:row>
    <s:row r="549">
      <s:c r="A549" s="0" t="n">
        <s:v>260813</s:v>
      </s:c>
      <s:c r="B549" s="0" t="inlineStr">
        <s:is>
          <s:t>이종훈</s:t>
        </s:is>
      </s:c>
      <s:c r="C549" s="0" t="n">
        <s:v>112912</s:v>
      </s:c>
      <s:c r="D549" s="0" t="n">
        <s:v>76</s:v>
      </s:c>
      <s:c r="F549" s="24">
        <s:f>'자료구성'!$B$2+TIME(INT($C$3/10000),INT(MOD($C$3,10000)/100),MOD($C$3,100))+(ROW()-ROW($C$3))/86400</s:f>
        <s:v>46247.484930555554</s:v>
      </s:c>
    </s:row>
    <s:row r="550">
      <s:c r="A550" s="0" t="n">
        <s:v>260813</s:v>
      </s:c>
      <s:c r="B550" s="0" t="inlineStr">
        <s:is>
          <s:t>이종훈</s:t>
        </s:is>
      </s:c>
      <s:c r="C550" s="0" t="n">
        <s:v>112912</s:v>
      </s:c>
      <s:c r="D550" s="0" t="n">
        <s:v>84</s:v>
      </s:c>
      <s:c r="F550" s="24">
        <s:f>'자료구성'!$B$2+TIME(INT($C$3/10000),INT(MOD($C$3,10000)/100),MOD($C$3,100))+(ROW()-ROW($C$3))/86400</s:f>
        <s:v>46247.48494212963</s:v>
      </s:c>
    </s:row>
    <s:row r="551">
      <s:c r="A551" s="0" t="n">
        <s:v>260813</s:v>
      </s:c>
      <s:c r="B551" s="0" t="inlineStr">
        <s:is>
          <s:t>이종훈</s:t>
        </s:is>
      </s:c>
      <s:c r="C551" s="0" t="n">
        <s:v>112912</s:v>
      </s:c>
      <s:c r="D551" s="0" t="n">
        <s:v>97</s:v>
      </s:c>
      <s:c r="F551" s="24">
        <s:f>'자료구성'!$B$2+TIME(INT($C$3/10000),INT(MOD($C$3,10000)/100),MOD($C$3,100))+(ROW()-ROW($C$3))/86400</s:f>
        <s:v>46247.4849537037</s:v>
      </s:c>
    </s:row>
    <s:row r="552">
      <s:c r="A552" s="0" t="n">
        <s:v>260813</s:v>
      </s:c>
      <s:c r="B552" s="0" t="inlineStr">
        <s:is>
          <s:t>이종훈</s:t>
        </s:is>
      </s:c>
      <s:c r="C552" s="0" t="n">
        <s:v>112912</s:v>
      </s:c>
      <s:c r="D552" s="0" t="n">
        <s:v>116</s:v>
      </s:c>
      <s:c r="F552" s="24">
        <s:f>'자료구성'!$B$2+TIME(INT($C$3/10000),INT(MOD($C$3,10000)/100),MOD($C$3,100))+(ROW()-ROW($C$3))/86400</s:f>
        <s:v>46247.48496527778</s:v>
      </s:c>
    </s:row>
    <s:row r="553">
      <s:c r="A553" s="0" t="n">
        <s:v>260813</s:v>
      </s:c>
      <s:c r="B553" s="0" t="inlineStr">
        <s:is>
          <s:t>이종훈</s:t>
        </s:is>
      </s:c>
      <s:c r="C553" s="0" t="n">
        <s:v>112912</s:v>
      </s:c>
      <s:c r="D553" s="0" t="n">
        <s:v>147</s:v>
      </s:c>
      <s:c r="F553" s="24">
        <s:f>'자료구성'!$B$2+TIME(INT($C$3/10000),INT(MOD($C$3,10000)/100),MOD($C$3,100))+(ROW()-ROW($C$3))/86400</s:f>
        <s:v>46247.484976851854</s:v>
      </s:c>
    </s:row>
    <s:row r="554">
      <s:c r="A554" s="0" t="n">
        <s:v>260813</s:v>
      </s:c>
      <s:c r="B554" s="0" t="inlineStr">
        <s:is>
          <s:t>이종훈</s:t>
        </s:is>
      </s:c>
      <s:c r="C554" s="0" t="n">
        <s:v>112912</s:v>
      </s:c>
      <s:c r="D554" s="0" t="n">
        <s:v>156</s:v>
      </s:c>
      <s:c r="F554" s="24">
        <s:f>'자료구성'!$B$2+TIME(INT($C$3/10000),INT(MOD($C$3,10000)/100),MOD($C$3,100))+(ROW()-ROW($C$3))/86400</s:f>
        <s:v>46247.484988425924</s:v>
      </s:c>
    </s:row>
    <s:row r="555">
      <s:c r="A555" s="0" t="n">
        <s:v>260813</s:v>
      </s:c>
      <s:c r="B555" s="0" t="inlineStr">
        <s:is>
          <s:t>이종훈</s:t>
        </s:is>
      </s:c>
      <s:c r="C555" s="0" t="n">
        <s:v>112912</s:v>
      </s:c>
      <s:c r="D555" s="0" t="n">
        <s:v>153</s:v>
      </s:c>
      <s:c r="F555" s="24">
        <s:f>'자료구성'!$B$2+TIME(INT($C$3/10000),INT(MOD($C$3,10000)/100),MOD($C$3,100))+(ROW()-ROW($C$3))/86400</s:f>
        <s:v>46247.485</s:v>
      </s:c>
    </s:row>
    <s:row r="556">
      <s:c r="A556" s="0" t="n">
        <s:v>260813</s:v>
      </s:c>
      <s:c r="B556" s="0" t="inlineStr">
        <s:is>
          <s:t>이종훈</s:t>
        </s:is>
      </s:c>
      <s:c r="C556" s="0" t="n">
        <s:v>112912</s:v>
      </s:c>
      <s:c r="D556" s="0" t="n">
        <s:v>171</s:v>
      </s:c>
      <s:c r="F556" s="24">
        <s:f>'자료구성'!$B$2+TIME(INT($C$3/10000),INT(MOD($C$3,10000)/100),MOD($C$3,100))+(ROW()-ROW($C$3))/86400</s:f>
        <s:v>46247.48501157408</s:v>
      </s:c>
    </s:row>
    <s:row r="557">
      <s:c r="A557" s="0" t="n">
        <s:v>260813</s:v>
      </s:c>
      <s:c r="B557" s="0" t="inlineStr">
        <s:is>
          <s:t>이종훈</s:t>
        </s:is>
      </s:c>
      <s:c r="C557" s="0" t="n">
        <s:v>112912</s:v>
      </s:c>
      <s:c r="D557" s="0" t="n">
        <s:v>198</s:v>
      </s:c>
      <s:c r="F557" s="24">
        <s:f>'자료구성'!$B$2+TIME(INT($C$3/10000),INT(MOD($C$3,10000)/100),MOD($C$3,100))+(ROW()-ROW($C$3))/86400</s:f>
        <s:v>46247.48502314815</s:v>
      </s:c>
    </s:row>
    <s:row r="558">
      <s:c r="A558" s="0" t="n">
        <s:v>260813</s:v>
      </s:c>
      <s:c r="B558" s="0" t="inlineStr">
        <s:is>
          <s:t>이종훈</s:t>
        </s:is>
      </s:c>
      <s:c r="C558" s="0" t="n">
        <s:v>112912</s:v>
      </s:c>
      <s:c r="D558" s="0" t="n">
        <s:v>185</s:v>
      </s:c>
      <s:c r="F558" s="24">
        <s:f>'자료구성'!$B$2+TIME(INT($C$3/10000),INT(MOD($C$3,10000)/100),MOD($C$3,100))+(ROW()-ROW($C$3))/86400</s:f>
        <s:v>46247.485034722224</s:v>
      </s:c>
    </s:row>
    <s:row r="559">
      <s:c r="A559" s="0" t="n">
        <s:v>260813</s:v>
      </s:c>
      <s:c r="B559" s="0" t="inlineStr">
        <s:is>
          <s:t>이종훈</s:t>
        </s:is>
      </s:c>
      <s:c r="C559" s="0" t="n">
        <s:v>112912</s:v>
      </s:c>
      <s:c r="D559" s="0" t="n">
        <s:v>182</s:v>
      </s:c>
      <s:c r="F559" s="24">
        <s:f>'자료구성'!$B$2+TIME(INT($C$3/10000),INT(MOD($C$3,10000)/100),MOD($C$3,100))+(ROW()-ROW($C$3))/86400</s:f>
        <s:v>46247.48504629629</s:v>
      </s:c>
    </s:row>
    <s:row r="560">
      <s:c r="A560" s="0" t="n">
        <s:v>260813</s:v>
      </s:c>
      <s:c r="B560" s="0" t="inlineStr">
        <s:is>
          <s:t>이종훈</s:t>
        </s:is>
      </s:c>
      <s:c r="C560" s="0" t="n">
        <s:v>112912</s:v>
      </s:c>
      <s:c r="D560" s="0" t="n">
        <s:v>196</s:v>
      </s:c>
      <s:c r="F560" s="24">
        <s:f>'자료구성'!$B$2+TIME(INT($C$3/10000),INT(MOD($C$3,10000)/100),MOD($C$3,100))+(ROW()-ROW($C$3))/86400</s:f>
        <s:v>46247.48505787037</s:v>
      </s:c>
    </s:row>
    <s:row r="561">
      <s:c r="A561" s="0" t="n">
        <s:v>260813</s:v>
      </s:c>
      <s:c r="B561" s="0" t="inlineStr">
        <s:is>
          <s:t>이종훈</s:t>
        </s:is>
      </s:c>
      <s:c r="C561" s="0" t="n">
        <s:v>112912</s:v>
      </s:c>
      <s:c r="D561" s="0" t="n">
        <s:v>207</s:v>
      </s:c>
      <s:c r="F561" s="24">
        <s:f>'자료구성'!$B$2+TIME(INT($C$3/10000),INT(MOD($C$3,10000)/100),MOD($C$3,100))+(ROW()-ROW($C$3))/86400</s:f>
        <s:v>46247.48506944445</s:v>
      </s:c>
    </s:row>
    <s:row r="562">
      <s:c r="A562" s="0" t="n">
        <s:v>260813</s:v>
      </s:c>
      <s:c r="B562" s="0" t="inlineStr">
        <s:is>
          <s:t>이종훈</s:t>
        </s:is>
      </s:c>
      <s:c r="C562" s="0" t="n">
        <s:v>112912</s:v>
      </s:c>
      <s:c r="D562" s="0" t="n">
        <s:v>206</s:v>
      </s:c>
      <s:c r="F562" s="24">
        <s:f>'자료구성'!$B$2+TIME(INT($C$3/10000),INT(MOD($C$3,10000)/100),MOD($C$3,100))+(ROW()-ROW($C$3))/86400</s:f>
        <s:v>46247.485081018516</s:v>
      </s:c>
    </s:row>
    <s:row r="563">
      <s:c r="A563" s="0" t="n">
        <s:v>260813</s:v>
      </s:c>
      <s:c r="B563" s="0" t="inlineStr">
        <s:is>
          <s:t>이종훈</s:t>
        </s:is>
      </s:c>
      <s:c r="C563" s="0" t="n">
        <s:v>112912</s:v>
      </s:c>
      <s:c r="D563" s="0" t="n">
        <s:v>202</s:v>
      </s:c>
      <s:c r="F563" s="24">
        <s:f>'자료구성'!$B$2+TIME(INT($C$3/10000),INT(MOD($C$3,10000)/100),MOD($C$3,100))+(ROW()-ROW($C$3))/86400</s:f>
        <s:v>46247.48509259259</s:v>
      </s:c>
    </s:row>
    <s:row r="564">
      <s:c r="A564" s="0" t="n">
        <s:v>260813</s:v>
      </s:c>
      <s:c r="B564" s="0" t="inlineStr">
        <s:is>
          <s:t>이종훈</s:t>
        </s:is>
      </s:c>
      <s:c r="C564" s="0" t="n">
        <s:v>112912</s:v>
      </s:c>
      <s:c r="D564" s="0" t="n">
        <s:v>182</s:v>
      </s:c>
      <s:c r="F564" s="24">
        <s:f>'자료구성'!$B$2+TIME(INT($C$3/10000),INT(MOD($C$3,10000)/100),MOD($C$3,100))+(ROW()-ROW($C$3))/86400</s:f>
        <s:v>46247.48510416667</s:v>
      </s:c>
    </s:row>
    <s:row r="565">
      <s:c r="A565" s="0" t="n">
        <s:v>260813</s:v>
      </s:c>
      <s:c r="B565" s="0" t="inlineStr">
        <s:is>
          <s:t>이종훈</s:t>
        </s:is>
      </s:c>
      <s:c r="C565" s="0" t="n">
        <s:v>112912</s:v>
      </s:c>
      <s:c r="D565" s="0" t="n">
        <s:v>185</s:v>
      </s:c>
      <s:c r="F565" s="24">
        <s:f>'자료구성'!$B$2+TIME(INT($C$3/10000),INT(MOD($C$3,10000)/100),MOD($C$3,100))+(ROW()-ROW($C$3))/86400</s:f>
        <s:v>46247.48511574074</s:v>
      </s:c>
    </s:row>
    <s:row r="566">
      <s:c r="A566" s="0" t="n">
        <s:v>260813</s:v>
      </s:c>
      <s:c r="B566" s="0" t="inlineStr">
        <s:is>
          <s:t>이종훈</s:t>
        </s:is>
      </s:c>
      <s:c r="C566" s="0" t="n">
        <s:v>112912</s:v>
      </s:c>
      <s:c r="D566" s="0" t="n">
        <s:v>189</s:v>
      </s:c>
      <s:c r="F566" s="24">
        <s:f>'자료구성'!$B$2+TIME(INT($C$3/10000),INT(MOD($C$3,10000)/100),MOD($C$3,100))+(ROW()-ROW($C$3))/86400</s:f>
        <s:v>46247.485127314816</s:v>
      </s:c>
    </s:row>
    <s:row r="567">
      <s:c r="A567" s="0" t="n">
        <s:v>260813</s:v>
      </s:c>
      <s:c r="B567" s="0" t="inlineStr">
        <s:is>
          <s:t>이종훈</s:t>
        </s:is>
      </s:c>
      <s:c r="C567" s="0" t="n">
        <s:v>112912</s:v>
      </s:c>
      <s:c r="D567" s="0" t="n">
        <s:v>190</s:v>
      </s:c>
      <s:c r="F567" s="24">
        <s:f>'자료구성'!$B$2+TIME(INT($C$3/10000),INT(MOD($C$3,10000)/100),MOD($C$3,100))+(ROW()-ROW($C$3))/86400</s:f>
        <s:v>46247.485138888886</s:v>
      </s:c>
    </s:row>
    <s:row r="568">
      <s:c r="A568" s="0" t="n">
        <s:v>260813</s:v>
      </s:c>
      <s:c r="B568" s="0" t="inlineStr">
        <s:is>
          <s:t>이종훈</s:t>
        </s:is>
      </s:c>
      <s:c r="C568" s="0" t="n">
        <s:v>112912</s:v>
      </s:c>
      <s:c r="D568" s="0" t="n">
        <s:v>206</s:v>
      </s:c>
      <s:c r="F568" s="24">
        <s:f>'자료구성'!$B$2+TIME(INT($C$3/10000),INT(MOD($C$3,10000)/100),MOD($C$3,100))+(ROW()-ROW($C$3))/86400</s:f>
        <s:v>46247.48515046296</s:v>
      </s:c>
    </s:row>
    <s:row r="569">
      <s:c r="A569" s="0" t="n">
        <s:v>260813</s:v>
      </s:c>
      <s:c r="B569" s="0" t="inlineStr">
        <s:is>
          <s:t>이종훈</s:t>
        </s:is>
      </s:c>
      <s:c r="C569" s="0" t="n">
        <s:v>112912</s:v>
      </s:c>
      <s:c r="D569" s="0" t="n">
        <s:v>206</s:v>
      </s:c>
      <s:c r="F569" s="24">
        <s:f>'자료구성'!$B$2+TIME(INT($C$3/10000),INT(MOD($C$3,10000)/100),MOD($C$3,100))+(ROW()-ROW($C$3))/86400</s:f>
        <s:v>46247.48516203704</s:v>
      </s:c>
    </s:row>
    <s:row r="570">
      <s:c r="A570" s="0" t="n">
        <s:v>260813</s:v>
      </s:c>
      <s:c r="B570" s="0" t="inlineStr">
        <s:is>
          <s:t>이종훈</s:t>
        </s:is>
      </s:c>
      <s:c r="C570" s="0" t="n">
        <s:v>112912</s:v>
      </s:c>
      <s:c r="D570" s="0" t="n">
        <s:v>216</s:v>
      </s:c>
      <s:c r="F570" s="24">
        <s:f>'자료구성'!$B$2+TIME(INT($C$3/10000),INT(MOD($C$3,10000)/100),MOD($C$3,100))+(ROW()-ROW($C$3))/86400</s:f>
        <s:v>46247.48517361111</s:v>
      </s:c>
    </s:row>
    <s:row r="571">
      <s:c r="A571" s="0" t="n">
        <s:v>260813</s:v>
      </s:c>
      <s:c r="B571" s="0" t="inlineStr">
        <s:is>
          <s:t>이종훈</s:t>
        </s:is>
      </s:c>
      <s:c r="C571" s="0" t="n">
        <s:v>112912</s:v>
      </s:c>
      <s:c r="D571" s="0" t="n">
        <s:v>226</s:v>
      </s:c>
      <s:c r="F571" s="24">
        <s:f>'자료구성'!$B$2+TIME(INT($C$3/10000),INT(MOD($C$3,10000)/100),MOD($C$3,100))+(ROW()-ROW($C$3))/86400</s:f>
        <s:v>46247.485185185185</s:v>
      </s:c>
    </s:row>
    <s:row r="572">
      <s:c r="A572" s="0" t="n">
        <s:v>260813</s:v>
      </s:c>
      <s:c r="B572" s="0" t="inlineStr">
        <s:is>
          <s:t>이종훈</s:t>
        </s:is>
      </s:c>
      <s:c r="C572" s="0" t="n">
        <s:v>112912</s:v>
      </s:c>
      <s:c r="D572" s="0" t="n">
        <s:v>236</s:v>
      </s:c>
      <s:c r="F572" s="24">
        <s:f>'자료구성'!$B$2+TIME(INT($C$3/10000),INT(MOD($C$3,10000)/100),MOD($C$3,100))+(ROW()-ROW($C$3))/86400</s:f>
        <s:v>46247.48519675926</s:v>
      </s:c>
    </s:row>
    <s:row r="573">
      <s:c r="A573" s="0" t="n">
        <s:v>260813</s:v>
      </s:c>
      <s:c r="B573" s="0" t="inlineStr">
        <s:is>
          <s:t>이종훈</s:t>
        </s:is>
      </s:c>
      <s:c r="C573" s="0" t="n">
        <s:v>112912</s:v>
      </s:c>
      <s:c r="D573" s="0" t="n">
        <s:v>244</s:v>
      </s:c>
      <s:c r="F573" s="24">
        <s:f>'자료구성'!$B$2+TIME(INT($C$3/10000),INT(MOD($C$3,10000)/100),MOD($C$3,100))+(ROW()-ROW($C$3))/86400</s:f>
        <s:v>46247.48520833333</s:v>
      </s:c>
    </s:row>
    <s:row r="574">
      <s:c r="A574" s="0" t="n">
        <s:v>260813</s:v>
      </s:c>
      <s:c r="B574" s="0" t="inlineStr">
        <s:is>
          <s:t>이종훈</s:t>
        </s:is>
      </s:c>
      <s:c r="C574" s="0" t="n">
        <s:v>112912</s:v>
      </s:c>
      <s:c r="D574" s="0" t="n">
        <s:v>239</s:v>
      </s:c>
      <s:c r="F574" s="24">
        <s:f>'자료구성'!$B$2+TIME(INT($C$3/10000),INT(MOD($C$3,10000)/100),MOD($C$3,100))+(ROW()-ROW($C$3))/86400</s:f>
        <s:v>46247.48521990741</s:v>
      </s:c>
    </s:row>
    <s:row r="575">
      <s:c r="A575" s="0" t="n">
        <s:v>260813</s:v>
      </s:c>
      <s:c r="B575" s="0" t="inlineStr">
        <s:is>
          <s:t>이종훈</s:t>
        </s:is>
      </s:c>
      <s:c r="C575" s="0" t="n">
        <s:v>112912</s:v>
      </s:c>
      <s:c r="D575" s="0" t="n">
        <s:v>235</s:v>
      </s:c>
      <s:c r="F575" s="24">
        <s:f>'자료구성'!$B$2+TIME(INT($C$3/10000),INT(MOD($C$3,10000)/100),MOD($C$3,100))+(ROW()-ROW($C$3))/86400</s:f>
        <s:v>46247.48523148148</s:v>
      </s:c>
    </s:row>
    <s:row r="576">
      <s:c r="A576" s="0" t="n">
        <s:v>260813</s:v>
      </s:c>
      <s:c r="B576" s="0" t="inlineStr">
        <s:is>
          <s:t>이종훈</s:t>
        </s:is>
      </s:c>
      <s:c r="C576" s="0" t="n">
        <s:v>112912</s:v>
      </s:c>
      <s:c r="D576" s="0" t="n">
        <s:v>231</s:v>
      </s:c>
      <s:c r="F576" s="24">
        <s:f>'자료구성'!$B$2+TIME(INT($C$3/10000),INT(MOD($C$3,10000)/100),MOD($C$3,100))+(ROW()-ROW($C$3))/86400</s:f>
        <s:v>46247.485243055555</s:v>
      </s:c>
    </s:row>
    <s:row r="577">
      <s:c r="A577" s="0" t="n">
        <s:v>260813</s:v>
      </s:c>
      <s:c r="B577" s="0" t="inlineStr">
        <s:is>
          <s:t>이종훈</s:t>
        </s:is>
      </s:c>
      <s:c r="C577" s="0" t="n">
        <s:v>112912</s:v>
      </s:c>
      <s:c r="D577" s="0" t="n">
        <s:v>222</s:v>
      </s:c>
      <s:c r="F577" s="24">
        <s:f>'자료구성'!$B$2+TIME(INT($C$3/10000),INT(MOD($C$3,10000)/100),MOD($C$3,100))+(ROW()-ROW($C$3))/86400</s:f>
        <s:v>46247.48525462963</s:v>
      </s:c>
    </s:row>
    <s:row r="578">
      <s:c r="A578" s="0" t="n">
        <s:v>260813</s:v>
      </s:c>
      <s:c r="B578" s="0" t="inlineStr">
        <s:is>
          <s:t>이종훈</s:t>
        </s:is>
      </s:c>
      <s:c r="C578" s="0" t="n">
        <s:v>112912</s:v>
      </s:c>
      <s:c r="D578" s="0" t="n">
        <s:v>214</s:v>
      </s:c>
      <s:c r="F578" s="24">
        <s:f>'자료구성'!$B$2+TIME(INT($C$3/10000),INT(MOD($C$3,10000)/100),MOD($C$3,100))+(ROW()-ROW($C$3))/86400</s:f>
        <s:v>46247.4852662037</s:v>
      </s:c>
    </s:row>
    <s:row r="579">
      <s:c r="A579" s="0" t="n">
        <s:v>260813</s:v>
      </s:c>
      <s:c r="B579" s="0" t="inlineStr">
        <s:is>
          <s:t>이종훈</s:t>
        </s:is>
      </s:c>
      <s:c r="C579" s="0" t="n">
        <s:v>112912</s:v>
      </s:c>
      <s:c r="D579" s="0" t="n">
        <s:v>205</s:v>
      </s:c>
      <s:c r="F579" s="24">
        <s:f>'자료구성'!$B$2+TIME(INT($C$3/10000),INT(MOD($C$3,10000)/100),MOD($C$3,100))+(ROW()-ROW($C$3))/86400</s:f>
        <s:v>46247.48527777778</s:v>
      </s:c>
    </s:row>
    <s:row r="580">
      <s:c r="A580" s="0" t="n">
        <s:v>260813</s:v>
      </s:c>
      <s:c r="B580" s="0" t="inlineStr">
        <s:is>
          <s:t>이종훈</s:t>
        </s:is>
      </s:c>
      <s:c r="C580" s="0" t="n">
        <s:v>112912</s:v>
      </s:c>
      <s:c r="D580" s="0" t="n">
        <s:v>200</s:v>
      </s:c>
      <s:c r="F580" s="24">
        <s:f>'자료구성'!$B$2+TIME(INT($C$3/10000),INT(MOD($C$3,10000)/100),MOD($C$3,100))+(ROW()-ROW($C$3))/86400</s:f>
        <s:v>46247.485289351855</s:v>
      </s:c>
    </s:row>
    <s:row r="581">
      <s:c r="A581" s="0" t="n">
        <s:v>260813</s:v>
      </s:c>
      <s:c r="B581" s="0" t="inlineStr">
        <s:is>
          <s:t>이종훈</s:t>
        </s:is>
      </s:c>
      <s:c r="C581" s="0" t="n">
        <s:v>112912</s:v>
      </s:c>
      <s:c r="D581" s="0" t="n">
        <s:v>197</s:v>
      </s:c>
      <s:c r="F581" s="24">
        <s:f>'자료구성'!$B$2+TIME(INT($C$3/10000),INT(MOD($C$3,10000)/100),MOD($C$3,100))+(ROW()-ROW($C$3))/86400</s:f>
        <s:v>46247.485300925924</s:v>
      </s:c>
    </s:row>
    <s:row r="582">
      <s:c r="A582" s="0" t="n">
        <s:v>260813</s:v>
      </s:c>
      <s:c r="B582" s="0" t="inlineStr">
        <s:is>
          <s:t>이종훈</s:t>
        </s:is>
      </s:c>
      <s:c r="C582" s="0" t="n">
        <s:v>112912</s:v>
      </s:c>
      <s:c r="D582" s="0" t="n">
        <s:v>191</s:v>
      </s:c>
      <s:c r="F582" s="24">
        <s:f>'자료구성'!$B$2+TIME(INT($C$3/10000),INT(MOD($C$3,10000)/100),MOD($C$3,100))+(ROW()-ROW($C$3))/86400</s:f>
        <s:v>46247.4853125</s:v>
      </s:c>
    </s:row>
    <s:row r="583">
      <s:c r="A583" s="0" t="n">
        <s:v>260813</s:v>
      </s:c>
      <s:c r="B583" s="0" t="inlineStr">
        <s:is>
          <s:t>이종훈</s:t>
        </s:is>
      </s:c>
      <s:c r="C583" s="0" t="n">
        <s:v>112912</s:v>
      </s:c>
      <s:c r="D583" s="0" t="n">
        <s:v>187</s:v>
      </s:c>
      <s:c r="F583" s="24">
        <s:f>'자료구성'!$B$2+TIME(INT($C$3/10000),INT(MOD($C$3,10000)/100),MOD($C$3,100))+(ROW()-ROW($C$3))/86400</s:f>
        <s:v>46247.48532407408</s:v>
      </s:c>
    </s:row>
    <s:row r="584">
      <s:c r="A584" s="0" t="n">
        <s:v>260813</s:v>
      </s:c>
      <s:c r="B584" s="0" t="inlineStr">
        <s:is>
          <s:t>이종훈</s:t>
        </s:is>
      </s:c>
      <s:c r="C584" s="0" t="n">
        <s:v>112912</s:v>
      </s:c>
      <s:c r="D584" s="0" t="n">
        <s:v>196</s:v>
      </s:c>
      <s:c r="F584" s="24">
        <s:f>'자료구성'!$B$2+TIME(INT($C$3/10000),INT(MOD($C$3,10000)/100),MOD($C$3,100))+(ROW()-ROW($C$3))/86400</s:f>
        <s:v>46247.48533564815</s:v>
      </s:c>
    </s:row>
    <s:row r="585">
      <s:c r="A585" s="0" t="n">
        <s:v>260813</s:v>
      </s:c>
      <s:c r="B585" s="0" t="inlineStr">
        <s:is>
          <s:t>이종훈</s:t>
        </s:is>
      </s:c>
      <s:c r="C585" s="0" t="n">
        <s:v>112912</s:v>
      </s:c>
      <s:c r="D585" s="0" t="n">
        <s:v>214</s:v>
      </s:c>
      <s:c r="F585" s="24">
        <s:f>'자료구성'!$B$2+TIME(INT($C$3/10000),INT(MOD($C$3,10000)/100),MOD($C$3,100))+(ROW()-ROW($C$3))/86400</s:f>
        <s:v>46247.485347222224</s:v>
      </s:c>
    </s:row>
    <s:row r="586">
      <s:c r="A586" s="0" t="n">
        <s:v>260813</s:v>
      </s:c>
      <s:c r="B586" s="0" t="inlineStr">
        <s:is>
          <s:t>이종훈</s:t>
        </s:is>
      </s:c>
      <s:c r="C586" s="0" t="n">
        <s:v>112912</s:v>
      </s:c>
      <s:c r="D586" s="0" t="n">
        <s:v>235</s:v>
      </s:c>
      <s:c r="F586" s="24">
        <s:f>'자료구성'!$B$2+TIME(INT($C$3/10000),INT(MOD($C$3,10000)/100),MOD($C$3,100))+(ROW()-ROW($C$3))/86400</s:f>
        <s:v>46247.48535879629</s:v>
      </s:c>
    </s:row>
    <s:row r="587">
      <s:c r="A587" s="0" t="n">
        <s:v>260813</s:v>
      </s:c>
      <s:c r="B587" s="0" t="inlineStr">
        <s:is>
          <s:t>이종훈</s:t>
        </s:is>
      </s:c>
      <s:c r="C587" s="0" t="n">
        <s:v>112912</s:v>
      </s:c>
      <s:c r="D587" s="0" t="n">
        <s:v>239</s:v>
      </s:c>
      <s:c r="F587" s="24">
        <s:f>'자료구성'!$B$2+TIME(INT($C$3/10000),INT(MOD($C$3,10000)/100),MOD($C$3,100))+(ROW()-ROW($C$3))/86400</s:f>
        <s:v>46247.48537037037</s:v>
      </s:c>
    </s:row>
    <s:row r="588">
      <s:c r="A588" s="0" t="n">
        <s:v>260813</s:v>
      </s:c>
      <s:c r="B588" s="0" t="inlineStr">
        <s:is>
          <s:t>이종훈</s:t>
        </s:is>
      </s:c>
      <s:c r="C588" s="0" t="n">
        <s:v>112912</s:v>
      </s:c>
      <s:c r="D588" s="0" t="n">
        <s:v>234</s:v>
      </s:c>
      <s:c r="F588" s="24">
        <s:f>'자료구성'!$B$2+TIME(INT($C$3/10000),INT(MOD($C$3,10000)/100),MOD($C$3,100))+(ROW()-ROW($C$3))/86400</s:f>
        <s:v>46247.48538194445</s:v>
      </s:c>
    </s:row>
    <s:row r="589">
      <s:c r="A589" s="0" t="n">
        <s:v>260813</s:v>
      </s:c>
      <s:c r="B589" s="0" t="inlineStr">
        <s:is>
          <s:t>이종훈</s:t>
        </s:is>
      </s:c>
      <s:c r="C589" s="0" t="n">
        <s:v>112912</s:v>
      </s:c>
      <s:c r="D589" s="0" t="n">
        <s:v>233</s:v>
      </s:c>
      <s:c r="F589" s="24">
        <s:f>'자료구성'!$B$2+TIME(INT($C$3/10000),INT(MOD($C$3,10000)/100),MOD($C$3,100))+(ROW()-ROW($C$3))/86400</s:f>
        <s:v>46247.48539351852</s:v>
      </s:c>
    </s:row>
    <s:row r="590">
      <s:c r="A590" s="0" t="n">
        <s:v>260813</s:v>
      </s:c>
      <s:c r="B590" s="0" t="inlineStr">
        <s:is>
          <s:t>이종훈</s:t>
        </s:is>
      </s:c>
      <s:c r="C590" s="0" t="n">
        <s:v>112912</s:v>
      </s:c>
      <s:c r="D590" s="0" t="n">
        <s:v>233</s:v>
      </s:c>
      <s:c r="F590" s="24">
        <s:f>'자료구성'!$B$2+TIME(INT($C$3/10000),INT(MOD($C$3,10000)/100),MOD($C$3,100))+(ROW()-ROW($C$3))/86400</s:f>
        <s:v>46247.48540509259</s:v>
      </s:c>
    </s:row>
    <s:row r="591">
      <s:c r="A591" s="0" t="n">
        <s:v>260813</s:v>
      </s:c>
      <s:c r="B591" s="0" t="inlineStr">
        <s:is>
          <s:t>이종훈</s:t>
        </s:is>
      </s:c>
      <s:c r="C591" s="0" t="n">
        <s:v>112912</s:v>
      </s:c>
      <s:c r="D591" s="0" t="n">
        <s:v>251</s:v>
      </s:c>
      <s:c r="F591" s="24">
        <s:f>'자료구성'!$B$2+TIME(INT($C$3/10000),INT(MOD($C$3,10000)/100),MOD($C$3,100))+(ROW()-ROW($C$3))/86400</s:f>
        <s:v>46247.48541666667</s:v>
      </s:c>
    </s:row>
    <s:row r="592">
      <s:c r="A592" s="0" t="n">
        <s:v>260813</s:v>
      </s:c>
      <s:c r="B592" s="0" t="inlineStr">
        <s:is>
          <s:t>이종훈</s:t>
        </s:is>
      </s:c>
      <s:c r="C592" s="0" t="n">
        <s:v>112912</s:v>
      </s:c>
      <s:c r="D592" s="0" t="n">
        <s:v>251</s:v>
      </s:c>
      <s:c r="F592" s="24">
        <s:f>'자료구성'!$B$2+TIME(INT($C$3/10000),INT(MOD($C$3,10000)/100),MOD($C$3,100))+(ROW()-ROW($C$3))/86400</s:f>
        <s:v>46247.48542824074</s:v>
      </s:c>
    </s:row>
    <s:row r="593">
      <s:c r="A593" s="0" t="n">
        <s:v>260813</s:v>
      </s:c>
      <s:c r="B593" s="0" t="inlineStr">
        <s:is>
          <s:t>이종훈</s:t>
        </s:is>
      </s:c>
      <s:c r="C593" s="0" t="n">
        <s:v>112912</s:v>
      </s:c>
      <s:c r="D593" s="0" t="n">
        <s:v>282</s:v>
      </s:c>
      <s:c r="F593" s="24">
        <s:f>'자료구성'!$B$2+TIME(INT($C$3/10000),INT(MOD($C$3,10000)/100),MOD($C$3,100))+(ROW()-ROW($C$3))/86400</s:f>
        <s:v>46247.485439814816</s:v>
      </s:c>
    </s:row>
    <s:row r="594">
      <s:c r="A594" s="0" t="n">
        <s:v>260813</s:v>
      </s:c>
      <s:c r="B594" s="0" t="inlineStr">
        <s:is>
          <s:t>이종훈</s:t>
        </s:is>
      </s:c>
      <s:c r="C594" s="0" t="n">
        <s:v>112912</s:v>
      </s:c>
      <s:c r="D594" s="0" t="n">
        <s:v>282</s:v>
      </s:c>
      <s:c r="F594" s="24">
        <s:f>'자료구성'!$B$2+TIME(INT($C$3/10000),INT(MOD($C$3,10000)/100),MOD($C$3,100))+(ROW()-ROW($C$3))/86400</s:f>
        <s:v>46247.485451388886</s:v>
      </s:c>
    </s:row>
    <s:row r="595">
      <s:c r="A595" s="0" t="n">
        <s:v>260813</s:v>
      </s:c>
      <s:c r="B595" s="0" t="inlineStr">
        <s:is>
          <s:t>이종훈</s:t>
        </s:is>
      </s:c>
      <s:c r="C595" s="0" t="n">
        <s:v>112912</s:v>
      </s:c>
      <s:c r="D595" s="0" t="n">
        <s:v>180</s:v>
      </s:c>
      <s:c r="F595" s="24">
        <s:f>'자료구성'!$B$2+TIME(INT($C$3/10000),INT(MOD($C$3,10000)/100),MOD($C$3,100))+(ROW()-ROW($C$3))/86400</s:f>
        <s:v>46247.48546296296</s:v>
      </s:c>
    </s:row>
    <s:row r="596">
      <s:c r="A596" s="0" t="n">
        <s:v>260813</s:v>
      </s:c>
      <s:c r="B596" s="0" t="inlineStr">
        <s:is>
          <s:t>이종훈</s:t>
        </s:is>
      </s:c>
      <s:c r="C596" s="0" t="n">
        <s:v>112912</s:v>
      </s:c>
      <s:c r="D596" s="0" t="n">
        <s:v>135</s:v>
      </s:c>
      <s:c r="F596" s="24">
        <s:f>'자료구성'!$B$2+TIME(INT($C$3/10000),INT(MOD($C$3,10000)/100),MOD($C$3,100))+(ROW()-ROW($C$3))/86400</s:f>
        <s:v>46247.48547453704</s:v>
      </s:c>
    </s:row>
    <s:row r="597">
      <s:c r="A597" s="0" t="n">
        <s:v>260813</s:v>
      </s:c>
      <s:c r="B597" s="0" t="inlineStr">
        <s:is>
          <s:t>이종훈</s:t>
        </s:is>
      </s:c>
      <s:c r="C597" s="0" t="n">
        <s:v>112912</s:v>
      </s:c>
      <s:c r="D597" s="0" t="n">
        <s:v>178</s:v>
      </s:c>
      <s:c r="F597" s="24">
        <s:f>'자료구성'!$B$2+TIME(INT($C$3/10000),INT(MOD($C$3,10000)/100),MOD($C$3,100))+(ROW()-ROW($C$3))/86400</s:f>
        <s:v>46247.48548611111</s:v>
      </s:c>
    </s:row>
    <s:row r="598">
      <s:c r="A598" s="0" t="n">
        <s:v>260813</s:v>
      </s:c>
      <s:c r="B598" s="0" t="inlineStr">
        <s:is>
          <s:t>이종훈</s:t>
        </s:is>
      </s:c>
      <s:c r="C598" s="0" t="n">
        <s:v>112912</s:v>
      </s:c>
      <s:c r="D598" s="0" t="n">
        <s:v>95</s:v>
      </s:c>
      <s:c r="F598" s="24">
        <s:f>'자료구성'!$B$2+TIME(INT($C$3/10000),INT(MOD($C$3,10000)/100),MOD($C$3,100))+(ROW()-ROW($C$3))/86400</s:f>
        <s:v>46247.485497685186</s:v>
      </s:c>
    </s:row>
    <s:row r="599">
      <s:c r="A599" s="0" t="n">
        <s:v>260813</s:v>
      </s:c>
      <s:c r="B599" s="0" t="inlineStr">
        <s:is>
          <s:t>이종훈</s:t>
        </s:is>
      </s:c>
      <s:c r="C599" s="0" t="n">
        <s:v>112912</s:v>
      </s:c>
      <s:c r="D599" s="0" t="n">
        <s:v>13</s:v>
      </s:c>
      <s:c r="F599" s="24">
        <s:f>'자료구성'!$B$2+TIME(INT($C$3/10000),INT(MOD($C$3,10000)/100),MOD($C$3,100))+(ROW()-ROW($C$3))/86400</s:f>
        <s:v>46247.48550925926</s:v>
      </s:c>
    </s:row>
    <s:row r="600">
      <s:c r="A600" s="0" t="n">
        <s:v>260813</s:v>
      </s:c>
      <s:c r="B600" s="0" t="inlineStr">
        <s:is>
          <s:t>이종훈</s:t>
        </s:is>
      </s:c>
      <s:c r="C600" s="0" t="n">
        <s:v>112912</s:v>
      </s:c>
      <s:c r="D600" s="0" t="n">
        <s:v>953</s:v>
      </s:c>
      <s:c r="F600" s="24">
        <s:f>'자료구성'!$B$2+TIME(INT($C$3/10000),INT(MOD($C$3,10000)/100),MOD($C$3,100))+(ROW()-ROW($C$3))/86400</s:f>
        <s:v>46247.48552083333</s:v>
      </s:c>
    </s:row>
    <s:row r="601">
      <s:c r="A601" s="0" t="n">
        <s:v>260813</s:v>
      </s:c>
      <s:c r="B601" s="0" t="inlineStr">
        <s:is>
          <s:t>이종훈</s:t>
        </s:is>
      </s:c>
      <s:c r="C601" s="0" t="n">
        <s:v>112912</s:v>
      </s:c>
      <s:c r="D601" s="0" t="n">
        <s:v>903</s:v>
      </s:c>
      <s:c r="F601" s="24">
        <s:f>'자료구성'!$B$2+TIME(INT($C$3/10000),INT(MOD($C$3,10000)/100),MOD($C$3,100))+(ROW()-ROW($C$3))/86400</s:f>
        <s:v>46247.48553240741</s:v>
      </s:c>
    </s:row>
    <s:row r="602">
      <s:c r="A602" s="0" t="n">
        <s:v>260813</s:v>
      </s:c>
      <s:c r="B602" s="0" t="inlineStr">
        <s:is>
          <s:t>이종훈</s:t>
        </s:is>
      </s:c>
      <s:c r="C602" s="0" t="n">
        <s:v>112912</s:v>
      </s:c>
      <s:c r="D602" s="0" t="n">
        <s:v>846</s:v>
      </s:c>
      <s:c r="F602" s="24">
        <s:f>'자료구성'!$B$2+TIME(INT($C$3/10000),INT(MOD($C$3,10000)/100),MOD($C$3,100))+(ROW()-ROW($C$3))/86400</s:f>
        <s:v>46247.48554398148</s:v>
      </s:c>
    </s:row>
    <s:row r="603">
      <s:c r="A603" s="0" t="n">
        <s:v>260813</s:v>
      </s:c>
      <s:c r="B603" s="0" t="inlineStr">
        <s:is>
          <s:t>이종훈</s:t>
        </s:is>
      </s:c>
      <s:c r="C603" s="0" t="n">
        <s:v>112912</s:v>
      </s:c>
      <s:c r="D603" s="0" t="n">
        <s:v>821</s:v>
      </s:c>
      <s:c r="F603" s="24">
        <s:f>'자료구성'!$B$2+TIME(INT($C$3/10000),INT(MOD($C$3,10000)/100),MOD($C$3,100))+(ROW()-ROW($C$3))/86400</s:f>
        <s:v>46247.485555555555</s:v>
      </s:c>
    </s:row>
    <s:row r="604">
      <s:c r="A604" s="0" t="n">
        <s:v>260813</s:v>
      </s:c>
      <s:c r="B604" s="0" t="inlineStr">
        <s:is>
          <s:t>이종훈</s:t>
        </s:is>
      </s:c>
      <s:c r="C604" s="0" t="n">
        <s:v>112912</s:v>
      </s:c>
      <s:c r="D604" s="0" t="n">
        <s:v>796</s:v>
      </s:c>
      <s:c r="F604" s="24">
        <s:f>'자료구성'!$B$2+TIME(INT($C$3/10000),INT(MOD($C$3,10000)/100),MOD($C$3,100))+(ROW()-ROW($C$3))/86400</s:f>
        <s:v>46247.48556712963</s:v>
      </s:c>
    </s:row>
    <s:row r="605">
      <s:c r="A605" s="0" t="n">
        <s:v>260813</s:v>
      </s:c>
      <s:c r="B605" s="0" t="inlineStr">
        <s:is>
          <s:t>이종훈</s:t>
        </s:is>
      </s:c>
      <s:c r="C605" s="0" t="n">
        <s:v>112912</s:v>
      </s:c>
      <s:c r="D605" s="0" t="n">
        <s:v>750</s:v>
      </s:c>
      <s:c r="F605" s="24">
        <s:f>'자료구성'!$B$2+TIME(INT($C$3/10000),INT(MOD($C$3,10000)/100),MOD($C$3,100))+(ROW()-ROW($C$3))/86400</s:f>
        <s:v>46247.4855787037</s:v>
      </s:c>
    </s:row>
    <s:row r="606">
      <s:c r="A606" s="0" t="n">
        <s:v>260813</s:v>
      </s:c>
      <s:c r="B606" s="0" t="inlineStr">
        <s:is>
          <s:t>이종훈</s:t>
        </s:is>
      </s:c>
      <s:c r="C606" s="0" t="n">
        <s:v>112912</s:v>
      </s:c>
      <s:c r="D606" s="0" t="n">
        <s:v>698</s:v>
      </s:c>
      <s:c r="F606" s="24">
        <s:f>'자료구성'!$B$2+TIME(INT($C$3/10000),INT(MOD($C$3,10000)/100),MOD($C$3,100))+(ROW()-ROW($C$3))/86400</s:f>
        <s:v>46247.48559027778</s:v>
      </s:c>
    </s:row>
    <s:row r="607">
      <s:c r="A607" s="0" t="n">
        <s:v>260813</s:v>
      </s:c>
      <s:c r="B607" s="0" t="inlineStr">
        <s:is>
          <s:t>이종훈</s:t>
        </s:is>
      </s:c>
      <s:c r="C607" s="0" t="n">
        <s:v>112912</s:v>
      </s:c>
      <s:c r="D607" s="0" t="n">
        <s:v>663</s:v>
      </s:c>
      <s:c r="F607" s="24">
        <s:f>'자료구성'!$B$2+TIME(INT($C$3/10000),INT(MOD($C$3,10000)/100),MOD($C$3,100))+(ROW()-ROW($C$3))/86400</s:f>
        <s:v>46247.485601851855</s:v>
      </s:c>
    </s:row>
    <s:row r="608">
      <s:c r="A608" s="0" t="n">
        <s:v>260813</s:v>
      </s:c>
      <s:c r="B608" s="0" t="inlineStr">
        <s:is>
          <s:t>이종훈</s:t>
        </s:is>
      </s:c>
      <s:c r="C608" s="0" t="n">
        <s:v>112912</s:v>
      </s:c>
      <s:c r="D608" s="0" t="n">
        <s:v>640</s:v>
      </s:c>
      <s:c r="F608" s="24">
        <s:f>'자료구성'!$B$2+TIME(INT($C$3/10000),INT(MOD($C$3,10000)/100),MOD($C$3,100))+(ROW()-ROW($C$3))/86400</s:f>
        <s:v>46247.485613425924</s:v>
      </s:c>
    </s:row>
    <s:row r="609">
      <s:c r="A609" s="0" t="n">
        <s:v>260813</s:v>
      </s:c>
      <s:c r="B609" s="0" t="inlineStr">
        <s:is>
          <s:t>이종훈</s:t>
        </s:is>
      </s:c>
      <s:c r="C609" s="0" t="n">
        <s:v>112912</s:v>
      </s:c>
      <s:c r="D609" s="0" t="n">
        <s:v>641</s:v>
      </s:c>
      <s:c r="F609" s="24">
        <s:f>'자료구성'!$B$2+TIME(INT($C$3/10000),INT(MOD($C$3,10000)/100),MOD($C$3,100))+(ROW()-ROW($C$3))/86400</s:f>
        <s:v>46247.485625</s:v>
      </s:c>
    </s:row>
    <s:row r="610">
      <s:c r="A610" s="0" t="n">
        <s:v>260813</s:v>
      </s:c>
      <s:c r="B610" s="0" t="inlineStr">
        <s:is>
          <s:t>이종훈</s:t>
        </s:is>
      </s:c>
      <s:c r="C610" s="0" t="n">
        <s:v>112912</s:v>
      </s:c>
      <s:c r="D610" s="0" t="n">
        <s:v>637</s:v>
      </s:c>
      <s:c r="F610" s="24">
        <s:f>'자료구성'!$B$2+TIME(INT($C$3/10000),INT(MOD($C$3,10000)/100),MOD($C$3,100))+(ROW()-ROW($C$3))/86400</s:f>
        <s:v>46247.48563657407</s:v>
      </s:c>
    </s:row>
    <s:row r="611">
      <s:c r="A611" s="0" t="n">
        <s:v>260813</s:v>
      </s:c>
      <s:c r="B611" s="0" t="inlineStr">
        <s:is>
          <s:t>이종훈</s:t>
        </s:is>
      </s:c>
      <s:c r="C611" s="0" t="n">
        <s:v>112912</s:v>
      </s:c>
      <s:c r="D611" s="0" t="n">
        <s:v>609</s:v>
      </s:c>
      <s:c r="F611" s="24">
        <s:f>'자료구성'!$B$2+TIME(INT($C$3/10000),INT(MOD($C$3,10000)/100),MOD($C$3,100))+(ROW()-ROW($C$3))/86400</s:f>
        <s:v>46247.48564814815</s:v>
      </s:c>
    </s:row>
    <s:row r="612">
      <s:c r="A612" s="0" t="n">
        <s:v>260813</s:v>
      </s:c>
      <s:c r="B612" s="0" t="inlineStr">
        <s:is>
          <s:t>이종훈</s:t>
        </s:is>
      </s:c>
      <s:c r="C612" s="0" t="n">
        <s:v>112912</s:v>
      </s:c>
      <s:c r="D612" s="0" t="n">
        <s:v>569</s:v>
      </s:c>
      <s:c r="F612" s="24">
        <s:f>'자료구성'!$B$2+TIME(INT($C$3/10000),INT(MOD($C$3,10000)/100),MOD($C$3,100))+(ROW()-ROW($C$3))/86400</s:f>
        <s:v>46247.485659722224</s:v>
      </s:c>
    </s:row>
    <s:row r="613">
      <s:c r="A613" s="0" t="n">
        <s:v>260813</s:v>
      </s:c>
      <s:c r="B613" s="0" t="inlineStr">
        <s:is>
          <s:t>이종훈</s:t>
        </s:is>
      </s:c>
      <s:c r="C613" s="0" t="n">
        <s:v>112912</s:v>
      </s:c>
      <s:c r="D613" s="0" t="n">
        <s:v>554</s:v>
      </s:c>
      <s:c r="F613" s="24">
        <s:f>'자료구성'!$B$2+TIME(INT($C$3/10000),INT(MOD($C$3,10000)/100),MOD($C$3,100))+(ROW()-ROW($C$3))/86400</s:f>
        <s:v>46247.485671296294</s:v>
      </s:c>
    </s:row>
    <s:row r="614">
      <s:c r="A614" s="0" t="n">
        <s:v>260813</s:v>
      </s:c>
      <s:c r="B614" s="0" t="inlineStr">
        <s:is>
          <s:t>이종훈</s:t>
        </s:is>
      </s:c>
      <s:c r="C614" s="0" t="n">
        <s:v>112912</s:v>
      </s:c>
      <s:c r="D614" s="0" t="n">
        <s:v>526</s:v>
      </s:c>
      <s:c r="F614" s="24">
        <s:f>'자료구성'!$B$2+TIME(INT($C$3/10000),INT(MOD($C$3,10000)/100),MOD($C$3,100))+(ROW()-ROW($C$3))/86400</s:f>
        <s:v>46247.48568287037</s:v>
      </s:c>
    </s:row>
    <s:row r="615">
      <s:c r="A615" s="0" t="n">
        <s:v>260813</s:v>
      </s:c>
      <s:c r="B615" s="0" t="inlineStr">
        <s:is>
          <s:t>이종훈</s:t>
        </s:is>
      </s:c>
      <s:c r="C615" s="0" t="n">
        <s:v>112912</s:v>
      </s:c>
      <s:c r="D615" s="0" t="n">
        <s:v>502</s:v>
      </s:c>
      <s:c r="F615" s="24">
        <s:f>'자료구성'!$B$2+TIME(INT($C$3/10000),INT(MOD($C$3,10000)/100),MOD($C$3,100))+(ROW()-ROW($C$3))/86400</s:f>
        <s:v>46247.48569444445</s:v>
      </s:c>
    </s:row>
    <s:row r="616">
      <s:c r="A616" s="0" t="n">
        <s:v>260813</s:v>
      </s:c>
      <s:c r="B616" s="0" t="inlineStr">
        <s:is>
          <s:t>이종훈</s:t>
        </s:is>
      </s:c>
      <s:c r="C616" s="0" t="n">
        <s:v>112912</s:v>
      </s:c>
      <s:c r="D616" s="0" t="n">
        <s:v>490</s:v>
      </s:c>
      <s:c r="F616" s="24">
        <s:f>'자료구성'!$B$2+TIME(INT($C$3/10000),INT(MOD($C$3,10000)/100),MOD($C$3,100))+(ROW()-ROW($C$3))/86400</s:f>
        <s:v>46247.48570601852</s:v>
      </s:c>
    </s:row>
    <s:row r="617">
      <s:c r="A617" s="0" t="n">
        <s:v>260813</s:v>
      </s:c>
      <s:c r="B617" s="0" t="inlineStr">
        <s:is>
          <s:t>이종훈</s:t>
        </s:is>
      </s:c>
      <s:c r="C617" s="0" t="n">
        <s:v>112912</s:v>
      </s:c>
      <s:c r="D617" s="0" t="n">
        <s:v>486</s:v>
      </s:c>
      <s:c r="F617" s="24">
        <s:f>'자료구성'!$B$2+TIME(INT($C$3/10000),INT(MOD($C$3,10000)/100),MOD($C$3,100))+(ROW()-ROW($C$3))/86400</s:f>
        <s:v>46247.48571759259</s:v>
      </s:c>
    </s:row>
    <s:row r="618">
      <s:c r="A618" s="0" t="n">
        <s:v>260813</s:v>
      </s:c>
      <s:c r="B618" s="0" t="inlineStr">
        <s:is>
          <s:t>이종훈</s:t>
        </s:is>
      </s:c>
      <s:c r="C618" s="0" t="n">
        <s:v>112912</s:v>
      </s:c>
      <s:c r="D618" s="0" t="n">
        <s:v>499</s:v>
      </s:c>
      <s:c r="F618" s="24">
        <s:f>'자료구성'!$B$2+TIME(INT($C$3/10000),INT(MOD($C$3,10000)/100),MOD($C$3,100))+(ROW()-ROW($C$3))/86400</s:f>
        <s:v>46247.48572916666</s:v>
      </s:c>
    </s:row>
    <s:row r="619">
      <s:c r="A619" s="0" t="n">
        <s:v>260813</s:v>
      </s:c>
      <s:c r="B619" s="0" t="inlineStr">
        <s:is>
          <s:t>이종훈</s:t>
        </s:is>
      </s:c>
      <s:c r="C619" s="0" t="n">
        <s:v>112912</s:v>
      </s:c>
      <s:c r="D619" s="0" t="n">
        <s:v>483</s:v>
      </s:c>
      <s:c r="F619" s="24">
        <s:f>'자료구성'!$B$2+TIME(INT($C$3/10000),INT(MOD($C$3,10000)/100),MOD($C$3,100))+(ROW()-ROW($C$3))/86400</s:f>
        <s:v>46247.48574074074</s:v>
      </s:c>
    </s:row>
    <s:row r="620">
      <s:c r="A620" s="0" t="n">
        <s:v>260813</s:v>
      </s:c>
      <s:c r="B620" s="0" t="inlineStr">
        <s:is>
          <s:t>이종훈</s:t>
        </s:is>
      </s:c>
      <s:c r="C620" s="0" t="n">
        <s:v>112912</s:v>
      </s:c>
      <s:c r="D620" s="0" t="n">
        <s:v>480</s:v>
      </s:c>
      <s:c r="F620" s="24">
        <s:f>'자료구성'!$B$2+TIME(INT($C$3/10000),INT(MOD($C$3,10000)/100),MOD($C$3,100))+(ROW()-ROW($C$3))/86400</s:f>
        <s:v>46247.48575231482</s:v>
      </s:c>
    </s:row>
    <s:row r="621">
      <s:c r="A621" s="0" t="n">
        <s:v>260813</s:v>
      </s:c>
      <s:c r="B621" s="0" t="inlineStr">
        <s:is>
          <s:t>이종훈</s:t>
        </s:is>
      </s:c>
      <s:c r="C621" s="0" t="n">
        <s:v>112912</s:v>
      </s:c>
      <s:c r="D621" s="0" t="n">
        <s:v>483</s:v>
      </s:c>
      <s:c r="F621" s="24">
        <s:f>'자료구성'!$B$2+TIME(INT($C$3/10000),INT(MOD($C$3,10000)/100),MOD($C$3,100))+(ROW()-ROW($C$3))/86400</s:f>
        <s:v>46247.485763888886</s:v>
      </s:c>
    </s:row>
    <s:row r="622">
      <s:c r="A622" s="0" t="n">
        <s:v>260813</s:v>
      </s:c>
      <s:c r="B622" s="0" t="inlineStr">
        <s:is>
          <s:t>이종훈</s:t>
        </s:is>
      </s:c>
      <s:c r="C622" s="0" t="n">
        <s:v>112912</s:v>
      </s:c>
      <s:c r="D622" s="0" t="n">
        <s:v>507</s:v>
      </s:c>
      <s:c r="F622" s="24">
        <s:f>'자료구성'!$B$2+TIME(INT($C$3/10000),INT(MOD($C$3,10000)/100),MOD($C$3,100))+(ROW()-ROW($C$3))/86400</s:f>
        <s:v>46247.48577546296</s:v>
      </s:c>
    </s:row>
    <s:row r="623">
      <s:c r="A623" s="0" t="n">
        <s:v>260813</s:v>
      </s:c>
      <s:c r="B623" s="0" t="inlineStr">
        <s:is>
          <s:t>이종훈</s:t>
        </s:is>
      </s:c>
      <s:c r="C623" s="0" t="n">
        <s:v>112912</s:v>
      </s:c>
      <s:c r="D623" s="0" t="n">
        <s:v>533</s:v>
      </s:c>
      <s:c r="F623" s="24">
        <s:f>'자료구성'!$B$2+TIME(INT($C$3/10000),INT(MOD($C$3,10000)/100),MOD($C$3,100))+(ROW()-ROW($C$3))/86400</s:f>
        <s:v>46247.48578703704</s:v>
      </s:c>
    </s:row>
    <s:row r="624">
      <s:c r="A624" s="0" t="n">
        <s:v>260813</s:v>
      </s:c>
      <s:c r="B624" s="0" t="inlineStr">
        <s:is>
          <s:t>이종훈</s:t>
        </s:is>
      </s:c>
      <s:c r="C624" s="0" t="n">
        <s:v>112912</s:v>
      </s:c>
      <s:c r="D624" s="0" t="n">
        <s:v>551</s:v>
      </s:c>
      <s:c r="F624" s="24">
        <s:f>'자료구성'!$B$2+TIME(INT($C$3/10000),INT(MOD($C$3,10000)/100),MOD($C$3,100))+(ROW()-ROW($C$3))/86400</s:f>
        <s:v>46247.48579861111</s:v>
      </s:c>
    </s:row>
    <s:row r="625">
      <s:c r="A625" s="0" t="n">
        <s:v>260813</s:v>
      </s:c>
      <s:c r="B625" s="0" t="inlineStr">
        <s:is>
          <s:t>이종훈</s:t>
        </s:is>
      </s:c>
      <s:c r="C625" s="0" t="n">
        <s:v>112912</s:v>
      </s:c>
      <s:c r="D625" s="0" t="n">
        <s:v>597</s:v>
      </s:c>
      <s:c r="F625" s="24">
        <s:f>'자료구성'!$B$2+TIME(INT($C$3/10000),INT(MOD($C$3,10000)/100),MOD($C$3,100))+(ROW()-ROW($C$3))/86400</s:f>
        <s:v>46247.485810185186</s:v>
      </s:c>
    </s:row>
    <s:row r="626">
      <s:c r="A626" s="0" t="n">
        <s:v>260813</s:v>
      </s:c>
      <s:c r="B626" s="0" t="inlineStr">
        <s:is>
          <s:t>이종훈</s:t>
        </s:is>
      </s:c>
      <s:c r="C626" s="0" t="n">
        <s:v>112912</s:v>
      </s:c>
      <s:c r="D626" s="0" t="n">
        <s:v>627</s:v>
      </s:c>
      <s:c r="F626" s="24">
        <s:f>'자료구성'!$B$2+TIME(INT($C$3/10000),INT(MOD($C$3,10000)/100),MOD($C$3,100))+(ROW()-ROW($C$3))/86400</s:f>
        <s:v>46247.48582175926</s:v>
      </s:c>
    </s:row>
    <s:row r="627">
      <s:c r="A627" s="0" t="n">
        <s:v>260813</s:v>
      </s:c>
      <s:c r="B627" s="0" t="inlineStr">
        <s:is>
          <s:t>이종훈</s:t>
        </s:is>
      </s:c>
      <s:c r="C627" s="0" t="n">
        <s:v>112912</s:v>
      </s:c>
      <s:c r="D627" s="0" t="n">
        <s:v>634</s:v>
      </s:c>
      <s:c r="F627" s="24">
        <s:f>'자료구성'!$B$2+TIME(INT($C$3/10000),INT(MOD($C$3,10000)/100),MOD($C$3,100))+(ROW()-ROW($C$3))/86400</s:f>
        <s:v>46247.48583333333</s:v>
      </s:c>
    </s:row>
    <s:row r="628">
      <s:c r="A628" s="0" t="n">
        <s:v>260813</s:v>
      </s:c>
      <s:c r="B628" s="0" t="inlineStr">
        <s:is>
          <s:t>이종훈</s:t>
        </s:is>
      </s:c>
      <s:c r="C628" s="0" t="n">
        <s:v>112912</s:v>
      </s:c>
      <s:c r="D628" s="0" t="n">
        <s:v>639</s:v>
      </s:c>
      <s:c r="F628" s="24">
        <s:f>'자료구성'!$B$2+TIME(INT($C$3/10000),INT(MOD($C$3,10000)/100),MOD($C$3,100))+(ROW()-ROW($C$3))/86400</s:f>
        <s:v>46247.48584490741</s:v>
      </s:c>
    </s:row>
    <s:row r="629">
      <s:c r="A629" s="0" t="n">
        <s:v>260813</s:v>
      </s:c>
      <s:c r="B629" s="0" t="inlineStr">
        <s:is>
          <s:t>이종훈</s:t>
        </s:is>
      </s:c>
      <s:c r="C629" s="0" t="n">
        <s:v>112912</s:v>
      </s:c>
      <s:c r="D629" s="0" t="n">
        <s:v>665</s:v>
      </s:c>
      <s:c r="F629" s="24">
        <s:f>'자료구성'!$B$2+TIME(INT($C$3/10000),INT(MOD($C$3,10000)/100),MOD($C$3,100))+(ROW()-ROW($C$3))/86400</s:f>
        <s:v>46247.48585648148</s:v>
      </s:c>
    </s:row>
    <s:row r="630">
      <s:c r="A630" s="0" t="n">
        <s:v>260813</s:v>
      </s:c>
      <s:c r="B630" s="0" t="inlineStr">
        <s:is>
          <s:t>이종훈</s:t>
        </s:is>
      </s:c>
      <s:c r="C630" s="0" t="n">
        <s:v>112912</s:v>
      </s:c>
      <s:c r="D630" s="0" t="n">
        <s:v>706</s:v>
      </s:c>
      <s:c r="F630" s="24">
        <s:f>'자료구성'!$B$2+TIME(INT($C$3/10000),INT(MOD($C$3,10000)/100),MOD($C$3,100))+(ROW()-ROW($C$3))/86400</s:f>
        <s:v>46247.485868055555</s:v>
      </s:c>
    </s:row>
    <s:row r="631">
      <s:c r="A631" s="0" t="n">
        <s:v>260813</s:v>
      </s:c>
      <s:c r="B631" s="0" t="inlineStr">
        <s:is>
          <s:t>이종훈</s:t>
        </s:is>
      </s:c>
      <s:c r="C631" s="0" t="n">
        <s:v>112912</s:v>
      </s:c>
      <s:c r="D631" s="0" t="n">
        <s:v>751</s:v>
      </s:c>
      <s:c r="F631" s="24">
        <s:f>'자료구성'!$B$2+TIME(INT($C$3/10000),INT(MOD($C$3,10000)/100),MOD($C$3,100))+(ROW()-ROW($C$3))/86400</s:f>
        <s:v>46247.48587962963</s:v>
      </s:c>
    </s:row>
    <s:row r="632">
      <s:c r="A632" s="0" t="n">
        <s:v>260813</s:v>
      </s:c>
      <s:c r="B632" s="0" t="inlineStr">
        <s:is>
          <s:t>이종훈</s:t>
        </s:is>
      </s:c>
      <s:c r="C632" s="0" t="n">
        <s:v>112912</s:v>
      </s:c>
      <s:c r="D632" s="0" t="n">
        <s:v>780</s:v>
      </s:c>
      <s:c r="F632" s="24">
        <s:f>'자료구성'!$B$2+TIME(INT($C$3/10000),INT(MOD($C$3,10000)/100),MOD($C$3,100))+(ROW()-ROW($C$3))/86400</s:f>
        <s:v>46247.4858912037</s:v>
      </s:c>
    </s:row>
    <s:row r="633">
      <s:c r="A633" s="0" t="n">
        <s:v>260813</s:v>
      </s:c>
      <s:c r="B633" s="0" t="inlineStr">
        <s:is>
          <s:t>이종훈</s:t>
        </s:is>
      </s:c>
      <s:c r="C633" s="0" t="n">
        <s:v>112912</s:v>
      </s:c>
      <s:c r="D633" s="0" t="n">
        <s:v>805</s:v>
      </s:c>
      <s:c r="F633" s="24">
        <s:f>'자료구성'!$B$2+TIME(INT($C$3/10000),INT(MOD($C$3,10000)/100),MOD($C$3,100))+(ROW()-ROW($C$3))/86400</s:f>
        <s:v>46247.48590277778</s:v>
      </s:c>
    </s:row>
    <s:row r="634">
      <s:c r="A634" s="0" t="n">
        <s:v>260813</s:v>
      </s:c>
      <s:c r="B634" s="0" t="inlineStr">
        <s:is>
          <s:t>이종훈</s:t>
        </s:is>
      </s:c>
      <s:c r="C634" s="0" t="n">
        <s:v>112912</s:v>
      </s:c>
      <s:c r="D634" s="0" t="n">
        <s:v>874</s:v>
      </s:c>
      <s:c r="F634" s="24">
        <s:f>'자료구성'!$B$2+TIME(INT($C$3/10000),INT(MOD($C$3,10000)/100),MOD($C$3,100))+(ROW()-ROW($C$3))/86400</s:f>
        <s:v>46247.485914351855</s:v>
      </s:c>
    </s:row>
    <s:row r="635">
      <s:c r="A635" s="0" t="n">
        <s:v>260813</s:v>
      </s:c>
      <s:c r="B635" s="0" t="inlineStr">
        <s:is>
          <s:t>이종훈</s:t>
        </s:is>
      </s:c>
      <s:c r="C635" s="0" t="n">
        <s:v>112912</s:v>
      </s:c>
      <s:c r="D635" s="0" t="n">
        <s:v>911</s:v>
      </s:c>
      <s:c r="F635" s="24">
        <s:f>'자료구성'!$B$2+TIME(INT($C$3/10000),INT(MOD($C$3,10000)/100),MOD($C$3,100))+(ROW()-ROW($C$3))/86400</s:f>
        <s:v>46247.485925925925</s:v>
      </s:c>
    </s:row>
    <s:row r="636">
      <s:c r="A636" s="0" t="n">
        <s:v>260813</s:v>
      </s:c>
      <s:c r="B636" s="0" t="inlineStr">
        <s:is>
          <s:t>이종훈</s:t>
        </s:is>
      </s:c>
      <s:c r="C636" s="0" t="n">
        <s:v>112912</s:v>
      </s:c>
      <s:c r="D636" s="0" t="n">
        <s:v>908</s:v>
      </s:c>
      <s:c r="F636" s="24">
        <s:f>'자료구성'!$B$2+TIME(INT($C$3/10000),INT(MOD($C$3,10000)/100),MOD($C$3,100))+(ROW()-ROW($C$3))/86400</s:f>
        <s:v>46247.4859375</s:v>
      </s:c>
    </s:row>
    <s:row r="637">
      <s:c r="A637" s="0" t="n">
        <s:v>260813</s:v>
      </s:c>
      <s:c r="B637" s="0" t="inlineStr">
        <s:is>
          <s:t>이종훈</s:t>
        </s:is>
      </s:c>
      <s:c r="C637" s="0" t="n">
        <s:v>112912</s:v>
      </s:c>
      <s:c r="D637" s="0" t="n">
        <s:v>877</s:v>
      </s:c>
      <s:c r="F637" s="24">
        <s:f>'자료구성'!$B$2+TIME(INT($C$3/10000),INT(MOD($C$3,10000)/100),MOD($C$3,100))+(ROW()-ROW($C$3))/86400</s:f>
        <s:v>46247.48594907407</s:v>
      </s:c>
    </s:row>
    <s:row r="638">
      <s:c r="A638" s="0" t="n">
        <s:v>260813</s:v>
      </s:c>
      <s:c r="B638" s="0" t="inlineStr">
        <s:is>
          <s:t>이종훈</s:t>
        </s:is>
      </s:c>
      <s:c r="C638" s="0" t="n">
        <s:v>112912</s:v>
      </s:c>
      <s:c r="D638" s="0" t="n">
        <s:v>825</s:v>
      </s:c>
      <s:c r="F638" s="24">
        <s:f>'자료구성'!$B$2+TIME(INT($C$3/10000),INT(MOD($C$3,10000)/100),MOD($C$3,100))+(ROW()-ROW($C$3))/86400</s:f>
        <s:v>46247.48596064815</s:v>
      </s:c>
    </s:row>
    <s:row r="639">
      <s:c r="A639" s="0" t="n">
        <s:v>260813</s:v>
      </s:c>
      <s:c r="B639" s="0" t="inlineStr">
        <s:is>
          <s:t>이종훈</s:t>
        </s:is>
      </s:c>
      <s:c r="C639" s="0" t="n">
        <s:v>112912</s:v>
      </s:c>
      <s:c r="D639" s="0" t="n">
        <s:v>796</s:v>
      </s:c>
      <s:c r="F639" s="24">
        <s:f>'자료구성'!$B$2+TIME(INT($C$3/10000),INT(MOD($C$3,10000)/100),MOD($C$3,100))+(ROW()-ROW($C$3))/86400</s:f>
        <s:v>46247.485972222225</s:v>
      </s:c>
    </s:row>
    <s:row r="640">
      <s:c r="A640" s="0" t="n">
        <s:v>260813</s:v>
      </s:c>
      <s:c r="B640" s="0" t="inlineStr">
        <s:is>
          <s:t>이종훈</s:t>
        </s:is>
      </s:c>
      <s:c r="C640" s="0" t="n">
        <s:v>112912</s:v>
      </s:c>
      <s:c r="D640" s="0" t="n">
        <s:v>787</s:v>
      </s:c>
      <s:c r="F640" s="24">
        <s:f>'자료구성'!$B$2+TIME(INT($C$3/10000),INT(MOD($C$3,10000)/100),MOD($C$3,100))+(ROW()-ROW($C$3))/86400</s:f>
        <s:v>46247.485983796294</s:v>
      </s:c>
    </s:row>
    <s:row r="641">
      <s:c r="A641" s="0" t="n">
        <s:v>260813</s:v>
      </s:c>
      <s:c r="B641" s="0" t="inlineStr">
        <s:is>
          <s:t>이종훈</s:t>
        </s:is>
      </s:c>
      <s:c r="C641" s="0" t="n">
        <s:v>112912</s:v>
      </s:c>
      <s:c r="D641" s="0" t="n">
        <s:v>747</s:v>
      </s:c>
      <s:c r="F641" s="24">
        <s:f>'자료구성'!$B$2+TIME(INT($C$3/10000),INT(MOD($C$3,10000)/100),MOD($C$3,100))+(ROW()-ROW($C$3))/86400</s:f>
        <s:v>46247.48599537037</s:v>
      </s:c>
    </s:row>
    <s:row r="642">
      <s:c r="A642" s="0" t="n">
        <s:v>260813</s:v>
      </s:c>
      <s:c r="B642" s="0" t="inlineStr">
        <s:is>
          <s:t>이종훈</s:t>
        </s:is>
      </s:c>
      <s:c r="C642" s="0" t="n">
        <s:v>112912</s:v>
      </s:c>
      <s:c r="D642" s="0" t="n">
        <s:v>703</s:v>
      </s:c>
      <s:c r="F642" s="24">
        <s:f>'자료구성'!$B$2+TIME(INT($C$3/10000),INT(MOD($C$3,10000)/100),MOD($C$3,100))+(ROW()-ROW($C$3))/86400</s:f>
        <s:v>46247.48600694445</s:v>
      </s:c>
    </s:row>
    <s:row r="643">
      <s:c r="A643" s="0" t="n">
        <s:v>260813</s:v>
      </s:c>
      <s:c r="B643" s="0" t="inlineStr">
        <s:is>
          <s:t>이종훈</s:t>
        </s:is>
      </s:c>
      <s:c r="C643" s="0" t="n">
        <s:v>112912</s:v>
      </s:c>
      <s:c r="D643" s="0" t="n">
        <s:v>678</s:v>
      </s:c>
      <s:c r="F643" s="24">
        <s:f>'자료구성'!$B$2+TIME(INT($C$3/10000),INT(MOD($C$3,10000)/100),MOD($C$3,100))+(ROW()-ROW($C$3))/86400</s:f>
        <s:v>46247.48601851852</s:v>
      </s:c>
    </s:row>
    <s:row r="644">
      <s:c r="A644" s="0" t="n">
        <s:v>260813</s:v>
      </s:c>
      <s:c r="B644" s="0" t="inlineStr">
        <s:is>
          <s:t>이종훈</s:t>
        </s:is>
      </s:c>
      <s:c r="C644" s="0" t="n">
        <s:v>112912</s:v>
      </s:c>
      <s:c r="D644" s="0" t="n">
        <s:v>652</s:v>
      </s:c>
      <s:c r="F644" s="24">
        <s:f>'자료구성'!$B$2+TIME(INT($C$3/10000),INT(MOD($C$3,10000)/100),MOD($C$3,100))+(ROW()-ROW($C$3))/86400</s:f>
        <s:v>46247.486030092594</s:v>
      </s:c>
    </s:row>
    <s:row r="645">
      <s:c r="A645" s="0" t="n">
        <s:v>260813</s:v>
      </s:c>
      <s:c r="B645" s="0" t="inlineStr">
        <s:is>
          <s:t>이종훈</s:t>
        </s:is>
      </s:c>
      <s:c r="C645" s="0" t="n">
        <s:v>112912</s:v>
      </s:c>
      <s:c r="D645" s="0" t="n">
        <s:v>637</s:v>
      </s:c>
      <s:c r="F645" s="24">
        <s:f>'자료구성'!$B$2+TIME(INT($C$3/10000),INT(MOD($C$3,10000)/100),MOD($C$3,100))+(ROW()-ROW($C$3))/86400</s:f>
        <s:v>46247.48604166666</s:v>
      </s:c>
    </s:row>
    <s:row r="646">
      <s:c r="A646" s="0" t="n">
        <s:v>260813</s:v>
      </s:c>
      <s:c r="B646" s="0" t="inlineStr">
        <s:is>
          <s:t>이종훈</s:t>
        </s:is>
      </s:c>
      <s:c r="C646" s="0" t="n">
        <s:v>112912</s:v>
      </s:c>
      <s:c r="D646" s="0" t="n">
        <s:v>616</s:v>
      </s:c>
      <s:c r="F646" s="24">
        <s:f>'자료구성'!$B$2+TIME(INT($C$3/10000),INT(MOD($C$3,10000)/100),MOD($C$3,100))+(ROW()-ROW($C$3))/86400</s:f>
        <s:v>46247.48605324074</s:v>
      </s:c>
    </s:row>
    <s:row r="647">
      <s:c r="A647" s="0" t="n">
        <s:v>260813</s:v>
      </s:c>
      <s:c r="B647" s="0" t="inlineStr">
        <s:is>
          <s:t>이종훈</s:t>
        </s:is>
      </s:c>
      <s:c r="C647" s="0" t="n">
        <s:v>112912</s:v>
      </s:c>
      <s:c r="D647" s="0" t="n">
        <s:v>599</s:v>
      </s:c>
      <s:c r="F647" s="24">
        <s:f>'자료구성'!$B$2+TIME(INT($C$3/10000),INT(MOD($C$3,10000)/100),MOD($C$3,100))+(ROW()-ROW($C$3))/86400</s:f>
        <s:v>46247.48606481482</s:v>
      </s:c>
    </s:row>
    <s:row r="648">
      <s:c r="A648" s="0" t="n">
        <s:v>260813</s:v>
      </s:c>
      <s:c r="B648" s="0" t="inlineStr">
        <s:is>
          <s:t>이종훈</s:t>
        </s:is>
      </s:c>
      <s:c r="C648" s="0" t="n">
        <s:v>112912</s:v>
      </s:c>
      <s:c r="D648" s="0" t="n">
        <s:v>578</s:v>
      </s:c>
      <s:c r="F648" s="24">
        <s:f>'자료구성'!$B$2+TIME(INT($C$3/10000),INT(MOD($C$3,10000)/100),MOD($C$3,100))+(ROW()-ROW($C$3))/86400</s:f>
        <s:v>46247.48607638889</s:v>
      </s:c>
    </s:row>
    <s:row r="649">
      <s:c r="A649" s="0" t="n">
        <s:v>260813</s:v>
      </s:c>
      <s:c r="B649" s="0" t="inlineStr">
        <s:is>
          <s:t>이종훈</s:t>
        </s:is>
      </s:c>
      <s:c r="C649" s="0" t="n">
        <s:v>112912</s:v>
      </s:c>
      <s:c r="D649" s="0" t="n">
        <s:v>567</s:v>
      </s:c>
      <s:c r="F649" s="24">
        <s:f>'자료구성'!$B$2+TIME(INT($C$3/10000),INT(MOD($C$3,10000)/100),MOD($C$3,100))+(ROW()-ROW($C$3))/86400</s:f>
        <s:v>46247.48608796296</s:v>
      </s:c>
    </s:row>
    <s:row r="650">
      <s:c r="A650" s="0" t="n">
        <s:v>260813</s:v>
      </s:c>
      <s:c r="B650" s="0" t="inlineStr">
        <s:is>
          <s:t>이종훈</s:t>
        </s:is>
      </s:c>
      <s:c r="C650" s="0" t="n">
        <s:v>112912</s:v>
      </s:c>
      <s:c r="D650" s="0" t="n">
        <s:v>581</s:v>
      </s:c>
      <s:c r="F650" s="24">
        <s:f>'자료구성'!$B$2+TIME(INT($C$3/10000),INT(MOD($C$3,10000)/100),MOD($C$3,100))+(ROW()-ROW($C$3))/86400</s:f>
        <s:v>46247.48609953704</s:v>
      </s:c>
    </s:row>
    <s:row r="651">
      <s:c r="A651" s="0" t="n">
        <s:v>260813</s:v>
      </s:c>
      <s:c r="B651" s="0" t="inlineStr">
        <s:is>
          <s:t>이종훈</s:t>
        </s:is>
      </s:c>
      <s:c r="C651" s="0" t="n">
        <s:v>112912</s:v>
      </s:c>
      <s:c r="D651" s="0" t="n">
        <s:v>581</s:v>
      </s:c>
      <s:c r="F651" s="24">
        <s:f>'자료구성'!$B$2+TIME(INT($C$3/10000),INT(MOD($C$3,10000)/100),MOD($C$3,100))+(ROW()-ROW($C$3))/86400</s:f>
        <s:v>46247.48611111111</s:v>
      </s:c>
    </s:row>
    <s:row r="652">
      <s:c r="A652" s="0" t="n">
        <s:v>260813</s:v>
      </s:c>
      <s:c r="B652" s="0" t="inlineStr">
        <s:is>
          <s:t>이종훈</s:t>
        </s:is>
      </s:c>
      <s:c r="C652" s="0" t="n">
        <s:v>112912</s:v>
      </s:c>
      <s:c r="D652" s="0" t="n">
        <s:v>584</s:v>
      </s:c>
      <s:c r="F652" s="24">
        <s:f>'자료구성'!$B$2+TIME(INT($C$3/10000),INT(MOD($C$3,10000)/100),MOD($C$3,100))+(ROW()-ROW($C$3))/86400</s:f>
        <s:v>46247.486122685186</s:v>
      </s:c>
    </s:row>
    <s:row r="653">
      <s:c r="A653" s="0" t="n">
        <s:v>260813</s:v>
      </s:c>
      <s:c r="B653" s="0" t="inlineStr">
        <s:is>
          <s:t>이종훈</s:t>
        </s:is>
      </s:c>
      <s:c r="C653" s="0" t="n">
        <s:v>112912</s:v>
      </s:c>
      <s:c r="D653" s="0" t="n">
        <s:v>571</s:v>
      </s:c>
      <s:c r="F653" s="24">
        <s:f>'자료구성'!$B$2+TIME(INT($C$3/10000),INT(MOD($C$3,10000)/100),MOD($C$3,100))+(ROW()-ROW($C$3))/86400</s:f>
        <s:v>46247.486134259256</s:v>
      </s:c>
    </s:row>
    <s:row r="654">
      <s:c r="A654" s="0" t="n">
        <s:v>260813</s:v>
      </s:c>
      <s:c r="B654" s="0" t="inlineStr">
        <s:is>
          <s:t>이종훈</s:t>
        </s:is>
      </s:c>
      <s:c r="C654" s="0" t="n">
        <s:v>112912</s:v>
      </s:c>
      <s:c r="D654" s="0" t="n">
        <s:v>585</s:v>
      </s:c>
      <s:c r="F654" s="24">
        <s:f>'자료구성'!$B$2+TIME(INT($C$3/10000),INT(MOD($C$3,10000)/100),MOD($C$3,100))+(ROW()-ROW($C$3))/86400</s:f>
        <s:v>46247.48614583333</s:v>
      </s:c>
    </s:row>
    <s:row r="655">
      <s:c r="A655" s="0" t="n">
        <s:v>260813</s:v>
      </s:c>
      <s:c r="B655" s="0" t="inlineStr">
        <s:is>
          <s:t>이종훈</s:t>
        </s:is>
      </s:c>
      <s:c r="C655" s="0" t="n">
        <s:v>112912</s:v>
      </s:c>
      <s:c r="D655" s="0" t="n">
        <s:v>650</s:v>
      </s:c>
      <s:c r="F655" s="24">
        <s:f>'자료구성'!$B$2+TIME(INT($C$3/10000),INT(MOD($C$3,10000)/100),MOD($C$3,100))+(ROW()-ROW($C$3))/86400</s:f>
        <s:v>46247.48615740741</s:v>
      </s:c>
    </s:row>
    <s:row r="656">
      <s:c r="A656" s="0" t="n">
        <s:v>260813</s:v>
      </s:c>
      <s:c r="B656" s="0" t="inlineStr">
        <s:is>
          <s:t>이종훈</s:t>
        </s:is>
      </s:c>
      <s:c r="C656" s="0" t="n">
        <s:v>112912</s:v>
      </s:c>
      <s:c r="D656" s="0" t="n">
        <s:v>706</s:v>
      </s:c>
      <s:c r="F656" s="24">
        <s:f>'자료구성'!$B$2+TIME(INT($C$3/10000),INT(MOD($C$3,10000)/100),MOD($C$3,100))+(ROW()-ROW($C$3))/86400</s:f>
        <s:v>46247.48616898148</s:v>
      </s:c>
    </s:row>
    <s:row r="657">
      <s:c r="A657" s="0" t="n">
        <s:v>260813</s:v>
      </s:c>
      <s:c r="B657" s="0" t="inlineStr">
        <s:is>
          <s:t>이종훈</s:t>
        </s:is>
      </s:c>
      <s:c r="C657" s="0" t="n">
        <s:v>112912</s:v>
      </s:c>
      <s:c r="D657" s="0" t="n">
        <s:v>770</s:v>
      </s:c>
      <s:c r="F657" s="24">
        <s:f>'자료구성'!$B$2+TIME(INT($C$3/10000),INT(MOD($C$3,10000)/100),MOD($C$3,100))+(ROW()-ROW($C$3))/86400</s:f>
        <s:v>46247.486180555556</s:v>
      </s:c>
    </s:row>
    <s:row r="658">
      <s:c r="A658" s="0" t="n">
        <s:v>260813</s:v>
      </s:c>
      <s:c r="B658" s="0" t="inlineStr">
        <s:is>
          <s:t>이종훈</s:t>
        </s:is>
      </s:c>
      <s:c r="C658" s="0" t="n">
        <s:v>112912</s:v>
      </s:c>
      <s:c r="D658" s="0" t="n">
        <s:v>858</s:v>
      </s:c>
      <s:c r="F658" s="24">
        <s:f>'자료구성'!$B$2+TIME(INT($C$3/10000),INT(MOD($C$3,10000)/100),MOD($C$3,100))+(ROW()-ROW($C$3))/86400</s:f>
        <s:v>46247.48619212963</s:v>
      </s:c>
    </s:row>
    <s:row r="659">
      <s:c r="A659" s="0" t="n">
        <s:v>260813</s:v>
      </s:c>
      <s:c r="B659" s="0" t="inlineStr">
        <s:is>
          <s:t>이종훈</s:t>
        </s:is>
      </s:c>
      <s:c r="C659" s="0" t="n">
        <s:v>112912</s:v>
      </s:c>
      <s:c r="D659" s="0" t="n">
        <s:v>870</s:v>
      </s:c>
      <s:c r="F659" s="24">
        <s:f>'자료구성'!$B$2+TIME(INT($C$3/10000),INT(MOD($C$3,10000)/100),MOD($C$3,100))+(ROW()-ROW($C$3))/86400</s:f>
        <s:v>46247.4862037037</s:v>
      </s:c>
    </s:row>
    <s:row r="660">
      <s:c r="A660" s="0" t="n">
        <s:v>260813</s:v>
      </s:c>
      <s:c r="B660" s="0" t="inlineStr">
        <s:is>
          <s:t>이종훈</s:t>
        </s:is>
      </s:c>
      <s:c r="C660" s="0" t="n">
        <s:v>112912</s:v>
      </s:c>
      <s:c r="D660" s="0" t="n">
        <s:v>866</s:v>
      </s:c>
      <s:c r="F660" s="24">
        <s:f>'자료구성'!$B$2+TIME(INT($C$3/10000),INT(MOD($C$3,10000)/100),MOD($C$3,100))+(ROW()-ROW($C$3))/86400</s:f>
        <s:v>46247.48621527778</s:v>
      </s:c>
    </s:row>
    <s:row r="661">
      <s:c r="A661" s="0" t="n">
        <s:v>260813</s:v>
      </s:c>
      <s:c r="B661" s="0" t="inlineStr">
        <s:is>
          <s:t>이종훈</s:t>
        </s:is>
      </s:c>
      <s:c r="C661" s="0" t="n">
        <s:v>112912</s:v>
      </s:c>
      <s:c r="D661" s="0" t="n">
        <s:v>929</s:v>
      </s:c>
      <s:c r="F661" s="24">
        <s:f>'자료구성'!$B$2+TIME(INT($C$3/10000),INT(MOD($C$3,10000)/100),MOD($C$3,100))+(ROW()-ROW($C$3))/86400</s:f>
        <s:v>46247.486226851855</s:v>
      </s:c>
    </s:row>
    <s:row r="662">
      <s:c r="A662" s="0" t="n">
        <s:v>260813</s:v>
      </s:c>
      <s:c r="B662" s="0" t="inlineStr">
        <s:is>
          <s:t>이종훈</s:t>
        </s:is>
      </s:c>
      <s:c r="C662" s="0" t="n">
        <s:v>112912</s:v>
      </s:c>
      <s:c r="D662" s="0" t="n">
        <s:v>56</s:v>
      </s:c>
      <s:c r="F662" s="24">
        <s:f>'자료구성'!$B$2+TIME(INT($C$3/10000),INT(MOD($C$3,10000)/100),MOD($C$3,100))+(ROW()-ROW($C$3))/86400</s:f>
        <s:v>46247.486238425925</s:v>
      </s:c>
    </s:row>
    <s:row r="663">
      <s:c r="A663" s="0" t="n">
        <s:v>260813</s:v>
      </s:c>
      <s:c r="B663" s="0" t="inlineStr">
        <s:is>
          <s:t>이종훈</s:t>
        </s:is>
      </s:c>
      <s:c r="C663" s="0" t="n">
        <s:v>112912</s:v>
      </s:c>
      <s:c r="D663" s="0" t="n">
        <s:v>93</s:v>
      </s:c>
      <s:c r="F663" s="24">
        <s:f>'자료구성'!$B$2+TIME(INT($C$3/10000),INT(MOD($C$3,10000)/100),MOD($C$3,100))+(ROW()-ROW($C$3))/86400</s:f>
        <s:v>46247.48625</s:v>
      </s:c>
    </s:row>
    <s:row r="664">
      <s:c r="A664" s="0" t="n">
        <s:v>260813</s:v>
      </s:c>
      <s:c r="B664" s="0" t="inlineStr">
        <s:is>
          <s:t>이종훈</s:t>
        </s:is>
      </s:c>
      <s:c r="C664" s="0" t="n">
        <s:v>112912</s:v>
      </s:c>
      <s:c r="D664" s="0" t="n">
        <s:v>54</s:v>
      </s:c>
      <s:c r="F664" s="24">
        <s:f>'자료구성'!$B$2+TIME(INT($C$3/10000),INT(MOD($C$3,10000)/100),MOD($C$3,100))+(ROW()-ROW($C$3))/86400</s:f>
        <s:v>46247.48626157407</s:v>
      </s:c>
    </s:row>
    <s:row r="665">
      <s:c r="A665" s="0" t="n">
        <s:v>260813</s:v>
      </s:c>
      <s:c r="B665" s="0" t="inlineStr">
        <s:is>
          <s:t>이종훈</s:t>
        </s:is>
      </s:c>
      <s:c r="C665" s="0" t="n">
        <s:v>112912</s:v>
      </s:c>
      <s:c r="D665" s="0" t="n">
        <s:v>6</s:v>
      </s:c>
      <s:c r="F665" s="24">
        <s:f>'자료구성'!$B$2+TIME(INT($C$3/10000),INT(MOD($C$3,10000)/100),MOD($C$3,100))+(ROW()-ROW($C$3))/86400</s:f>
        <s:v>46247.48627314815</s:v>
      </s:c>
    </s:row>
    <s:row r="666">
      <s:c r="A666" s="0" t="n">
        <s:v>260813</s:v>
      </s:c>
      <s:c r="B666" s="0" t="inlineStr">
        <s:is>
          <s:t>이종훈</s:t>
        </s:is>
      </s:c>
      <s:c r="C666" s="0" t="n">
        <s:v>112912</s:v>
      </s:c>
      <s:c r="D666" s="0" t="n">
        <s:v>963</s:v>
      </s:c>
      <s:c r="F666" s="24">
        <s:f>'자료구성'!$B$2+TIME(INT($C$3/10000),INT(MOD($C$3,10000)/100),MOD($C$3,100))+(ROW()-ROW($C$3))/86400</s:f>
        <s:v>46247.486284722225</s:v>
      </s:c>
    </s:row>
    <s:row r="667">
      <s:c r="A667" s="0" t="n">
        <s:v>260813</s:v>
      </s:c>
      <s:c r="B667" s="0" t="inlineStr">
        <s:is>
          <s:t>이종훈</s:t>
        </s:is>
      </s:c>
      <s:c r="C667" s="0" t="n">
        <s:v>112912</s:v>
      </s:c>
      <s:c r="D667" s="0" t="n">
        <s:v>913</s:v>
      </s:c>
      <s:c r="F667" s="24">
        <s:f>'자료구성'!$B$2+TIME(INT($C$3/10000),INT(MOD($C$3,10000)/100),MOD($C$3,100))+(ROW()-ROW($C$3))/86400</s:f>
        <s:v>46247.486296296294</s:v>
      </s:c>
    </s:row>
    <s:row r="668">
      <s:c r="A668" s="0" t="n">
        <s:v>260813</s:v>
      </s:c>
      <s:c r="B668" s="0" t="inlineStr">
        <s:is>
          <s:t>이종훈</s:t>
        </s:is>
      </s:c>
      <s:c r="C668" s="0" t="n">
        <s:v>112912</s:v>
      </s:c>
      <s:c r="D668" s="0" t="n">
        <s:v>872</s:v>
      </s:c>
      <s:c r="F668" s="24">
        <s:f>'자료구성'!$B$2+TIME(INT($C$3/10000),INT(MOD($C$3,10000)/100),MOD($C$3,100))+(ROW()-ROW($C$3))/86400</s:f>
        <s:v>46247.48630787037</s:v>
      </s:c>
    </s:row>
    <s:row r="669">
      <s:c r="A669" s="0" t="n">
        <s:v>260813</s:v>
      </s:c>
      <s:c r="B669" s="0" t="inlineStr">
        <s:is>
          <s:t>이종훈</s:t>
        </s:is>
      </s:c>
      <s:c r="C669" s="0" t="n">
        <s:v>112912</s:v>
      </s:c>
      <s:c r="D669" s="0" t="n">
        <s:v>856</s:v>
      </s:c>
      <s:c r="F669" s="24">
        <s:f>'자료구성'!$B$2+TIME(INT($C$3/10000),INT(MOD($C$3,10000)/100),MOD($C$3,100))+(ROW()-ROW($C$3))/86400</s:f>
        <s:v>46247.48631944445</s:v>
      </s:c>
    </s:row>
    <s:row r="670">
      <s:c r="A670" s="0" t="n">
        <s:v>260813</s:v>
      </s:c>
      <s:c r="B670" s="0" t="inlineStr">
        <s:is>
          <s:t>이종훈</s:t>
        </s:is>
      </s:c>
      <s:c r="C670" s="0" t="n">
        <s:v>112912</s:v>
      </s:c>
      <s:c r="D670" s="0" t="n">
        <s:v>837</s:v>
      </s:c>
      <s:c r="F670" s="24">
        <s:f>'자료구성'!$B$2+TIME(INT($C$3/10000),INT(MOD($C$3,10000)/100),MOD($C$3,100))+(ROW()-ROW($C$3))/86400</s:f>
        <s:v>46247.48633101852</s:v>
      </s:c>
    </s:row>
    <s:row r="671">
      <s:c r="A671" s="0" t="n">
        <s:v>260813</s:v>
      </s:c>
      <s:c r="B671" s="0" t="inlineStr">
        <s:is>
          <s:t>이종훈</s:t>
        </s:is>
      </s:c>
      <s:c r="C671" s="0" t="n">
        <s:v>112912</s:v>
      </s:c>
      <s:c r="D671" s="0" t="n">
        <s:v>834</s:v>
      </s:c>
      <s:c r="F671" s="24">
        <s:f>'자료구성'!$B$2+TIME(INT($C$3/10000),INT(MOD($C$3,10000)/100),MOD($C$3,100))+(ROW()-ROW($C$3))/86400</s:f>
        <s:v>46247.486342592594</s:v>
      </s:c>
    </s:row>
    <s:row r="672">
      <s:c r="A672" s="0" t="n">
        <s:v>260813</s:v>
      </s:c>
      <s:c r="B672" s="0" t="inlineStr">
        <s:is>
          <s:t>이종훈</s:t>
        </s:is>
      </s:c>
      <s:c r="C672" s="0" t="n">
        <s:v>112912</s:v>
      </s:c>
      <s:c r="D672" s="0" t="n">
        <s:v>825</s:v>
      </s:c>
      <s:c r="F672" s="24">
        <s:f>'자료구성'!$B$2+TIME(INT($C$3/10000),INT(MOD($C$3,10000)/100),MOD($C$3,100))+(ROW()-ROW($C$3))/86400</s:f>
        <s:v>46247.486354166664</s:v>
      </s:c>
    </s:row>
    <s:row r="673">
      <s:c r="A673" s="0" t="n">
        <s:v>260813</s:v>
      </s:c>
      <s:c r="B673" s="0" t="inlineStr">
        <s:is>
          <s:t>이종훈</s:t>
        </s:is>
      </s:c>
      <s:c r="C673" s="0" t="n">
        <s:v>112912</s:v>
      </s:c>
      <s:c r="D673" s="0" t="n">
        <s:v>817</s:v>
      </s:c>
      <s:c r="F673" s="24">
        <s:f>'자료구성'!$B$2+TIME(INT($C$3/10000),INT(MOD($C$3,10000)/100),MOD($C$3,100))+(ROW()-ROW($C$3))/86400</s:f>
        <s:v>46247.48636574074</s:v>
      </s:c>
    </s:row>
    <s:row r="674">
      <s:c r="A674" s="0" t="n">
        <s:v>260813</s:v>
      </s:c>
      <s:c r="B674" s="0" t="inlineStr">
        <s:is>
          <s:t>이종훈</s:t>
        </s:is>
      </s:c>
      <s:c r="C674" s="0" t="n">
        <s:v>112912</s:v>
      </s:c>
      <s:c r="D674" s="0" t="n">
        <s:v>821</s:v>
      </s:c>
      <s:c r="F674" s="24">
        <s:f>'자료구성'!$B$2+TIME(INT($C$3/10000),INT(MOD($C$3,10000)/100),MOD($C$3,100))+(ROW()-ROW($C$3))/86400</s:f>
        <s:v>46247.48637731482</s:v>
      </s:c>
    </s:row>
    <s:row r="675">
      <s:c r="A675" s="0" t="n">
        <s:v>260813</s:v>
      </s:c>
      <s:c r="B675" s="0" t="inlineStr">
        <s:is>
          <s:t>이종훈</s:t>
        </s:is>
      </s:c>
      <s:c r="C675" s="0" t="n">
        <s:v>112912</s:v>
      </s:c>
      <s:c r="D675" s="0" t="n">
        <s:v>821</s:v>
      </s:c>
      <s:c r="F675" s="24">
        <s:f>'자료구성'!$B$2+TIME(INT($C$3/10000),INT(MOD($C$3,10000)/100),MOD($C$3,100))+(ROW()-ROW($C$3))/86400</s:f>
        <s:v>46247.48638888889</s:v>
      </s:c>
    </s:row>
    <s:row r="676">
      <s:c r="A676" s="0" t="n">
        <s:v>260813</s:v>
      </s:c>
      <s:c r="B676" s="0" t="inlineStr">
        <s:is>
          <s:t>이종훈</s:t>
        </s:is>
      </s:c>
      <s:c r="C676" s="0" t="n">
        <s:v>112912</s:v>
      </s:c>
      <s:c r="D676" s="0" t="n">
        <s:v>831</s:v>
      </s:c>
      <s:c r="F676" s="24">
        <s:f>'자료구성'!$B$2+TIME(INT($C$3/10000),INT(MOD($C$3,10000)/100),MOD($C$3,100))+(ROW()-ROW($C$3))/86400</s:f>
        <s:v>46247.48640046296</s:v>
      </s:c>
    </s:row>
    <s:row r="677">
      <s:c r="A677" s="0" t="n">
        <s:v>260813</s:v>
      </s:c>
      <s:c r="B677" s="0" t="inlineStr">
        <s:is>
          <s:t>이종훈</s:t>
        </s:is>
      </s:c>
      <s:c r="C677" s="0" t="n">
        <s:v>112912</s:v>
      </s:c>
      <s:c r="D677" s="0" t="n">
        <s:v>834</s:v>
      </s:c>
      <s:c r="F677" s="24">
        <s:f>'자료구성'!$B$2+TIME(INT($C$3/10000),INT(MOD($C$3,10000)/100),MOD($C$3,100))+(ROW()-ROW($C$3))/86400</s:f>
        <s:v>46247.48641203704</s:v>
      </s:c>
    </s:row>
    <s:row r="678">
      <s:c r="A678" s="0" t="n">
        <s:v>260813</s:v>
      </s:c>
      <s:c r="B678" s="0" t="inlineStr">
        <s:is>
          <s:t>이종훈</s:t>
        </s:is>
      </s:c>
      <s:c r="C678" s="0" t="n">
        <s:v>112912</s:v>
      </s:c>
      <s:c r="D678" s="0" t="n">
        <s:v>857</s:v>
      </s:c>
      <s:c r="F678" s="24">
        <s:f>'자료구성'!$B$2+TIME(INT($C$3/10000),INT(MOD($C$3,10000)/100),MOD($C$3,100))+(ROW()-ROW($C$3))/86400</s:f>
        <s:v>46247.48642361111</s:v>
      </s:c>
    </s:row>
    <s:row r="679">
      <s:c r="A679" s="0" t="n">
        <s:v>260813</s:v>
      </s:c>
      <s:c r="B679" s="0" t="inlineStr">
        <s:is>
          <s:t>이종훈</s:t>
        </s:is>
      </s:c>
      <s:c r="C679" s="0" t="n">
        <s:v>112912</s:v>
      </s:c>
      <s:c r="D679" s="0" t="n">
        <s:v>940</s:v>
      </s:c>
      <s:c r="F679" s="24">
        <s:f>'자료구성'!$B$2+TIME(INT($C$3/10000),INT(MOD($C$3,10000)/100),MOD($C$3,100))+(ROW()-ROW($C$3))/86400</s:f>
        <s:v>46247.48643518519</s:v>
      </s:c>
    </s:row>
    <s:row r="680">
      <s:c r="A680" s="0" t="n">
        <s:v>260813</s:v>
      </s:c>
      <s:c r="B680" s="0" t="inlineStr">
        <s:is>
          <s:t>이종훈</s:t>
        </s:is>
      </s:c>
      <s:c r="C680" s="0" t="n">
        <s:v>112912</s:v>
      </s:c>
      <s:c r="D680" s="0" t="n">
        <s:v>17</s:v>
      </s:c>
      <s:c r="F680" s="24">
        <s:f>'자료구성'!$B$2+TIME(INT($C$3/10000),INT(MOD($C$3,10000)/100),MOD($C$3,100))+(ROW()-ROW($C$3))/86400</s:f>
        <s:v>46247.486446759256</s:v>
      </s:c>
    </s:row>
    <s:row r="681">
      <s:c r="A681" s="0" t="n">
        <s:v>260813</s:v>
      </s:c>
      <s:c r="B681" s="0" t="inlineStr">
        <s:is>
          <s:t>이종훈</s:t>
        </s:is>
      </s:c>
      <s:c r="C681" s="0" t="n">
        <s:v>112912</s:v>
      </s:c>
      <s:c r="D681" s="0" t="n">
        <s:v>61</s:v>
      </s:c>
      <s:c r="F681" s="24">
        <s:f>'자료구성'!$B$2+TIME(INT($C$3/10000),INT(MOD($C$3,10000)/100),MOD($C$3,100))+(ROW()-ROW($C$3))/86400</s:f>
        <s:v>46247.48645833333</s:v>
      </s:c>
    </s:row>
    <s:row r="682">
      <s:c r="A682" s="0" t="n">
        <s:v>260813</s:v>
      </s:c>
      <s:c r="B682" s="0" t="inlineStr">
        <s:is>
          <s:t>이종훈</s:t>
        </s:is>
      </s:c>
      <s:c r="C682" s="0" t="n">
        <s:v>112912</s:v>
      </s:c>
      <s:c r="D682" s="0" t="n">
        <s:v>124</s:v>
      </s:c>
      <s:c r="F682" s="24">
        <s:f>'자료구성'!$B$2+TIME(INT($C$3/10000),INT(MOD($C$3,10000)/100),MOD($C$3,100))+(ROW()-ROW($C$3))/86400</s:f>
        <s:v>46247.48646990741</s:v>
      </s:c>
    </s:row>
    <s:row r="683">
      <s:c r="A683" s="0" t="n">
        <s:v>260813</s:v>
      </s:c>
      <s:c r="B683" s="0" t="inlineStr">
        <s:is>
          <s:t>이종훈</s:t>
        </s:is>
      </s:c>
      <s:c r="C683" s="0" t="n">
        <s:v>112912</s:v>
      </s:c>
      <s:c r="D683" s="0" t="n">
        <s:v>137</s:v>
      </s:c>
      <s:c r="F683" s="24">
        <s:f>'자료구성'!$B$2+TIME(INT($C$3/10000),INT(MOD($C$3,10000)/100),MOD($C$3,100))+(ROW()-ROW($C$3))/86400</s:f>
        <s:v>46247.48648148148</s:v>
      </s:c>
    </s:row>
    <s:row r="684">
      <s:c r="A684" s="0" t="n">
        <s:v>260813</s:v>
      </s:c>
      <s:c r="B684" s="0" t="inlineStr">
        <s:is>
          <s:t>이종훈</s:t>
        </s:is>
      </s:c>
      <s:c r="C684" s="0" t="n">
        <s:v>112912</s:v>
      </s:c>
      <s:c r="D684" s="0" t="n">
        <s:v>124</s:v>
      </s:c>
      <s:c r="F684" s="24">
        <s:f>'자료구성'!$B$2+TIME(INT($C$3/10000),INT(MOD($C$3,10000)/100),MOD($C$3,100))+(ROW()-ROW($C$3))/86400</s:f>
        <s:v>46247.486493055556</s:v>
      </s:c>
    </s:row>
    <s:row r="685">
      <s:c r="A685" s="0" t="n">
        <s:v>260813</s:v>
      </s:c>
      <s:c r="B685" s="0" t="inlineStr">
        <s:is>
          <s:t>이종훈</s:t>
        </s:is>
      </s:c>
      <s:c r="C685" s="0" t="n">
        <s:v>112912</s:v>
      </s:c>
      <s:c r="D685" s="0" t="n">
        <s:v>195</s:v>
      </s:c>
      <s:c r="F685" s="24">
        <s:f>'자료구성'!$B$2+TIME(INT($C$3/10000),INT(MOD($C$3,10000)/100),MOD($C$3,100))+(ROW()-ROW($C$3))/86400</s:f>
        <s:v>46247.48650462963</s:v>
      </s:c>
    </s:row>
    <s:row r="686">
      <s:c r="A686" s="0" t="n">
        <s:v>260813</s:v>
      </s:c>
      <s:c r="B686" s="0" t="inlineStr">
        <s:is>
          <s:t>이종훈</s:t>
        </s:is>
      </s:c>
      <s:c r="C686" s="0" t="n">
        <s:v>112912</s:v>
      </s:c>
      <s:c r="D686" s="0" t="n">
        <s:v>260</s:v>
      </s:c>
      <s:c r="F686" s="24">
        <s:f>'자료구성'!$B$2+TIME(INT($C$3/10000),INT(MOD($C$3,10000)/100),MOD($C$3,100))+(ROW()-ROW($C$3))/86400</s:f>
        <s:v>46247.4865162037</s:v>
      </s:c>
    </s:row>
    <s:row r="687">
      <s:c r="A687" s="0" t="n">
        <s:v>260813</s:v>
      </s:c>
      <s:c r="B687" s="0" t="inlineStr">
        <s:is>
          <s:t>이종훈</s:t>
        </s:is>
      </s:c>
      <s:c r="C687" s="0" t="n">
        <s:v>112912</s:v>
      </s:c>
      <s:c r="D687" s="0" t="n">
        <s:v>284</s:v>
      </s:c>
      <s:c r="F687" s="24">
        <s:f>'자료구성'!$B$2+TIME(INT($C$3/10000),INT(MOD($C$3,10000)/100),MOD($C$3,100))+(ROW()-ROW($C$3))/86400</s:f>
        <s:v>46247.48652777778</s:v>
      </s:c>
    </s:row>
    <s:row r="688">
      <s:c r="A688" s="0" t="n">
        <s:v>260813</s:v>
      </s:c>
      <s:c r="B688" s="0" t="inlineStr">
        <s:is>
          <s:t>이종훈</s:t>
        </s:is>
      </s:c>
      <s:c r="C688" s="0" t="n">
        <s:v>112912</s:v>
      </s:c>
      <s:c r="D688" s="0" t="n">
        <s:v>319</s:v>
      </s:c>
      <s:c r="F688" s="24">
        <s:f>'자료구성'!$B$2+TIME(INT($C$3/10000),INT(MOD($C$3,10000)/100),MOD($C$3,100))+(ROW()-ROW($C$3))/86400</s:f>
        <s:v>46247.48653935185</s:v>
      </s:c>
    </s:row>
    <s:row r="689">
      <s:c r="A689" s="0" t="n">
        <s:v>260813</s:v>
      </s:c>
      <s:c r="B689" s="0" t="inlineStr">
        <s:is>
          <s:t>이종훈</s:t>
        </s:is>
      </s:c>
      <s:c r="C689" s="0" t="n">
        <s:v>112912</s:v>
      </s:c>
      <s:c r="D689" s="0" t="n">
        <s:v>345</s:v>
      </s:c>
      <s:c r="F689" s="24">
        <s:f>'자료구성'!$B$2+TIME(INT($C$3/10000),INT(MOD($C$3,10000)/100),MOD($C$3,100))+(ROW()-ROW($C$3))/86400</s:f>
        <s:v>46247.486550925925</s:v>
      </s:c>
    </s:row>
    <s:row r="690">
      <s:c r="A690" s="0" t="n">
        <s:v>260813</s:v>
      </s:c>
      <s:c r="B690" s="0" t="inlineStr">
        <s:is>
          <s:t>이종훈</s:t>
        </s:is>
      </s:c>
      <s:c r="C690" s="0" t="n">
        <s:v>112912</s:v>
      </s:c>
      <s:c r="D690" s="0" t="n">
        <s:v>359</s:v>
      </s:c>
      <s:c r="F690" s="24">
        <s:f>'자료구성'!$B$2+TIME(INT($C$3/10000),INT(MOD($C$3,10000)/100),MOD($C$3,100))+(ROW()-ROW($C$3))/86400</s:f>
        <s:v>46247.4865625</s:v>
      </s:c>
    </s:row>
    <s:row r="691">
      <s:c r="A691" s="0" t="n">
        <s:v>260813</s:v>
      </s:c>
      <s:c r="B691" s="0" t="inlineStr">
        <s:is>
          <s:t>이종훈</s:t>
        </s:is>
      </s:c>
      <s:c r="C691" s="0" t="n">
        <s:v>112912</s:v>
      </s:c>
      <s:c r="D691" s="0" t="n">
        <s:v>386</s:v>
      </s:c>
      <s:c r="F691" s="24">
        <s:f>'자료구성'!$B$2+TIME(INT($C$3/10000),INT(MOD($C$3,10000)/100),MOD($C$3,100))+(ROW()-ROW($C$3))/86400</s:f>
        <s:v>46247.48657407407</s:v>
      </s:c>
    </s:row>
    <s:row r="692">
      <s:c r="A692" s="0" t="n">
        <s:v>260813</s:v>
      </s:c>
      <s:c r="B692" s="0" t="inlineStr">
        <s:is>
          <s:t>이종훈</s:t>
        </s:is>
      </s:c>
      <s:c r="C692" s="0" t="n">
        <s:v>112912</s:v>
      </s:c>
      <s:c r="D692" s="0" t="n">
        <s:v>404</s:v>
      </s:c>
      <s:c r="F692" s="24">
        <s:f>'자료구성'!$B$2+TIME(INT($C$3/10000),INT(MOD($C$3,10000)/100),MOD($C$3,100))+(ROW()-ROW($C$3))/86400</s:f>
        <s:v>46247.48658564815</s:v>
      </s:c>
    </s:row>
    <s:row r="693">
      <s:c r="A693" s="0" t="n">
        <s:v>260813</s:v>
      </s:c>
      <s:c r="B693" s="0" t="inlineStr">
        <s:is>
          <s:t>이종훈</s:t>
        </s:is>
      </s:c>
      <s:c r="C693" s="0" t="n">
        <s:v>112912</s:v>
      </s:c>
      <s:c r="D693" s="0" t="n">
        <s:v>403</s:v>
      </s:c>
      <s:c r="F693" s="24">
        <s:f>'자료구성'!$B$2+TIME(INT($C$3/10000),INT(MOD($C$3,10000)/100),MOD($C$3,100))+(ROW()-ROW($C$3))/86400</s:f>
        <s:v>46247.486597222225</s:v>
      </s:c>
    </s:row>
    <s:row r="694">
      <s:c r="A694" s="0" t="n">
        <s:v>260813</s:v>
      </s:c>
      <s:c r="B694" s="0" t="inlineStr">
        <s:is>
          <s:t>이종훈</s:t>
        </s:is>
      </s:c>
      <s:c r="C694" s="0" t="n">
        <s:v>112912</s:v>
      </s:c>
      <s:c r="D694" s="0" t="n">
        <s:v>322</s:v>
      </s:c>
      <s:c r="F694" s="24">
        <s:f>'자료구성'!$B$2+TIME(INT($C$3/10000),INT(MOD($C$3,10000)/100),MOD($C$3,100))+(ROW()-ROW($C$3))/86400</s:f>
        <s:v>46247.486608796295</s:v>
      </s:c>
    </s:row>
    <s:row r="695">
      <s:c r="A695" s="0" t="n">
        <s:v>260813</s:v>
      </s:c>
      <s:c r="B695" s="0" t="inlineStr">
        <s:is>
          <s:t>이종훈</s:t>
        </s:is>
      </s:c>
      <s:c r="C695" s="0" t="n">
        <s:v>112912</s:v>
      </s:c>
      <s:c r="D695" s="0" t="n">
        <s:v>284</s:v>
      </s:c>
      <s:c r="F695" s="24">
        <s:f>'자료구성'!$B$2+TIME(INT($C$3/10000),INT(MOD($C$3,10000)/100),MOD($C$3,100))+(ROW()-ROW($C$3))/86400</s:f>
        <s:v>46247.48662037037</s:v>
      </s:c>
    </s:row>
    <s:row r="696">
      <s:c r="A696" s="0" t="n">
        <s:v>260813</s:v>
      </s:c>
      <s:c r="B696" s="0" t="inlineStr">
        <s:is>
          <s:t>이종훈</s:t>
        </s:is>
      </s:c>
      <s:c r="C696" s="0" t="n">
        <s:v>112912</s:v>
      </s:c>
      <s:c r="D696" s="0" t="n">
        <s:v>220</s:v>
      </s:c>
      <s:c r="F696" s="24">
        <s:f>'자료구성'!$B$2+TIME(INT($C$3/10000),INT(MOD($C$3,10000)/100),MOD($C$3,100))+(ROW()-ROW($C$3))/86400</s:f>
        <s:v>46247.48663194444</s:v>
      </s:c>
    </s:row>
    <s:row r="697">
      <s:c r="A697" s="0" t="n">
        <s:v>260813</s:v>
      </s:c>
      <s:c r="B697" s="0" t="inlineStr">
        <s:is>
          <s:t>이종훈</s:t>
        </s:is>
      </s:c>
      <s:c r="C697" s="0" t="n">
        <s:v>112912</s:v>
      </s:c>
      <s:c r="D697" s="0" t="n">
        <s:v>176</s:v>
      </s:c>
      <s:c r="F697" s="24">
        <s:f>'자료구성'!$B$2+TIME(INT($C$3/10000),INT(MOD($C$3,10000)/100),MOD($C$3,100))+(ROW()-ROW($C$3))/86400</s:f>
        <s:v>46247.48664351852</s:v>
      </s:c>
    </s:row>
    <s:row r="698">
      <s:c r="A698" s="0" t="n">
        <s:v>260813</s:v>
      </s:c>
      <s:c r="B698" s="0" t="inlineStr">
        <s:is>
          <s:t>이종훈</s:t>
        </s:is>
      </s:c>
      <s:c r="C698" s="0" t="n">
        <s:v>112912</s:v>
      </s:c>
      <s:c r="D698" s="0" t="n">
        <s:v>165</s:v>
      </s:c>
      <s:c r="F698" s="24">
        <s:f>'자료구성'!$B$2+TIME(INT($C$3/10000),INT(MOD($C$3,10000)/100),MOD($C$3,100))+(ROW()-ROW($C$3))/86400</s:f>
        <s:v>46247.486655092594</s:v>
      </s:c>
    </s:row>
    <s:row r="699">
      <s:c r="A699" s="0" t="n">
        <s:v>260813</s:v>
      </s:c>
      <s:c r="B699" s="0" t="inlineStr">
        <s:is>
          <s:t>이종훈</s:t>
        </s:is>
      </s:c>
      <s:c r="C699" s="0" t="n">
        <s:v>112912</s:v>
      </s:c>
      <s:c r="D699" s="0" t="n">
        <s:v>122</s:v>
      </s:c>
      <s:c r="F699" s="24">
        <s:f>'자료구성'!$B$2+TIME(INT($C$3/10000),INT(MOD($C$3,10000)/100),MOD($C$3,100))+(ROW()-ROW($C$3))/86400</s:f>
        <s:v>46247.486666666664</s:v>
      </s:c>
    </s:row>
    <s:row r="700">
      <s:c r="A700" s="0" t="n">
        <s:v>260813</s:v>
      </s:c>
      <s:c r="B700" s="0" t="inlineStr">
        <s:is>
          <s:t>이종훈</s:t>
        </s:is>
      </s:c>
      <s:c r="C700" s="0" t="n">
        <s:v>112912</s:v>
      </s:c>
      <s:c r="D700" s="0" t="n">
        <s:v>101</s:v>
      </s:c>
      <s:c r="F700" s="24">
        <s:f>'자료구성'!$B$2+TIME(INT($C$3/10000),INT(MOD($C$3,10000)/100),MOD($C$3,100))+(ROW()-ROW($C$3))/86400</s:f>
        <s:v>46247.48667824074</s:v>
      </s:c>
    </s:row>
    <s:row r="701">
      <s:c r="A701" s="0" t="n">
        <s:v>260813</s:v>
      </s:c>
      <s:c r="B701" s="0" t="inlineStr">
        <s:is>
          <s:t>이종훈</s:t>
        </s:is>
      </s:c>
      <s:c r="C701" s="0" t="n">
        <s:v>112912</s:v>
      </s:c>
      <s:c r="D701" s="0" t="n">
        <s:v>34</s:v>
      </s:c>
      <s:c r="F701" s="24">
        <s:f>'자료구성'!$B$2+TIME(INT($C$3/10000),INT(MOD($C$3,10000)/100),MOD($C$3,100))+(ROW()-ROW($C$3))/86400</s:f>
        <s:v>46247.48668981482</s:v>
      </s:c>
    </s:row>
    <s:row r="702">
      <s:c r="A702" s="0" t="n">
        <s:v>260813</s:v>
      </s:c>
      <s:c r="B702" s="0" t="inlineStr">
        <s:is>
          <s:t>이종훈</s:t>
        </s:is>
      </s:c>
      <s:c r="C702" s="0" t="n">
        <s:v>112912</s:v>
      </s:c>
      <s:c r="D702" s="0" t="n">
        <s:v>983</s:v>
      </s:c>
      <s:c r="F702" s="24">
        <s:f>'자료구성'!$B$2+TIME(INT($C$3/10000),INT(MOD($C$3,10000)/100),MOD($C$3,100))+(ROW()-ROW($C$3))/86400</s:f>
        <s:v>46247.48670138889</s:v>
      </s:c>
    </s:row>
    <s:row r="703">
      <s:c r="A703" s="0" t="n">
        <s:v>260813</s:v>
      </s:c>
      <s:c r="B703" s="0" t="inlineStr">
        <s:is>
          <s:t>이종훈</s:t>
        </s:is>
      </s:c>
      <s:c r="C703" s="0" t="n">
        <s:v>112912</s:v>
      </s:c>
      <s:c r="D703" s="0" t="n">
        <s:v>958</s:v>
      </s:c>
      <s:c r="F703" s="24">
        <s:f>'자료구성'!$B$2+TIME(INT($C$3/10000),INT(MOD($C$3,10000)/100),MOD($C$3,100))+(ROW()-ROW($C$3))/86400</s:f>
        <s:v>46247.486712962964</s:v>
      </s:c>
    </s:row>
    <s:row r="704">
      <s:c r="A704" s="0" t="n">
        <s:v>260813</s:v>
      </s:c>
      <s:c r="B704" s="0" t="inlineStr">
        <s:is>
          <s:t>이종훈</s:t>
        </s:is>
      </s:c>
      <s:c r="C704" s="0" t="n">
        <s:v>112912</s:v>
      </s:c>
      <s:c r="D704" s="0" t="n">
        <s:v>955</s:v>
      </s:c>
      <s:c r="F704" s="24">
        <s:f>'자료구성'!$B$2+TIME(INT($C$3/10000),INT(MOD($C$3,10000)/100),MOD($C$3,100))+(ROW()-ROW($C$3))/86400</s:f>
        <s:v>46247.48672453704</s:v>
      </s:c>
    </s:row>
    <s:row r="705">
      <s:c r="A705" s="0" t="n">
        <s:v>260813</s:v>
      </s:c>
      <s:c r="B705" s="0" t="inlineStr">
        <s:is>
          <s:t>이종훈</s:t>
        </s:is>
      </s:c>
      <s:c r="C705" s="0" t="n">
        <s:v>112912</s:v>
      </s:c>
      <s:c r="D705" s="0" t="n">
        <s:v>952</s:v>
      </s:c>
      <s:c r="F705" s="24">
        <s:f>'자료구성'!$B$2+TIME(INT($C$3/10000),INT(MOD($C$3,10000)/100),MOD($C$3,100))+(ROW()-ROW($C$3))/86400</s:f>
        <s:v>46247.48673611111</s:v>
      </s:c>
    </s:row>
    <s:row r="706">
      <s:c r="A706" s="0" t="n">
        <s:v>260813</s:v>
      </s:c>
      <s:c r="B706" s="0" t="inlineStr">
        <s:is>
          <s:t>이종훈</s:t>
        </s:is>
      </s:c>
      <s:c r="C706" s="0" t="n">
        <s:v>112912</s:v>
      </s:c>
      <s:c r="D706" s="0" t="n">
        <s:v>949</s:v>
      </s:c>
      <s:c r="F706" s="24">
        <s:f>'자료구성'!$B$2+TIME(INT($C$3/10000),INT(MOD($C$3,10000)/100),MOD($C$3,100))+(ROW()-ROW($C$3))/86400</s:f>
        <s:v>46247.48674768519</s:v>
      </s:c>
    </s:row>
    <s:row r="707">
      <s:c r="A707" s="0" t="n">
        <s:v>260813</s:v>
      </s:c>
      <s:c r="B707" s="0" t="inlineStr">
        <s:is>
          <s:t>이종훈</s:t>
        </s:is>
      </s:c>
      <s:c r="C707" s="0" t="n">
        <s:v>112912</s:v>
      </s:c>
      <s:c r="D707" s="0" t="n">
        <s:v>949</s:v>
      </s:c>
      <s:c r="F707" s="24">
        <s:f>'자료구성'!$B$2+TIME(INT($C$3/10000),INT(MOD($C$3,10000)/100),MOD($C$3,100))+(ROW()-ROW($C$3))/86400</s:f>
        <s:v>46247.486759259256</s:v>
      </s:c>
    </s:row>
    <s:row r="708">
      <s:c r="A708" s="0" t="n">
        <s:v>260813</s:v>
      </s:c>
      <s:c r="B708" s="0" t="inlineStr">
        <s:is>
          <s:t>이종훈</s:t>
        </s:is>
      </s:c>
      <s:c r="C708" s="0" t="n">
        <s:v>112912</s:v>
      </s:c>
      <s:c r="D708" s="0" t="n">
        <s:v>953</s:v>
      </s:c>
      <s:c r="F708" s="24">
        <s:f>'자료구성'!$B$2+TIME(INT($C$3/10000),INT(MOD($C$3,10000)/100),MOD($C$3,100))+(ROW()-ROW($C$3))/86400</s:f>
        <s:v>46247.48677083333</s:v>
      </s:c>
    </s:row>
    <s:row r="709">
      <s:c r="A709" s="0" t="n">
        <s:v>260813</s:v>
      </s:c>
      <s:c r="B709" s="0" t="inlineStr">
        <s:is>
          <s:t>이종훈</s:t>
        </s:is>
      </s:c>
      <s:c r="C709" s="0" t="n">
        <s:v>112912</s:v>
      </s:c>
      <s:c r="D709" s="0" t="n">
        <s:v>951</s:v>
      </s:c>
      <s:c r="F709" s="24">
        <s:f>'자료구성'!$B$2+TIME(INT($C$3/10000),INT(MOD($C$3,10000)/100),MOD($C$3,100))+(ROW()-ROW($C$3))/86400</s:f>
        <s:v>46247.48678240741</s:v>
      </s:c>
    </s:row>
    <s:row r="710">
      <s:c r="A710" s="0" t="n">
        <s:v>260813</s:v>
      </s:c>
      <s:c r="B710" s="0" t="inlineStr">
        <s:is>
          <s:t>이종훈</s:t>
        </s:is>
      </s:c>
      <s:c r="C710" s="0" t="n">
        <s:v>112912</s:v>
      </s:c>
      <s:c r="D710" s="0" t="n">
        <s:v>993</s:v>
      </s:c>
      <s:c r="F710" s="24">
        <s:f>'자료구성'!$B$2+TIME(INT($C$3/10000),INT(MOD($C$3,10000)/100),MOD($C$3,100))+(ROW()-ROW($C$3))/86400</s:f>
        <s:v>46247.48679398148</s:v>
      </s:c>
    </s:row>
    <s:row r="711">
      <s:c r="A711" s="0" t="n">
        <s:v>260813</s:v>
      </s:c>
      <s:c r="B711" s="0" t="inlineStr">
        <s:is>
          <s:t>이종훈</s:t>
        </s:is>
      </s:c>
      <s:c r="C711" s="0" t="n">
        <s:v>112912</s:v>
      </s:c>
      <s:c r="D711" s="0" t="n">
        <s:v>9</s:v>
      </s:c>
      <s:c r="F711" s="24">
        <s:f>'자료구성'!$B$2+TIME(INT($C$3/10000),INT(MOD($C$3,10000)/100),MOD($C$3,100))+(ROW()-ROW($C$3))/86400</s:f>
        <s:v>46247.486805555556</s:v>
      </s:c>
    </s:row>
    <s:row r="712">
      <s:c r="A712" s="0" t="n">
        <s:v>260813</s:v>
      </s:c>
      <s:c r="B712" s="0" t="inlineStr">
        <s:is>
          <s:t>이종훈</s:t>
        </s:is>
      </s:c>
      <s:c r="C712" s="0" t="n">
        <s:v>112912</s:v>
      </s:c>
      <s:c r="D712" s="0" t="n">
        <s:v>978</s:v>
      </s:c>
      <s:c r="F712" s="24">
        <s:f>'자료구성'!$B$2+TIME(INT($C$3/10000),INT(MOD($C$3,10000)/100),MOD($C$3,100))+(ROW()-ROW($C$3))/86400</s:f>
        <s:v>46247.48681712963</s:v>
      </s:c>
    </s:row>
    <s:row r="713">
      <s:c r="A713" s="0" t="n">
        <s:v>260813</s:v>
      </s:c>
      <s:c r="B713" s="0" t="inlineStr">
        <s:is>
          <s:t>이종훈</s:t>
        </s:is>
      </s:c>
      <s:c r="C713" s="0" t="n">
        <s:v>112912</s:v>
      </s:c>
      <s:c r="D713" s="0" t="n">
        <s:v>937</s:v>
      </s:c>
      <s:c r="F713" s="24">
        <s:f>'자료구성'!$B$2+TIME(INT($C$3/10000),INT(MOD($C$3,10000)/100),MOD($C$3,100))+(ROW()-ROW($C$3))/86400</s:f>
        <s:v>46247.4868287037</s:v>
      </s:c>
    </s:row>
    <s:row r="714">
      <s:c r="A714" s="0" t="n">
        <s:v>260813</s:v>
      </s:c>
      <s:c r="B714" s="0" t="inlineStr">
        <s:is>
          <s:t>이종훈</s:t>
        </s:is>
      </s:c>
      <s:c r="C714" s="0" t="n">
        <s:v>112912</s:v>
      </s:c>
      <s:c r="D714" s="0" t="n">
        <s:v>892</s:v>
      </s:c>
      <s:c r="F714" s="24">
        <s:f>'자료구성'!$B$2+TIME(INT($C$3/10000),INT(MOD($C$3,10000)/100),MOD($C$3,100))+(ROW()-ROW($C$3))/86400</s:f>
        <s:v>46247.48684027778</s:v>
      </s:c>
    </s:row>
    <s:row r="715">
      <s:c r="A715" s="0" t="n">
        <s:v>260813</s:v>
      </s:c>
      <s:c r="B715" s="0" t="inlineStr">
        <s:is>
          <s:t>이종훈</s:t>
        </s:is>
      </s:c>
      <s:c r="C715" s="0" t="n">
        <s:v>112912</s:v>
      </s:c>
      <s:c r="D715" s="0" t="n">
        <s:v>920</s:v>
      </s:c>
      <s:c r="F715" s="24">
        <s:f>'자료구성'!$B$2+TIME(INT($C$3/10000),INT(MOD($C$3,10000)/100),MOD($C$3,100))+(ROW()-ROW($C$3))/86400</s:f>
        <s:v>46247.48685185185</s:v>
      </s:c>
    </s:row>
    <s:row r="716">
      <s:c r="A716" s="0" t="n">
        <s:v>260813</s:v>
      </s:c>
      <s:c r="B716" s="0" t="inlineStr">
        <s:is>
          <s:t>이종훈</s:t>
        </s:is>
      </s:c>
      <s:c r="C716" s="0" t="n">
        <s:v>112912</s:v>
      </s:c>
      <s:c r="D716" s="0" t="n">
        <s:v>964</s:v>
      </s:c>
      <s:c r="F716" s="24">
        <s:f>'자료구성'!$B$2+TIME(INT($C$3/10000),INT(MOD($C$3,10000)/100),MOD($C$3,100))+(ROW()-ROW($C$3))/86400</s:f>
        <s:v>46247.486863425926</s:v>
      </s:c>
    </s:row>
    <s:row r="717">
      <s:c r="A717" s="0" t="n">
        <s:v>260813</s:v>
      </s:c>
      <s:c r="B717" s="0" t="inlineStr">
        <s:is>
          <s:t>이종훈</s:t>
        </s:is>
      </s:c>
      <s:c r="C717" s="0" t="n">
        <s:v>112912</s:v>
      </s:c>
      <s:c r="D717" s="0" t="n">
        <s:v>998</s:v>
      </s:c>
      <s:c r="F717" s="24">
        <s:f>'자료구성'!$B$2+TIME(INT($C$3/10000),INT(MOD($C$3,10000)/100),MOD($C$3,100))+(ROW()-ROW($C$3))/86400</s:f>
        <s:v>46247.486875</s:v>
      </s:c>
    </s:row>
    <s:row r="718">
      <s:c r="A718" s="0" t="n">
        <s:v>260813</s:v>
      </s:c>
      <s:c r="B718" s="0" t="inlineStr">
        <s:is>
          <s:t>이종훈</s:t>
        </s:is>
      </s:c>
      <s:c r="C718" s="0" t="n">
        <s:v>112912</s:v>
      </s:c>
      <s:c r="D718" s="0" t="n">
        <s:v>13</s:v>
      </s:c>
      <s:c r="F718" s="24">
        <s:f>'자료구성'!$B$2+TIME(INT($C$3/10000),INT(MOD($C$3,10000)/100),MOD($C$3,100))+(ROW()-ROW($C$3))/86400</s:f>
        <s:v>46247.48688657407</s:v>
      </s:c>
    </s:row>
    <s:row r="719">
      <s:c r="A719" s="0" t="n">
        <s:v>260813</s:v>
      </s:c>
      <s:c r="B719" s="0" t="inlineStr">
        <s:is>
          <s:t>이종훈</s:t>
        </s:is>
      </s:c>
      <s:c r="C719" s="0" t="n">
        <s:v>112912</s:v>
      </s:c>
      <s:c r="D719" s="0" t="n">
        <s:v>34</s:v>
      </s:c>
      <s:c r="F719" s="24">
        <s:f>'자료구성'!$B$2+TIME(INT($C$3/10000),INT(MOD($C$3,10000)/100),MOD($C$3,100))+(ROW()-ROW($C$3))/86400</s:f>
        <s:v>46247.48689814815</s:v>
      </s:c>
    </s:row>
    <s:row r="720">
      <s:c r="A720" s="0" t="n">
        <s:v>260813</s:v>
      </s:c>
      <s:c r="B720" s="0" t="inlineStr">
        <s:is>
          <s:t>이종훈</s:t>
        </s:is>
      </s:c>
      <s:c r="C720" s="0" t="n">
        <s:v>112912</s:v>
      </s:c>
      <s:c r="D720" s="0" t="n">
        <s:v>65</s:v>
      </s:c>
      <s:c r="F720" s="24">
        <s:f>'자료구성'!$B$2+TIME(INT($C$3/10000),INT(MOD($C$3,10000)/100),MOD($C$3,100))+(ROW()-ROW($C$3))/86400</s:f>
        <s:v>46247.486909722225</s:v>
      </s:c>
    </s:row>
    <s:row r="721">
      <s:c r="A721" s="0" t="n">
        <s:v>260813</s:v>
      </s:c>
      <s:c r="B721" s="0" t="inlineStr">
        <s:is>
          <s:t>이종훈</s:t>
        </s:is>
      </s:c>
      <s:c r="C721" s="0" t="n">
        <s:v>112912</s:v>
      </s:c>
      <s:c r="D721" s="0" t="n">
        <s:v>59</s:v>
      </s:c>
      <s:c r="F721" s="24">
        <s:f>'자료구성'!$B$2+TIME(INT($C$3/10000),INT(MOD($C$3,10000)/100),MOD($C$3,100))+(ROW()-ROW($C$3))/86400</s:f>
        <s:v>46247.486921296295</s:v>
      </s:c>
    </s:row>
    <s:row r="722">
      <s:c r="A722" s="0" t="n">
        <s:v>260813</s:v>
      </s:c>
      <s:c r="B722" s="0" t="inlineStr">
        <s:is>
          <s:t>이종훈</s:t>
        </s:is>
      </s:c>
      <s:c r="C722" s="0" t="n">
        <s:v>112912</s:v>
      </s:c>
      <s:c r="D722" s="0" t="n">
        <s:v>67</s:v>
      </s:c>
      <s:c r="F722" s="24">
        <s:f>'자료구성'!$B$2+TIME(INT($C$3/10000),INT(MOD($C$3,10000)/100),MOD($C$3,100))+(ROW()-ROW($C$3))/86400</s:f>
        <s:v>46247.48693287037</s:v>
      </s:c>
    </s:row>
    <s:row r="723">
      <s:c r="A723" s="0" t="n">
        <s:v>260813</s:v>
      </s:c>
      <s:c r="B723" s="0" t="inlineStr">
        <s:is>
          <s:t>이종훈</s:t>
        </s:is>
      </s:c>
      <s:c r="C723" s="0" t="n">
        <s:v>112912</s:v>
      </s:c>
      <s:c r="D723" s="0" t="n">
        <s:v>56</s:v>
      </s:c>
      <s:c r="F723" s="24">
        <s:f>'자료구성'!$B$2+TIME(INT($C$3/10000),INT(MOD($C$3,10000)/100),MOD($C$3,100))+(ROW()-ROW($C$3))/86400</s:f>
        <s:v>46247.48694444444</s:v>
      </s:c>
    </s:row>
    <s:row r="724">
      <s:c r="A724" s="0" t="n">
        <s:v>260813</s:v>
      </s:c>
      <s:c r="B724" s="0" t="inlineStr">
        <s:is>
          <s:t>이종훈</s:t>
        </s:is>
      </s:c>
      <s:c r="C724" s="0" t="n">
        <s:v>112912</s:v>
      </s:c>
      <s:c r="D724" s="0" t="n">
        <s:v>30</s:v>
      </s:c>
      <s:c r="F724" s="24">
        <s:f>'자료구성'!$B$2+TIME(INT($C$3/10000),INT(MOD($C$3,10000)/100),MOD($C$3,100))+(ROW()-ROW($C$3))/86400</s:f>
        <s:v>46247.48695601852</s:v>
      </s:c>
    </s:row>
    <s:row r="725">
      <s:c r="A725" s="0" t="n">
        <s:v>260813</s:v>
      </s:c>
      <s:c r="B725" s="0" t="inlineStr">
        <s:is>
          <s:t>이종훈</s:t>
        </s:is>
      </s:c>
      <s:c r="C725" s="0" t="n">
        <s:v>112912</s:v>
      </s:c>
      <s:c r="D725" s="0" t="n">
        <s:v>21</s:v>
      </s:c>
      <s:c r="F725" s="24">
        <s:f>'자료구성'!$B$2+TIME(INT($C$3/10000),INT(MOD($C$3,10000)/100),MOD($C$3,100))+(ROW()-ROW($C$3))/86400</s:f>
        <s:v>46247.486967592595</s:v>
      </s:c>
    </s:row>
    <s:row r="726">
      <s:c r="A726" s="0" t="n">
        <s:v>260813</s:v>
      </s:c>
      <s:c r="B726" s="0" t="inlineStr">
        <s:is>
          <s:t>이종훈</s:t>
        </s:is>
      </s:c>
      <s:c r="C726" s="0" t="n">
        <s:v>112912</s:v>
      </s:c>
      <s:c r="D726" s="0" t="n">
        <s:v>40</s:v>
      </s:c>
      <s:c r="F726" s="24">
        <s:f>'자료구성'!$B$2+TIME(INT($C$3/10000),INT(MOD($C$3,10000)/100),MOD($C$3,100))+(ROW()-ROW($C$3))/86400</s:f>
        <s:v>46247.486979166664</s:v>
      </s:c>
    </s:row>
    <s:row r="727">
      <s:c r="A727" s="0" t="n">
        <s:v>260813</s:v>
      </s:c>
      <s:c r="B727" s="0" t="inlineStr">
        <s:is>
          <s:t>이종훈</s:t>
        </s:is>
      </s:c>
      <s:c r="C727" s="0" t="n">
        <s:v>112912</s:v>
      </s:c>
      <s:c r="D727" s="0" t="n">
        <s:v>96</s:v>
      </s:c>
      <s:c r="F727" s="24">
        <s:f>'자료구성'!$B$2+TIME(INT($C$3/10000),INT(MOD($C$3,10000)/100),MOD($C$3,100))+(ROW()-ROW($C$3))/86400</s:f>
        <s:v>46247.48699074074</s:v>
      </s:c>
    </s:row>
    <s:row r="728">
      <s:c r="A728" s="0" t="n">
        <s:v>260813</s:v>
      </s:c>
      <s:c r="B728" s="0" t="inlineStr">
        <s:is>
          <s:t>이종훈</s:t>
        </s:is>
      </s:c>
      <s:c r="C728" s="0" t="n">
        <s:v>112912</s:v>
      </s:c>
      <s:c r="D728" s="0" t="n">
        <s:v>95</s:v>
      </s:c>
      <s:c r="F728" s="24">
        <s:f>'자료구성'!$B$2+TIME(INT($C$3/10000),INT(MOD($C$3,10000)/100),MOD($C$3,100))+(ROW()-ROW($C$3))/86400</s:f>
        <s:v>46247.48700231482</s:v>
      </s:c>
    </s:row>
    <s:row r="729">
      <s:c r="A729" s="0" t="n">
        <s:v>260813</s:v>
      </s:c>
      <s:c r="B729" s="0" t="inlineStr">
        <s:is>
          <s:t>이종훈</s:t>
        </s:is>
      </s:c>
      <s:c r="C729" s="0" t="n">
        <s:v>112912</s:v>
      </s:c>
      <s:c r="D729" s="0" t="n">
        <s:v>71</s:v>
      </s:c>
      <s:c r="F729" s="24">
        <s:f>'자료구성'!$B$2+TIME(INT($C$3/10000),INT(MOD($C$3,10000)/100),MOD($C$3,100))+(ROW()-ROW($C$3))/86400</s:f>
        <s:v>46247.48701388889</s:v>
      </s:c>
    </s:row>
    <s:row r="730">
      <s:c r="A730" s="0" t="n">
        <s:v>260813</s:v>
      </s:c>
      <s:c r="B730" s="0" t="inlineStr">
        <s:is>
          <s:t>이종훈</s:t>
        </s:is>
      </s:c>
      <s:c r="C730" s="0" t="n">
        <s:v>112912</s:v>
      </s:c>
      <s:c r="D730" s="0" t="n">
        <s:v>29</s:v>
      </s:c>
      <s:c r="F730" s="24">
        <s:f>'자료구성'!$B$2+TIME(INT($C$3/10000),INT(MOD($C$3,10000)/100),MOD($C$3,100))+(ROW()-ROW($C$3))/86400</s:f>
        <s:v>46247.487025462964</s:v>
      </s:c>
    </s:row>
    <s:row r="731">
      <s:c r="A731" s="0" t="n">
        <s:v>260813</s:v>
      </s:c>
      <s:c r="B731" s="0" t="inlineStr">
        <s:is>
          <s:t>이종훈</s:t>
        </s:is>
      </s:c>
      <s:c r="C731" s="0" t="n">
        <s:v>112912</s:v>
      </s:c>
      <s:c r="D731" s="0" t="n">
        <s:v>994</s:v>
      </s:c>
      <s:c r="F731" s="24">
        <s:f>'자료구성'!$B$2+TIME(INT($C$3/10000),INT(MOD($C$3,10000)/100),MOD($C$3,100))+(ROW()-ROW($C$3))/86400</s:f>
        <s:v>46247.48703703703</s:v>
      </s:c>
    </s:row>
    <s:row r="732">
      <s:c r="A732" s="0" t="n">
        <s:v>260813</s:v>
      </s:c>
      <s:c r="B732" s="0" t="inlineStr">
        <s:is>
          <s:t>이종훈</s:t>
        </s:is>
      </s:c>
      <s:c r="C732" s="0" t="n">
        <s:v>112912</s:v>
      </s:c>
      <s:c r="D732" s="0" t="n">
        <s:v>969</s:v>
      </s:c>
      <s:c r="F732" s="24">
        <s:f>'자료구성'!$B$2+TIME(INT($C$3/10000),INT(MOD($C$3,10000)/100),MOD($C$3,100))+(ROW()-ROW($C$3))/86400</s:f>
        <s:v>46247.48704861111</s:v>
      </s:c>
    </s:row>
    <s:row r="733">
      <s:c r="A733" s="0" t="n">
        <s:v>260813</s:v>
      </s:c>
      <s:c r="B733" s="0" t="inlineStr">
        <s:is>
          <s:t>이종훈</s:t>
        </s:is>
      </s:c>
      <s:c r="C733" s="0" t="n">
        <s:v>112912</s:v>
      </s:c>
      <s:c r="D733" s="0" t="n">
        <s:v>914</s:v>
      </s:c>
      <s:c r="F733" s="24">
        <s:f>'자료구성'!$B$2+TIME(INT($C$3/10000),INT(MOD($C$3,10000)/100),MOD($C$3,100))+(ROW()-ROW($C$3))/86400</s:f>
        <s:v>46247.48706018519</s:v>
      </s:c>
    </s:row>
    <s:row r="734">
      <s:c r="A734" s="0" t="n">
        <s:v>260813</s:v>
      </s:c>
      <s:c r="B734" s="0" t="inlineStr">
        <s:is>
          <s:t>이종훈</s:t>
        </s:is>
      </s:c>
      <s:c r="C734" s="0" t="n">
        <s:v>112912</s:v>
      </s:c>
      <s:c r="D734" s="0" t="n">
        <s:v>876</s:v>
      </s:c>
      <s:c r="F734" s="24">
        <s:f>'자료구성'!$B$2+TIME(INT($C$3/10000),INT(MOD($C$3,10000)/100),MOD($C$3,100))+(ROW()-ROW($C$3))/86400</s:f>
        <s:v>46247.48707175926</s:v>
      </s:c>
    </s:row>
    <s:row r="735">
      <s:c r="A735" s="0" t="n">
        <s:v>260813</s:v>
      </s:c>
      <s:c r="B735" s="0" t="inlineStr">
        <s:is>
          <s:t>이종훈</s:t>
        </s:is>
      </s:c>
      <s:c r="C735" s="0" t="n">
        <s:v>112912</s:v>
      </s:c>
      <s:c r="D735" s="0" t="n">
        <s:v>825</s:v>
      </s:c>
      <s:c r="F735" s="24">
        <s:f>'자료구성'!$B$2+TIME(INT($C$3/10000),INT(MOD($C$3,10000)/100),MOD($C$3,100))+(ROW()-ROW($C$3))/86400</s:f>
        <s:v>46247.48708333333</s:v>
      </s:c>
    </s:row>
    <s:row r="736">
      <s:c r="A736" s="0" t="n">
        <s:v>260813</s:v>
      </s:c>
      <s:c r="B736" s="0" t="inlineStr">
        <s:is>
          <s:t>이종훈</s:t>
        </s:is>
      </s:c>
      <s:c r="C736" s="0" t="n">
        <s:v>112912</s:v>
      </s:c>
      <s:c r="D736" s="0" t="n">
        <s:v>782</s:v>
      </s:c>
      <s:c r="F736" s="24">
        <s:f>'자료구성'!$B$2+TIME(INT($C$3/10000),INT(MOD($C$3,10000)/100),MOD($C$3,100))+(ROW()-ROW($C$3))/86400</s:f>
        <s:v>46247.48709490741</s:v>
      </s:c>
    </s:row>
    <s:row r="737">
      <s:c r="A737" s="0" t="n">
        <s:v>260813</s:v>
      </s:c>
      <s:c r="B737" s="0" t="inlineStr">
        <s:is>
          <s:t>이종훈</s:t>
        </s:is>
      </s:c>
      <s:c r="C737" s="0" t="n">
        <s:v>112912</s:v>
      </s:c>
      <s:c r="D737" s="0" t="n">
        <s:v>727</s:v>
      </s:c>
      <s:c r="F737" s="24">
        <s:f>'자료구성'!$B$2+TIME(INT($C$3/10000),INT(MOD($C$3,10000)/100),MOD($C$3,100))+(ROW()-ROW($C$3))/86400</s:f>
        <s:v>46247.48710648148</s:v>
      </s:c>
    </s:row>
    <s:row r="738">
      <s:c r="A738" s="0" t="n">
        <s:v>260813</s:v>
      </s:c>
      <s:c r="B738" s="0" t="inlineStr">
        <s:is>
          <s:t>이종훈</s:t>
        </s:is>
      </s:c>
      <s:c r="C738" s="0" t="n">
        <s:v>112912</s:v>
      </s:c>
      <s:c r="D738" s="0" t="n">
        <s:v>687</s:v>
      </s:c>
      <s:c r="F738" s="24">
        <s:f>'자료구성'!$B$2+TIME(INT($C$3/10000),INT(MOD($C$3,10000)/100),MOD($C$3,100))+(ROW()-ROW($C$3))/86400</s:f>
        <s:v>46247.48711805556</s:v>
      </s:c>
    </s:row>
    <s:row r="739">
      <s:c r="A739" s="0" t="n">
        <s:v>260813</s:v>
      </s:c>
      <s:c r="B739" s="0" t="inlineStr">
        <s:is>
          <s:t>이종훈</s:t>
        </s:is>
      </s:c>
      <s:c r="C739" s="0" t="n">
        <s:v>112912</s:v>
      </s:c>
      <s:c r="D739" s="0" t="n">
        <s:v>668</s:v>
      </s:c>
      <s:c r="F739" s="24">
        <s:f>'자료구성'!$B$2+TIME(INT($C$3/10000),INT(MOD($C$3,10000)/100),MOD($C$3,100))+(ROW()-ROW($C$3))/86400</s:f>
        <s:v>46247.487129629626</s:v>
      </s:c>
    </s:row>
    <s:row r="740">
      <s:c r="A740" s="0" t="n">
        <s:v>260813</s:v>
      </s:c>
      <s:c r="B740" s="0" t="inlineStr">
        <s:is>
          <s:t>이종훈</s:t>
        </s:is>
      </s:c>
      <s:c r="C740" s="0" t="n">
        <s:v>112912</s:v>
      </s:c>
      <s:c r="D740" s="0" t="n">
        <s:v>655</s:v>
      </s:c>
      <s:c r="F740" s="24">
        <s:f>'자료구성'!$B$2+TIME(INT($C$3/10000),INT(MOD($C$3,10000)/100),MOD($C$3,100))+(ROW()-ROW($C$3))/86400</s:f>
        <s:v>46247.4871412037</s:v>
      </s:c>
    </s:row>
    <s:row r="741">
      <s:c r="A741" s="0" t="n">
        <s:v>260813</s:v>
      </s:c>
      <s:c r="B741" s="0" t="inlineStr">
        <s:is>
          <s:t>이종훈</s:t>
        </s:is>
      </s:c>
      <s:c r="C741" s="0" t="n">
        <s:v>112912</s:v>
      </s:c>
      <s:c r="D741" s="0" t="n">
        <s:v>636</s:v>
      </s:c>
      <s:c r="F741" s="24">
        <s:f>'자료구성'!$B$2+TIME(INT($C$3/10000),INT(MOD($C$3,10000)/100),MOD($C$3,100))+(ROW()-ROW($C$3))/86400</s:f>
        <s:v>46247.48715277778</s:v>
      </s:c>
    </s:row>
    <s:row r="742">
      <s:c r="A742" s="0" t="n">
        <s:v>260813</s:v>
      </s:c>
      <s:c r="B742" s="0" t="inlineStr">
        <s:is>
          <s:t>이종훈</s:t>
        </s:is>
      </s:c>
      <s:c r="C742" s="0" t="n">
        <s:v>112912</s:v>
      </s:c>
      <s:c r="D742" s="0" t="n">
        <s:v>624</s:v>
      </s:c>
      <s:c r="F742" s="24">
        <s:f>'자료구성'!$B$2+TIME(INT($C$3/10000),INT(MOD($C$3,10000)/100),MOD($C$3,100))+(ROW()-ROW($C$3))/86400</s:f>
        <s:v>46247.48716435185</s:v>
      </s:c>
    </s:row>
    <s:row r="743">
      <s:c r="A743" s="0" t="n">
        <s:v>260813</s:v>
      </s:c>
      <s:c r="B743" s="0" t="inlineStr">
        <s:is>
          <s:t>이종훈</s:t>
        </s:is>
      </s:c>
      <s:c r="C743" s="0" t="n">
        <s:v>112912</s:v>
      </s:c>
      <s:c r="D743" s="0" t="n">
        <s:v>616</s:v>
      </s:c>
      <s:c r="F743" s="24">
        <s:f>'자료구성'!$B$2+TIME(INT($C$3/10000),INT(MOD($C$3,10000)/100),MOD($C$3,100))+(ROW()-ROW($C$3))/86400</s:f>
        <s:v>46247.487175925926</s:v>
      </s:c>
    </s:row>
    <s:row r="744">
      <s:c r="A744" s="0" t="n">
        <s:v>260813</s:v>
      </s:c>
      <s:c r="B744" s="0" t="inlineStr">
        <s:is>
          <s:t>이종훈</s:t>
        </s:is>
      </s:c>
      <s:c r="C744" s="0" t="n">
        <s:v>112912</s:v>
      </s:c>
      <s:c r="D744" s="0" t="n">
        <s:v>605</s:v>
      </s:c>
      <s:c r="F744" s="24">
        <s:f>'자료구성'!$B$2+TIME(INT($C$3/10000),INT(MOD($C$3,10000)/100),MOD($C$3,100))+(ROW()-ROW($C$3))/86400</s:f>
        <s:v>46247.4871875</s:v>
      </s:c>
    </s:row>
    <s:row r="745">
      <s:c r="A745" s="0" t="n">
        <s:v>260813</s:v>
      </s:c>
      <s:c r="B745" s="0" t="inlineStr">
        <s:is>
          <s:t>이종훈</s:t>
        </s:is>
      </s:c>
      <s:c r="C745" s="0" t="n">
        <s:v>112912</s:v>
      </s:c>
      <s:c r="D745" s="0" t="n">
        <s:v>596</s:v>
      </s:c>
      <s:c r="F745" s="24">
        <s:f>'자료구성'!$B$2+TIME(INT($C$3/10000),INT(MOD($C$3,10000)/100),MOD($C$3,100))+(ROW()-ROW($C$3))/86400</s:f>
        <s:v>46247.48719907407</s:v>
      </s:c>
    </s:row>
    <s:row r="746">
      <s:c r="A746" s="0" t="n">
        <s:v>260813</s:v>
      </s:c>
      <s:c r="B746" s="0" t="inlineStr">
        <s:is>
          <s:t>이종훈</s:t>
        </s:is>
      </s:c>
      <s:c r="C746" s="0" t="n">
        <s:v>112912</s:v>
      </s:c>
      <s:c r="D746" s="0" t="n">
        <s:v>587</s:v>
      </s:c>
      <s:c r="F746" s="24">
        <s:f>'자료구성'!$B$2+TIME(INT($C$3/10000),INT(MOD($C$3,10000)/100),MOD($C$3,100))+(ROW()-ROW($C$3))/86400</s:f>
        <s:v>46247.48721064815</s:v>
      </s:c>
    </s:row>
    <s:row r="747">
      <s:c r="A747" s="0" t="n">
        <s:v>260813</s:v>
      </s:c>
      <s:c r="B747" s="0" t="inlineStr">
        <s:is>
          <s:t>이종훈</s:t>
        </s:is>
      </s:c>
      <s:c r="C747" s="0" t="n">
        <s:v>112912</s:v>
      </s:c>
      <s:c r="D747" s="0" t="n">
        <s:v>620</s:v>
      </s:c>
      <s:c r="F747" s="24">
        <s:f>'자료구성'!$B$2+TIME(INT($C$3/10000),INT(MOD($C$3,10000)/100),MOD($C$3,100))+(ROW()-ROW($C$3))/86400</s:f>
        <s:v>46247.487222222226</s:v>
      </s:c>
    </s:row>
    <s:row r="748">
      <s:c r="A748" s="0" t="n">
        <s:v>260813</s:v>
      </s:c>
      <s:c r="B748" s="0" t="inlineStr">
        <s:is>
          <s:t>이종훈</s:t>
        </s:is>
      </s:c>
      <s:c r="C748" s="0" t="n">
        <s:v>112912</s:v>
      </s:c>
      <s:c r="D748" s="0" t="n">
        <s:v>737</s:v>
      </s:c>
      <s:c r="F748" s="24">
        <s:f>'자료구성'!$B$2+TIME(INT($C$3/10000),INT(MOD($C$3,10000)/100),MOD($C$3,100))+(ROW()-ROW($C$3))/86400</s:f>
        <s:v>46247.487233796295</s:v>
      </s:c>
    </s:row>
    <s:row r="749">
      <s:c r="A749" s="0" t="n">
        <s:v>260813</s:v>
      </s:c>
      <s:c r="B749" s="0" t="inlineStr">
        <s:is>
          <s:t>이종훈</s:t>
        </s:is>
      </s:c>
      <s:c r="C749" s="0" t="n">
        <s:v>112912</s:v>
      </s:c>
      <s:c r="D749" s="0" t="n">
        <s:v>877</s:v>
      </s:c>
      <s:c r="F749" s="24">
        <s:f>'자료구성'!$B$2+TIME(INT($C$3/10000),INT(MOD($C$3,10000)/100),MOD($C$3,100))+(ROW()-ROW($C$3))/86400</s:f>
        <s:v>46247.48724537037</s:v>
      </s:c>
    </s:row>
    <s:row r="750">
      <s:c r="A750" s="0" t="n">
        <s:v>260813</s:v>
      </s:c>
      <s:c r="B750" s="0" t="inlineStr">
        <s:is>
          <s:t>이종훈</s:t>
        </s:is>
      </s:c>
      <s:c r="C750" s="0" t="n">
        <s:v>112912</s:v>
      </s:c>
      <s:c r="D750" s="0" t="n">
        <s:v>958</s:v>
      </s:c>
      <s:c r="F750" s="24">
        <s:f>'자료구성'!$B$2+TIME(INT($C$3/10000),INT(MOD($C$3,10000)/100),MOD($C$3,100))+(ROW()-ROW($C$3))/86400</s:f>
        <s:v>46247.48725694444</s:v>
      </s:c>
    </s:row>
    <s:row r="751">
      <s:c r="A751" s="0" t="n">
        <s:v>260813</s:v>
      </s:c>
      <s:c r="B751" s="0" t="inlineStr">
        <s:is>
          <s:t>이종훈</s:t>
        </s:is>
      </s:c>
      <s:c r="C751" s="0" t="n">
        <s:v>112912</s:v>
      </s:c>
      <s:c r="D751" s="0" t="n">
        <s:v>970</s:v>
      </s:c>
      <s:c r="F751" s="24">
        <s:f>'자료구성'!$B$2+TIME(INT($C$3/10000),INT(MOD($C$3,10000)/100),MOD($C$3,100))+(ROW()-ROW($C$3))/86400</s:f>
        <s:v>46247.48726851852</s:v>
      </s:c>
    </s:row>
    <s:row r="752">
      <s:c r="A752" s="0" t="n">
        <s:v>260813</s:v>
      </s:c>
      <s:c r="B752" s="0" t="inlineStr">
        <s:is>
          <s:t>이종훈</s:t>
        </s:is>
      </s:c>
      <s:c r="C752" s="0" t="n">
        <s:v>112912</s:v>
      </s:c>
      <s:c r="D752" s="0" t="n">
        <s:v>969</s:v>
      </s:c>
      <s:c r="F752" s="24">
        <s:f>'자료구성'!$B$2+TIME(INT($C$3/10000),INT(MOD($C$3,10000)/100),MOD($C$3,100))+(ROW()-ROW($C$3))/86400</s:f>
        <s:v>46247.487280092595</s:v>
      </s:c>
    </s:row>
    <s:row r="753">
      <s:c r="A753" s="0" t="n">
        <s:v>260813</s:v>
      </s:c>
      <s:c r="B753" s="0" t="inlineStr">
        <s:is>
          <s:t>이종훈</s:t>
        </s:is>
      </s:c>
      <s:c r="C753" s="0" t="n">
        <s:v>112912</s:v>
      </s:c>
      <s:c r="D753" s="0" t="n">
        <s:v>56</s:v>
      </s:c>
      <s:c r="F753" s="24">
        <s:f>'자료구성'!$B$2+TIME(INT($C$3/10000),INT(MOD($C$3,10000)/100),MOD($C$3,100))+(ROW()-ROW($C$3))/86400</s:f>
        <s:v>46247.487291666665</s:v>
      </s:c>
    </s:row>
    <s:row r="754">
      <s:c r="A754" s="0" t="n">
        <s:v>260813</s:v>
      </s:c>
      <s:c r="B754" s="0" t="inlineStr">
        <s:is>
          <s:t>이종훈</s:t>
        </s:is>
      </s:c>
      <s:c r="C754" s="0" t="n">
        <s:v>112912</s:v>
      </s:c>
      <s:c r="D754" s="0" t="n">
        <s:v>132</s:v>
      </s:c>
      <s:c r="F754" s="24">
        <s:f>'자료구성'!$B$2+TIME(INT($C$3/10000),INT(MOD($C$3,10000)/100),MOD($C$3,100))+(ROW()-ROW($C$3))/86400</s:f>
        <s:v>46247.48730324074</s:v>
      </s:c>
    </s:row>
    <s:row r="755">
      <s:c r="A755" s="0" t="n">
        <s:v>260813</s:v>
      </s:c>
      <s:c r="B755" s="0" t="inlineStr">
        <s:is>
          <s:t>이종훈</s:t>
        </s:is>
      </s:c>
      <s:c r="C755" s="0" t="n">
        <s:v>112912</s:v>
      </s:c>
      <s:c r="D755" s="0" t="n">
        <s:v>184</s:v>
      </s:c>
      <s:c r="F755" s="24">
        <s:f>'자료구성'!$B$2+TIME(INT($C$3/10000),INT(MOD($C$3,10000)/100),MOD($C$3,100))+(ROW()-ROW($C$3))/86400</s:f>
        <s:v>46247.48731481482</s:v>
      </s:c>
    </s:row>
    <s:row r="756">
      <s:c r="A756" s="0" t="n">
        <s:v>260813</s:v>
      </s:c>
      <s:c r="B756" s="0" t="inlineStr">
        <s:is>
          <s:t>이종훈</s:t>
        </s:is>
      </s:c>
      <s:c r="C756" s="0" t="n">
        <s:v>112912</s:v>
      </s:c>
      <s:c r="D756" s="0" t="n">
        <s:v>216</s:v>
      </s:c>
      <s:c r="F756" s="24">
        <s:f>'자료구성'!$B$2+TIME(INT($C$3/10000),INT(MOD($C$3,10000)/100),MOD($C$3,100))+(ROW()-ROW($C$3))/86400</s:f>
        <s:v>46247.48732638889</s:v>
      </s:c>
    </s:row>
    <s:row r="757">
      <s:c r="A757" s="0" t="n">
        <s:v>260813</s:v>
      </s:c>
      <s:c r="B757" s="0" t="inlineStr">
        <s:is>
          <s:t>이종훈</s:t>
        </s:is>
      </s:c>
      <s:c r="C757" s="0" t="n">
        <s:v>112912</s:v>
      </s:c>
      <s:c r="D757" s="0" t="n">
        <s:v>280</s:v>
      </s:c>
      <s:c r="F757" s="24">
        <s:f>'자료구성'!$B$2+TIME(INT($C$3/10000),INT(MOD($C$3,10000)/100),MOD($C$3,100))+(ROW()-ROW($C$3))/86400</s:f>
        <s:v>46247.487337962964</s:v>
      </s:c>
    </s:row>
    <s:row r="758">
      <s:c r="A758" s="0" t="n">
        <s:v>260813</s:v>
      </s:c>
      <s:c r="B758" s="0" t="inlineStr">
        <s:is>
          <s:t>이종훈</s:t>
        </s:is>
      </s:c>
      <s:c r="C758" s="0" t="n">
        <s:v>112912</s:v>
      </s:c>
      <s:c r="D758" s="0" t="n">
        <s:v>342</s:v>
      </s:c>
      <s:c r="F758" s="24">
        <s:f>'자료구성'!$B$2+TIME(INT($C$3/10000),INT(MOD($C$3,10000)/100),MOD($C$3,100))+(ROW()-ROW($C$3))/86400</s:f>
        <s:v>46247.487349537034</s:v>
      </s:c>
    </s:row>
    <s:row r="759">
      <s:c r="A759" s="0" t="n">
        <s:v>260813</s:v>
      </s:c>
      <s:c r="B759" s="0" t="inlineStr">
        <s:is>
          <s:t>이종훈</s:t>
        </s:is>
      </s:c>
      <s:c r="C759" s="0" t="n">
        <s:v>112912</s:v>
      </s:c>
      <s:c r="D759" s="0" t="n">
        <s:v>403</s:v>
      </s:c>
      <s:c r="F759" s="24">
        <s:f>'자료구성'!$B$2+TIME(INT($C$3/10000),INT(MOD($C$3,10000)/100),MOD($C$3,100))+(ROW()-ROW($C$3))/86400</s:f>
        <s:v>46247.48736111111</s:v>
      </s:c>
    </s:row>
    <s:row r="760">
      <s:c r="A760" s="0" t="n">
        <s:v>260813</s:v>
      </s:c>
      <s:c r="B760" s="0" t="inlineStr">
        <s:is>
          <s:t>이종훈</s:t>
        </s:is>
      </s:c>
      <s:c r="C760" s="0" t="n">
        <s:v>112912</s:v>
      </s:c>
      <s:c r="D760" s="0" t="n">
        <s:v>439</s:v>
      </s:c>
      <s:c r="F760" s="24">
        <s:f>'자료구성'!$B$2+TIME(INT($C$3/10000),INT(MOD($C$3,10000)/100),MOD($C$3,100))+(ROW()-ROW($C$3))/86400</s:f>
        <s:v>46247.48737268519</s:v>
      </s:c>
    </s:row>
    <s:row r="761">
      <s:c r="A761" s="0" t="n">
        <s:v>260813</s:v>
      </s:c>
      <s:c r="B761" s="0" t="inlineStr">
        <s:is>
          <s:t>이종훈</s:t>
        </s:is>
      </s:c>
      <s:c r="C761" s="0" t="n">
        <s:v>112912</s:v>
      </s:c>
      <s:c r="D761" s="0" t="n">
        <s:v>429</s:v>
      </s:c>
      <s:c r="F761" s="24">
        <s:f>'자료구성'!$B$2+TIME(INT($C$3/10000),INT(MOD($C$3,10000)/100),MOD($C$3,100))+(ROW()-ROW($C$3))/86400</s:f>
        <s:v>46247.48738425926</s:v>
      </s:c>
    </s:row>
    <s:row r="762">
      <s:c r="A762" s="0" t="n">
        <s:v>260813</s:v>
      </s:c>
      <s:c r="B762" s="0" t="inlineStr">
        <s:is>
          <s:t>이종훈</s:t>
        </s:is>
      </s:c>
      <s:c r="C762" s="0" t="n">
        <s:v>112912</s:v>
      </s:c>
      <s:c r="D762" s="0" t="n">
        <s:v>435</s:v>
      </s:c>
      <s:c r="F762" s="24">
        <s:f>'자료구성'!$B$2+TIME(INT($C$3/10000),INT(MOD($C$3,10000)/100),MOD($C$3,100))+(ROW()-ROW($C$3))/86400</s:f>
        <s:v>46247.487395833334</s:v>
      </s:c>
    </s:row>
    <s:row r="763">
      <s:c r="A763" s="0" t="n">
        <s:v>260813</s:v>
      </s:c>
      <s:c r="B763" s="0" t="inlineStr">
        <s:is>
          <s:t>이종훈</s:t>
        </s:is>
      </s:c>
      <s:c r="C763" s="0" t="n">
        <s:v>112912</s:v>
      </s:c>
      <s:c r="D763" s="0" t="n">
        <s:v>405</s:v>
      </s:c>
      <s:c r="F763" s="24">
        <s:f>'자료구성'!$B$2+TIME(INT($C$3/10000),INT(MOD($C$3,10000)/100),MOD($C$3,100))+(ROW()-ROW($C$3))/86400</s:f>
        <s:v>46247.48740740741</s:v>
      </s:c>
    </s:row>
    <s:row r="764">
      <s:c r="A764" s="0" t="n">
        <s:v>260813</s:v>
      </s:c>
      <s:c r="B764" s="0" t="inlineStr">
        <s:is>
          <s:t>이종훈</s:t>
        </s:is>
      </s:c>
      <s:c r="C764" s="0" t="n">
        <s:v>112912</s:v>
      </s:c>
      <s:c r="D764" s="0" t="n">
        <s:v>371</s:v>
      </s:c>
      <s:c r="F764" s="24">
        <s:f>'자료구성'!$B$2+TIME(INT($C$3/10000),INT(MOD($C$3,10000)/100),MOD($C$3,100))+(ROW()-ROW($C$3))/86400</s:f>
        <s:v>46247.48741898148</s:v>
      </s:c>
    </s:row>
    <s:row r="765">
      <s:c r="A765" s="0" t="n">
        <s:v>260813</s:v>
      </s:c>
      <s:c r="B765" s="0" t="inlineStr">
        <s:is>
          <s:t>이종훈</s:t>
        </s:is>
      </s:c>
      <s:c r="C765" s="0" t="n">
        <s:v>112912</s:v>
      </s:c>
      <s:c r="D765" s="0" t="n">
        <s:v>338</s:v>
      </s:c>
      <s:c r="F765" s="24">
        <s:f>'자료구성'!$B$2+TIME(INT($C$3/10000),INT(MOD($C$3,10000)/100),MOD($C$3,100))+(ROW()-ROW($C$3))/86400</s:f>
        <s:v>46247.48743055556</s:v>
      </s:c>
    </s:row>
    <s:row r="766">
      <s:c r="A766" s="0" t="n">
        <s:v>260813</s:v>
      </s:c>
      <s:c r="B766" s="0" t="inlineStr">
        <s:is>
          <s:t>이종훈</s:t>
        </s:is>
      </s:c>
      <s:c r="C766" s="0" t="n">
        <s:v>112912</s:v>
      </s:c>
      <s:c r="D766" s="0" t="n">
        <s:v>316</s:v>
      </s:c>
      <s:c r="F766" s="24">
        <s:f>'자료구성'!$B$2+TIME(INT($C$3/10000),INT(MOD($C$3,10000)/100),MOD($C$3,100))+(ROW()-ROW($C$3))/86400</s:f>
        <s:v>46247.487442129626</s:v>
      </s:c>
    </s:row>
    <s:row r="767">
      <s:c r="A767" s="0" t="n">
        <s:v>260813</s:v>
      </s:c>
      <s:c r="B767" s="0" t="inlineStr">
        <s:is>
          <s:t>이종훈</s:t>
        </s:is>
      </s:c>
      <s:c r="C767" s="0" t="n">
        <s:v>112912</s:v>
      </s:c>
      <s:c r="D767" s="0" t="n">
        <s:v>314</s:v>
      </s:c>
      <s:c r="F767" s="24">
        <s:f>'자료구성'!$B$2+TIME(INT($C$3/10000),INT(MOD($C$3,10000)/100),MOD($C$3,100))+(ROW()-ROW($C$3))/86400</s:f>
        <s:v>46247.4874537037</s:v>
      </s:c>
    </s:row>
    <s:row r="768">
      <s:c r="A768" s="0" t="n">
        <s:v>260813</s:v>
      </s:c>
      <s:c r="B768" s="0" t="inlineStr">
        <s:is>
          <s:t>이종훈</s:t>
        </s:is>
      </s:c>
      <s:c r="C768" s="0" t="n">
        <s:v>112912</s:v>
      </s:c>
      <s:c r="D768" s="0" t="n">
        <s:v>307</s:v>
      </s:c>
      <s:c r="F768" s="24">
        <s:f>'자료구성'!$B$2+TIME(INT($C$3/10000),INT(MOD($C$3,10000)/100),MOD($C$3,100))+(ROW()-ROW($C$3))/86400</s:f>
        <s:v>46247.48746527778</s:v>
      </s:c>
    </s:row>
    <s:row r="769">
      <s:c r="A769" s="0" t="n">
        <s:v>260813</s:v>
      </s:c>
      <s:c r="B769" s="0" t="inlineStr">
        <s:is>
          <s:t>이종훈</s:t>
        </s:is>
      </s:c>
      <s:c r="C769" s="0" t="n">
        <s:v>112912</s:v>
      </s:c>
      <s:c r="D769" s="0" t="n">
        <s:v>317</s:v>
      </s:c>
      <s:c r="F769" s="24">
        <s:f>'자료구성'!$B$2+TIME(INT($C$3/10000),INT(MOD($C$3,10000)/100),MOD($C$3,100))+(ROW()-ROW($C$3))/86400</s:f>
        <s:v>46247.48747685185</s:v>
      </s:c>
    </s:row>
    <s:row r="770">
      <s:c r="A770" s="0" t="n">
        <s:v>260813</s:v>
      </s:c>
      <s:c r="B770" s="0" t="inlineStr">
        <s:is>
          <s:t>이종훈</s:t>
        </s:is>
      </s:c>
      <s:c r="C770" s="0" t="n">
        <s:v>112912</s:v>
      </s:c>
      <s:c r="D770" s="0" t="n">
        <s:v>328</s:v>
      </s:c>
      <s:c r="F770" s="24">
        <s:f>'자료구성'!$B$2+TIME(INT($C$3/10000),INT(MOD($C$3,10000)/100),MOD($C$3,100))+(ROW()-ROW($C$3))/86400</s:f>
        <s:v>46247.487488425926</s:v>
      </s:c>
    </s:row>
    <s:row r="771">
      <s:c r="A771" s="0" t="n">
        <s:v>260813</s:v>
      </s:c>
      <s:c r="B771" s="0" t="inlineStr">
        <s:is>
          <s:t>이종훈</s:t>
        </s:is>
      </s:c>
      <s:c r="C771" s="0" t="n">
        <s:v>112912</s:v>
      </s:c>
      <s:c r="D771" s="0" t="n">
        <s:v>352</s:v>
      </s:c>
      <s:c r="F771" s="24">
        <s:f>'자료구성'!$B$2+TIME(INT($C$3/10000),INT(MOD($C$3,10000)/100),MOD($C$3,100))+(ROW()-ROW($C$3))/86400</s:f>
        <s:v>46247.4875</s:v>
      </s:c>
    </s:row>
    <s:row r="772">
      <s:c r="A772" s="0" t="n">
        <s:v>260813</s:v>
      </s:c>
      <s:c r="B772" s="0" t="inlineStr">
        <s:is>
          <s:t>이종훈</s:t>
        </s:is>
      </s:c>
      <s:c r="C772" s="0" t="n">
        <s:v>112912</s:v>
      </s:c>
      <s:c r="D772" s="0" t="n">
        <s:v>388</s:v>
      </s:c>
      <s:c r="F772" s="24">
        <s:f>'자료구성'!$B$2+TIME(INT($C$3/10000),INT(MOD($C$3,10000)/100),MOD($C$3,100))+(ROW()-ROW($C$3))/86400</s:f>
        <s:v>46247.48751157407</s:v>
      </s:c>
    </s:row>
    <s:row r="773">
      <s:c r="A773" s="0" t="n">
        <s:v>260813</s:v>
      </s:c>
      <s:c r="B773" s="0" t="inlineStr">
        <s:is>
          <s:t>이종훈</s:t>
        </s:is>
      </s:c>
      <s:c r="C773" s="0" t="n">
        <s:v>112912</s:v>
      </s:c>
      <s:c r="D773" s="0" t="n">
        <s:v>380</s:v>
      </s:c>
      <s:c r="F773" s="24">
        <s:f>'자료구성'!$B$2+TIME(INT($C$3/10000),INT(MOD($C$3,10000)/100),MOD($C$3,100))+(ROW()-ROW($C$3))/86400</s:f>
        <s:v>46247.48752314815</s:v>
      </s:c>
    </s:row>
    <s:row r="774">
      <s:c r="A774" s="0" t="n">
        <s:v>260813</s:v>
      </s:c>
      <s:c r="B774" s="0" t="inlineStr">
        <s:is>
          <s:t>이종훈</s:t>
        </s:is>
      </s:c>
      <s:c r="C774" s="0" t="n">
        <s:v>112912</s:v>
      </s:c>
      <s:c r="D774" s="0" t="n">
        <s:v>378</s:v>
      </s:c>
      <s:c r="F774" s="24">
        <s:f>'자료구성'!$B$2+TIME(INT($C$3/10000),INT(MOD($C$3,10000)/100),MOD($C$3,100))+(ROW()-ROW($C$3))/86400</s:f>
        <s:v>46247.48753472222</s:v>
      </s:c>
    </s:row>
    <s:row r="775">
      <s:c r="A775" s="0" t="n">
        <s:v>260813</s:v>
      </s:c>
      <s:c r="B775" s="0" t="inlineStr">
        <s:is>
          <s:t>이종훈</s:t>
        </s:is>
      </s:c>
      <s:c r="C775" s="0" t="n">
        <s:v>112912</s:v>
      </s:c>
      <s:c r="D775" s="0" t="n">
        <s:v>359</s:v>
      </s:c>
      <s:c r="F775" s="24">
        <s:f>'자료구성'!$B$2+TIME(INT($C$3/10000),INT(MOD($C$3,10000)/100),MOD($C$3,100))+(ROW()-ROW($C$3))/86400</s:f>
        <s:v>46247.487546296295</s:v>
      </s:c>
    </s:row>
    <s:row r="776">
      <s:c r="A776" s="0" t="n">
        <s:v>260813</s:v>
      </s:c>
      <s:c r="B776" s="0" t="inlineStr">
        <s:is>
          <s:t>이종훈</s:t>
        </s:is>
      </s:c>
      <s:c r="C776" s="0" t="n">
        <s:v>112912</s:v>
      </s:c>
      <s:c r="D776" s="0" t="n">
        <s:v>359</s:v>
      </s:c>
      <s:c r="F776" s="24">
        <s:f>'자료구성'!$B$2+TIME(INT($C$3/10000),INT(MOD($C$3,10000)/100),MOD($C$3,100))+(ROW()-ROW($C$3))/86400</s:f>
        <s:v>46247.48755787037</s:v>
      </s:c>
    </s:row>
    <s:row r="777">
      <s:c r="A777" s="0" t="n">
        <s:v>260813</s:v>
      </s:c>
      <s:c r="B777" s="0" t="inlineStr">
        <s:is>
          <s:t>이종훈</s:t>
        </s:is>
      </s:c>
      <s:c r="C777" s="0" t="n">
        <s:v>112912</s:v>
      </s:c>
      <s:c r="D777" s="0" t="n">
        <s:v>373</s:v>
      </s:c>
      <s:c r="F777" s="24">
        <s:f>'자료구성'!$B$2+TIME(INT($C$3/10000),INT(MOD($C$3,10000)/100),MOD($C$3,100))+(ROW()-ROW($C$3))/86400</s:f>
        <s:v>46247.48756944444</s:v>
      </s:c>
    </s:row>
    <s:row r="778">
      <s:c r="A778" s="0" t="n">
        <s:v>260813</s:v>
      </s:c>
      <s:c r="B778" s="0" t="inlineStr">
        <s:is>
          <s:t>이종훈</s:t>
        </s:is>
      </s:c>
      <s:c r="C778" s="0" t="n">
        <s:v>112912</s:v>
      </s:c>
      <s:c r="D778" s="0" t="n">
        <s:v>397</s:v>
      </s:c>
      <s:c r="F778" s="24">
        <s:f>'자료구성'!$B$2+TIME(INT($C$3/10000),INT(MOD($C$3,10000)/100),MOD($C$3,100))+(ROW()-ROW($C$3))/86400</s:f>
        <s:v>46247.48758101852</s:v>
      </s:c>
    </s:row>
    <s:row r="779">
      <s:c r="A779" s="0" t="n">
        <s:v>260813</s:v>
      </s:c>
      <s:c r="B779" s="0" t="inlineStr">
        <s:is>
          <s:t>이종훈</s:t>
        </s:is>
      </s:c>
      <s:c r="C779" s="0" t="n">
        <s:v>112912</s:v>
      </s:c>
      <s:c r="D779" s="0" t="n">
        <s:v>409</s:v>
      </s:c>
      <s:c r="F779" s="24">
        <s:f>'자료구성'!$B$2+TIME(INT($C$3/10000),INT(MOD($C$3,10000)/100),MOD($C$3,100))+(ROW()-ROW($C$3))/86400</s:f>
        <s:v>46247.487592592595</s:v>
      </s:c>
    </s:row>
    <s:row r="780">
      <s:c r="A780" s="0" t="n">
        <s:v>260813</s:v>
      </s:c>
      <s:c r="B780" s="0" t="inlineStr">
        <s:is>
          <s:t>이종훈</s:t>
        </s:is>
      </s:c>
      <s:c r="C780" s="0" t="n">
        <s:v>112912</s:v>
      </s:c>
      <s:c r="D780" s="0" t="n">
        <s:v>370</s:v>
      </s:c>
      <s:c r="F780" s="24">
        <s:f>'자료구성'!$B$2+TIME(INT($C$3/10000),INT(MOD($C$3,10000)/100),MOD($C$3,100))+(ROW()-ROW($C$3))/86400</s:f>
        <s:v>46247.487604166665</s:v>
      </s:c>
    </s:row>
    <s:row r="781">
      <s:c r="A781" s="0" t="n">
        <s:v>260813</s:v>
      </s:c>
      <s:c r="B781" s="0" t="inlineStr">
        <s:is>
          <s:t>이종훈</s:t>
        </s:is>
      </s:c>
      <s:c r="C781" s="0" t="n">
        <s:v>112912</s:v>
      </s:c>
      <s:c r="D781" s="0" t="n">
        <s:v>357</s:v>
      </s:c>
      <s:c r="F781" s="24">
        <s:f>'자료구성'!$B$2+TIME(INT($C$3/10000),INT(MOD($C$3,10000)/100),MOD($C$3,100))+(ROW()-ROW($C$3))/86400</s:f>
        <s:v>46247.48761574074</s:v>
      </s:c>
    </s:row>
    <s:row r="782">
      <s:c r="A782" s="0" t="n">
        <s:v>260813</s:v>
      </s:c>
      <s:c r="B782" s="0" t="inlineStr">
        <s:is>
          <s:t>이종훈</s:t>
        </s:is>
      </s:c>
      <s:c r="C782" s="0" t="n">
        <s:v>112912</s:v>
      </s:c>
      <s:c r="D782" s="0" t="n">
        <s:v>334</s:v>
      </s:c>
      <s:c r="F782" s="24">
        <s:f>'자료구성'!$B$2+TIME(INT($C$3/10000),INT(MOD($C$3,10000)/100),MOD($C$3,100))+(ROW()-ROW($C$3))/86400</s:f>
        <s:v>46247.48762731482</s:v>
      </s:c>
    </s:row>
    <s:row r="783">
      <s:c r="A783" s="0" t="n">
        <s:v>260813</s:v>
      </s:c>
      <s:c r="B783" s="0" t="inlineStr">
        <s:is>
          <s:t>이종훈</s:t>
        </s:is>
      </s:c>
      <s:c r="C783" s="0" t="n">
        <s:v>112912</s:v>
      </s:c>
      <s:c r="D783" s="0" t="n">
        <s:v>307</s:v>
      </s:c>
      <s:c r="F783" s="24">
        <s:f>'자료구성'!$B$2+TIME(INT($C$3/10000),INT(MOD($C$3,10000)/100),MOD($C$3,100))+(ROW()-ROW($C$3))/86400</s:f>
        <s:v>46247.48763888889</s:v>
      </s:c>
    </s:row>
    <s:row r="784">
      <s:c r="A784" s="0" t="n">
        <s:v>260813</s:v>
      </s:c>
      <s:c r="B784" s="0" t="inlineStr">
        <s:is>
          <s:t>이종훈</s:t>
        </s:is>
      </s:c>
      <s:c r="C784" s="0" t="n">
        <s:v>112912</s:v>
      </s:c>
      <s:c r="D784" s="0" t="n">
        <s:v>303</s:v>
      </s:c>
      <s:c r="F784" s="24">
        <s:f>'자료구성'!$B$2+TIME(INT($C$3/10000),INT(MOD($C$3,10000)/100),MOD($C$3,100))+(ROW()-ROW($C$3))/86400</s:f>
        <s:v>46247.487650462965</s:v>
      </s:c>
    </s:row>
    <s:row r="785">
      <s:c r="A785" s="0" t="n">
        <s:v>260813</s:v>
      </s:c>
      <s:c r="B785" s="0" t="inlineStr">
        <s:is>
          <s:t>이종훈</s:t>
        </s:is>
      </s:c>
      <s:c r="C785" s="0" t="n">
        <s:v>112912</s:v>
      </s:c>
      <s:c r="D785" s="0" t="n">
        <s:v>301</s:v>
      </s:c>
      <s:c r="F785" s="24">
        <s:f>'자료구성'!$B$2+TIME(INT($C$3/10000),INT(MOD($C$3,10000)/100),MOD($C$3,100))+(ROW()-ROW($C$3))/86400</s:f>
        <s:v>46247.487662037034</s:v>
      </s:c>
    </s:row>
    <s:row r="786">
      <s:c r="A786" s="0" t="n">
        <s:v>260813</s:v>
      </s:c>
      <s:c r="B786" s="0" t="inlineStr">
        <s:is>
          <s:t>이종훈</s:t>
        </s:is>
      </s:c>
      <s:c r="C786" s="0" t="n">
        <s:v>112912</s:v>
      </s:c>
      <s:c r="D786" s="0" t="n">
        <s:v>315</s:v>
      </s:c>
      <s:c r="F786" s="24">
        <s:f>'자료구성'!$B$2+TIME(INT($C$3/10000),INT(MOD($C$3,10000)/100),MOD($C$3,100))+(ROW()-ROW($C$3))/86400</s:f>
        <s:v>46247.48767361111</s:v>
      </s:c>
    </s:row>
    <s:row r="787">
      <s:c r="A787" s="0" t="n">
        <s:v>260813</s:v>
      </s:c>
      <s:c r="B787" s="0" t="inlineStr">
        <s:is>
          <s:t>이종훈</s:t>
        </s:is>
      </s:c>
      <s:c r="C787" s="0" t="n">
        <s:v>112912</s:v>
      </s:c>
      <s:c r="D787" s="0" t="n">
        <s:v>309</s:v>
      </s:c>
      <s:c r="F787" s="24">
        <s:f>'자료구성'!$B$2+TIME(INT($C$3/10000),INT(MOD($C$3,10000)/100),MOD($C$3,100))+(ROW()-ROW($C$3))/86400</s:f>
        <s:v>46247.48768518519</s:v>
      </s:c>
    </s:row>
    <s:row r="788">
      <s:c r="A788" s="0" t="n">
        <s:v>260813</s:v>
      </s:c>
      <s:c r="B788" s="0" t="inlineStr">
        <s:is>
          <s:t>이종훈</s:t>
        </s:is>
      </s:c>
      <s:c r="C788" s="0" t="n">
        <s:v>112912</s:v>
      </s:c>
      <s:c r="D788" s="0" t="n">
        <s:v>282</s:v>
      </s:c>
      <s:c r="F788" s="24">
        <s:f>'자료구성'!$B$2+TIME(INT($C$3/10000),INT(MOD($C$3,10000)/100),MOD($C$3,100))+(ROW()-ROW($C$3))/86400</s:f>
        <s:v>46247.48769675926</s:v>
      </s:c>
    </s:row>
    <s:row r="789">
      <s:c r="A789" s="0" t="n">
        <s:v>260813</s:v>
      </s:c>
      <s:c r="B789" s="0" t="inlineStr">
        <s:is>
          <s:t>이종훈</s:t>
        </s:is>
      </s:c>
      <s:c r="C789" s="0" t="n">
        <s:v>112912</s:v>
      </s:c>
      <s:c r="D789" s="0" t="n">
        <s:v>265</s:v>
      </s:c>
      <s:c r="F789" s="24">
        <s:f>'자료구성'!$B$2+TIME(INT($C$3/10000),INT(MOD($C$3,10000)/100),MOD($C$3,100))+(ROW()-ROW($C$3))/86400</s:f>
        <s:v>46247.487708333334</s:v>
      </s:c>
    </s:row>
    <s:row r="790">
      <s:c r="A790" s="0" t="n">
        <s:v>260813</s:v>
      </s:c>
      <s:c r="B790" s="0" t="inlineStr">
        <s:is>
          <s:t>이종훈</s:t>
        </s:is>
      </s:c>
      <s:c r="C790" s="0" t="n">
        <s:v>112912</s:v>
      </s:c>
      <s:c r="D790" s="0" t="n">
        <s:v>245</s:v>
      </s:c>
      <s:c r="F790" s="24">
        <s:f>'자료구성'!$B$2+TIME(INT($C$3/10000),INT(MOD($C$3,10000)/100),MOD($C$3,100))+(ROW()-ROW($C$3))/86400</s:f>
        <s:v>46247.48771990741</s:v>
      </s:c>
    </s:row>
    <s:row r="791">
      <s:c r="A791" s="0" t="n">
        <s:v>260813</s:v>
      </s:c>
      <s:c r="B791" s="0" t="inlineStr">
        <s:is>
          <s:t>이종훈</s:t>
        </s:is>
      </s:c>
      <s:c r="C791" s="0" t="n">
        <s:v>112912</s:v>
      </s:c>
      <s:c r="D791" s="0" t="n">
        <s:v>231</s:v>
      </s:c>
      <s:c r="F791" s="24">
        <s:f>'자료구성'!$B$2+TIME(INT($C$3/10000),INT(MOD($C$3,10000)/100),MOD($C$3,100))+(ROW()-ROW($C$3))/86400</s:f>
        <s:v>46247.48773148148</s:v>
      </s:c>
    </s:row>
    <s:row r="792">
      <s:c r="A792" s="0" t="n">
        <s:v>260813</s:v>
      </s:c>
      <s:c r="B792" s="0" t="inlineStr">
        <s:is>
          <s:t>이종훈</s:t>
        </s:is>
      </s:c>
      <s:c r="C792" s="0" t="n">
        <s:v>112912</s:v>
      </s:c>
      <s:c r="D792" s="0" t="n">
        <s:v>214</s:v>
      </s:c>
      <s:c r="F792" s="24">
        <s:f>'자료구성'!$B$2+TIME(INT($C$3/10000),INT(MOD($C$3,10000)/100),MOD($C$3,100))+(ROW()-ROW($C$3))/86400</s:f>
        <s:v>46247.48774305556</s:v>
      </s:c>
    </s:row>
    <s:row r="793">
      <s:c r="A793" s="0" t="n">
        <s:v>260813</s:v>
      </s:c>
      <s:c r="B793" s="0" t="inlineStr">
        <s:is>
          <s:t>이종훈</s:t>
        </s:is>
      </s:c>
      <s:c r="C793" s="0" t="n">
        <s:v>112912</s:v>
      </s:c>
      <s:c r="D793" s="0" t="n">
        <s:v>194</s:v>
      </s:c>
      <s:c r="F793" s="24">
        <s:f>'자료구성'!$B$2+TIME(INT($C$3/10000),INT(MOD($C$3,10000)/100),MOD($C$3,100))+(ROW()-ROW($C$3))/86400</s:f>
        <s:v>46247.48775462963</s:v>
      </s:c>
    </s:row>
    <s:row r="794">
      <s:c r="A794" s="0" t="n">
        <s:v>260813</s:v>
      </s:c>
      <s:c r="B794" s="0" t="inlineStr">
        <s:is>
          <s:t>이종훈</s:t>
        </s:is>
      </s:c>
      <s:c r="C794" s="0" t="n">
        <s:v>112912</s:v>
      </s:c>
      <s:c r="D794" s="0" t="n">
        <s:v>181</s:v>
      </s:c>
      <s:c r="F794" s="24">
        <s:f>'자료구성'!$B$2+TIME(INT($C$3/10000),INT(MOD($C$3,10000)/100),MOD($C$3,100))+(ROW()-ROW($C$3))/86400</s:f>
        <s:v>46247.4877662037</s:v>
      </s:c>
    </s:row>
    <s:row r="795">
      <s:c r="A795" s="0" t="n">
        <s:v>260813</s:v>
      </s:c>
      <s:c r="B795" s="0" t="inlineStr">
        <s:is>
          <s:t>이종훈</s:t>
        </s:is>
      </s:c>
      <s:c r="C795" s="0" t="n">
        <s:v>112912</s:v>
      </s:c>
      <s:c r="D795" s="0" t="n">
        <s:v>158</s:v>
      </s:c>
      <s:c r="F795" s="24">
        <s:f>'자료구성'!$B$2+TIME(INT($C$3/10000),INT(MOD($C$3,10000)/100),MOD($C$3,100))+(ROW()-ROW($C$3))/86400</s:f>
        <s:v>46247.48777777778</s:v>
      </s:c>
    </s:row>
    <s:row r="796">
      <s:c r="A796" s="0" t="n">
        <s:v>260813</s:v>
      </s:c>
      <s:c r="B796" s="0" t="inlineStr">
        <s:is>
          <s:t>이종훈</s:t>
        </s:is>
      </s:c>
      <s:c r="C796" s="0" t="n">
        <s:v>112912</s:v>
      </s:c>
      <s:c r="D796" s="0" t="n">
        <s:v>157</s:v>
      </s:c>
      <s:c r="F796" s="24">
        <s:f>'자료구성'!$B$2+TIME(INT($C$3/10000),INT(MOD($C$3,10000)/100),MOD($C$3,100))+(ROW()-ROW($C$3))/86400</s:f>
        <s:v>46247.48778935185</s:v>
      </s:c>
    </s:row>
    <s:row r="797">
      <s:c r="A797" s="0" t="n">
        <s:v>260813</s:v>
      </s:c>
      <s:c r="B797" s="0" t="inlineStr">
        <s:is>
          <s:t>이종훈</s:t>
        </s:is>
      </s:c>
      <s:c r="C797" s="0" t="n">
        <s:v>112912</s:v>
      </s:c>
      <s:c r="D797" s="0" t="n">
        <s:v>169</s:v>
      </s:c>
      <s:c r="F797" s="24">
        <s:f>'자료구성'!$B$2+TIME(INT($C$3/10000),INT(MOD($C$3,10000)/100),MOD($C$3,100))+(ROW()-ROW($C$3))/86400</s:f>
        <s:v>46247.48780092593</s:v>
      </s:c>
    </s:row>
    <s:row r="798">
      <s:c r="A798" s="0" t="n">
        <s:v>260813</s:v>
      </s:c>
      <s:c r="B798" s="0" t="inlineStr">
        <s:is>
          <s:t>이종훈</s:t>
        </s:is>
      </s:c>
      <s:c r="C798" s="0" t="n">
        <s:v>112912</s:v>
      </s:c>
      <s:c r="D798" s="0" t="n">
        <s:v>180</s:v>
      </s:c>
      <s:c r="F798" s="24">
        <s:f>'자료구성'!$B$2+TIME(INT($C$3/10000),INT(MOD($C$3,10000)/100),MOD($C$3,100))+(ROW()-ROW($C$3))/86400</s:f>
        <s:v>46247.4878125</s:v>
      </s:c>
    </s:row>
    <s:row r="799">
      <s:c r="A799" s="0" t="n">
        <s:v>260813</s:v>
      </s:c>
      <s:c r="B799" s="0" t="inlineStr">
        <s:is>
          <s:t>이종훈</s:t>
        </s:is>
      </s:c>
      <s:c r="C799" s="0" t="n">
        <s:v>112912</s:v>
      </s:c>
      <s:c r="D799" s="0" t="n">
        <s:v>188</s:v>
      </s:c>
      <s:c r="F799" s="24">
        <s:f>'자료구성'!$B$2+TIME(INT($C$3/10000),INT(MOD($C$3,10000)/100),MOD($C$3,100))+(ROW()-ROW($C$3))/86400</s:f>
        <s:v>46247.48782407407</s:v>
      </s:c>
    </s:row>
    <s:row r="800">
      <s:c r="A800" s="0" t="n">
        <s:v>260813</s:v>
      </s:c>
      <s:c r="B800" s="0" t="inlineStr">
        <s:is>
          <s:t>이종훈</s:t>
        </s:is>
      </s:c>
      <s:c r="C800" s="0" t="n">
        <s:v>112912</s:v>
      </s:c>
      <s:c r="D800" s="0" t="n">
        <s:v>182</s:v>
      </s:c>
      <s:c r="F800" s="24">
        <s:f>'자료구성'!$B$2+TIME(INT($C$3/10000),INT(MOD($C$3,10000)/100),MOD($C$3,100))+(ROW()-ROW($C$3))/86400</s:f>
        <s:v>46247.48783564815</s:v>
      </s:c>
    </s:row>
    <s:row r="801">
      <s:c r="A801" s="0" t="n">
        <s:v>260813</s:v>
      </s:c>
      <s:c r="B801" s="0" t="inlineStr">
        <s:is>
          <s:t>이종훈</s:t>
        </s:is>
      </s:c>
      <s:c r="C801" s="0" t="n">
        <s:v>112912</s:v>
      </s:c>
      <s:c r="D801" s="0" t="n">
        <s:v>190</s:v>
      </s:c>
      <s:c r="F801" s="24">
        <s:f>'자료구성'!$B$2+TIME(INT($C$3/10000),INT(MOD($C$3,10000)/100),MOD($C$3,100))+(ROW()-ROW($C$3))/86400</s:f>
        <s:v>46247.48784722222</s:v>
      </s:c>
    </s:row>
    <s:row r="802">
      <s:c r="A802" s="0" t="n">
        <s:v>260813</s:v>
      </s:c>
      <s:c r="B802" s="0" t="inlineStr">
        <s:is>
          <s:t>이종훈</s:t>
        </s:is>
      </s:c>
      <s:c r="C802" s="0" t="n">
        <s:v>112912</s:v>
      </s:c>
      <s:c r="D802" s="0" t="n">
        <s:v>192</s:v>
      </s:c>
      <s:c r="F802" s="24">
        <s:f>'자료구성'!$B$2+TIME(INT($C$3/10000),INT(MOD($C$3,10000)/100),MOD($C$3,100))+(ROW()-ROW($C$3))/86400</s:f>
        <s:v>46247.487858796296</s:v>
      </s:c>
    </s:row>
    <s:row r="803">
      <s:c r="A803" s="0" t="n">
        <s:v>260813</s:v>
      </s:c>
      <s:c r="B803" s="0" t="inlineStr">
        <s:is>
          <s:t>이종훈</s:t>
        </s:is>
      </s:c>
      <s:c r="C803" s="0" t="n">
        <s:v>112912</s:v>
      </s:c>
      <s:c r="D803" s="0" t="n">
        <s:v>182</s:v>
      </s:c>
      <s:c r="F803" s="24">
        <s:f>'자료구성'!$B$2+TIME(INT($C$3/10000),INT(MOD($C$3,10000)/100),MOD($C$3,100))+(ROW()-ROW($C$3))/86400</s:f>
        <s:v>46247.48787037037</s:v>
      </s:c>
    </s:row>
    <s:row r="804">
      <s:c r="A804" s="0" t="n">
        <s:v>260813</s:v>
      </s:c>
      <s:c r="B804" s="0" t="inlineStr">
        <s:is>
          <s:t>이종훈</s:t>
        </s:is>
      </s:c>
      <s:c r="C804" s="0" t="n">
        <s:v>112912</s:v>
      </s:c>
      <s:c r="D804" s="0" t="n">
        <s:v>183</s:v>
      </s:c>
      <s:c r="F804" s="24">
        <s:f>'자료구성'!$B$2+TIME(INT($C$3/10000),INT(MOD($C$3,10000)/100),MOD($C$3,100))+(ROW()-ROW($C$3))/86400</s:f>
        <s:v>46247.48788194444</s:v>
      </s:c>
    </s:row>
    <s:row r="805">
      <s:c r="A805" s="0" t="n">
        <s:v>260813</s:v>
      </s:c>
      <s:c r="B805" s="0" t="inlineStr">
        <s:is>
          <s:t>이종훈</s:t>
        </s:is>
      </s:c>
      <s:c r="C805" s="0" t="n">
        <s:v>112912</s:v>
      </s:c>
      <s:c r="D805" s="0" t="n">
        <s:v>180</s:v>
      </s:c>
      <s:c r="F805" s="24">
        <s:f>'자료구성'!$B$2+TIME(INT($C$3/10000),INT(MOD($C$3,10000)/100),MOD($C$3,100))+(ROW()-ROW($C$3))/86400</s:f>
        <s:v>46247.48789351852</s:v>
      </s:c>
    </s:row>
    <s:row r="806">
      <s:c r="A806" s="0" t="n">
        <s:v>260813</s:v>
      </s:c>
      <s:c r="B806" s="0" t="inlineStr">
        <s:is>
          <s:t>이종훈</s:t>
        </s:is>
      </s:c>
      <s:c r="C806" s="0" t="n">
        <s:v>112912</s:v>
      </s:c>
      <s:c r="D806" s="0" t="n">
        <s:v>182</s:v>
      </s:c>
      <s:c r="F806" s="24">
        <s:f>'자료구성'!$B$2+TIME(INT($C$3/10000),INT(MOD($C$3,10000)/100),MOD($C$3,100))+(ROW()-ROW($C$3))/86400</s:f>
        <s:v>46247.487905092596</s:v>
      </s:c>
    </s:row>
    <s:row r="807">
      <s:c r="A807" s="0" t="n">
        <s:v>260813</s:v>
      </s:c>
      <s:c r="B807" s="0" t="inlineStr">
        <s:is>
          <s:t>이종훈</s:t>
        </s:is>
      </s:c>
      <s:c r="C807" s="0" t="n">
        <s:v>112912</s:v>
      </s:c>
      <s:c r="D807" s="0" t="n">
        <s:v>187</s:v>
      </s:c>
      <s:c r="F807" s="24">
        <s:f>'자료구성'!$B$2+TIME(INT($C$3/10000),INT(MOD($C$3,10000)/100),MOD($C$3,100))+(ROW()-ROW($C$3))/86400</s:f>
        <s:v>46247.487916666665</s:v>
      </s:c>
    </s:row>
    <s:row r="808">
      <s:c r="A808" s="0" t="n">
        <s:v>260813</s:v>
      </s:c>
      <s:c r="B808" s="0" t="inlineStr">
        <s:is>
          <s:t>이종훈</s:t>
        </s:is>
      </s:c>
      <s:c r="C808" s="0" t="n">
        <s:v>112912</s:v>
      </s:c>
      <s:c r="D808" s="0" t="n">
        <s:v>186</s:v>
      </s:c>
      <s:c r="F808" s="24">
        <s:f>'자료구성'!$B$2+TIME(INT($C$3/10000),INT(MOD($C$3,10000)/100),MOD($C$3,100))+(ROW()-ROW($C$3))/86400</s:f>
        <s:v>46247.48792824074</s:v>
      </s:c>
    </s:row>
    <s:row r="809">
      <s:c r="A809" s="0" t="n">
        <s:v>260813</s:v>
      </s:c>
      <s:c r="B809" s="0" t="inlineStr">
        <s:is>
          <s:t>이종훈</s:t>
        </s:is>
      </s:c>
      <s:c r="C809" s="0" t="n">
        <s:v>112912</s:v>
      </s:c>
      <s:c r="D809" s="0" t="n">
        <s:v>176</s:v>
      </s:c>
      <s:c r="F809" s="24">
        <s:f>'자료구성'!$B$2+TIME(INT($C$3/10000),INT(MOD($C$3,10000)/100),MOD($C$3,100))+(ROW()-ROW($C$3))/86400</s:f>
        <s:v>46247.48793981481</s:v>
      </s:c>
    </s:row>
    <s:row r="810">
      <s:c r="A810" s="0" t="n">
        <s:v>260813</s:v>
      </s:c>
      <s:c r="B810" s="0" t="inlineStr">
        <s:is>
          <s:t>이종훈</s:t>
        </s:is>
      </s:c>
      <s:c r="C810" s="0" t="n">
        <s:v>112912</s:v>
      </s:c>
      <s:c r="D810" s="0" t="n">
        <s:v>159</s:v>
      </s:c>
      <s:c r="F810" s="24">
        <s:f>'자료구성'!$B$2+TIME(INT($C$3/10000),INT(MOD($C$3,10000)/100),MOD($C$3,100))+(ROW()-ROW($C$3))/86400</s:f>
        <s:v>46247.48795138889</s:v>
      </s:c>
    </s:row>
    <s:row r="811">
      <s:c r="A811" s="0" t="n">
        <s:v>260813</s:v>
      </s:c>
      <s:c r="B811" s="0" t="inlineStr">
        <s:is>
          <s:t>이종훈</s:t>
        </s:is>
      </s:c>
      <s:c r="C811" s="0" t="n">
        <s:v>112912</s:v>
      </s:c>
      <s:c r="D811" s="0" t="n">
        <s:v>135</s:v>
      </s:c>
      <s:c r="F811" s="24">
        <s:f>'자료구성'!$B$2+TIME(INT($C$3/10000),INT(MOD($C$3,10000)/100),MOD($C$3,100))+(ROW()-ROW($C$3))/86400</s:f>
        <s:v>46247.487962962965</s:v>
      </s:c>
    </s:row>
    <s:row r="812">
      <s:c r="A812" s="0" t="n">
        <s:v>260813</s:v>
      </s:c>
      <s:c r="B812" s="0" t="inlineStr">
        <s:is>
          <s:t>이종훈</s:t>
        </s:is>
      </s:c>
      <s:c r="C812" s="0" t="n">
        <s:v>112912</s:v>
      </s:c>
      <s:c r="D812" s="0" t="n">
        <s:v>133</s:v>
      </s:c>
      <s:c r="F812" s="24">
        <s:f>'자료구성'!$B$2+TIME(INT($C$3/10000),INT(MOD($C$3,10000)/100),MOD($C$3,100))+(ROW()-ROW($C$3))/86400</s:f>
        <s:v>46247.487974537034</s:v>
      </s:c>
    </s:row>
    <s:row r="813">
      <s:c r="A813" s="0" t="n">
        <s:v>260813</s:v>
      </s:c>
      <s:c r="B813" s="0" t="inlineStr">
        <s:is>
          <s:t>이종훈</s:t>
        </s:is>
      </s:c>
      <s:c r="C813" s="0" t="n">
        <s:v>112912</s:v>
      </s:c>
      <s:c r="D813" s="0" t="n">
        <s:v>133</s:v>
      </s:c>
      <s:c r="F813" s="24">
        <s:f>'자료구성'!$B$2+TIME(INT($C$3/10000),INT(MOD($C$3,10000)/100),MOD($C$3,100))+(ROW()-ROW($C$3))/86400</s:f>
        <s:v>46247.48798611111</s:v>
      </s:c>
    </s:row>
    <s:row r="814">
      <s:c r="A814" s="0" t="n">
        <s:v>260813</s:v>
      </s:c>
      <s:c r="B814" s="0" t="inlineStr">
        <s:is>
          <s:t>이종훈</s:t>
        </s:is>
      </s:c>
      <s:c r="C814" s="0" t="n">
        <s:v>112912</s:v>
      </s:c>
      <s:c r="D814" s="0" t="n">
        <s:v>140</s:v>
      </s:c>
      <s:c r="F814" s="24">
        <s:f>'자료구성'!$B$2+TIME(INT($C$3/10000),INT(MOD($C$3,10000)/100),MOD($C$3,100))+(ROW()-ROW($C$3))/86400</s:f>
        <s:v>46247.48799768519</s:v>
      </s:c>
    </s:row>
    <s:row r="815">
      <s:c r="A815" s="0" t="n">
        <s:v>260813</s:v>
      </s:c>
      <s:c r="B815" s="0" t="inlineStr">
        <s:is>
          <s:t>이종훈</s:t>
        </s:is>
      </s:c>
      <s:c r="C815" s="0" t="n">
        <s:v>112912</s:v>
      </s:c>
      <s:c r="D815" s="0" t="n">
        <s:v>146</s:v>
      </s:c>
      <s:c r="F815" s="24">
        <s:f>'자료구성'!$B$2+TIME(INT($C$3/10000),INT(MOD($C$3,10000)/100),MOD($C$3,100))+(ROW()-ROW($C$3))/86400</s:f>
        <s:v>46247.48800925926</s:v>
      </s:c>
    </s:row>
    <s:row r="816">
      <s:c r="A816" s="0" t="n">
        <s:v>260813</s:v>
      </s:c>
      <s:c r="B816" s="0" t="inlineStr">
        <s:is>
          <s:t>이종훈</s:t>
        </s:is>
      </s:c>
      <s:c r="C816" s="0" t="n">
        <s:v>112912</s:v>
      </s:c>
      <s:c r="D816" s="0" t="n">
        <s:v>149</s:v>
      </s:c>
      <s:c r="F816" s="24">
        <s:f>'자료구성'!$B$2+TIME(INT($C$3/10000),INT(MOD($C$3,10000)/100),MOD($C$3,100))+(ROW()-ROW($C$3))/86400</s:f>
        <s:v>46247.488020833334</s:v>
      </s:c>
    </s:row>
    <s:row r="817">
      <s:c r="A817" s="0" t="n">
        <s:v>260813</s:v>
      </s:c>
      <s:c r="B817" s="0" t="inlineStr">
        <s:is>
          <s:t>이종훈</s:t>
        </s:is>
      </s:c>
      <s:c r="C817" s="0" t="n">
        <s:v>112912</s:v>
      </s:c>
      <s:c r="D817" s="0" t="n">
        <s:v>157</s:v>
      </s:c>
      <s:c r="F817" s="24">
        <s:f>'자료구성'!$B$2+TIME(INT($C$3/10000),INT(MOD($C$3,10000)/100),MOD($C$3,100))+(ROW()-ROW($C$3))/86400</s:f>
        <s:v>46247.488032407404</s:v>
      </s:c>
    </s:row>
    <s:row r="818">
      <s:c r="A818" s="0" t="n">
        <s:v>260813</s:v>
      </s:c>
      <s:c r="B818" s="0" t="inlineStr">
        <s:is>
          <s:t>이종훈</s:t>
        </s:is>
      </s:c>
      <s:c r="C818" s="0" t="n">
        <s:v>112912</s:v>
      </s:c>
      <s:c r="D818" s="0" t="n">
        <s:v>156</s:v>
      </s:c>
      <s:c r="F818" s="24">
        <s:f>'자료구성'!$B$2+TIME(INT($C$3/10000),INT(MOD($C$3,10000)/100),MOD($C$3,100))+(ROW()-ROW($C$3))/86400</s:f>
        <s:v>46247.48804398148</s:v>
      </s:c>
    </s:row>
    <s:row r="819">
      <s:c r="A819" s="0" t="n">
        <s:v>260813</s:v>
      </s:c>
      <s:c r="B819" s="0" t="inlineStr">
        <s:is>
          <s:t>이종훈</s:t>
        </s:is>
      </s:c>
      <s:c r="C819" s="0" t="n">
        <s:v>112912</s:v>
      </s:c>
      <s:c r="D819" s="0" t="n">
        <s:v>154</s:v>
      </s:c>
      <s:c r="F819" s="24">
        <s:f>'자료구성'!$B$2+TIME(INT($C$3/10000),INT(MOD($C$3,10000)/100),MOD($C$3,100))+(ROW()-ROW($C$3))/86400</s:f>
        <s:v>46247.48805555556</s:v>
      </s:c>
    </s:row>
    <s:row r="820">
      <s:c r="A820" s="0" t="n">
        <s:v>260813</s:v>
      </s:c>
      <s:c r="B820" s="0" t="inlineStr">
        <s:is>
          <s:t>이종훈</s:t>
        </s:is>
      </s:c>
      <s:c r="C820" s="0" t="n">
        <s:v>112912</s:v>
      </s:c>
      <s:c r="D820" s="0" t="n">
        <s:v>159</s:v>
      </s:c>
      <s:c r="F820" s="24">
        <s:f>'자료구성'!$B$2+TIME(INT($C$3/10000),INT(MOD($C$3,10000)/100),MOD($C$3,100))+(ROW()-ROW($C$3))/86400</s:f>
        <s:v>46247.48806712963</s:v>
      </s:c>
    </s:row>
    <s:row r="821">
      <s:c r="A821" s="0" t="n">
        <s:v>260813</s:v>
      </s:c>
      <s:c r="B821" s="0" t="inlineStr">
        <s:is>
          <s:t>이종훈</s:t>
        </s:is>
      </s:c>
      <s:c r="C821" s="0" t="n">
        <s:v>112912</s:v>
      </s:c>
      <s:c r="D821" s="0" t="n">
        <s:v>157</s:v>
      </s:c>
      <s:c r="F821" s="24">
        <s:f>'자료구성'!$B$2+TIME(INT($C$3/10000),INT(MOD($C$3,10000)/100),MOD($C$3,100))+(ROW()-ROW($C$3))/86400</s:f>
        <s:v>46247.488078703704</s:v>
      </s:c>
    </s:row>
    <s:row r="822">
      <s:c r="A822" s="0" t="n">
        <s:v>260813</s:v>
      </s:c>
      <s:c r="B822" s="0" t="inlineStr">
        <s:is>
          <s:t>이종훈</s:t>
        </s:is>
      </s:c>
      <s:c r="C822" s="0" t="n">
        <s:v>112912</s:v>
      </s:c>
      <s:c r="D822" s="0" t="n">
        <s:v>167</s:v>
      </s:c>
      <s:c r="F822" s="24">
        <s:f>'자료구성'!$B$2+TIME(INT($C$3/10000),INT(MOD($C$3,10000)/100),MOD($C$3,100))+(ROW()-ROW($C$3))/86400</s:f>
        <s:v>46247.48809027778</s:v>
      </s:c>
    </s:row>
    <s:row r="823">
      <s:c r="A823" s="0" t="n">
        <s:v>260813</s:v>
      </s:c>
      <s:c r="B823" s="0" t="inlineStr">
        <s:is>
          <s:t>이종훈</s:t>
        </s:is>
      </s:c>
      <s:c r="C823" s="0" t="n">
        <s:v>112912</s:v>
      </s:c>
      <s:c r="D823" s="0" t="n">
        <s:v>173</s:v>
      </s:c>
      <s:c r="F823" s="24">
        <s:f>'자료구성'!$B$2+TIME(INT($C$3/10000),INT(MOD($C$3,10000)/100),MOD($C$3,100))+(ROW()-ROW($C$3))/86400</s:f>
        <s:v>46247.48810185185</s:v>
      </s:c>
    </s:row>
    <s:row r="824">
      <s:c r="A824" s="0" t="n">
        <s:v>260813</s:v>
      </s:c>
      <s:c r="B824" s="0" t="inlineStr">
        <s:is>
          <s:t>이종훈</s:t>
        </s:is>
      </s:c>
      <s:c r="C824" s="0" t="n">
        <s:v>112912</s:v>
      </s:c>
      <s:c r="D824" s="0" t="n">
        <s:v>162</s:v>
      </s:c>
      <s:c r="F824" s="24">
        <s:f>'자료구성'!$B$2+TIME(INT($C$3/10000),INT(MOD($C$3,10000)/100),MOD($C$3,100))+(ROW()-ROW($C$3))/86400</s:f>
        <s:v>46247.48811342593</s:v>
      </s:c>
    </s:row>
    <s:row r="825">
      <s:c r="A825" s="0" t="n">
        <s:v>260813</s:v>
      </s:c>
      <s:c r="B825" s="0" t="inlineStr">
        <s:is>
          <s:t>이종훈</s:t>
        </s:is>
      </s:c>
      <s:c r="C825" s="0" t="n">
        <s:v>112912</s:v>
      </s:c>
      <s:c r="D825" s="0" t="n">
        <s:v>149</s:v>
      </s:c>
      <s:c r="F825" s="24">
        <s:f>'자료구성'!$B$2+TIME(INT($C$3/10000),INT(MOD($C$3,10000)/100),MOD($C$3,100))+(ROW()-ROW($C$3))/86400</s:f>
        <s:v>46247.488125</s:v>
      </s:c>
    </s:row>
    <s:row r="826">
      <s:c r="A826" s="0" t="n">
        <s:v>260813</s:v>
      </s:c>
      <s:c r="B826" s="0" t="inlineStr">
        <s:is>
          <s:t>이종훈</s:t>
        </s:is>
      </s:c>
      <s:c r="C826" s="0" t="n">
        <s:v>112912</s:v>
      </s:c>
      <s:c r="D826" s="0" t="n">
        <s:v>141</s:v>
      </s:c>
      <s:c r="F826" s="24">
        <s:f>'자료구성'!$B$2+TIME(INT($C$3/10000),INT(MOD($C$3,10000)/100),MOD($C$3,100))+(ROW()-ROW($C$3))/86400</s:f>
        <s:v>46247.48813657407</s:v>
      </s:c>
    </s:row>
    <s:row r="827">
      <s:c r="A827" s="0" t="n">
        <s:v>260813</s:v>
      </s:c>
      <s:c r="B827" s="0" t="inlineStr">
        <s:is>
          <s:t>이종훈</s:t>
        </s:is>
      </s:c>
      <s:c r="C827" s="0" t="n">
        <s:v>112912</s:v>
      </s:c>
      <s:c r="D827" s="0" t="n">
        <s:v>136</s:v>
      </s:c>
      <s:c r="F827" s="24">
        <s:f>'자료구성'!$B$2+TIME(INT($C$3/10000),INT(MOD($C$3,10000)/100),MOD($C$3,100))+(ROW()-ROW($C$3))/86400</s:f>
        <s:v>46247.48814814815</s:v>
      </s:c>
    </s:row>
    <s:row r="828">
      <s:c r="A828" s="0" t="n">
        <s:v>260813</s:v>
      </s:c>
      <s:c r="B828" s="0" t="inlineStr">
        <s:is>
          <s:t>이종훈</s:t>
        </s:is>
      </s:c>
      <s:c r="C828" s="0" t="n">
        <s:v>112912</s:v>
      </s:c>
      <s:c r="D828" s="0" t="n">
        <s:v>117</s:v>
      </s:c>
      <s:c r="F828" s="24">
        <s:f>'자료구성'!$B$2+TIME(INT($C$3/10000),INT(MOD($C$3,10000)/100),MOD($C$3,100))+(ROW()-ROW($C$3))/86400</s:f>
        <s:v>46247.48815972222</s:v>
      </s:c>
    </s:row>
    <s:row r="829">
      <s:c r="A829" s="0" t="n">
        <s:v>260813</s:v>
      </s:c>
      <s:c r="B829" s="0" t="inlineStr">
        <s:is>
          <s:t>이종훈</s:t>
        </s:is>
      </s:c>
      <s:c r="C829" s="0" t="n">
        <s:v>112912</s:v>
      </s:c>
      <s:c r="D829" s="0" t="n">
        <s:v>106</s:v>
      </s:c>
      <s:c r="F829" s="24">
        <s:f>'자료구성'!$B$2+TIME(INT($C$3/10000),INT(MOD($C$3,10000)/100),MOD($C$3,100))+(ROW()-ROW($C$3))/86400</s:f>
        <s:v>46247.488171296296</s:v>
      </s:c>
    </s:row>
    <s:row r="830">
      <s:c r="A830" s="0" t="n">
        <s:v>260813</s:v>
      </s:c>
      <s:c r="B830" s="0" t="inlineStr">
        <s:is>
          <s:t>이종훈</s:t>
        </s:is>
      </s:c>
      <s:c r="C830" s="0" t="n">
        <s:v>112912</s:v>
      </s:c>
      <s:c r="D830" s="0" t="n">
        <s:v>100</s:v>
      </s:c>
      <s:c r="F830" s="24">
        <s:f>'자료구성'!$B$2+TIME(INT($C$3/10000),INT(MOD($C$3,10000)/100),MOD($C$3,100))+(ROW()-ROW($C$3))/86400</s:f>
        <s:v>46247.48818287037</s:v>
      </s:c>
    </s:row>
    <s:row r="831">
      <s:c r="A831" s="0" t="n">
        <s:v>260813</s:v>
      </s:c>
      <s:c r="B831" s="0" t="inlineStr">
        <s:is>
          <s:t>이종훈</s:t>
        </s:is>
      </s:c>
      <s:c r="C831" s="0" t="n">
        <s:v>112912</s:v>
      </s:c>
      <s:c r="D831" s="0" t="n">
        <s:v>95</s:v>
      </s:c>
      <s:c r="F831" s="24">
        <s:f>'자료구성'!$B$2+TIME(INT($C$3/10000),INT(MOD($C$3,10000)/100),MOD($C$3,100))+(ROW()-ROW($C$3))/86400</s:f>
        <s:v>46247.48819444444</s:v>
      </s:c>
    </s:row>
    <s:row r="832">
      <s:c r="A832" s="0" t="n">
        <s:v>260813</s:v>
      </s:c>
      <s:c r="B832" s="0" t="inlineStr">
        <s:is>
          <s:t>이종훈</s:t>
        </s:is>
      </s:c>
      <s:c r="C832" s="0" t="n">
        <s:v>112912</s:v>
      </s:c>
      <s:c r="D832" s="0" t="n">
        <s:v>98</s:v>
      </s:c>
      <s:c r="F832" s="24">
        <s:f>'자료구성'!$B$2+TIME(INT($C$3/10000),INT(MOD($C$3,10000)/100),MOD($C$3,100))+(ROW()-ROW($C$3))/86400</s:f>
        <s:v>46247.48820601852</s:v>
      </s:c>
    </s:row>
    <s:row r="833">
      <s:c r="A833" s="0" t="n">
        <s:v>260813</s:v>
      </s:c>
      <s:c r="B833" s="0" t="inlineStr">
        <s:is>
          <s:t>이종훈</s:t>
        </s:is>
      </s:c>
      <s:c r="C833" s="0" t="n">
        <s:v>112912</s:v>
      </s:c>
      <s:c r="D833" s="0" t="n">
        <s:v>88</s:v>
      </s:c>
      <s:c r="F833" s="24">
        <s:f>'자료구성'!$B$2+TIME(INT($C$3/10000),INT(MOD($C$3,10000)/100),MOD($C$3,100))+(ROW()-ROW($C$3))/86400</s:f>
        <s:v>46247.488217592596</s:v>
      </s:c>
    </s:row>
    <s:row r="834">
      <s:c r="A834" s="0" t="n">
        <s:v>260813</s:v>
      </s:c>
      <s:c r="B834" s="0" t="inlineStr">
        <s:is>
          <s:t>이종훈</s:t>
        </s:is>
      </s:c>
      <s:c r="C834" s="0" t="n">
        <s:v>112912</s:v>
      </s:c>
      <s:c r="D834" s="0" t="n">
        <s:v>84</s:v>
      </s:c>
      <s:c r="F834" s="24">
        <s:f>'자료구성'!$B$2+TIME(INT($C$3/10000),INT(MOD($C$3,10000)/100),MOD($C$3,100))+(ROW()-ROW($C$3))/86400</s:f>
        <s:v>46247.488229166665</s:v>
      </s:c>
    </s:row>
    <s:row r="835">
      <s:c r="A835" s="0" t="n">
        <s:v>260813</s:v>
      </s:c>
      <s:c r="B835" s="0" t="inlineStr">
        <s:is>
          <s:t>이종훈</s:t>
        </s:is>
      </s:c>
      <s:c r="C835" s="0" t="n">
        <s:v>112912</s:v>
      </s:c>
      <s:c r="D835" s="0" t="n">
        <s:v>81</s:v>
      </s:c>
      <s:c r="F835" s="24">
        <s:f>'자료구성'!$B$2+TIME(INT($C$3/10000),INT(MOD($C$3,10000)/100),MOD($C$3,100))+(ROW()-ROW($C$3))/86400</s:f>
        <s:v>46247.48824074074</s:v>
      </s:c>
    </s:row>
    <s:row r="836">
      <s:c r="A836" s="0" t="n">
        <s:v>260813</s:v>
      </s:c>
      <s:c r="B836" s="0" t="inlineStr">
        <s:is>
          <s:t>이종훈</s:t>
        </s:is>
      </s:c>
      <s:c r="C836" s="0" t="n">
        <s:v>112912</s:v>
      </s:c>
      <s:c r="D836" s="0" t="n">
        <s:v>78</s:v>
      </s:c>
      <s:c r="F836" s="24">
        <s:f>'자료구성'!$B$2+TIME(INT($C$3/10000),INT(MOD($C$3,10000)/100),MOD($C$3,100))+(ROW()-ROW($C$3))/86400</s:f>
        <s:v>46247.48825231481</s:v>
      </s:c>
    </s:row>
    <s:row r="837">
      <s:c r="A837" s="0" t="n">
        <s:v>260813</s:v>
      </s:c>
      <s:c r="B837" s="0" t="inlineStr">
        <s:is>
          <s:t>이종훈</s:t>
        </s:is>
      </s:c>
      <s:c r="C837" s="0" t="n">
        <s:v>112912</s:v>
      </s:c>
      <s:c r="D837" s="0" t="n">
        <s:v>78</s:v>
      </s:c>
      <s:c r="F837" s="24">
        <s:f>'자료구성'!$B$2+TIME(INT($C$3/10000),INT(MOD($C$3,10000)/100),MOD($C$3,100))+(ROW()-ROW($C$3))/86400</s:f>
        <s:v>46247.48826388889</s:v>
      </s:c>
    </s:row>
    <s:row r="838">
      <s:c r="A838" s="0" t="n">
        <s:v>260813</s:v>
      </s:c>
      <s:c r="B838" s="0" t="inlineStr">
        <s:is>
          <s:t>이종훈</s:t>
        </s:is>
      </s:c>
      <s:c r="C838" s="0" t="n">
        <s:v>112912</s:v>
      </s:c>
      <s:c r="D838" s="0" t="n">
        <s:v>74</s:v>
      </s:c>
      <s:c r="F838" s="24">
        <s:f>'자료구성'!$B$2+TIME(INT($C$3/10000),INT(MOD($C$3,10000)/100),MOD($C$3,100))+(ROW()-ROW($C$3))/86400</s:f>
        <s:v>46247.488275462965</s:v>
      </s:c>
    </s:row>
    <s:row r="839">
      <s:c r="A839" s="0" t="n">
        <s:v>260813</s:v>
      </s:c>
      <s:c r="B839" s="0" t="inlineStr">
        <s:is>
          <s:t>이종훈</s:t>
        </s:is>
      </s:c>
      <s:c r="C839" s="0" t="n">
        <s:v>112912</s:v>
      </s:c>
      <s:c r="D839" s="0" t="n">
        <s:v>76</s:v>
      </s:c>
      <s:c r="F839" s="24">
        <s:f>'자료구성'!$B$2+TIME(INT($C$3/10000),INT(MOD($C$3,10000)/100),MOD($C$3,100))+(ROW()-ROW($C$3))/86400</s:f>
        <s:v>46247.488287037035</s:v>
      </s:c>
    </s:row>
    <s:row r="840">
      <s:c r="A840" s="0" t="n">
        <s:v>260813</s:v>
      </s:c>
      <s:c r="B840" s="0" t="inlineStr">
        <s:is>
          <s:t>이종훈</s:t>
        </s:is>
      </s:c>
      <s:c r="C840" s="0" t="n">
        <s:v>112912</s:v>
      </s:c>
      <s:c r="D840" s="0" t="n">
        <s:v>72</s:v>
      </s:c>
      <s:c r="F840" s="24">
        <s:f>'자료구성'!$B$2+TIME(INT($C$3/10000),INT(MOD($C$3,10000)/100),MOD($C$3,100))+(ROW()-ROW($C$3))/86400</s:f>
        <s:v>46247.48829861111</s:v>
      </s:c>
    </s:row>
    <s:row r="841">
      <s:c r="A841" s="0" t="n">
        <s:v>260813</s:v>
      </s:c>
      <s:c r="B841" s="0" t="inlineStr">
        <s:is>
          <s:t>이종훈</s:t>
        </s:is>
      </s:c>
      <s:c r="C841" s="0" t="n">
        <s:v>112912</s:v>
      </s:c>
      <s:c r="D841" s="0" t="n">
        <s:v>69</s:v>
      </s:c>
      <s:c r="F841" s="24">
        <s:f>'자료구성'!$B$2+TIME(INT($C$3/10000),INT(MOD($C$3,10000)/100),MOD($C$3,100))+(ROW()-ROW($C$3))/86400</s:f>
        <s:v>46247.48831018519</s:v>
      </s:c>
    </s:row>
    <s:row r="842">
      <s:c r="A842" s="0" t="n">
        <s:v>260813</s:v>
      </s:c>
      <s:c r="B842" s="0" t="inlineStr">
        <s:is>
          <s:t>이종훈</s:t>
        </s:is>
      </s:c>
      <s:c r="C842" s="0" t="n">
        <s:v>112912</s:v>
      </s:c>
      <s:c r="D842" s="0" t="n">
        <s:v>84</s:v>
      </s:c>
      <s:c r="F842" s="24">
        <s:f>'자료구성'!$B$2+TIME(INT($C$3/10000),INT(MOD($C$3,10000)/100),MOD($C$3,100))+(ROW()-ROW($C$3))/86400</s:f>
        <s:v>46247.48832175926</s:v>
      </s:c>
    </s:row>
    <s:row r="843">
      <s:c r="A843" s="0" t="n">
        <s:v>260813</s:v>
      </s:c>
      <s:c r="B843" s="0" t="inlineStr">
        <s:is>
          <s:t>이종훈</s:t>
        </s:is>
      </s:c>
      <s:c r="C843" s="0" t="n">
        <s:v>112912</s:v>
      </s:c>
      <s:c r="D843" s="0" t="n">
        <s:v>71</s:v>
      </s:c>
      <s:c r="F843" s="24">
        <s:f>'자료구성'!$B$2+TIME(INT($C$3/10000),INT(MOD($C$3,10000)/100),MOD($C$3,100))+(ROW()-ROW($C$3))/86400</s:f>
        <s:v>46247.488333333335</s:v>
      </s:c>
    </s:row>
    <s:row r="844">
      <s:c r="A844" s="0" t="n">
        <s:v>260813</s:v>
      </s:c>
      <s:c r="B844" s="0" t="inlineStr">
        <s:is>
          <s:t>이종훈</s:t>
        </s:is>
      </s:c>
      <s:c r="C844" s="0" t="n">
        <s:v>112912</s:v>
      </s:c>
      <s:c r="D844" s="0" t="n">
        <s:v>77</s:v>
      </s:c>
      <s:c r="F844" s="24">
        <s:f>'자료구성'!$B$2+TIME(INT($C$3/10000),INT(MOD($C$3,10000)/100),MOD($C$3,100))+(ROW()-ROW($C$3))/86400</s:f>
        <s:v>46247.488344907404</s:v>
      </s:c>
    </s:row>
    <s:row r="845">
      <s:c r="A845" s="0" t="n">
        <s:v>260813</s:v>
      </s:c>
      <s:c r="B845" s="0" t="inlineStr">
        <s:is>
          <s:t>이종훈</s:t>
        </s:is>
      </s:c>
      <s:c r="C845" s="0" t="n">
        <s:v>112912</s:v>
      </s:c>
      <s:c r="D845" s="0" t="n">
        <s:v>74</s:v>
      </s:c>
      <s:c r="F845" s="24">
        <s:f>'자료구성'!$B$2+TIME(INT($C$3/10000),INT(MOD($C$3,10000)/100),MOD($C$3,100))+(ROW()-ROW($C$3))/86400</s:f>
        <s:v>46247.48835648148</s:v>
      </s:c>
    </s:row>
    <s:row r="846">
      <s:c r="A846" s="0" t="n">
        <s:v>260813</s:v>
      </s:c>
      <s:c r="B846" s="0" t="inlineStr">
        <s:is>
          <s:t>이종훈</s:t>
        </s:is>
      </s:c>
      <s:c r="C846" s="0" t="n">
        <s:v>112912</s:v>
      </s:c>
      <s:c r="D846" s="0" t="n">
        <s:v>82</s:v>
      </s:c>
      <s:c r="F846" s="24">
        <s:f>'자료구성'!$B$2+TIME(INT($C$3/10000),INT(MOD($C$3,10000)/100),MOD($C$3,100))+(ROW()-ROW($C$3))/86400</s:f>
        <s:v>46247.48836805556</s:v>
      </s:c>
    </s:row>
    <s:row r="847">
      <s:c r="A847" s="0" t="n">
        <s:v>260813</s:v>
      </s:c>
      <s:c r="B847" s="0" t="inlineStr">
        <s:is>
          <s:t>이종훈</s:t>
        </s:is>
      </s:c>
      <s:c r="C847" s="0" t="n">
        <s:v>112912</s:v>
      </s:c>
      <s:c r="D847" s="0" t="n">
        <s:v>83</s:v>
      </s:c>
      <s:c r="F847" s="24">
        <s:f>'자료구성'!$B$2+TIME(INT($C$3/10000),INT(MOD($C$3,10000)/100),MOD($C$3,100))+(ROW()-ROW($C$3))/86400</s:f>
        <s:v>46247.48837962963</s:v>
      </s:c>
    </s:row>
    <s:row r="848">
      <s:c r="A848" s="0" t="n">
        <s:v>260813</s:v>
      </s:c>
      <s:c r="B848" s="0" t="inlineStr">
        <s:is>
          <s:t>이종훈</s:t>
        </s:is>
      </s:c>
      <s:c r="C848" s="0" t="n">
        <s:v>112912</s:v>
      </s:c>
      <s:c r="D848" s="0" t="n">
        <s:v>85</s:v>
      </s:c>
      <s:c r="F848" s="24">
        <s:f>'자료구성'!$B$2+TIME(INT($C$3/10000),INT(MOD($C$3,10000)/100),MOD($C$3,100))+(ROW()-ROW($C$3))/86400</s:f>
        <s:v>46247.488391203704</s:v>
      </s:c>
    </s:row>
    <s:row r="849">
      <s:c r="A849" s="0" t="n">
        <s:v>260813</s:v>
      </s:c>
      <s:c r="B849" s="0" t="inlineStr">
        <s:is>
          <s:t>이종훈</s:t>
        </s:is>
      </s:c>
      <s:c r="C849" s="0" t="n">
        <s:v>112912</s:v>
      </s:c>
      <s:c r="D849" s="0" t="n">
        <s:v>92</s:v>
      </s:c>
      <s:c r="F849" s="24">
        <s:f>'자료구성'!$B$2+TIME(INT($C$3/10000),INT(MOD($C$3,10000)/100),MOD($C$3,100))+(ROW()-ROW($C$3))/86400</s:f>
        <s:v>46247.48840277778</s:v>
      </s:c>
    </s:row>
    <s:row r="850">
      <s:c r="A850" s="0" t="n">
        <s:v>260813</s:v>
      </s:c>
      <s:c r="B850" s="0" t="inlineStr">
        <s:is>
          <s:t>이종훈</s:t>
        </s:is>
      </s:c>
      <s:c r="C850" s="0" t="n">
        <s:v>112912</s:v>
      </s:c>
      <s:c r="D850" s="0" t="n">
        <s:v>112</s:v>
      </s:c>
      <s:c r="F850" s="24">
        <s:f>'자료구성'!$B$2+TIME(INT($C$3/10000),INT(MOD($C$3,10000)/100),MOD($C$3,100))+(ROW()-ROW($C$3))/86400</s:f>
        <s:v>46247.48841435185</s:v>
      </s:c>
    </s:row>
    <s:row r="851">
      <s:c r="A851" s="0" t="n">
        <s:v>260813</s:v>
      </s:c>
      <s:c r="B851" s="0" t="inlineStr">
        <s:is>
          <s:t>이종훈</s:t>
        </s:is>
      </s:c>
      <s:c r="C851" s="0" t="n">
        <s:v>112912</s:v>
      </s:c>
      <s:c r="D851" s="0" t="n">
        <s:v>124</s:v>
      </s:c>
      <s:c r="F851" s="24">
        <s:f>'자료구성'!$B$2+TIME(INT($C$3/10000),INT(MOD($C$3,10000)/100),MOD($C$3,100))+(ROW()-ROW($C$3))/86400</s:f>
        <s:v>46247.48842592593</s:v>
      </s:c>
    </s:row>
    <s:row r="852">
      <s:c r="A852" s="0" t="n">
        <s:v>260813</s:v>
      </s:c>
      <s:c r="B852" s="0" t="inlineStr">
        <s:is>
          <s:t>이종훈</s:t>
        </s:is>
      </s:c>
      <s:c r="C852" s="0" t="n">
        <s:v>112912</s:v>
      </s:c>
      <s:c r="D852" s="0" t="n">
        <s:v>138</s:v>
      </s:c>
      <s:c r="F852" s="24">
        <s:f>'자료구성'!$B$2+TIME(INT($C$3/10000),INT(MOD($C$3,10000)/100),MOD($C$3,100))+(ROW()-ROW($C$3))/86400</s:f>
        <s:v>46247.4884375</s:v>
      </s:c>
    </s:row>
    <s:row r="853">
      <s:c r="A853" s="0" t="n">
        <s:v>260813</s:v>
      </s:c>
      <s:c r="B853" s="0" t="inlineStr">
        <s:is>
          <s:t>이종훈</s:t>
        </s:is>
      </s:c>
      <s:c r="C853" s="0" t="n">
        <s:v>112912</s:v>
      </s:c>
      <s:c r="D853" s="0" t="n">
        <s:v>145</s:v>
      </s:c>
      <s:c r="F853" s="24">
        <s:f>'자료구성'!$B$2+TIME(INT($C$3/10000),INT(MOD($C$3,10000)/100),MOD($C$3,100))+(ROW()-ROW($C$3))/86400</s:f>
        <s:v>46247.48844907407</s:v>
      </s:c>
    </s:row>
    <s:row r="854">
      <s:c r="A854" s="0" t="n">
        <s:v>260813</s:v>
      </s:c>
      <s:c r="B854" s="0" t="inlineStr">
        <s:is>
          <s:t>이종훈</s:t>
        </s:is>
      </s:c>
      <s:c r="C854" s="0" t="n">
        <s:v>112912</s:v>
      </s:c>
      <s:c r="D854" s="0" t="n">
        <s:v>144</s:v>
      </s:c>
      <s:c r="F854" s="24">
        <s:f>'자료구성'!$B$2+TIME(INT($C$3/10000),INT(MOD($C$3,10000)/100),MOD($C$3,100))+(ROW()-ROW($C$3))/86400</s:f>
        <s:v>46247.48846064815</s:v>
      </s:c>
    </s:row>
    <s:row r="855">
      <s:c r="A855" s="0" t="n">
        <s:v>260813</s:v>
      </s:c>
      <s:c r="B855" s="0" t="inlineStr">
        <s:is>
          <s:t>이종훈</s:t>
        </s:is>
      </s:c>
      <s:c r="C855" s="0" t="n">
        <s:v>112912</s:v>
      </s:c>
      <s:c r="D855" s="0" t="n">
        <s:v>151</s:v>
      </s:c>
      <s:c r="F855" s="24">
        <s:f>'자료구성'!$B$2+TIME(INT($C$3/10000),INT(MOD($C$3,10000)/100),MOD($C$3,100))+(ROW()-ROW($C$3))/86400</s:f>
        <s:v>46247.48847222222</s:v>
      </s:c>
    </s:row>
    <s:row r="856">
      <s:c r="A856" s="0" t="n">
        <s:v>260813</s:v>
      </s:c>
      <s:c r="B856" s="0" t="inlineStr">
        <s:is>
          <s:t>이종훈</s:t>
        </s:is>
      </s:c>
      <s:c r="C856" s="0" t="n">
        <s:v>112912</s:v>
      </s:c>
      <s:c r="D856" s="0" t="n">
        <s:v>146</s:v>
      </s:c>
      <s:c r="F856" s="24">
        <s:f>'자료구성'!$B$2+TIME(INT($C$3/10000),INT(MOD($C$3,10000)/100),MOD($C$3,100))+(ROW()-ROW($C$3))/86400</s:f>
        <s:v>46247.488483796296</s:v>
      </s:c>
    </s:row>
    <s:row r="857">
      <s:c r="A857" s="0" t="n">
        <s:v>260813</s:v>
      </s:c>
      <s:c r="B857" s="0" t="inlineStr">
        <s:is>
          <s:t>이종훈</s:t>
        </s:is>
      </s:c>
      <s:c r="C857" s="0" t="n">
        <s:v>112912</s:v>
      </s:c>
      <s:c r="D857" s="0" t="n">
        <s:v>152</s:v>
      </s:c>
      <s:c r="F857" s="24">
        <s:f>'자료구성'!$B$2+TIME(INT($C$3/10000),INT(MOD($C$3,10000)/100),MOD($C$3,100))+(ROW()-ROW($C$3))/86400</s:f>
        <s:v>46247.48849537037</s:v>
      </s:c>
    </s:row>
    <s:row r="858">
      <s:c r="A858" s="0" t="n">
        <s:v>260813</s:v>
      </s:c>
      <s:c r="B858" s="0" t="inlineStr">
        <s:is>
          <s:t>이종훈</s:t>
        </s:is>
      </s:c>
      <s:c r="C858" s="0" t="n">
        <s:v>112912</s:v>
      </s:c>
      <s:c r="D858" s="0" t="n">
        <s:v>153</s:v>
      </s:c>
      <s:c r="F858" s="24">
        <s:f>'자료구성'!$B$2+TIME(INT($C$3/10000),INT(MOD($C$3,10000)/100),MOD($C$3,100))+(ROW()-ROW($C$3))/86400</s:f>
        <s:v>46247.48850694444</s:v>
      </s:c>
    </s:row>
    <s:row r="859">
      <s:c r="A859" s="0" t="n">
        <s:v>260813</s:v>
      </s:c>
      <s:c r="B859" s="0" t="inlineStr">
        <s:is>
          <s:t>이종훈</s:t>
        </s:is>
      </s:c>
      <s:c r="C859" s="0" t="n">
        <s:v>112912</s:v>
      </s:c>
      <s:c r="D859" s="0" t="n">
        <s:v>155</s:v>
      </s:c>
      <s:c r="F859" s="24">
        <s:f>'자료구성'!$B$2+TIME(INT($C$3/10000),INT(MOD($C$3,10000)/100),MOD($C$3,100))+(ROW()-ROW($C$3))/86400</s:f>
        <s:v>46247.48851851852</s:v>
      </s:c>
    </s:row>
    <s:row r="860">
      <s:c r="A860" s="0" t="n">
        <s:v>260813</s:v>
      </s:c>
      <s:c r="B860" s="0" t="inlineStr">
        <s:is>
          <s:t>이종훈</s:t>
        </s:is>
      </s:c>
      <s:c r="C860" s="0" t="n">
        <s:v>112912</s:v>
      </s:c>
      <s:c r="D860" s="0" t="n">
        <s:v>152</s:v>
      </s:c>
      <s:c r="F860" s="24">
        <s:f>'자료구성'!$B$2+TIME(INT($C$3/10000),INT(MOD($C$3,10000)/100),MOD($C$3,100))+(ROW()-ROW($C$3))/86400</s:f>
        <s:v>46247.488530092596</s:v>
      </s:c>
    </s:row>
    <s:row r="861">
      <s:c r="A861" s="0" t="n">
        <s:v>260813</s:v>
      </s:c>
      <s:c r="B861" s="0" t="inlineStr">
        <s:is>
          <s:t>이종훈</s:t>
        </s:is>
      </s:c>
      <s:c r="C861" s="0" t="n">
        <s:v>112912</s:v>
      </s:c>
      <s:c r="D861" s="0" t="n">
        <s:v>163</s:v>
      </s:c>
      <s:c r="F861" s="24">
        <s:f>'자료구성'!$B$2+TIME(INT($C$3/10000),INT(MOD($C$3,10000)/100),MOD($C$3,100))+(ROW()-ROW($C$3))/86400</s:f>
        <s:v>46247.488541666666</s:v>
      </s:c>
    </s:row>
    <s:row r="862">
      <s:c r="A862" s="0" t="n">
        <s:v>260813</s:v>
      </s:c>
      <s:c r="B862" s="0" t="inlineStr">
        <s:is>
          <s:t>이종훈</s:t>
        </s:is>
      </s:c>
      <s:c r="C862" s="0" t="n">
        <s:v>112912</s:v>
      </s:c>
      <s:c r="D862" s="0" t="n">
        <s:v>199</s:v>
      </s:c>
      <s:c r="F862" s="24">
        <s:f>'자료구성'!$B$2+TIME(INT($C$3/10000),INT(MOD($C$3,10000)/100),MOD($C$3,100))+(ROW()-ROW($C$3))/86400</s:f>
        <s:v>46247.48855324074</s:v>
      </s:c>
    </s:row>
    <s:row r="863">
      <s:c r="A863" s="0" t="n">
        <s:v>260813</s:v>
      </s:c>
      <s:c r="B863" s="0" t="inlineStr">
        <s:is>
          <s:t>이종훈</s:t>
        </s:is>
      </s:c>
      <s:c r="C863" s="0" t="n">
        <s:v>112912</s:v>
      </s:c>
      <s:c r="D863" s="0" t="n">
        <s:v>208</s:v>
      </s:c>
      <s:c r="F863" s="24">
        <s:f>'자료구성'!$B$2+TIME(INT($C$3/10000),INT(MOD($C$3,10000)/100),MOD($C$3,100))+(ROW()-ROW($C$3))/86400</s:f>
        <s:v>46247.48856481481</s:v>
      </s:c>
    </s:row>
    <s:row r="864">
      <s:c r="A864" s="0" t="n">
        <s:v>260813</s:v>
      </s:c>
      <s:c r="B864" s="0" t="inlineStr">
        <s:is>
          <s:t>이종훈</s:t>
        </s:is>
      </s:c>
      <s:c r="C864" s="0" t="n">
        <s:v>112912</s:v>
      </s:c>
      <s:c r="D864" s="0" t="n">
        <s:v>208</s:v>
      </s:c>
      <s:c r="F864" s="24">
        <s:f>'자료구성'!$B$2+TIME(INT($C$3/10000),INT(MOD($C$3,10000)/100),MOD($C$3,100))+(ROW()-ROW($C$3))/86400</s:f>
        <s:v>46247.48857638889</s:v>
      </s:c>
    </s:row>
    <s:row r="865">
      <s:c r="A865" s="0" t="n">
        <s:v>260813</s:v>
      </s:c>
      <s:c r="B865" s="0" t="inlineStr">
        <s:is>
          <s:t>이종훈</s:t>
        </s:is>
      </s:c>
      <s:c r="C865" s="0" t="n">
        <s:v>112912</s:v>
      </s:c>
      <s:c r="D865" s="0" t="n">
        <s:v>227</s:v>
      </s:c>
      <s:c r="F865" s="24">
        <s:f>'자료구성'!$B$2+TIME(INT($C$3/10000),INT(MOD($C$3,10000)/100),MOD($C$3,100))+(ROW()-ROW($C$3))/86400</s:f>
        <s:v>46247.488587962966</s:v>
      </s:c>
    </s:row>
    <s:row r="866">
      <s:c r="A866" s="0" t="n">
        <s:v>260813</s:v>
      </s:c>
      <s:c r="B866" s="0" t="inlineStr">
        <s:is>
          <s:t>이종훈</s:t>
        </s:is>
      </s:c>
      <s:c r="C866" s="0" t="n">
        <s:v>112912</s:v>
      </s:c>
      <s:c r="D866" s="0" t="n">
        <s:v>210</s:v>
      </s:c>
      <s:c r="F866" s="24">
        <s:f>'자료구성'!$B$2+TIME(INT($C$3/10000),INT(MOD($C$3,10000)/100),MOD($C$3,100))+(ROW()-ROW($C$3))/86400</s:f>
        <s:v>46247.488599537035</s:v>
      </s:c>
    </s:row>
    <s:row r="867">
      <s:c r="A867" s="0" t="n">
        <s:v>260813</s:v>
      </s:c>
      <s:c r="B867" s="0" t="inlineStr">
        <s:is>
          <s:t>이종훈</s:t>
        </s:is>
      </s:c>
      <s:c r="C867" s="0" t="n">
        <s:v>112912</s:v>
      </s:c>
      <s:c r="D867" s="0" t="n">
        <s:v>206</s:v>
      </s:c>
      <s:c r="F867" s="24">
        <s:f>'자료구성'!$B$2+TIME(INT($C$3/10000),INT(MOD($C$3,10000)/100),MOD($C$3,100))+(ROW()-ROW($C$3))/86400</s:f>
        <s:v>46247.48861111111</s:v>
      </s:c>
    </s:row>
    <s:row r="868">
      <s:c r="A868" s="0" t="n">
        <s:v>260813</s:v>
      </s:c>
      <s:c r="B868" s="0" t="inlineStr">
        <s:is>
          <s:t>이종훈</s:t>
        </s:is>
      </s:c>
      <s:c r="C868" s="0" t="n">
        <s:v>112912</s:v>
      </s:c>
      <s:c r="D868" s="0" t="n">
        <s:v>197</s:v>
      </s:c>
      <s:c r="F868" s="24">
        <s:f>'자료구성'!$B$2+TIME(INT($C$3/10000),INT(MOD($C$3,10000)/100),MOD($C$3,100))+(ROW()-ROW($C$3))/86400</s:f>
        <s:v>46247.48862268519</s:v>
      </s:c>
    </s:row>
    <s:row r="869">
      <s:c r="A869" s="0" t="n">
        <s:v>260813</s:v>
      </s:c>
      <s:c r="B869" s="0" t="inlineStr">
        <s:is>
          <s:t>이종훈</s:t>
        </s:is>
      </s:c>
      <s:c r="C869" s="0" t="n">
        <s:v>112912</s:v>
      </s:c>
      <s:c r="D869" s="0" t="n">
        <s:v>191</s:v>
      </s:c>
      <s:c r="F869" s="24">
        <s:f>'자료구성'!$B$2+TIME(INT($C$3/10000),INT(MOD($C$3,10000)/100),MOD($C$3,100))+(ROW()-ROW($C$3))/86400</s:f>
        <s:v>46247.48863425926</s:v>
      </s:c>
    </s:row>
    <s:row r="870">
      <s:c r="A870" s="0" t="n">
        <s:v>260813</s:v>
      </s:c>
      <s:c r="B870" s="0" t="inlineStr">
        <s:is>
          <s:t>이종훈</s:t>
        </s:is>
      </s:c>
      <s:c r="C870" s="0" t="n">
        <s:v>112912</s:v>
      </s:c>
      <s:c r="D870" s="0" t="n">
        <s:v>193</s:v>
      </s:c>
      <s:c r="F870" s="24">
        <s:f>'자료구성'!$B$2+TIME(INT($C$3/10000),INT(MOD($C$3,10000)/100),MOD($C$3,100))+(ROW()-ROW($C$3))/86400</s:f>
        <s:v>46247.488645833335</s:v>
      </s:c>
    </s:row>
    <s:row r="871">
      <s:c r="A871" s="0" t="n">
        <s:v>260813</s:v>
      </s:c>
      <s:c r="B871" s="0" t="inlineStr">
        <s:is>
          <s:t>이종훈</s:t>
        </s:is>
      </s:c>
      <s:c r="C871" s="0" t="n">
        <s:v>112912</s:v>
      </s:c>
      <s:c r="D871" s="0" t="n">
        <s:v>190</s:v>
      </s:c>
      <s:c r="F871" s="24">
        <s:f>'자료구성'!$B$2+TIME(INT($C$3/10000),INT(MOD($C$3,10000)/100),MOD($C$3,100))+(ROW()-ROW($C$3))/86400</s:f>
        <s:v>46247.488657407404</s:v>
      </s:c>
    </s:row>
    <s:row r="872">
      <s:c r="A872" s="0" t="n">
        <s:v>260813</s:v>
      </s:c>
      <s:c r="B872" s="0" t="inlineStr">
        <s:is>
          <s:t>이종훈</s:t>
        </s:is>
      </s:c>
      <s:c r="C872" s="0" t="n">
        <s:v>112912</s:v>
      </s:c>
      <s:c r="D872" s="0" t="n">
        <s:v>172</s:v>
      </s:c>
      <s:c r="F872" s="24">
        <s:f>'자료구성'!$B$2+TIME(INT($C$3/10000),INT(MOD($C$3,10000)/100),MOD($C$3,100))+(ROW()-ROW($C$3))/86400</s:f>
        <s:v>46247.48866898148</s:v>
      </s:c>
    </s:row>
    <s:row r="873">
      <s:c r="A873" s="0" t="n">
        <s:v>260813</s:v>
      </s:c>
      <s:c r="B873" s="0" t="inlineStr">
        <s:is>
          <s:t>이종훈</s:t>
        </s:is>
      </s:c>
      <s:c r="C873" s="0" t="n">
        <s:v>112912</s:v>
      </s:c>
      <s:c r="D873" s="0" t="n">
        <s:v>162</s:v>
      </s:c>
      <s:c r="F873" s="24">
        <s:f>'자료구성'!$B$2+TIME(INT($C$3/10000),INT(MOD($C$3,10000)/100),MOD($C$3,100))+(ROW()-ROW($C$3))/86400</s:f>
        <s:v>46247.48868055556</s:v>
      </s:c>
    </s:row>
    <s:row r="874">
      <s:c r="A874" s="0" t="n">
        <s:v>260813</s:v>
      </s:c>
      <s:c r="B874" s="0" t="inlineStr">
        <s:is>
          <s:t>이종훈</s:t>
        </s:is>
      </s:c>
      <s:c r="C874" s="0" t="n">
        <s:v>112912</s:v>
      </s:c>
      <s:c r="D874" s="0" t="n">
        <s:v>165</s:v>
      </s:c>
      <s:c r="F874" s="24">
        <s:f>'자료구성'!$B$2+TIME(INT($C$3/10000),INT(MOD($C$3,10000)/100),MOD($C$3,100))+(ROW()-ROW($C$3))/86400</s:f>
        <s:v>46247.48869212963</s:v>
      </s:c>
    </s:row>
    <s:row r="875">
      <s:c r="A875" s="0" t="n">
        <s:v>260813</s:v>
      </s:c>
      <s:c r="B875" s="0" t="inlineStr">
        <s:is>
          <s:t>이종훈</s:t>
        </s:is>
      </s:c>
      <s:c r="C875" s="0" t="n">
        <s:v>112912</s:v>
      </s:c>
      <s:c r="D875" s="0" t="n">
        <s:v>157</s:v>
      </s:c>
      <s:c r="F875" s="24">
        <s:f>'자료구성'!$B$2+TIME(INT($C$3/10000),INT(MOD($C$3,10000)/100),MOD($C$3,100))+(ROW()-ROW($C$3))/86400</s:f>
        <s:v>46247.488703703704</s:v>
      </s:c>
    </s:row>
    <s:row r="876">
      <s:c r="A876" s="0" t="n">
        <s:v>260813</s:v>
      </s:c>
      <s:c r="B876" s="0" t="inlineStr">
        <s:is>
          <s:t>이종훈</s:t>
        </s:is>
      </s:c>
      <s:c r="C876" s="0" t="n">
        <s:v>112912</s:v>
      </s:c>
      <s:c r="D876" s="0" t="n">
        <s:v>147</s:v>
      </s:c>
      <s:c r="F876" s="24">
        <s:f>'자료구성'!$B$2+TIME(INT($C$3/10000),INT(MOD($C$3,10000)/100),MOD($C$3,100))+(ROW()-ROW($C$3))/86400</s:f>
        <s:v>46247.48871527778</s:v>
      </s:c>
    </s:row>
    <s:row r="877">
      <s:c r="A877" s="0" t="n">
        <s:v>260813</s:v>
      </s:c>
      <s:c r="B877" s="0" t="inlineStr">
        <s:is>
          <s:t>이종훈</s:t>
        </s:is>
      </s:c>
      <s:c r="C877" s="0" t="n">
        <s:v>112912</s:v>
      </s:c>
      <s:c r="D877" s="0" t="n">
        <s:v>130</s:v>
      </s:c>
      <s:c r="F877" s="24">
        <s:f>'자료구성'!$B$2+TIME(INT($C$3/10000),INT(MOD($C$3,10000)/100),MOD($C$3,100))+(ROW()-ROW($C$3))/86400</s:f>
        <s:v>46247.48872685185</s:v>
      </s:c>
    </s:row>
    <s:row r="878">
      <s:c r="A878" s="0" t="n">
        <s:v>260813</s:v>
      </s:c>
      <s:c r="B878" s="0" t="inlineStr">
        <s:is>
          <s:t>이종훈</s:t>
        </s:is>
      </s:c>
      <s:c r="C878" s="0" t="n">
        <s:v>112912</s:v>
      </s:c>
      <s:c r="D878" s="0" t="n">
        <s:v>128</s:v>
      </s:c>
      <s:c r="F878" s="24">
        <s:f>'자료구성'!$B$2+TIME(INT($C$3/10000),INT(MOD($C$3,10000)/100),MOD($C$3,100))+(ROW()-ROW($C$3))/86400</s:f>
        <s:v>46247.48873842593</s:v>
      </s:c>
    </s:row>
    <s:row r="879">
      <s:c r="A879" s="0" t="n">
        <s:v>260813</s:v>
      </s:c>
      <s:c r="B879" s="0" t="inlineStr">
        <s:is>
          <s:t>이종훈</s:t>
        </s:is>
      </s:c>
      <s:c r="C879" s="0" t="n">
        <s:v>112912</s:v>
      </s:c>
      <s:c r="D879" s="0" t="n">
        <s:v>139</s:v>
      </s:c>
      <s:c r="F879" s="24">
        <s:f>'자료구성'!$B$2+TIME(INT($C$3/10000),INT(MOD($C$3,10000)/100),MOD($C$3,100))+(ROW()-ROW($C$3))/86400</s:f>
        <s:v>46247.48875</s:v>
      </s:c>
    </s:row>
    <s:row r="880">
      <s:c r="A880" s="0" t="n">
        <s:v>260813</s:v>
      </s:c>
      <s:c r="B880" s="0" t="inlineStr">
        <s:is>
          <s:t>이종훈</s:t>
        </s:is>
      </s:c>
      <s:c r="C880" s="0" t="n">
        <s:v>112912</s:v>
      </s:c>
      <s:c r="D880" s="0" t="n">
        <s:v>129</s:v>
      </s:c>
      <s:c r="F880" s="24">
        <s:f>'자료구성'!$B$2+TIME(INT($C$3/10000),INT(MOD($C$3,10000)/100),MOD($C$3,100))+(ROW()-ROW($C$3))/86400</s:f>
        <s:v>46247.48876157407</s:v>
      </s:c>
    </s:row>
    <s:row r="881">
      <s:c r="A881" s="0" t="n">
        <s:v>260813</s:v>
      </s:c>
      <s:c r="B881" s="0" t="inlineStr">
        <s:is>
          <s:t>이종훈</s:t>
        </s:is>
      </s:c>
      <s:c r="C881" s="0" t="n">
        <s:v>112912</s:v>
      </s:c>
      <s:c r="D881" s="0" t="n">
        <s:v>141</s:v>
      </s:c>
      <s:c r="F881" s="24">
        <s:f>'자료구성'!$B$2+TIME(INT($C$3/10000),INT(MOD($C$3,10000)/100),MOD($C$3,100))+(ROW()-ROW($C$3))/86400</s:f>
        <s:v>46247.48877314815</s:v>
      </s:c>
    </s:row>
    <s:row r="882">
      <s:c r="A882" s="0" t="n">
        <s:v>260813</s:v>
      </s:c>
      <s:c r="B882" s="0" t="inlineStr">
        <s:is>
          <s:t>이종훈</s:t>
        </s:is>
      </s:c>
      <s:c r="C882" s="0" t="n">
        <s:v>112912</s:v>
      </s:c>
      <s:c r="D882" s="0" t="n">
        <s:v>134</s:v>
      </s:c>
      <s:c r="F882" s="24">
        <s:f>'자료구성'!$B$2+TIME(INT($C$3/10000),INT(MOD($C$3,10000)/100),MOD($C$3,100))+(ROW()-ROW($C$3))/86400</s:f>
        <s:v>46247.48878472222</s:v>
      </s:c>
    </s:row>
    <s:row r="883">
      <s:c r="A883" s="0" t="n">
        <s:v>260813</s:v>
      </s:c>
      <s:c r="B883" s="0" t="inlineStr">
        <s:is>
          <s:t>이종훈</s:t>
        </s:is>
      </s:c>
      <s:c r="C883" s="0" t="n">
        <s:v>112912</s:v>
      </s:c>
      <s:c r="D883" s="0" t="n">
        <s:v>145</s:v>
      </s:c>
      <s:c r="F883" s="24">
        <s:f>'자료구성'!$B$2+TIME(INT($C$3/10000),INT(MOD($C$3,10000)/100),MOD($C$3,100))+(ROW()-ROW($C$3))/86400</s:f>
        <s:v>46247.4887962963</s:v>
      </s:c>
    </s:row>
    <s:row r="884">
      <s:c r="A884" s="0" t="n">
        <s:v>260813</s:v>
      </s:c>
      <s:c r="B884" s="0" t="inlineStr">
        <s:is>
          <s:t>이종훈</s:t>
        </s:is>
      </s:c>
      <s:c r="C884" s="0" t="n">
        <s:v>112912</s:v>
      </s:c>
      <s:c r="D884" s="0" t="n">
        <s:v>102</s:v>
      </s:c>
      <s:c r="F884" s="24">
        <s:f>'자료구성'!$B$2+TIME(INT($C$3/10000),INT(MOD($C$3,10000)/100),MOD($C$3,100))+(ROW()-ROW($C$3))/86400</s:f>
        <s:v>46247.48880787037</s:v>
      </s:c>
    </s:row>
    <s:row r="885">
      <s:c r="A885" s="0" t="n">
        <s:v>260813</s:v>
      </s:c>
      <s:c r="B885" s="0" t="inlineStr">
        <s:is>
          <s:t>이종훈</s:t>
        </s:is>
      </s:c>
      <s:c r="C885" s="0" t="n">
        <s:v>112912</s:v>
      </s:c>
      <s:c r="D885" s="0" t="n">
        <s:v>50</s:v>
      </s:c>
      <s:c r="F885" s="24">
        <s:f>'자료구성'!$B$2+TIME(INT($C$3/10000),INT(MOD($C$3,10000)/100),MOD($C$3,100))+(ROW()-ROW($C$3))/86400</s:f>
        <s:v>46247.48881944444</s:v>
      </s:c>
    </s:row>
    <s:row r="886">
      <s:c r="A886" s="0" t="n">
        <s:v>260813</s:v>
      </s:c>
      <s:c r="B886" s="0" t="inlineStr">
        <s:is>
          <s:t>이종훈</s:t>
        </s:is>
      </s:c>
      <s:c r="C886" s="0" t="n">
        <s:v>112912</s:v>
      </s:c>
      <s:c r="D886" s="0" t="n">
        <s:v>16</s:v>
      </s:c>
      <s:c r="F886" s="24">
        <s:f>'자료구성'!$B$2+TIME(INT($C$3/10000),INT(MOD($C$3,10000)/100),MOD($C$3,100))+(ROW()-ROW($C$3))/86400</s:f>
        <s:v>46247.48883101852</s:v>
      </s:c>
    </s:row>
    <s:row r="887">
      <s:c r="A887" s="0" t="n">
        <s:v>260813</s:v>
      </s:c>
      <s:c r="B887" s="0" t="inlineStr">
        <s:is>
          <s:t>이종훈</s:t>
        </s:is>
      </s:c>
      <s:c r="C887" s="0" t="n">
        <s:v>112912</s:v>
      </s:c>
      <s:c r="D887" s="0" t="n">
        <s:v>3</s:v>
      </s:c>
      <s:c r="F887" s="24">
        <s:f>'자료구성'!$B$2+TIME(INT($C$3/10000),INT(MOD($C$3,10000)/100),MOD($C$3,100))+(ROW()-ROW($C$3))/86400</s:f>
        <s:v>46247.48884259259</s:v>
      </s:c>
    </s:row>
    <s:row r="888">
      <s:c r="A888" s="0" t="n">
        <s:v>260813</s:v>
      </s:c>
      <s:c r="B888" s="0" t="inlineStr">
        <s:is>
          <s:t>이종훈</s:t>
        </s:is>
      </s:c>
      <s:c r="C888" s="0" t="n">
        <s:v>112912</s:v>
      </s:c>
      <s:c r="D888" s="0" t="n">
        <s:v>957</s:v>
      </s:c>
      <s:c r="F888" s="24">
        <s:f>'자료구성'!$B$2+TIME(INT($C$3/10000),INT(MOD($C$3,10000)/100),MOD($C$3,100))+(ROW()-ROW($C$3))/86400</s:f>
        <s:v>46247.488854166666</s:v>
      </s:c>
    </s:row>
    <s:row r="889">
      <s:c r="A889" s="0" t="n">
        <s:v>260813</s:v>
      </s:c>
      <s:c r="B889" s="0" t="inlineStr">
        <s:is>
          <s:t>이종훈</s:t>
        </s:is>
      </s:c>
      <s:c r="C889" s="0" t="n">
        <s:v>112912</s:v>
      </s:c>
      <s:c r="D889" s="0" t="n">
        <s:v>902</s:v>
      </s:c>
      <s:c r="F889" s="24">
        <s:f>'자료구성'!$B$2+TIME(INT($C$3/10000),INT(MOD($C$3,10000)/100),MOD($C$3,100))+(ROW()-ROW($C$3))/86400</s:f>
        <s:v>46247.48886574074</s:v>
      </s:c>
    </s:row>
    <s:row r="890">
      <s:c r="A890" s="0" t="n">
        <s:v>260813</s:v>
      </s:c>
      <s:c r="B890" s="0" t="inlineStr">
        <s:is>
          <s:t>이종훈</s:t>
        </s:is>
      </s:c>
      <s:c r="C890" s="0" t="n">
        <s:v>112912</s:v>
      </s:c>
      <s:c r="D890" s="0" t="n">
        <s:v>878</s:v>
      </s:c>
      <s:c r="F890" s="24">
        <s:f>'자료구성'!$B$2+TIME(INT($C$3/10000),INT(MOD($C$3,10000)/100),MOD($C$3,100))+(ROW()-ROW($C$3))/86400</s:f>
        <s:v>46247.48887731481</s:v>
      </s:c>
    </s:row>
    <s:row r="891">
      <s:c r="A891" s="0" t="n">
        <s:v>260813</s:v>
      </s:c>
      <s:c r="B891" s="0" t="inlineStr">
        <s:is>
          <s:t>이종훈</s:t>
        </s:is>
      </s:c>
      <s:c r="C891" s="0" t="n">
        <s:v>112912</s:v>
      </s:c>
      <s:c r="D891" s="0" t="n">
        <s:v>876</s:v>
      </s:c>
      <s:c r="F891" s="24">
        <s:f>'자료구성'!$B$2+TIME(INT($C$3/10000),INT(MOD($C$3,10000)/100),MOD($C$3,100))+(ROW()-ROW($C$3))/86400</s:f>
        <s:v>46247.48888888889</s:v>
      </s:c>
    </s:row>
    <s:row r="892">
      <s:c r="A892" s="0" t="n">
        <s:v>260813</s:v>
      </s:c>
      <s:c r="B892" s="0" t="inlineStr">
        <s:is>
          <s:t>이종훈</s:t>
        </s:is>
      </s:c>
      <s:c r="C892" s="0" t="n">
        <s:v>112912</s:v>
      </s:c>
      <s:c r="D892" s="0" t="n">
        <s:v>868</s:v>
      </s:c>
      <s:c r="F892" s="24">
        <s:f>'자료구성'!$B$2+TIME(INT($C$3/10000),INT(MOD($C$3,10000)/100),MOD($C$3,100))+(ROW()-ROW($C$3))/86400</s:f>
        <s:v>46247.488900462966</s:v>
      </s:c>
    </s:row>
    <s:row r="893">
      <s:c r="A893" s="0" t="n">
        <s:v>260813</s:v>
      </s:c>
      <s:c r="B893" s="0" t="inlineStr">
        <s:is>
          <s:t>이종훈</s:t>
        </s:is>
      </s:c>
      <s:c r="C893" s="0" t="n">
        <s:v>112912</s:v>
      </s:c>
      <s:c r="D893" s="0" t="n">
        <s:v>832</s:v>
      </s:c>
      <s:c r="F893" s="24">
        <s:f>'자료구성'!$B$2+TIME(INT($C$3/10000),INT(MOD($C$3,10000)/100),MOD($C$3,100))+(ROW()-ROW($C$3))/86400</s:f>
        <s:v>46247.488912037035</s:v>
      </s:c>
    </s:row>
    <s:row r="894">
      <s:c r="A894" s="0" t="n">
        <s:v>260813</s:v>
      </s:c>
      <s:c r="B894" s="0" t="inlineStr">
        <s:is>
          <s:t>이종훈</s:t>
        </s:is>
      </s:c>
      <s:c r="C894" s="0" t="n">
        <s:v>112912</s:v>
      </s:c>
      <s:c r="D894" s="0" t="n">
        <s:v>794</s:v>
      </s:c>
      <s:c r="F894" s="24">
        <s:f>'자료구성'!$B$2+TIME(INT($C$3/10000),INT(MOD($C$3,10000)/100),MOD($C$3,100))+(ROW()-ROW($C$3))/86400</s:f>
        <s:v>46247.48892361111</s:v>
      </s:c>
    </s:row>
    <s:row r="895">
      <s:c r="A895" s="0" t="n">
        <s:v>260813</s:v>
      </s:c>
      <s:c r="B895" s="0" t="inlineStr">
        <s:is>
          <s:t>이종훈</s:t>
        </s:is>
      </s:c>
      <s:c r="C895" s="0" t="n">
        <s:v>112912</s:v>
      </s:c>
      <s:c r="D895" s="0" t="n">
        <s:v>777</s:v>
      </s:c>
      <s:c r="F895" s="24">
        <s:f>'자료구성'!$B$2+TIME(INT($C$3/10000),INT(MOD($C$3,10000)/100),MOD($C$3,100))+(ROW()-ROW($C$3))/86400</s:f>
        <s:v>46247.48893518518</s:v>
      </s:c>
    </s:row>
    <s:row r="896">
      <s:c r="A896" s="0" t="n">
        <s:v>260813</s:v>
      </s:c>
      <s:c r="B896" s="0" t="inlineStr">
        <s:is>
          <s:t>이종훈</s:t>
        </s:is>
      </s:c>
      <s:c r="C896" s="0" t="n">
        <s:v>112912</s:v>
      </s:c>
      <s:c r="D896" s="0" t="n">
        <s:v>738</s:v>
      </s:c>
      <s:c r="F896" s="24">
        <s:f>'자료구성'!$B$2+TIME(INT($C$3/10000),INT(MOD($C$3,10000)/100),MOD($C$3,100))+(ROW()-ROW($C$3))/86400</s:f>
        <s:v>46247.48894675926</s:v>
      </s:c>
    </s:row>
    <s:row r="897">
      <s:c r="A897" s="0" t="n">
        <s:v>260813</s:v>
      </s:c>
      <s:c r="B897" s="0" t="inlineStr">
        <s:is>
          <s:t>이종훈</s:t>
        </s:is>
      </s:c>
      <s:c r="C897" s="0" t="n">
        <s:v>112912</s:v>
      </s:c>
      <s:c r="D897" s="0" t="n">
        <s:v>696</s:v>
      </s:c>
      <s:c r="F897" s="24">
        <s:f>'자료구성'!$B$2+TIME(INT($C$3/10000),INT(MOD($C$3,10000)/100),MOD($C$3,100))+(ROW()-ROW($C$3))/86400</s:f>
        <s:v>46247.488958333335</s:v>
      </s:c>
    </s:row>
    <s:row r="898">
      <s:c r="A898" s="0" t="n">
        <s:v>260813</s:v>
      </s:c>
      <s:c r="B898" s="0" t="inlineStr">
        <s:is>
          <s:t>이종훈</s:t>
        </s:is>
      </s:c>
      <s:c r="C898" s="0" t="n">
        <s:v>112912</s:v>
      </s:c>
      <s:c r="D898" s="0" t="n">
        <s:v>668</s:v>
      </s:c>
      <s:c r="F898" s="24">
        <s:f>'자료구성'!$B$2+TIME(INT($C$3/10000),INT(MOD($C$3,10000)/100),MOD($C$3,100))+(ROW()-ROW($C$3))/86400</s:f>
        <s:v>46247.488969907405</s:v>
      </s:c>
    </s:row>
    <s:row r="899">
      <s:c r="A899" s="0" t="n">
        <s:v>260813</s:v>
      </s:c>
      <s:c r="B899" s="0" t="inlineStr">
        <s:is>
          <s:t>이종훈</s:t>
        </s:is>
      </s:c>
      <s:c r="C899" s="0" t="n">
        <s:v>112912</s:v>
      </s:c>
      <s:c r="D899" s="0" t="n">
        <s:v>647</s:v>
      </s:c>
      <s:c r="F899" s="24">
        <s:f>'자료구성'!$B$2+TIME(INT($C$3/10000),INT(MOD($C$3,10000)/100),MOD($C$3,100))+(ROW()-ROW($C$3))/86400</s:f>
        <s:v>46247.48898148148</s:v>
      </s:c>
    </s:row>
    <s:row r="900">
      <s:c r="A900" s="0" t="n">
        <s:v>260813</s:v>
      </s:c>
      <s:c r="B900" s="0" t="inlineStr">
        <s:is>
          <s:t>이종훈</s:t>
        </s:is>
      </s:c>
      <s:c r="C900" s="0" t="n">
        <s:v>112912</s:v>
      </s:c>
      <s:c r="D900" s="0" t="n">
        <s:v>640</s:v>
      </s:c>
      <s:c r="F900" s="24">
        <s:f>'자료구성'!$B$2+TIME(INT($C$3/10000),INT(MOD($C$3,10000)/100),MOD($C$3,100))+(ROW()-ROW($C$3))/86400</s:f>
        <s:v>46247.48899305556</s:v>
      </s:c>
    </s:row>
    <s:row r="901">
      <s:c r="A901" s="0" t="n">
        <s:v>260813</s:v>
      </s:c>
      <s:c r="B901" s="0" t="inlineStr">
        <s:is>
          <s:t>이종훈</s:t>
        </s:is>
      </s:c>
      <s:c r="C901" s="0" t="n">
        <s:v>112912</s:v>
      </s:c>
      <s:c r="D901" s="0" t="n">
        <s:v>632</s:v>
      </s:c>
      <s:c r="F901" s="24">
        <s:f>'자료구성'!$B$2+TIME(INT($C$3/10000),INT(MOD($C$3,10000)/100),MOD($C$3,100))+(ROW()-ROW($C$3))/86400</s:f>
        <s:v>46247.48900462963</s:v>
      </s:c>
    </s:row>
    <s:row r="902">
      <s:c r="A902" s="0" t="n">
        <s:v>260813</s:v>
      </s:c>
      <s:c r="B902" s="0" t="inlineStr">
        <s:is>
          <s:t>이종훈</s:t>
        </s:is>
      </s:c>
      <s:c r="C902" s="0" t="n">
        <s:v>112912</s:v>
      </s:c>
      <s:c r="D902" s="0" t="n">
        <s:v>639</s:v>
      </s:c>
      <s:c r="F902" s="24">
        <s:f>'자료구성'!$B$2+TIME(INT($C$3/10000),INT(MOD($C$3,10000)/100),MOD($C$3,100))+(ROW()-ROW($C$3))/86400</s:f>
        <s:v>46247.489016203705</s:v>
      </s:c>
    </s:row>
  </s:sheetData>
  <s:mergeCells count="1">
    <s:mergeCell ref="A1:E1"/>
  </s:mergeCells>
  <s:pageMargins left="0.7" right="0.7" top="0.75" bottom="0.75" header="0.3" footer="0.3"/>
  <s:pageSetup orientation="portrait" paperSize="9"/>
  <s:legacyDrawing r:id="anysvml"/>
</s:worksheet>
</file>

<file path=xl/worksheets/sheet6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/>
  </s:sheetPr>
  <s:dimension ref="A1:F902"/>
  <s:sheetViews>
    <s:sheetView workbookViewId="0">
      <s:pane ySplit="2" topLeftCell="A874" activePane="bottomLeft" state="frozen"/>
      <s:selection pane="bottomLeft" activeCell="D3" sqref="D3:D902"/>
    </s:sheetView>
  </s:sheetViews>
  <s:sheetFormatPr baseColWidth="8" defaultRowHeight="16.5"/>
  <s:cols>
    <s:col width="25" customWidth="1" style="7" min="6" max="6"/>
  </s:cols>
  <s:sheetData>
    <s:row r="1">
      <s:c r="A1" s="4" t="inlineStr">
        <s:is>
          <s:t>주차장</s:t>
        </s:is>
      </s:c>
    </s:row>
    <s:row r="2" ht="17.25" customHeight="1" s="7" thickBot="1">
      <s:c r="A2" s="2" t="inlineStr">
        <s:is>
          <s:t>조사일자</s:t>
        </s:is>
      </s:c>
      <s:c r="B2" s="3" t="inlineStr">
        <s:is>
          <s:t>조사자명</s:t>
        </s:is>
      </s:c>
      <s:c r="C2" s="3" t="inlineStr">
        <s:is>
          <s:t>조사시작시간</s:t>
        </s:is>
      </s:c>
      <s:c r="D2" s="3" t="inlineStr">
        <s:is>
          <s:t>음이온발생량</s:t>
        </s:is>
      </s:c>
      <s:c r="E2" s="1" t="inlineStr">
        <s:is>
          <s:t>비고</s:t>
        </s:is>
      </s:c>
      <s:c r="F2" s="3" t="inlineStr">
        <s:is>
          <s:t>측정일시</s:t>
        </s:is>
      </s:c>
    </s:row>
    <s:row r="3">
      <s:c r="A3" s="0" t="n">
        <s:v>260813</s:v>
      </s:c>
      <s:c r="B3" s="0" t="inlineStr">
        <s:is>
          <s:t>이종훈</s:t>
        </s:is>
      </s:c>
      <s:c r="C3" s="0" t="n">
        <s:v>104823</s:v>
      </s:c>
      <s:c r="D3" s="0" t="n">
        <s:v>1055</s:v>
      </s:c>
      <s:c r="F3" s="24">
        <s:f>'자료구성'!$B$2+TIME(INT($C$3/10000),INT(MOD($C$3,10000)/100),MOD($C$3,100))+(ROW()-ROW($C$3))/86400</s:f>
        <s:v>46247.450266203705</s:v>
      </s:c>
    </s:row>
    <s:row r="4">
      <s:c r="A4" s="0" t="n">
        <s:v>260813</s:v>
      </s:c>
      <s:c r="B4" s="0" t="inlineStr">
        <s:is>
          <s:t>이종훈</s:t>
        </s:is>
      </s:c>
      <s:c r="C4" s="0" t="n">
        <s:v>104823</s:v>
      </s:c>
      <s:c r="D4" s="0" t="n">
        <s:v>1047</s:v>
      </s:c>
      <s:c r="F4" s="24">
        <s:f>'자료구성'!$B$2+TIME(INT($C$3/10000),INT(MOD($C$3,10000)/100),MOD($C$3,100))+(ROW()-ROW($C$3))/86400</s:f>
        <s:v>46247.450277777774</s:v>
      </s:c>
    </s:row>
    <s:row r="5">
      <s:c r="A5" s="0" t="n">
        <s:v>260813</s:v>
      </s:c>
      <s:c r="B5" s="0" t="inlineStr">
        <s:is>
          <s:t>이종훈</s:t>
        </s:is>
      </s:c>
      <s:c r="C5" s="0" t="n">
        <s:v>104823</s:v>
      </s:c>
      <s:c r="D5" s="0" t="n">
        <s:v>1038</s:v>
      </s:c>
      <s:c r="F5" s="24">
        <s:f>'자료구성'!$B$2+TIME(INT($C$3/10000),INT(MOD($C$3,10000)/100),MOD($C$3,100))+(ROW()-ROW($C$3))/86400</s:f>
        <s:v>46247.45028935185</s:v>
      </s:c>
    </s:row>
    <s:row r="6">
      <s:c r="A6" s="0" t="n">
        <s:v>260813</s:v>
      </s:c>
      <s:c r="B6" s="0" t="inlineStr">
        <s:is>
          <s:t>이종훈</s:t>
        </s:is>
      </s:c>
      <s:c r="C6" s="0" t="n">
        <s:v>104823</s:v>
      </s:c>
      <s:c r="D6" s="0" t="n">
        <s:v>1041</s:v>
      </s:c>
      <s:c r="F6" s="24">
        <s:f>'자료구성'!$B$2+TIME(INT($C$3/10000),INT(MOD($C$3,10000)/100),MOD($C$3,100))+(ROW()-ROW($C$3))/86400</s:f>
        <s:v>46247.45030092593</s:v>
      </s:c>
    </s:row>
    <s:row r="7">
      <s:c r="A7" s="0" t="n">
        <s:v>260813</s:v>
      </s:c>
      <s:c r="B7" s="0" t="inlineStr">
        <s:is>
          <s:t>이종훈</s:t>
        </s:is>
      </s:c>
      <s:c r="C7" s="0" t="n">
        <s:v>104823</s:v>
      </s:c>
      <s:c r="D7" s="0" t="n">
        <s:v>1026</s:v>
      </s:c>
      <s:c r="F7" s="24">
        <s:f>'자료구성'!$B$2+TIME(INT($C$3/10000),INT(MOD($C$3,10000)/100),MOD($C$3,100))+(ROW()-ROW($C$3))/86400</s:f>
        <s:v>46247.4503125</s:v>
      </s:c>
    </s:row>
    <s:row r="8">
      <s:c r="A8" s="0" t="n">
        <s:v>260813</s:v>
      </s:c>
      <s:c r="B8" s="0" t="inlineStr">
        <s:is>
          <s:t>이종훈</s:t>
        </s:is>
      </s:c>
      <s:c r="C8" s="0" t="n">
        <s:v>104823</s:v>
      </s:c>
      <s:c r="D8" s="0" t="n">
        <s:v>1020</s:v>
      </s:c>
      <s:c r="F8" s="24">
        <s:f>'자료구성'!$B$2+TIME(INT($C$3/10000),INT(MOD($C$3,10000)/100),MOD($C$3,100))+(ROW()-ROW($C$3))/86400</s:f>
        <s:v>46247.450324074074</s:v>
      </s:c>
    </s:row>
    <s:row r="9">
      <s:c r="A9" s="0" t="n">
        <s:v>260813</s:v>
      </s:c>
      <s:c r="B9" s="0" t="inlineStr">
        <s:is>
          <s:t>이종훈</s:t>
        </s:is>
      </s:c>
      <s:c r="C9" s="0" t="n">
        <s:v>104823</s:v>
      </s:c>
      <s:c r="D9" s="0" t="n">
        <s:v>1014</s:v>
      </s:c>
      <s:c r="F9" s="24">
        <s:f>'자료구성'!$B$2+TIME(INT($C$3/10000),INT(MOD($C$3,10000)/100),MOD($C$3,100))+(ROW()-ROW($C$3))/86400</s:f>
        <s:v>46247.45033564815</s:v>
      </s:c>
    </s:row>
    <s:row r="10">
      <s:c r="A10" s="0" t="n">
        <s:v>260813</s:v>
      </s:c>
      <s:c r="B10" s="0" t="inlineStr">
        <s:is>
          <s:t>이종훈</s:t>
        </s:is>
      </s:c>
      <s:c r="C10" s="0" t="n">
        <s:v>104823</s:v>
      </s:c>
      <s:c r="D10" s="0" t="n">
        <s:v>1013</s:v>
      </s:c>
      <s:c r="F10" s="24">
        <s:f>'자료구성'!$B$2+TIME(INT($C$3/10000),INT(MOD($C$3,10000)/100),MOD($C$3,100))+(ROW()-ROW($C$3))/86400</s:f>
        <s:v>46247.45034722222</s:v>
      </s:c>
    </s:row>
    <s:row r="11">
      <s:c r="A11" s="0" t="n">
        <s:v>260813</s:v>
      </s:c>
      <s:c r="B11" s="0" t="inlineStr">
        <s:is>
          <s:t>이종훈</s:t>
        </s:is>
      </s:c>
      <s:c r="C11" s="0" t="n">
        <s:v>104823</s:v>
      </s:c>
      <s:c r="D11" s="0" t="n">
        <s:v>1018</s:v>
      </s:c>
      <s:c r="F11" s="24">
        <s:f>'자료구성'!$B$2+TIME(INT($C$3/10000),INT(MOD($C$3,10000)/100),MOD($C$3,100))+(ROW()-ROW($C$3))/86400</s:f>
        <s:v>46247.4503587963</s:v>
      </s:c>
    </s:row>
    <s:row r="12">
      <s:c r="A12" s="0" t="n">
        <s:v>260813</s:v>
      </s:c>
      <s:c r="B12" s="0" t="inlineStr">
        <s:is>
          <s:t>이종훈</s:t>
        </s:is>
      </s:c>
      <s:c r="C12" s="0" t="n">
        <s:v>104823</s:v>
      </s:c>
      <s:c r="D12" s="0" t="n">
        <s:v>1037</s:v>
      </s:c>
      <s:c r="F12" s="24">
        <s:f>'자료구성'!$B$2+TIME(INT($C$3/10000),INT(MOD($C$3,10000)/100),MOD($C$3,100))+(ROW()-ROW($C$3))/86400</s:f>
        <s:v>46247.450370370374</s:v>
      </s:c>
    </s:row>
    <s:row r="13">
      <s:c r="A13" s="0" t="n">
        <s:v>260813</s:v>
      </s:c>
      <s:c r="B13" s="0" t="inlineStr">
        <s:is>
          <s:t>이종훈</s:t>
        </s:is>
      </s:c>
      <s:c r="C13" s="0" t="n">
        <s:v>104823</s:v>
      </s:c>
      <s:c r="D13" s="0" t="n">
        <s:v>1044</s:v>
      </s:c>
      <s:c r="F13" s="24">
        <s:f>'자료구성'!$B$2+TIME(INT($C$3/10000),INT(MOD($C$3,10000)/100),MOD($C$3,100))+(ROW()-ROW($C$3))/86400</s:f>
        <s:v>46247.45038194444</s:v>
      </s:c>
    </s:row>
    <s:row r="14">
      <s:c r="A14" s="0" t="n">
        <s:v>260813</s:v>
      </s:c>
      <s:c r="B14" s="0" t="inlineStr">
        <s:is>
          <s:t>이종훈</s:t>
        </s:is>
      </s:c>
      <s:c r="C14" s="0" t="n">
        <s:v>104823</s:v>
      </s:c>
      <s:c r="D14" s="0" t="n">
        <s:v>1036</s:v>
      </s:c>
      <s:c r="F14" s="24">
        <s:f>'자료구성'!$B$2+TIME(INT($C$3/10000),INT(MOD($C$3,10000)/100),MOD($C$3,100))+(ROW()-ROW($C$3))/86400</s:f>
        <s:v>46247.45039351852</s:v>
      </s:c>
    </s:row>
    <s:row r="15">
      <s:c r="A15" s="0" t="n">
        <s:v>260813</s:v>
      </s:c>
      <s:c r="B15" s="0" t="inlineStr">
        <s:is>
          <s:t>이종훈</s:t>
        </s:is>
      </s:c>
      <s:c r="C15" s="0" t="n">
        <s:v>104823</s:v>
      </s:c>
      <s:c r="D15" s="0" t="n">
        <s:v>1014</s:v>
      </s:c>
      <s:c r="F15" s="24">
        <s:f>'자료구성'!$B$2+TIME(INT($C$3/10000),INT(MOD($C$3,10000)/100),MOD($C$3,100))+(ROW()-ROW($C$3))/86400</s:f>
        <s:v>46247.45040509259</s:v>
      </s:c>
    </s:row>
    <s:row r="16">
      <s:c r="A16" s="0" t="n">
        <s:v>260813</s:v>
      </s:c>
      <s:c r="B16" s="0" t="inlineStr">
        <s:is>
          <s:t>이종훈</s:t>
        </s:is>
      </s:c>
      <s:c r="C16" s="0" t="n">
        <s:v>104823</s:v>
      </s:c>
      <s:c r="D16" s="0" t="n">
        <s:v>1016</s:v>
      </s:c>
      <s:c r="F16" s="24">
        <s:f>'자료구성'!$B$2+TIME(INT($C$3/10000),INT(MOD($C$3,10000)/100),MOD($C$3,100))+(ROW()-ROW($C$3))/86400</s:f>
        <s:v>46247.45041666667</s:v>
      </s:c>
    </s:row>
    <s:row r="17">
      <s:c r="A17" s="0" t="n">
        <s:v>260813</s:v>
      </s:c>
      <s:c r="B17" s="0" t="inlineStr">
        <s:is>
          <s:t>이종훈</s:t>
        </s:is>
      </s:c>
      <s:c r="C17" s="0" t="n">
        <s:v>104823</s:v>
      </s:c>
      <s:c r="D17" s="0" t="n">
        <s:v>1021</s:v>
      </s:c>
      <s:c r="F17" s="24">
        <s:f>'자료구성'!$B$2+TIME(INT($C$3/10000),INT(MOD($C$3,10000)/100),MOD($C$3,100))+(ROW()-ROW($C$3))/86400</s:f>
        <s:v>46247.45042824074</s:v>
      </s:c>
    </s:row>
    <s:row r="18">
      <s:c r="A18" s="0" t="n">
        <s:v>260813</s:v>
      </s:c>
      <s:c r="B18" s="0" t="inlineStr">
        <s:is>
          <s:t>이종훈</s:t>
        </s:is>
      </s:c>
      <s:c r="C18" s="0" t="n">
        <s:v>104823</s:v>
      </s:c>
      <s:c r="D18" s="0" t="n">
        <s:v>1025</s:v>
      </s:c>
      <s:c r="F18" s="24">
        <s:f>'자료구성'!$B$2+TIME(INT($C$3/10000),INT(MOD($C$3,10000)/100),MOD($C$3,100))+(ROW()-ROW($C$3))/86400</s:f>
        <s:v>46247.45043981481</s:v>
      </s:c>
    </s:row>
    <s:row r="19">
      <s:c r="A19" s="0" t="n">
        <s:v>260813</s:v>
      </s:c>
      <s:c r="B19" s="0" t="inlineStr">
        <s:is>
          <s:t>이종훈</s:t>
        </s:is>
      </s:c>
      <s:c r="C19" s="0" t="n">
        <s:v>104823</s:v>
      </s:c>
      <s:c r="D19" s="0" t="n">
        <s:v>1027</s:v>
      </s:c>
      <s:c r="F19" s="24">
        <s:f>'자료구성'!$B$2+TIME(INT($C$3/10000),INT(MOD($C$3,10000)/100),MOD($C$3,100))+(ROW()-ROW($C$3))/86400</s:f>
        <s:v>46247.45045138889</s:v>
      </s:c>
    </s:row>
    <s:row r="20">
      <s:c r="A20" s="0" t="n">
        <s:v>260813</s:v>
      </s:c>
      <s:c r="B20" s="0" t="inlineStr">
        <s:is>
          <s:t>이종훈</s:t>
        </s:is>
      </s:c>
      <s:c r="C20" s="0" t="n">
        <s:v>104823</s:v>
      </s:c>
      <s:c r="D20" s="0" t="n">
        <s:v>1018</s:v>
      </s:c>
      <s:c r="F20" s="24">
        <s:f>'자료구성'!$B$2+TIME(INT($C$3/10000),INT(MOD($C$3,10000)/100),MOD($C$3,100))+(ROW()-ROW($C$3))/86400</s:f>
        <s:v>46247.45046296297</s:v>
      </s:c>
    </s:row>
    <s:row r="21">
      <s:c r="A21" s="0" t="n">
        <s:v>260813</s:v>
      </s:c>
      <s:c r="B21" s="0" t="inlineStr">
        <s:is>
          <s:t>이종훈</s:t>
        </s:is>
      </s:c>
      <s:c r="C21" s="0" t="n">
        <s:v>104823</s:v>
      </s:c>
      <s:c r="D21" s="0" t="n">
        <s:v>1018</s:v>
      </s:c>
      <s:c r="F21" s="24">
        <s:f>'자료구성'!$B$2+TIME(INT($C$3/10000),INT(MOD($C$3,10000)/100),MOD($C$3,100))+(ROW()-ROW($C$3))/86400</s:f>
        <s:v>46247.450474537036</s:v>
      </s:c>
    </s:row>
    <s:row r="22">
      <s:c r="A22" s="0" t="n">
        <s:v>260813</s:v>
      </s:c>
      <s:c r="B22" s="0" t="inlineStr">
        <s:is>
          <s:t>이종훈</s:t>
        </s:is>
      </s:c>
      <s:c r="C22" s="0" t="n">
        <s:v>104823</s:v>
      </s:c>
      <s:c r="D22" s="0" t="n">
        <s:v>1013</s:v>
      </s:c>
      <s:c r="F22" s="24">
        <s:f>'자료구성'!$B$2+TIME(INT($C$3/10000),INT(MOD($C$3,10000)/100),MOD($C$3,100))+(ROW()-ROW($C$3))/86400</s:f>
        <s:v>46247.45048611111</s:v>
      </s:c>
    </s:row>
    <s:row r="23">
      <s:c r="A23" s="0" t="n">
        <s:v>260813</s:v>
      </s:c>
      <s:c r="B23" s="0" t="inlineStr">
        <s:is>
          <s:t>이종훈</s:t>
        </s:is>
      </s:c>
      <s:c r="C23" s="0" t="n">
        <s:v>104823</s:v>
      </s:c>
      <s:c r="D23" s="0" t="n">
        <s:v>1039</s:v>
      </s:c>
      <s:c r="F23" s="24">
        <s:f>'자료구성'!$B$2+TIME(INT($C$3/10000),INT(MOD($C$3,10000)/100),MOD($C$3,100))+(ROW()-ROW($C$3))/86400</s:f>
        <s:v>46247.45049768518</s:v>
      </s:c>
    </s:row>
    <s:row r="24">
      <s:c r="A24" s="0" t="n">
        <s:v>260813</s:v>
      </s:c>
      <s:c r="B24" s="0" t="inlineStr">
        <s:is>
          <s:t>이종훈</s:t>
        </s:is>
      </s:c>
      <s:c r="C24" s="0" t="n">
        <s:v>104823</s:v>
      </s:c>
      <s:c r="D24" s="0" t="n">
        <s:v>1037</s:v>
      </s:c>
      <s:c r="F24" s="24">
        <s:f>'자료구성'!$B$2+TIME(INT($C$3/10000),INT(MOD($C$3,10000)/100),MOD($C$3,100))+(ROW()-ROW($C$3))/86400</s:f>
        <s:v>46247.45050925926</s:v>
      </s:c>
    </s:row>
    <s:row r="25">
      <s:c r="A25" s="0" t="n">
        <s:v>260813</s:v>
      </s:c>
      <s:c r="B25" s="0" t="inlineStr">
        <s:is>
          <s:t>이종훈</s:t>
        </s:is>
      </s:c>
      <s:c r="C25" s="0" t="n">
        <s:v>104823</s:v>
      </s:c>
      <s:c r="D25" s="0" t="n">
        <s:v>1030</s:v>
      </s:c>
      <s:c r="F25" s="24">
        <s:f>'자료구성'!$B$2+TIME(INT($C$3/10000),INT(MOD($C$3,10000)/100),MOD($C$3,100))+(ROW()-ROW($C$3))/86400</s:f>
        <s:v>46247.450520833336</s:v>
      </s:c>
    </s:row>
    <s:row r="26">
      <s:c r="A26" s="0" t="n">
        <s:v>260813</s:v>
      </s:c>
      <s:c r="B26" s="0" t="inlineStr">
        <s:is>
          <s:t>이종훈</s:t>
        </s:is>
      </s:c>
      <s:c r="C26" s="0" t="n">
        <s:v>104823</s:v>
      </s:c>
      <s:c r="D26" s="0" t="n">
        <s:v>1025</s:v>
      </s:c>
      <s:c r="F26" s="24">
        <s:f>'자료구성'!$B$2+TIME(INT($C$3/10000),INT(MOD($C$3,10000)/100),MOD($C$3,100))+(ROW()-ROW($C$3))/86400</s:f>
        <s:v>46247.450532407405</s:v>
      </s:c>
    </s:row>
    <s:row r="27">
      <s:c r="A27" s="0" t="n">
        <s:v>260813</s:v>
      </s:c>
      <s:c r="B27" s="0" t="inlineStr">
        <s:is>
          <s:t>이종훈</s:t>
        </s:is>
      </s:c>
      <s:c r="C27" s="0" t="n">
        <s:v>104823</s:v>
      </s:c>
      <s:c r="D27" s="0" t="n">
        <s:v>1021</s:v>
      </s:c>
      <s:c r="F27" s="24">
        <s:f>'자료구성'!$B$2+TIME(INT($C$3/10000),INT(MOD($C$3,10000)/100),MOD($C$3,100))+(ROW()-ROW($C$3))/86400</s:f>
        <s:v>46247.45054398148</s:v>
      </s:c>
    </s:row>
    <s:row r="28">
      <s:c r="A28" s="0" t="n">
        <s:v>260813</s:v>
      </s:c>
      <s:c r="B28" s="0" t="inlineStr">
        <s:is>
          <s:t>이종훈</s:t>
        </s:is>
      </s:c>
      <s:c r="C28" s="0" t="n">
        <s:v>104823</s:v>
      </s:c>
      <s:c r="D28" s="0" t="n">
        <s:v>1031</s:v>
      </s:c>
      <s:c r="F28" s="24">
        <s:f>'자료구성'!$B$2+TIME(INT($C$3/10000),INT(MOD($C$3,10000)/100),MOD($C$3,100))+(ROW()-ROW($C$3))/86400</s:f>
        <s:v>46247.45055555556</s:v>
      </s:c>
    </s:row>
    <s:row r="29">
      <s:c r="A29" s="0" t="n">
        <s:v>260813</s:v>
      </s:c>
      <s:c r="B29" s="0" t="inlineStr">
        <s:is>
          <s:t>이종훈</s:t>
        </s:is>
      </s:c>
      <s:c r="C29" s="0" t="n">
        <s:v>104823</s:v>
      </s:c>
      <s:c r="D29" s="0" t="n">
        <s:v>1021</s:v>
      </s:c>
      <s:c r="F29" s="24">
        <s:f>'자료구성'!$B$2+TIME(INT($C$3/10000),INT(MOD($C$3,10000)/100),MOD($C$3,100))+(ROW()-ROW($C$3))/86400</s:f>
        <s:v>46247.45056712963</s:v>
      </s:c>
    </s:row>
    <s:row r="30">
      <s:c r="A30" s="0" t="n">
        <s:v>260813</s:v>
      </s:c>
      <s:c r="B30" s="0" t="inlineStr">
        <s:is>
          <s:t>이종훈</s:t>
        </s:is>
      </s:c>
      <s:c r="C30" s="0" t="n">
        <s:v>104823</s:v>
      </s:c>
      <s:c r="D30" s="0" t="n">
        <s:v>1011</s:v>
      </s:c>
      <s:c r="F30" s="24">
        <s:f>'자료구성'!$B$2+TIME(INT($C$3/10000),INT(MOD($C$3,10000)/100),MOD($C$3,100))+(ROW()-ROW($C$3))/86400</s:f>
        <s:v>46247.450578703705</s:v>
      </s:c>
    </s:row>
    <s:row r="31">
      <s:c r="A31" s="0" t="n">
        <s:v>260813</s:v>
      </s:c>
      <s:c r="B31" s="0" t="inlineStr">
        <s:is>
          <s:t>이종훈</s:t>
        </s:is>
      </s:c>
      <s:c r="C31" s="0" t="n">
        <s:v>104823</s:v>
      </s:c>
      <s:c r="D31" s="0" t="n">
        <s:v>987</s:v>
      </s:c>
      <s:c r="F31" s="24">
        <s:f>'자료구성'!$B$2+TIME(INT($C$3/10000),INT(MOD($C$3,10000)/100),MOD($C$3,100))+(ROW()-ROW($C$3))/86400</s:f>
        <s:v>46247.450590277775</s:v>
      </s:c>
    </s:row>
    <s:row r="32">
      <s:c r="A32" s="0" t="n">
        <s:v>260813</s:v>
      </s:c>
      <s:c r="B32" s="0" t="inlineStr">
        <s:is>
          <s:t>이종훈</s:t>
        </s:is>
      </s:c>
      <s:c r="C32" s="0" t="n">
        <s:v>104823</s:v>
      </s:c>
      <s:c r="D32" s="0" t="n">
        <s:v>994</s:v>
      </s:c>
      <s:c r="F32" s="24">
        <s:f>'자료구성'!$B$2+TIME(INT($C$3/10000),INT(MOD($C$3,10000)/100),MOD($C$3,100))+(ROW()-ROW($C$3))/86400</s:f>
        <s:v>46247.45060185185</s:v>
      </s:c>
    </s:row>
    <s:row r="33">
      <s:c r="A33" s="0" t="n">
        <s:v>260813</s:v>
      </s:c>
      <s:c r="B33" s="0" t="inlineStr">
        <s:is>
          <s:t>이종훈</s:t>
        </s:is>
      </s:c>
      <s:c r="C33" s="0" t="n">
        <s:v>104823</s:v>
      </s:c>
      <s:c r="D33" s="0" t="n">
        <s:v>997</s:v>
      </s:c>
      <s:c r="F33" s="24">
        <s:f>'자료구성'!$B$2+TIME(INT($C$3/10000),INT(MOD($C$3,10000)/100),MOD($C$3,100))+(ROW()-ROW($C$3))/86400</s:f>
        <s:v>46247.45061342593</s:v>
      </s:c>
    </s:row>
    <s:row r="34">
      <s:c r="A34" s="0" t="n">
        <s:v>260813</s:v>
      </s:c>
      <s:c r="B34" s="0" t="inlineStr">
        <s:is>
          <s:t>이종훈</s:t>
        </s:is>
      </s:c>
      <s:c r="C34" s="0" t="n">
        <s:v>104823</s:v>
      </s:c>
      <s:c r="D34" s="0" t="n">
        <s:v>988</s:v>
      </s:c>
      <s:c r="F34" s="24">
        <s:f>'자료구성'!$B$2+TIME(INT($C$3/10000),INT(MOD($C$3,10000)/100),MOD($C$3,100))+(ROW()-ROW($C$3))/86400</s:f>
        <s:v>46247.450625</s:v>
      </s:c>
    </s:row>
    <s:row r="35">
      <s:c r="A35" s="0" t="n">
        <s:v>260813</s:v>
      </s:c>
      <s:c r="B35" s="0" t="inlineStr">
        <s:is>
          <s:t>이종훈</s:t>
        </s:is>
      </s:c>
      <s:c r="C35" s="0" t="n">
        <s:v>104823</s:v>
      </s:c>
      <s:c r="D35" s="0" t="n">
        <s:v>977</s:v>
      </s:c>
      <s:c r="F35" s="24">
        <s:f>'자료구성'!$B$2+TIME(INT($C$3/10000),INT(MOD($C$3,10000)/100),MOD($C$3,100))+(ROW()-ROW($C$3))/86400</s:f>
        <s:v>46247.450636574074</s:v>
      </s:c>
    </s:row>
    <s:row r="36">
      <s:c r="A36" s="0" t="n">
        <s:v>260813</s:v>
      </s:c>
      <s:c r="B36" s="0" t="inlineStr">
        <s:is>
          <s:t>이종훈</s:t>
        </s:is>
      </s:c>
      <s:c r="C36" s="0" t="n">
        <s:v>104823</s:v>
      </s:c>
      <s:c r="D36" s="0" t="n">
        <s:v>984</s:v>
      </s:c>
      <s:c r="F36" s="24">
        <s:f>'자료구성'!$B$2+TIME(INT($C$3/10000),INT(MOD($C$3,10000)/100),MOD($C$3,100))+(ROW()-ROW($C$3))/86400</s:f>
        <s:v>46247.45064814815</s:v>
      </s:c>
    </s:row>
    <s:row r="37">
      <s:c r="A37" s="0" t="n">
        <s:v>260813</s:v>
      </s:c>
      <s:c r="B37" s="0" t="inlineStr">
        <s:is>
          <s:t>이종훈</s:t>
        </s:is>
      </s:c>
      <s:c r="C37" s="0" t="n">
        <s:v>104823</s:v>
      </s:c>
      <s:c r="D37" s="0" t="n">
        <s:v>1000</s:v>
      </s:c>
      <s:c r="F37" s="24">
        <s:f>'자료구성'!$B$2+TIME(INT($C$3/10000),INT(MOD($C$3,10000)/100),MOD($C$3,100))+(ROW()-ROW($C$3))/86400</s:f>
        <s:v>46247.45065972222</s:v>
      </s:c>
    </s:row>
    <s:row r="38">
      <s:c r="A38" s="0" t="n">
        <s:v>260813</s:v>
      </s:c>
      <s:c r="B38" s="0" t="inlineStr">
        <s:is>
          <s:t>이종훈</s:t>
        </s:is>
      </s:c>
      <s:c r="C38" s="0" t="n">
        <s:v>104823</s:v>
      </s:c>
      <s:c r="D38" s="0" t="n">
        <s:v>1025</s:v>
      </s:c>
      <s:c r="F38" s="24">
        <s:f>'자료구성'!$B$2+TIME(INT($C$3/10000),INT(MOD($C$3,10000)/100),MOD($C$3,100))+(ROW()-ROW($C$3))/86400</s:f>
        <s:v>46247.4506712963</s:v>
      </s:c>
    </s:row>
    <s:row r="39">
      <s:c r="A39" s="0" t="n">
        <s:v>260813</s:v>
      </s:c>
      <s:c r="B39" s="0" t="inlineStr">
        <s:is>
          <s:t>이종훈</s:t>
        </s:is>
      </s:c>
      <s:c r="C39" s="0" t="n">
        <s:v>104823</s:v>
      </s:c>
      <s:c r="D39" s="0" t="n">
        <s:v>1048</s:v>
      </s:c>
      <s:c r="F39" s="24">
        <s:f>'자료구성'!$B$2+TIME(INT($C$3/10000),INT(MOD($C$3,10000)/100),MOD($C$3,100))+(ROW()-ROW($C$3))/86400</s:f>
        <s:v>46247.45068287037</s:v>
      </s:c>
    </s:row>
    <s:row r="40">
      <s:c r="A40" s="0" t="n">
        <s:v>260813</s:v>
      </s:c>
      <s:c r="B40" s="0" t="inlineStr">
        <s:is>
          <s:t>이종훈</s:t>
        </s:is>
      </s:c>
      <s:c r="C40" s="0" t="n">
        <s:v>104823</s:v>
      </s:c>
      <s:c r="D40" s="0" t="n">
        <s:v>1066</s:v>
      </s:c>
      <s:c r="F40" s="24">
        <s:f>'자료구성'!$B$2+TIME(INT($C$3/10000),INT(MOD($C$3,10000)/100),MOD($C$3,100))+(ROW()-ROW($C$3))/86400</s:f>
        <s:v>46247.450694444444</s:v>
      </s:c>
    </s:row>
    <s:row r="41">
      <s:c r="A41" s="0" t="n">
        <s:v>260813</s:v>
      </s:c>
      <s:c r="B41" s="0" t="inlineStr">
        <s:is>
          <s:t>이종훈</s:t>
        </s:is>
      </s:c>
      <s:c r="C41" s="0" t="n">
        <s:v>104823</s:v>
      </s:c>
      <s:c r="D41" s="0" t="n">
        <s:v>1071</s:v>
      </s:c>
      <s:c r="F41" s="24">
        <s:f>'자료구성'!$B$2+TIME(INT($C$3/10000),INT(MOD($C$3,10000)/100),MOD($C$3,100))+(ROW()-ROW($C$3))/86400</s:f>
        <s:v>46247.45070601852</s:v>
      </s:c>
    </s:row>
    <s:row r="42">
      <s:c r="A42" s="0" t="n">
        <s:v>260813</s:v>
      </s:c>
      <s:c r="B42" s="0" t="inlineStr">
        <s:is>
          <s:t>이종훈</s:t>
        </s:is>
      </s:c>
      <s:c r="C42" s="0" t="n">
        <s:v>104823</s:v>
      </s:c>
      <s:c r="D42" s="0" t="n">
        <s:v>1061</s:v>
      </s:c>
      <s:c r="F42" s="24">
        <s:f>'자료구성'!$B$2+TIME(INT($C$3/10000),INT(MOD($C$3,10000)/100),MOD($C$3,100))+(ROW()-ROW($C$3))/86400</s:f>
        <s:v>46247.45071759259</s:v>
      </s:c>
    </s:row>
    <s:row r="43">
      <s:c r="A43" s="0" t="n">
        <s:v>260813</s:v>
      </s:c>
      <s:c r="B43" s="0" t="inlineStr">
        <s:is>
          <s:t>이종훈</s:t>
        </s:is>
      </s:c>
      <s:c r="C43" s="0" t="n">
        <s:v>104823</s:v>
      </s:c>
      <s:c r="D43" s="0" t="n">
        <s:v>1048</s:v>
      </s:c>
      <s:c r="F43" s="24">
        <s:f>'자료구성'!$B$2+TIME(INT($C$3/10000),INT(MOD($C$3,10000)/100),MOD($C$3,100))+(ROW()-ROW($C$3))/86400</s:f>
        <s:v>46247.45072916667</s:v>
      </s:c>
    </s:row>
    <s:row r="44">
      <s:c r="A44" s="0" t="n">
        <s:v>260813</s:v>
      </s:c>
      <s:c r="B44" s="0" t="inlineStr">
        <s:is>
          <s:t>이종훈</s:t>
        </s:is>
      </s:c>
      <s:c r="C44" s="0" t="n">
        <s:v>104823</s:v>
      </s:c>
      <s:c r="D44" s="0" t="n">
        <s:v>1030</s:v>
      </s:c>
      <s:c r="F44" s="24">
        <s:f>'자료구성'!$B$2+TIME(INT($C$3/10000),INT(MOD($C$3,10000)/100),MOD($C$3,100))+(ROW()-ROW($C$3))/86400</s:f>
        <s:v>46247.450740740744</s:v>
      </s:c>
    </s:row>
    <s:row r="45">
      <s:c r="A45" s="0" t="n">
        <s:v>260813</s:v>
      </s:c>
      <s:c r="B45" s="0" t="inlineStr">
        <s:is>
          <s:t>이종훈</s:t>
        </s:is>
      </s:c>
      <s:c r="C45" s="0" t="n">
        <s:v>104823</s:v>
      </s:c>
      <s:c r="D45" s="0" t="n">
        <s:v>1048</s:v>
      </s:c>
      <s:c r="F45" s="24">
        <s:f>'자료구성'!$B$2+TIME(INT($C$3/10000),INT(MOD($C$3,10000)/100),MOD($C$3,100))+(ROW()-ROW($C$3))/86400</s:f>
        <s:v>46247.45075231481</s:v>
      </s:c>
    </s:row>
    <s:row r="46">
      <s:c r="A46" s="0" t="n">
        <s:v>260813</s:v>
      </s:c>
      <s:c r="B46" s="0" t="inlineStr">
        <s:is>
          <s:t>이종훈</s:t>
        </s:is>
      </s:c>
      <s:c r="C46" s="0" t="n">
        <s:v>104823</s:v>
      </s:c>
      <s:c r="D46" s="0" t="n">
        <s:v>1068</s:v>
      </s:c>
      <s:c r="F46" s="24">
        <s:f>'자료구성'!$B$2+TIME(INT($C$3/10000),INT(MOD($C$3,10000)/100),MOD($C$3,100))+(ROW()-ROW($C$3))/86400</s:f>
        <s:v>46247.45076388889</s:v>
      </s:c>
    </s:row>
    <s:row r="47">
      <s:c r="A47" s="0" t="n">
        <s:v>260813</s:v>
      </s:c>
      <s:c r="B47" s="0" t="inlineStr">
        <s:is>
          <s:t>이종훈</s:t>
        </s:is>
      </s:c>
      <s:c r="C47" s="0" t="n">
        <s:v>104823</s:v>
      </s:c>
      <s:c r="D47" s="0" t="n">
        <s:v>1087</s:v>
      </s:c>
      <s:c r="F47" s="24">
        <s:f>'자료구성'!$B$2+TIME(INT($C$3/10000),INT(MOD($C$3,10000)/100),MOD($C$3,100))+(ROW()-ROW($C$3))/86400</s:f>
        <s:v>46247.45077546296</s:v>
      </s:c>
    </s:row>
    <s:row r="48">
      <s:c r="A48" s="0" t="n">
        <s:v>260813</s:v>
      </s:c>
      <s:c r="B48" s="0" t="inlineStr">
        <s:is>
          <s:t>이종훈</s:t>
        </s:is>
      </s:c>
      <s:c r="C48" s="0" t="n">
        <s:v>104823</s:v>
      </s:c>
      <s:c r="D48" s="0" t="n">
        <s:v>1142</s:v>
      </s:c>
      <s:c r="F48" s="24">
        <s:f>'자료구성'!$B$2+TIME(INT($C$3/10000),INT(MOD($C$3,10000)/100),MOD($C$3,100))+(ROW()-ROW($C$3))/86400</s:f>
        <s:v>46247.450787037036</s:v>
      </s:c>
    </s:row>
    <s:row r="49">
      <s:c r="A49" s="0" t="n">
        <s:v>260813</s:v>
      </s:c>
      <s:c r="B49" s="0" t="inlineStr">
        <s:is>
          <s:t>이종훈</s:t>
        </s:is>
      </s:c>
      <s:c r="C49" s="0" t="n">
        <s:v>104823</s:v>
      </s:c>
      <s:c r="D49" s="0" t="n">
        <s:v>1168</s:v>
      </s:c>
      <s:c r="F49" s="24">
        <s:f>'자료구성'!$B$2+TIME(INT($C$3/10000),INT(MOD($C$3,10000)/100),MOD($C$3,100))+(ROW()-ROW($C$3))/86400</s:f>
        <s:v>46247.45079861111</s:v>
      </s:c>
    </s:row>
    <s:row r="50">
      <s:c r="A50" s="0" t="n">
        <s:v>260813</s:v>
      </s:c>
      <s:c r="B50" s="0" t="inlineStr">
        <s:is>
          <s:t>이종훈</s:t>
        </s:is>
      </s:c>
      <s:c r="C50" s="0" t="n">
        <s:v>104823</s:v>
      </s:c>
      <s:c r="D50" s="0" t="n">
        <s:v>1196</s:v>
      </s:c>
      <s:c r="F50" s="24">
        <s:f>'자료구성'!$B$2+TIME(INT($C$3/10000),INT(MOD($C$3,10000)/100),MOD($C$3,100))+(ROW()-ROW($C$3))/86400</s:f>
        <s:v>46247.45081018518</s:v>
      </s:c>
    </s:row>
    <s:row r="51">
      <s:c r="A51" s="0" t="n">
        <s:v>260813</s:v>
      </s:c>
      <s:c r="B51" s="0" t="inlineStr">
        <s:is>
          <s:t>이종훈</s:t>
        </s:is>
      </s:c>
      <s:c r="C51" s="0" t="n">
        <s:v>104823</s:v>
      </s:c>
      <s:c r="D51" s="0" t="n">
        <s:v>1261</s:v>
      </s:c>
      <s:c r="F51" s="24">
        <s:f>'자료구성'!$B$2+TIME(INT($C$3/10000),INT(MOD($C$3,10000)/100),MOD($C$3,100))+(ROW()-ROW($C$3))/86400</s:f>
        <s:v>46247.45082175926</s:v>
      </s:c>
    </s:row>
    <s:row r="52">
      <s:c r="A52" s="0" t="n">
        <s:v>260813</s:v>
      </s:c>
      <s:c r="B52" s="0" t="inlineStr">
        <s:is>
          <s:t>이종훈</s:t>
        </s:is>
      </s:c>
      <s:c r="C52" s="0" t="n">
        <s:v>104823</s:v>
      </s:c>
      <s:c r="D52" s="0" t="n">
        <s:v>1324</s:v>
      </s:c>
      <s:c r="F52" s="24">
        <s:f>'자료구성'!$B$2+TIME(INT($C$3/10000),INT(MOD($C$3,10000)/100),MOD($C$3,100))+(ROW()-ROW($C$3))/86400</s:f>
        <s:v>46247.450833333336</s:v>
      </s:c>
    </s:row>
    <s:row r="53">
      <s:c r="A53" s="0" t="n">
        <s:v>260813</s:v>
      </s:c>
      <s:c r="B53" s="0" t="inlineStr">
        <s:is>
          <s:t>이종훈</s:t>
        </s:is>
      </s:c>
      <s:c r="C53" s="0" t="n">
        <s:v>104823</s:v>
      </s:c>
      <s:c r="D53" s="0" t="n">
        <s:v>1333</s:v>
      </s:c>
      <s:c r="F53" s="24">
        <s:f>'자료구성'!$B$2+TIME(INT($C$3/10000),INT(MOD($C$3,10000)/100),MOD($C$3,100))+(ROW()-ROW($C$3))/86400</s:f>
        <s:v>46247.450844907406</s:v>
      </s:c>
    </s:row>
    <s:row r="54">
      <s:c r="A54" s="0" t="n">
        <s:v>260813</s:v>
      </s:c>
      <s:c r="B54" s="0" t="inlineStr">
        <s:is>
          <s:t>이종훈</s:t>
        </s:is>
      </s:c>
      <s:c r="C54" s="0" t="n">
        <s:v>104823</s:v>
      </s:c>
      <s:c r="D54" s="0" t="n">
        <s:v>1353</s:v>
      </s:c>
      <s:c r="F54" s="24">
        <s:f>'자료구성'!$B$2+TIME(INT($C$3/10000),INT(MOD($C$3,10000)/100),MOD($C$3,100))+(ROW()-ROW($C$3))/86400</s:f>
        <s:v>46247.45085648148</s:v>
      </s:c>
    </s:row>
    <s:row r="55">
      <s:c r="A55" s="0" t="n">
        <s:v>260813</s:v>
      </s:c>
      <s:c r="B55" s="0" t="inlineStr">
        <s:is>
          <s:t>이종훈</s:t>
        </s:is>
      </s:c>
      <s:c r="C55" s="0" t="n">
        <s:v>104823</s:v>
      </s:c>
      <s:c r="D55" s="0" t="n">
        <s:v>1345</s:v>
      </s:c>
      <s:c r="F55" s="24">
        <s:f>'자료구성'!$B$2+TIME(INT($C$3/10000),INT(MOD($C$3,10000)/100),MOD($C$3,100))+(ROW()-ROW($C$3))/86400</s:f>
        <s:v>46247.45086805556</s:v>
      </s:c>
    </s:row>
    <s:row r="56">
      <s:c r="A56" s="0" t="n">
        <s:v>260813</s:v>
      </s:c>
      <s:c r="B56" s="0" t="inlineStr">
        <s:is>
          <s:t>이종훈</s:t>
        </s:is>
      </s:c>
      <s:c r="C56" s="0" t="n">
        <s:v>104823</s:v>
      </s:c>
      <s:c r="D56" s="0" t="n">
        <s:v>1334</s:v>
      </s:c>
      <s:c r="F56" s="24">
        <s:f>'자료구성'!$B$2+TIME(INT($C$3/10000),INT(MOD($C$3,10000)/100),MOD($C$3,100))+(ROW()-ROW($C$3))/86400</s:f>
        <s:v>46247.45087962963</s:v>
      </s:c>
    </s:row>
    <s:row r="57">
      <s:c r="A57" s="0" t="n">
        <s:v>260813</s:v>
      </s:c>
      <s:c r="B57" s="0" t="inlineStr">
        <s:is>
          <s:t>이종훈</s:t>
        </s:is>
      </s:c>
      <s:c r="C57" s="0" t="n">
        <s:v>104823</s:v>
      </s:c>
      <s:c r="D57" s="0" t="n">
        <s:v>1299</s:v>
      </s:c>
      <s:c r="F57" s="24">
        <s:f>'자료구성'!$B$2+TIME(INT($C$3/10000),INT(MOD($C$3,10000)/100),MOD($C$3,100))+(ROW()-ROW($C$3))/86400</s:f>
        <s:v>46247.450891203705</s:v>
      </s:c>
    </s:row>
    <s:row r="58">
      <s:c r="A58" s="0" t="n">
        <s:v>260813</s:v>
      </s:c>
      <s:c r="B58" s="0" t="inlineStr">
        <s:is>
          <s:t>이종훈</s:t>
        </s:is>
      </s:c>
      <s:c r="C58" s="0" t="n">
        <s:v>104823</s:v>
      </s:c>
      <s:c r="D58" s="0" t="n">
        <s:v>1299</s:v>
      </s:c>
      <s:c r="F58" s="24">
        <s:f>'자료구성'!$B$2+TIME(INT($C$3/10000),INT(MOD($C$3,10000)/100),MOD($C$3,100))+(ROW()-ROW($C$3))/86400</s:f>
        <s:v>46247.450902777775</s:v>
      </s:c>
    </s:row>
    <s:row r="59">
      <s:c r="A59" s="0" t="n">
        <s:v>260813</s:v>
      </s:c>
      <s:c r="B59" s="0" t="inlineStr">
        <s:is>
          <s:t>이종훈</s:t>
        </s:is>
      </s:c>
      <s:c r="C59" s="0" t="n">
        <s:v>104823</s:v>
      </s:c>
      <s:c r="D59" s="0" t="n">
        <s:v>1345</s:v>
      </s:c>
      <s:c r="F59" s="24">
        <s:f>'자료구성'!$B$2+TIME(INT($C$3/10000),INT(MOD($C$3,10000)/100),MOD($C$3,100))+(ROW()-ROW($C$3))/86400</s:f>
        <s:v>46247.45091435185</s:v>
      </s:c>
    </s:row>
    <s:row r="60">
      <s:c r="A60" s="0" t="n">
        <s:v>260813</s:v>
      </s:c>
      <s:c r="B60" s="0" t="inlineStr">
        <s:is>
          <s:t>이종훈</s:t>
        </s:is>
      </s:c>
      <s:c r="C60" s="0" t="n">
        <s:v>104823</s:v>
      </s:c>
      <s:c r="D60" s="0" t="n">
        <s:v>1330</s:v>
      </s:c>
      <s:c r="F60" s="24">
        <s:f>'자료구성'!$B$2+TIME(INT($C$3/10000),INT(MOD($C$3,10000)/100),MOD($C$3,100))+(ROW()-ROW($C$3))/86400</s:f>
        <s:v>46247.45092592593</s:v>
      </s:c>
    </s:row>
    <s:row r="61">
      <s:c r="A61" s="0" t="n">
        <s:v>260813</s:v>
      </s:c>
      <s:c r="B61" s="0" t="inlineStr">
        <s:is>
          <s:t>이종훈</s:t>
        </s:is>
      </s:c>
      <s:c r="C61" s="0" t="n">
        <s:v>104823</s:v>
      </s:c>
      <s:c r="D61" s="0" t="n">
        <s:v>1313</s:v>
      </s:c>
      <s:c r="F61" s="24">
        <s:f>'자료구성'!$B$2+TIME(INT($C$3/10000),INT(MOD($C$3,10000)/100),MOD($C$3,100))+(ROW()-ROW($C$3))/86400</s:f>
        <s:v>46247.4509375</s:v>
      </s:c>
    </s:row>
    <s:row r="62">
      <s:c r="A62" s="0" t="n">
        <s:v>260813</s:v>
      </s:c>
      <s:c r="B62" s="0" t="inlineStr">
        <s:is>
          <s:t>이종훈</s:t>
        </s:is>
      </s:c>
      <s:c r="C62" s="0" t="n">
        <s:v>104823</s:v>
      </s:c>
      <s:c r="D62" s="0" t="n">
        <s:v>1312</s:v>
      </s:c>
      <s:c r="F62" s="24">
        <s:f>'자료구성'!$B$2+TIME(INT($C$3/10000),INT(MOD($C$3,10000)/100),MOD($C$3,100))+(ROW()-ROW($C$3))/86400</s:f>
        <s:v>46247.450949074075</s:v>
      </s:c>
    </s:row>
    <s:row r="63">
      <s:c r="A63" s="0" t="n">
        <s:v>260813</s:v>
      </s:c>
      <s:c r="B63" s="0" t="inlineStr">
        <s:is>
          <s:t>이종훈</s:t>
        </s:is>
      </s:c>
      <s:c r="C63" s="0" t="n">
        <s:v>104823</s:v>
      </s:c>
      <s:c r="D63" s="0" t="n">
        <s:v>1314</s:v>
      </s:c>
      <s:c r="F63" s="24">
        <s:f>'자료구성'!$B$2+TIME(INT($C$3/10000),INT(MOD($C$3,10000)/100),MOD($C$3,100))+(ROW()-ROW($C$3))/86400</s:f>
        <s:v>46247.45096064815</s:v>
      </s:c>
    </s:row>
    <s:row r="64">
      <s:c r="A64" s="0" t="n">
        <s:v>260813</s:v>
      </s:c>
      <s:c r="B64" s="0" t="inlineStr">
        <s:is>
          <s:t>이종훈</s:t>
        </s:is>
      </s:c>
      <s:c r="C64" s="0" t="n">
        <s:v>104823</s:v>
      </s:c>
      <s:c r="D64" s="0" t="n">
        <s:v>1313</s:v>
      </s:c>
      <s:c r="F64" s="24">
        <s:f>'자료구성'!$B$2+TIME(INT($C$3/10000),INT(MOD($C$3,10000)/100),MOD($C$3,100))+(ROW()-ROW($C$3))/86400</s:f>
        <s:v>46247.45097222222</s:v>
      </s:c>
    </s:row>
    <s:row r="65">
      <s:c r="A65" s="0" t="n">
        <s:v>260813</s:v>
      </s:c>
      <s:c r="B65" s="0" t="inlineStr">
        <s:is>
          <s:t>이종훈</s:t>
        </s:is>
      </s:c>
      <s:c r="C65" s="0" t="n">
        <s:v>104823</s:v>
      </s:c>
      <s:c r="D65" s="0" t="n">
        <s:v>1314</s:v>
      </s:c>
      <s:c r="F65" s="24">
        <s:f>'자료구성'!$B$2+TIME(INT($C$3/10000),INT(MOD($C$3,10000)/100),MOD($C$3,100))+(ROW()-ROW($C$3))/86400</s:f>
        <s:v>46247.4509837963</s:v>
      </s:c>
    </s:row>
    <s:row r="66">
      <s:c r="A66" s="0" t="n">
        <s:v>260813</s:v>
      </s:c>
      <s:c r="B66" s="0" t="inlineStr">
        <s:is>
          <s:t>이종훈</s:t>
        </s:is>
      </s:c>
      <s:c r="C66" s="0" t="n">
        <s:v>104823</s:v>
      </s:c>
      <s:c r="D66" s="0" t="n">
        <s:v>1322</s:v>
      </s:c>
      <s:c r="F66" s="24">
        <s:f>'자료구성'!$B$2+TIME(INT($C$3/10000),INT(MOD($C$3,10000)/100),MOD($C$3,100))+(ROW()-ROW($C$3))/86400</s:f>
        <s:v>46247.45099537037</s:v>
      </s:c>
    </s:row>
    <s:row r="67">
      <s:c r="A67" s="0" t="n">
        <s:v>260813</s:v>
      </s:c>
      <s:c r="B67" s="0" t="inlineStr">
        <s:is>
          <s:t>이종훈</s:t>
        </s:is>
      </s:c>
      <s:c r="C67" s="0" t="n">
        <s:v>104823</s:v>
      </s:c>
      <s:c r="D67" s="0" t="n">
        <s:v>1356</s:v>
      </s:c>
      <s:c r="F67" s="24">
        <s:f>'자료구성'!$B$2+TIME(INT($C$3/10000),INT(MOD($C$3,10000)/100),MOD($C$3,100))+(ROW()-ROW($C$3))/86400</s:f>
        <s:v>46247.451006944444</s:v>
      </s:c>
    </s:row>
    <s:row r="68">
      <s:c r="A68" s="0" t="n">
        <s:v>260813</s:v>
      </s:c>
      <s:c r="B68" s="0" t="inlineStr">
        <s:is>
          <s:t>이종훈</s:t>
        </s:is>
      </s:c>
      <s:c r="C68" s="0" t="n">
        <s:v>104823</s:v>
      </s:c>
      <s:c r="D68" s="0" t="n">
        <s:v>1345</s:v>
      </s:c>
      <s:c r="F68" s="24">
        <s:f>'자료구성'!$B$2+TIME(INT($C$3/10000),INT(MOD($C$3,10000)/100),MOD($C$3,100))+(ROW()-ROW($C$3))/86400</s:f>
        <s:v>46247.45101851852</s:v>
      </s:c>
    </s:row>
    <s:row r="69">
      <s:c r="A69" s="0" t="n">
        <s:v>260813</s:v>
      </s:c>
      <s:c r="B69" s="0" t="inlineStr">
        <s:is>
          <s:t>이종훈</s:t>
        </s:is>
      </s:c>
      <s:c r="C69" s="0" t="n">
        <s:v>104823</s:v>
      </s:c>
      <s:c r="D69" s="0" t="n">
        <s:v>1333</s:v>
      </s:c>
      <s:c r="F69" s="24">
        <s:f>'자료구성'!$B$2+TIME(INT($C$3/10000),INT(MOD($C$3,10000)/100),MOD($C$3,100))+(ROW()-ROW($C$3))/86400</s:f>
        <s:v>46247.45103009259</s:v>
      </s:c>
    </s:row>
    <s:row r="70">
      <s:c r="A70" s="0" t="n">
        <s:v>260813</s:v>
      </s:c>
      <s:c r="B70" s="0" t="inlineStr">
        <s:is>
          <s:t>이종훈</s:t>
        </s:is>
      </s:c>
      <s:c r="C70" s="0" t="n">
        <s:v>104823</s:v>
      </s:c>
      <s:c r="D70" s="0" t="n">
        <s:v>1310</s:v>
      </s:c>
      <s:c r="F70" s="24">
        <s:f>'자료구성'!$B$2+TIME(INT($C$3/10000),INT(MOD($C$3,10000)/100),MOD($C$3,100))+(ROW()-ROW($C$3))/86400</s:f>
        <s:v>46247.45104166667</s:v>
      </s:c>
    </s:row>
    <s:row r="71">
      <s:c r="A71" s="0" t="n">
        <s:v>260813</s:v>
      </s:c>
      <s:c r="B71" s="0" t="inlineStr">
        <s:is>
          <s:t>이종훈</s:t>
        </s:is>
      </s:c>
      <s:c r="C71" s="0" t="n">
        <s:v>104823</s:v>
      </s:c>
      <s:c r="D71" s="0" t="n">
        <s:v>1324</s:v>
      </s:c>
      <s:c r="F71" s="24">
        <s:f>'자료구성'!$B$2+TIME(INT($C$3/10000),INT(MOD($C$3,10000)/100),MOD($C$3,100))+(ROW()-ROW($C$3))/86400</s:f>
        <s:v>46247.451053240744</s:v>
      </s:c>
    </s:row>
    <s:row r="72">
      <s:c r="A72" s="0" t="n">
        <s:v>260813</s:v>
      </s:c>
      <s:c r="B72" s="0" t="inlineStr">
        <s:is>
          <s:t>이종훈</s:t>
        </s:is>
      </s:c>
      <s:c r="C72" s="0" t="n">
        <s:v>104823</s:v>
      </s:c>
      <s:c r="D72" s="0" t="n">
        <s:v>1332</s:v>
      </s:c>
      <s:c r="F72" s="24">
        <s:f>'자료구성'!$B$2+TIME(INT($C$3/10000),INT(MOD($C$3,10000)/100),MOD($C$3,100))+(ROW()-ROW($C$3))/86400</s:f>
        <s:v>46247.45106481481</s:v>
      </s:c>
    </s:row>
    <s:row r="73">
      <s:c r="A73" s="0" t="n">
        <s:v>260813</s:v>
      </s:c>
      <s:c r="B73" s="0" t="inlineStr">
        <s:is>
          <s:t>이종훈</s:t>
        </s:is>
      </s:c>
      <s:c r="C73" s="0" t="n">
        <s:v>104823</s:v>
      </s:c>
      <s:c r="D73" s="0" t="n">
        <s:v>1338</s:v>
      </s:c>
      <s:c r="F73" s="24">
        <s:f>'자료구성'!$B$2+TIME(INT($C$3/10000),INT(MOD($C$3,10000)/100),MOD($C$3,100))+(ROW()-ROW($C$3))/86400</s:f>
        <s:v>46247.45107638889</s:v>
      </s:c>
    </s:row>
    <s:row r="74">
      <s:c r="A74" s="0" t="n">
        <s:v>260813</s:v>
      </s:c>
      <s:c r="B74" s="0" t="inlineStr">
        <s:is>
          <s:t>이종훈</s:t>
        </s:is>
      </s:c>
      <s:c r="C74" s="0" t="n">
        <s:v>104823</s:v>
      </s:c>
      <s:c r="D74" s="0" t="n">
        <s:v>1332</s:v>
      </s:c>
      <s:c r="F74" s="24">
        <s:f>'자료구성'!$B$2+TIME(INT($C$3/10000),INT(MOD($C$3,10000)/100),MOD($C$3,100))+(ROW()-ROW($C$3))/86400</s:f>
        <s:v>46247.45108796296</s:v>
      </s:c>
    </s:row>
    <s:row r="75">
      <s:c r="A75" s="0" t="n">
        <s:v>260813</s:v>
      </s:c>
      <s:c r="B75" s="0" t="inlineStr">
        <s:is>
          <s:t>이종훈</s:t>
        </s:is>
      </s:c>
      <s:c r="C75" s="0" t="n">
        <s:v>104823</s:v>
      </s:c>
      <s:c r="D75" s="0" t="n">
        <s:v>1325</s:v>
      </s:c>
      <s:c r="F75" s="24">
        <s:f>'자료구성'!$B$2+TIME(INT($C$3/10000),INT(MOD($C$3,10000)/100),MOD($C$3,100))+(ROW()-ROW($C$3))/86400</s:f>
        <s:v>46247.45109953704</s:v>
      </s:c>
    </s:row>
    <s:row r="76">
      <s:c r="A76" s="0" t="n">
        <s:v>260813</s:v>
      </s:c>
      <s:c r="B76" s="0" t="inlineStr">
        <s:is>
          <s:t>이종훈</s:t>
        </s:is>
      </s:c>
      <s:c r="C76" s="0" t="n">
        <s:v>104823</s:v>
      </s:c>
      <s:c r="D76" s="0" t="n">
        <s:v>1330</s:v>
      </s:c>
      <s:c r="F76" s="24">
        <s:f>'자료구성'!$B$2+TIME(INT($C$3/10000),INT(MOD($C$3,10000)/100),MOD($C$3,100))+(ROW()-ROW($C$3))/86400</s:f>
        <s:v>46247.45111111111</s:v>
      </s:c>
    </s:row>
    <s:row r="77">
      <s:c r="A77" s="0" t="n">
        <s:v>260813</s:v>
      </s:c>
      <s:c r="B77" s="0" t="inlineStr">
        <s:is>
          <s:t>이종훈</s:t>
        </s:is>
      </s:c>
      <s:c r="C77" s="0" t="n">
        <s:v>104823</s:v>
      </s:c>
      <s:c r="D77" s="0" t="n">
        <s:v>1328</s:v>
      </s:c>
      <s:c r="F77" s="24">
        <s:f>'자료구성'!$B$2+TIME(INT($C$3/10000),INT(MOD($C$3,10000)/100),MOD($C$3,100))+(ROW()-ROW($C$3))/86400</s:f>
        <s:v>46247.45112268518</s:v>
      </s:c>
    </s:row>
    <s:row r="78">
      <s:c r="A78" s="0" t="n">
        <s:v>260813</s:v>
      </s:c>
      <s:c r="B78" s="0" t="inlineStr">
        <s:is>
          <s:t>이종훈</s:t>
        </s:is>
      </s:c>
      <s:c r="C78" s="0" t="n">
        <s:v>104823</s:v>
      </s:c>
      <s:c r="D78" s="0" t="n">
        <s:v>1320</s:v>
      </s:c>
      <s:c r="F78" s="24">
        <s:f>'자료구성'!$B$2+TIME(INT($C$3/10000),INT(MOD($C$3,10000)/100),MOD($C$3,100))+(ROW()-ROW($C$3))/86400</s:f>
        <s:v>46247.45113425926</s:v>
      </s:c>
    </s:row>
    <s:row r="79">
      <s:c r="A79" s="0" t="n">
        <s:v>260813</s:v>
      </s:c>
      <s:c r="B79" s="0" t="inlineStr">
        <s:is>
          <s:t>이종훈</s:t>
        </s:is>
      </s:c>
      <s:c r="C79" s="0" t="n">
        <s:v>104823</s:v>
      </s:c>
      <s:c r="D79" s="0" t="n">
        <s:v>1322</s:v>
      </s:c>
      <s:c r="F79" s="24">
        <s:f>'자료구성'!$B$2+TIME(INT($C$3/10000),INT(MOD($C$3,10000)/100),MOD($C$3,100))+(ROW()-ROW($C$3))/86400</s:f>
        <s:v>46247.451145833336</s:v>
      </s:c>
    </s:row>
    <s:row r="80">
      <s:c r="A80" s="0" t="n">
        <s:v>260813</s:v>
      </s:c>
      <s:c r="B80" s="0" t="inlineStr">
        <s:is>
          <s:t>이종훈</s:t>
        </s:is>
      </s:c>
      <s:c r="C80" s="0" t="n">
        <s:v>104823</s:v>
      </s:c>
      <s:c r="D80" s="0" t="n">
        <s:v>1322</s:v>
      </s:c>
      <s:c r="F80" s="24">
        <s:f>'자료구성'!$B$2+TIME(INT($C$3/10000),INT(MOD($C$3,10000)/100),MOD($C$3,100))+(ROW()-ROW($C$3))/86400</s:f>
        <s:v>46247.451157407406</s:v>
      </s:c>
    </s:row>
    <s:row r="81">
      <s:c r="A81" s="0" t="n">
        <s:v>260813</s:v>
      </s:c>
      <s:c r="B81" s="0" t="inlineStr">
        <s:is>
          <s:t>이종훈</s:t>
        </s:is>
      </s:c>
      <s:c r="C81" s="0" t="n">
        <s:v>104823</s:v>
      </s:c>
      <s:c r="D81" s="0" t="n">
        <s:v>1341</s:v>
      </s:c>
      <s:c r="F81" s="24">
        <s:f>'자료구성'!$B$2+TIME(INT($C$3/10000),INT(MOD($C$3,10000)/100),MOD($C$3,100))+(ROW()-ROW($C$3))/86400</s:f>
        <s:v>46247.45116898148</s:v>
      </s:c>
    </s:row>
    <s:row r="82">
      <s:c r="A82" s="0" t="n">
        <s:v>260813</s:v>
      </s:c>
      <s:c r="B82" s="0" t="inlineStr">
        <s:is>
          <s:t>이종훈</s:t>
        </s:is>
      </s:c>
      <s:c r="C82" s="0" t="n">
        <s:v>104823</s:v>
      </s:c>
      <s:c r="D82" s="0" t="n">
        <s:v>1359</s:v>
      </s:c>
      <s:c r="F82" s="24">
        <s:f>'자료구성'!$B$2+TIME(INT($C$3/10000),INT(MOD($C$3,10000)/100),MOD($C$3,100))+(ROW()-ROW($C$3))/86400</s:f>
        <s:v>46247.45118055555</s:v>
      </s:c>
    </s:row>
    <s:row r="83">
      <s:c r="A83" s="0" t="n">
        <s:v>260813</s:v>
      </s:c>
      <s:c r="B83" s="0" t="inlineStr">
        <s:is>
          <s:t>이종훈</s:t>
        </s:is>
      </s:c>
      <s:c r="C83" s="0" t="n">
        <s:v>104823</s:v>
      </s:c>
      <s:c r="D83" s="0" t="n">
        <s:v>1364</s:v>
      </s:c>
      <s:c r="F83" s="24">
        <s:f>'자료구성'!$B$2+TIME(INT($C$3/10000),INT(MOD($C$3,10000)/100),MOD($C$3,100))+(ROW()-ROW($C$3))/86400</s:f>
        <s:v>46247.45119212963</s:v>
      </s:c>
    </s:row>
    <s:row r="84">
      <s:c r="A84" s="0" t="n">
        <s:v>260813</s:v>
      </s:c>
      <s:c r="B84" s="0" t="inlineStr">
        <s:is>
          <s:t>이종훈</s:t>
        </s:is>
      </s:c>
      <s:c r="C84" s="0" t="n">
        <s:v>104823</s:v>
      </s:c>
      <s:c r="D84" s="0" t="n">
        <s:v>1350</s:v>
      </s:c>
      <s:c r="F84" s="24">
        <s:f>'자료구성'!$B$2+TIME(INT($C$3/10000),INT(MOD($C$3,10000)/100),MOD($C$3,100))+(ROW()-ROW($C$3))/86400</s:f>
        <s:v>46247.451203703706</s:v>
      </s:c>
    </s:row>
    <s:row r="85">
      <s:c r="A85" s="0" t="n">
        <s:v>260813</s:v>
      </s:c>
      <s:c r="B85" s="0" t="inlineStr">
        <s:is>
          <s:t>이종훈</s:t>
        </s:is>
      </s:c>
      <s:c r="C85" s="0" t="n">
        <s:v>104823</s:v>
      </s:c>
      <s:c r="D85" s="0" t="n">
        <s:v>1340</s:v>
      </s:c>
      <s:c r="F85" s="24">
        <s:f>'자료구성'!$B$2+TIME(INT($C$3/10000),INT(MOD($C$3,10000)/100),MOD($C$3,100))+(ROW()-ROW($C$3))/86400</s:f>
        <s:v>46247.451215277775</s:v>
      </s:c>
    </s:row>
    <s:row r="86">
      <s:c r="A86" s="0" t="n">
        <s:v>260813</s:v>
      </s:c>
      <s:c r="B86" s="0" t="inlineStr">
        <s:is>
          <s:t>이종훈</s:t>
        </s:is>
      </s:c>
      <s:c r="C86" s="0" t="n">
        <s:v>104823</s:v>
      </s:c>
      <s:c r="D86" s="0" t="n">
        <s:v>1350</s:v>
      </s:c>
      <s:c r="F86" s="24">
        <s:f>'자료구성'!$B$2+TIME(INT($C$3/10000),INT(MOD($C$3,10000)/100),MOD($C$3,100))+(ROW()-ROW($C$3))/86400</s:f>
        <s:v>46247.45122685185</s:v>
      </s:c>
    </s:row>
    <s:row r="87">
      <s:c r="A87" s="0" t="n">
        <s:v>260813</s:v>
      </s:c>
      <s:c r="B87" s="0" t="inlineStr">
        <s:is>
          <s:t>이종훈</s:t>
        </s:is>
      </s:c>
      <s:c r="C87" s="0" t="n">
        <s:v>104823</s:v>
      </s:c>
      <s:c r="D87" s="0" t="n">
        <s:v>1356</s:v>
      </s:c>
      <s:c r="F87" s="24">
        <s:f>'자료구성'!$B$2+TIME(INT($C$3/10000),INT(MOD($C$3,10000)/100),MOD($C$3,100))+(ROW()-ROW($C$3))/86400</s:f>
        <s:v>46247.45123842593</s:v>
      </s:c>
    </s:row>
    <s:row r="88">
      <s:c r="A88" s="0" t="n">
        <s:v>260813</s:v>
      </s:c>
      <s:c r="B88" s="0" t="inlineStr">
        <s:is>
          <s:t>이종훈</s:t>
        </s:is>
      </s:c>
      <s:c r="C88" s="0" t="n">
        <s:v>104823</s:v>
      </s:c>
      <s:c r="D88" s="0" t="n">
        <s:v>1363</s:v>
      </s:c>
      <s:c r="F88" s="24">
        <s:f>'자료구성'!$B$2+TIME(INT($C$3/10000),INT(MOD($C$3,10000)/100),MOD($C$3,100))+(ROW()-ROW($C$3))/86400</s:f>
        <s:v>46247.45125</s:v>
      </s:c>
    </s:row>
    <s:row r="89">
      <s:c r="A89" s="0" t="n">
        <s:v>260813</s:v>
      </s:c>
      <s:c r="B89" s="0" t="inlineStr">
        <s:is>
          <s:t>이종훈</s:t>
        </s:is>
      </s:c>
      <s:c r="C89" s="0" t="n">
        <s:v>104823</s:v>
      </s:c>
      <s:c r="D89" s="0" t="n">
        <s:v>1398</s:v>
      </s:c>
      <s:c r="F89" s="24">
        <s:f>'자료구성'!$B$2+TIME(INT($C$3/10000),INT(MOD($C$3,10000)/100),MOD($C$3,100))+(ROW()-ROW($C$3))/86400</s:f>
        <s:v>46247.451261574075</s:v>
      </s:c>
    </s:row>
    <s:row r="90">
      <s:c r="A90" s="0" t="n">
        <s:v>260813</s:v>
      </s:c>
      <s:c r="B90" s="0" t="inlineStr">
        <s:is>
          <s:t>이종훈</s:t>
        </s:is>
      </s:c>
      <s:c r="C90" s="0" t="n">
        <s:v>104823</s:v>
      </s:c>
      <s:c r="D90" s="0" t="n">
        <s:v>1395</s:v>
      </s:c>
      <s:c r="F90" s="24">
        <s:f>'자료구성'!$B$2+TIME(INT($C$3/10000),INT(MOD($C$3,10000)/100),MOD($C$3,100))+(ROW()-ROW($C$3))/86400</s:f>
        <s:v>46247.451273148145</s:v>
      </s:c>
    </s:row>
    <s:row r="91">
      <s:c r="A91" s="0" t="n">
        <s:v>260813</s:v>
      </s:c>
      <s:c r="B91" s="0" t="inlineStr">
        <s:is>
          <s:t>이종훈</s:t>
        </s:is>
      </s:c>
      <s:c r="C91" s="0" t="n">
        <s:v>104823</s:v>
      </s:c>
      <s:c r="D91" s="0" t="n">
        <s:v>1405</s:v>
      </s:c>
      <s:c r="F91" s="24">
        <s:f>'자료구성'!$B$2+TIME(INT($C$3/10000),INT(MOD($C$3,10000)/100),MOD($C$3,100))+(ROW()-ROW($C$3))/86400</s:f>
        <s:v>46247.45128472222</s:v>
      </s:c>
    </s:row>
    <s:row r="92">
      <s:c r="A92" s="0" t="n">
        <s:v>260813</s:v>
      </s:c>
      <s:c r="B92" s="0" t="inlineStr">
        <s:is>
          <s:t>이종훈</s:t>
        </s:is>
      </s:c>
      <s:c r="C92" s="0" t="n">
        <s:v>104823</s:v>
      </s:c>
      <s:c r="D92" s="0" t="n">
        <s:v>1370</s:v>
      </s:c>
      <s:c r="F92" s="24">
        <s:f>'자료구성'!$B$2+TIME(INT($C$3/10000),INT(MOD($C$3,10000)/100),MOD($C$3,100))+(ROW()-ROW($C$3))/86400</s:f>
        <s:v>46247.4512962963</s:v>
      </s:c>
    </s:row>
    <s:row r="93">
      <s:c r="A93" s="0" t="n">
        <s:v>260813</s:v>
      </s:c>
      <s:c r="B93" s="0" t="inlineStr">
        <s:is>
          <s:t>이종훈</s:t>
        </s:is>
      </s:c>
      <s:c r="C93" s="0" t="n">
        <s:v>104823</s:v>
      </s:c>
      <s:c r="D93" s="0" t="n">
        <s:v>1381</s:v>
      </s:c>
      <s:c r="F93" s="24">
        <s:f>'자료구성'!$B$2+TIME(INT($C$3/10000),INT(MOD($C$3,10000)/100),MOD($C$3,100))+(ROW()-ROW($C$3))/86400</s:f>
        <s:v>46247.45130787037</s:v>
      </s:c>
    </s:row>
    <s:row r="94">
      <s:c r="A94" s="0" t="n">
        <s:v>260813</s:v>
      </s:c>
      <s:c r="B94" s="0" t="inlineStr">
        <s:is>
          <s:t>이종훈</s:t>
        </s:is>
      </s:c>
      <s:c r="C94" s="0" t="n">
        <s:v>104823</s:v>
      </s:c>
      <s:c r="D94" s="0" t="n">
        <s:v>1412</s:v>
      </s:c>
      <s:c r="F94" s="24">
        <s:f>'자료구성'!$B$2+TIME(INT($C$3/10000),INT(MOD($C$3,10000)/100),MOD($C$3,100))+(ROW()-ROW($C$3))/86400</s:f>
        <s:v>46247.451319444444</s:v>
      </s:c>
    </s:row>
    <s:row r="95">
      <s:c r="A95" s="0" t="n">
        <s:v>260813</s:v>
      </s:c>
      <s:c r="B95" s="0" t="inlineStr">
        <s:is>
          <s:t>이종훈</s:t>
        </s:is>
      </s:c>
      <s:c r="C95" s="0" t="n">
        <s:v>104823</s:v>
      </s:c>
      <s:c r="D95" s="0" t="n">
        <s:v>1427</s:v>
      </s:c>
      <s:c r="F95" s="24">
        <s:f>'자료구성'!$B$2+TIME(INT($C$3/10000),INT(MOD($C$3,10000)/100),MOD($C$3,100))+(ROW()-ROW($C$3))/86400</s:f>
        <s:v>46247.45133101852</s:v>
      </s:c>
    </s:row>
    <s:row r="96">
      <s:c r="A96" s="0" t="n">
        <s:v>260813</s:v>
      </s:c>
      <s:c r="B96" s="0" t="inlineStr">
        <s:is>
          <s:t>이종훈</s:t>
        </s:is>
      </s:c>
      <s:c r="C96" s="0" t="n">
        <s:v>104823</s:v>
      </s:c>
      <s:c r="D96" s="0" t="n">
        <s:v>1447</s:v>
      </s:c>
      <s:c r="F96" s="24">
        <s:f>'자료구성'!$B$2+TIME(INT($C$3/10000),INT(MOD($C$3,10000)/100),MOD($C$3,100))+(ROW()-ROW($C$3))/86400</s:f>
        <s:v>46247.45134259259</s:v>
      </s:c>
    </s:row>
    <s:row r="97">
      <s:c r="A97" s="0" t="n">
        <s:v>260813</s:v>
      </s:c>
      <s:c r="B97" s="0" t="inlineStr">
        <s:is>
          <s:t>이종훈</s:t>
        </s:is>
      </s:c>
      <s:c r="C97" s="0" t="n">
        <s:v>104823</s:v>
      </s:c>
      <s:c r="D97" s="0" t="n">
        <s:v>1469</s:v>
      </s:c>
      <s:c r="F97" s="24">
        <s:f>'자료구성'!$B$2+TIME(INT($C$3/10000),INT(MOD($C$3,10000)/100),MOD($C$3,100))+(ROW()-ROW($C$3))/86400</s:f>
        <s:v>46247.45135416667</s:v>
      </s:c>
    </s:row>
    <s:row r="98">
      <s:c r="A98" s="0" t="n">
        <s:v>260813</s:v>
      </s:c>
      <s:c r="B98" s="0" t="inlineStr">
        <s:is>
          <s:t>이종훈</s:t>
        </s:is>
      </s:c>
      <s:c r="C98" s="0" t="n">
        <s:v>104823</s:v>
      </s:c>
      <s:c r="D98" s="0" t="n">
        <s:v>1484</s:v>
      </s:c>
      <s:c r="F98" s="24">
        <s:f>'자료구성'!$B$2+TIME(INT($C$3/10000),INT(MOD($C$3,10000)/100),MOD($C$3,100))+(ROW()-ROW($C$3))/86400</s:f>
        <s:v>46247.451365740744</s:v>
      </s:c>
    </s:row>
    <s:row r="99">
      <s:c r="A99" s="0" t="n">
        <s:v>260813</s:v>
      </s:c>
      <s:c r="B99" s="0" t="inlineStr">
        <s:is>
          <s:t>이종훈</s:t>
        </s:is>
      </s:c>
      <s:c r="C99" s="0" t="n">
        <s:v>104823</s:v>
      </s:c>
      <s:c r="D99" s="0" t="n">
        <s:v>1485</s:v>
      </s:c>
      <s:c r="F99" s="24">
        <s:f>'자료구성'!$B$2+TIME(INT($C$3/10000),INT(MOD($C$3,10000)/100),MOD($C$3,100))+(ROW()-ROW($C$3))/86400</s:f>
        <s:v>46247.451377314814</s:v>
      </s:c>
    </s:row>
    <s:row r="100">
      <s:c r="A100" s="0" t="n">
        <s:v>260813</s:v>
      </s:c>
      <s:c r="B100" s="0" t="inlineStr">
        <s:is>
          <s:t>이종훈</s:t>
        </s:is>
      </s:c>
      <s:c r="C100" s="0" t="n">
        <s:v>104823</s:v>
      </s:c>
      <s:c r="D100" s="0" t="n">
        <s:v>1453</s:v>
      </s:c>
      <s:c r="F100" s="24">
        <s:f>'자료구성'!$B$2+TIME(INT($C$3/10000),INT(MOD($C$3,10000)/100),MOD($C$3,100))+(ROW()-ROW($C$3))/86400</s:f>
        <s:v>46247.45138888889</s:v>
      </s:c>
    </s:row>
    <s:row r="101">
      <s:c r="A101" s="0" t="n">
        <s:v>260813</s:v>
      </s:c>
      <s:c r="B101" s="0" t="inlineStr">
        <s:is>
          <s:t>이종훈</s:t>
        </s:is>
      </s:c>
      <s:c r="C101" s="0" t="n">
        <s:v>104823</s:v>
      </s:c>
      <s:c r="D101" s="0" t="n">
        <s:v>1450</s:v>
      </s:c>
      <s:c r="F101" s="24">
        <s:f>'자료구성'!$B$2+TIME(INT($C$3/10000),INT(MOD($C$3,10000)/100),MOD($C$3,100))+(ROW()-ROW($C$3))/86400</s:f>
        <s:v>46247.45140046296</s:v>
      </s:c>
    </s:row>
    <s:row r="102">
      <s:c r="A102" s="0" t="n">
        <s:v>260813</s:v>
      </s:c>
      <s:c r="B102" s="0" t="inlineStr">
        <s:is>
          <s:t>이종훈</s:t>
        </s:is>
      </s:c>
      <s:c r="C102" s="0" t="n">
        <s:v>104823</s:v>
      </s:c>
      <s:c r="D102" s="0" t="n">
        <s:v>1446</s:v>
      </s:c>
      <s:c r="F102" s="24">
        <s:f>'자료구성'!$B$2+TIME(INT($C$3/10000),INT(MOD($C$3,10000)/100),MOD($C$3,100))+(ROW()-ROW($C$3))/86400</s:f>
        <s:v>46247.45141203704</s:v>
      </s:c>
    </s:row>
    <s:row r="103">
      <s:c r="A103" s="0" t="n">
        <s:v>260813</s:v>
      </s:c>
      <s:c r="B103" s="0" t="inlineStr">
        <s:is>
          <s:t>이종훈</s:t>
        </s:is>
      </s:c>
      <s:c r="C103" s="0" t="n">
        <s:v>104823</s:v>
      </s:c>
      <s:c r="D103" s="0" t="n">
        <s:v>1435</s:v>
      </s:c>
      <s:c r="F103" s="24">
        <s:f>'자료구성'!$B$2+TIME(INT($C$3/10000),INT(MOD($C$3,10000)/100),MOD($C$3,100))+(ROW()-ROW($C$3))/86400</s:f>
        <s:v>46247.45142361111</s:v>
      </s:c>
    </s:row>
    <s:row r="104">
      <s:c r="A104" s="0" t="n">
        <s:v>260813</s:v>
      </s:c>
      <s:c r="B104" s="0" t="inlineStr">
        <s:is>
          <s:t>이종훈</s:t>
        </s:is>
      </s:c>
      <s:c r="C104" s="0" t="n">
        <s:v>104823</s:v>
      </s:c>
      <s:c r="D104" s="0" t="n">
        <s:v>1435</s:v>
      </s:c>
      <s:c r="F104" s="24">
        <s:f>'자료구성'!$B$2+TIME(INT($C$3/10000),INT(MOD($C$3,10000)/100),MOD($C$3,100))+(ROW()-ROW($C$3))/86400</s:f>
        <s:v>46247.45143518518</s:v>
      </s:c>
    </s:row>
    <s:row r="105">
      <s:c r="A105" s="0" t="n">
        <s:v>260813</s:v>
      </s:c>
      <s:c r="B105" s="0" t="inlineStr">
        <s:is>
          <s:t>이종훈</s:t>
        </s:is>
      </s:c>
      <s:c r="C105" s="0" t="n">
        <s:v>104823</s:v>
      </s:c>
      <s:c r="D105" s="0" t="n">
        <s:v>1420</s:v>
      </s:c>
      <s:c r="F105" s="24">
        <s:f>'자료구성'!$B$2+TIME(INT($C$3/10000),INT(MOD($C$3,10000)/100),MOD($C$3,100))+(ROW()-ROW($C$3))/86400</s:f>
        <s:v>46247.45144675926</s:v>
      </s:c>
    </s:row>
    <s:row r="106">
      <s:c r="A106" s="0" t="n">
        <s:v>260813</s:v>
      </s:c>
      <s:c r="B106" s="0" t="inlineStr">
        <s:is>
          <s:t>이종훈</s:t>
        </s:is>
      </s:c>
      <s:c r="C106" s="0" t="n">
        <s:v>104823</s:v>
      </s:c>
      <s:c r="D106" s="0" t="n">
        <s:v>1358</s:v>
      </s:c>
      <s:c r="F106" s="24">
        <s:f>'자료구성'!$B$2+TIME(INT($C$3/10000),INT(MOD($C$3,10000)/100),MOD($C$3,100))+(ROW()-ROW($C$3))/86400</s:f>
        <s:v>46247.45145833334</s:v>
      </s:c>
    </s:row>
    <s:row r="107">
      <s:c r="A107" s="0" t="n">
        <s:v>260813</s:v>
      </s:c>
      <s:c r="B107" s="0" t="inlineStr">
        <s:is>
          <s:t>이종훈</s:t>
        </s:is>
      </s:c>
      <s:c r="C107" s="0" t="n">
        <s:v>104823</s:v>
      </s:c>
      <s:c r="D107" s="0" t="n">
        <s:v>1337</s:v>
      </s:c>
      <s:c r="F107" s="24">
        <s:f>'자료구성'!$B$2+TIME(INT($C$3/10000),INT(MOD($C$3,10000)/100),MOD($C$3,100))+(ROW()-ROW($C$3))/86400</s:f>
        <s:v>46247.451469907406</s:v>
      </s:c>
    </s:row>
    <s:row r="108">
      <s:c r="A108" s="0" t="n">
        <s:v>260813</s:v>
      </s:c>
      <s:c r="B108" s="0" t="inlineStr">
        <s:is>
          <s:t>이종훈</s:t>
        </s:is>
      </s:c>
      <s:c r="C108" s="0" t="n">
        <s:v>104823</s:v>
      </s:c>
      <s:c r="D108" s="0" t="n">
        <s:v>1345</s:v>
      </s:c>
      <s:c r="F108" s="24">
        <s:f>'자료구성'!$B$2+TIME(INT($C$3/10000),INT(MOD($C$3,10000)/100),MOD($C$3,100))+(ROW()-ROW($C$3))/86400</s:f>
        <s:v>46247.45148148148</s:v>
      </s:c>
    </s:row>
    <s:row r="109">
      <s:c r="A109" s="0" t="n">
        <s:v>260813</s:v>
      </s:c>
      <s:c r="B109" s="0" t="inlineStr">
        <s:is>
          <s:t>이종훈</s:t>
        </s:is>
      </s:c>
      <s:c r="C109" s="0" t="n">
        <s:v>104823</s:v>
      </s:c>
      <s:c r="D109" s="0" t="n">
        <s:v>1334</s:v>
      </s:c>
      <s:c r="F109" s="24">
        <s:f>'자료구성'!$B$2+TIME(INT($C$3/10000),INT(MOD($C$3,10000)/100),MOD($C$3,100))+(ROW()-ROW($C$3))/86400</s:f>
        <s:v>46247.45149305555</s:v>
      </s:c>
    </s:row>
    <s:row r="110">
      <s:c r="A110" s="0" t="n">
        <s:v>260813</s:v>
      </s:c>
      <s:c r="B110" s="0" t="inlineStr">
        <s:is>
          <s:t>이종훈</s:t>
        </s:is>
      </s:c>
      <s:c r="C110" s="0" t="n">
        <s:v>104823</s:v>
      </s:c>
      <s:c r="D110" s="0" t="n">
        <s:v>1325</s:v>
      </s:c>
      <s:c r="F110" s="24">
        <s:f>'자료구성'!$B$2+TIME(INT($C$3/10000),INT(MOD($C$3,10000)/100),MOD($C$3,100))+(ROW()-ROW($C$3))/86400</s:f>
        <s:v>46247.45150462963</s:v>
      </s:c>
    </s:row>
    <s:row r="111">
      <s:c r="A111" s="0" t="n">
        <s:v>260813</s:v>
      </s:c>
      <s:c r="B111" s="0" t="inlineStr">
        <s:is>
          <s:t>이종훈</s:t>
        </s:is>
      </s:c>
      <s:c r="C111" s="0" t="n">
        <s:v>104823</s:v>
      </s:c>
      <s:c r="D111" s="0" t="n">
        <s:v>1311</s:v>
      </s:c>
      <s:c r="F111" s="24">
        <s:f>'자료구성'!$B$2+TIME(INT($C$3/10000),INT(MOD($C$3,10000)/100),MOD($C$3,100))+(ROW()-ROW($C$3))/86400</s:f>
        <s:v>46247.451516203706</s:v>
      </s:c>
    </s:row>
    <s:row r="112">
      <s:c r="A112" s="0" t="n">
        <s:v>260813</s:v>
      </s:c>
      <s:c r="B112" s="0" t="inlineStr">
        <s:is>
          <s:t>이종훈</s:t>
        </s:is>
      </s:c>
      <s:c r="C112" s="0" t="n">
        <s:v>104823</s:v>
      </s:c>
      <s:c r="D112" s="0" t="n">
        <s:v>1290</s:v>
      </s:c>
      <s:c r="F112" s="24">
        <s:f>'자료구성'!$B$2+TIME(INT($C$3/10000),INT(MOD($C$3,10000)/100),MOD($C$3,100))+(ROW()-ROW($C$3))/86400</s:f>
        <s:v>46247.451527777775</s:v>
      </s:c>
    </s:row>
    <s:row r="113">
      <s:c r="A113" s="0" t="n">
        <s:v>260813</s:v>
      </s:c>
      <s:c r="B113" s="0" t="inlineStr">
        <s:is>
          <s:t>이종훈</s:t>
        </s:is>
      </s:c>
      <s:c r="C113" s="0" t="n">
        <s:v>104823</s:v>
      </s:c>
      <s:c r="D113" s="0" t="n">
        <s:v>1251</s:v>
      </s:c>
      <s:c r="F113" s="24">
        <s:f>'자료구성'!$B$2+TIME(INT($C$3/10000),INT(MOD($C$3,10000)/100),MOD($C$3,100))+(ROW()-ROW($C$3))/86400</s:f>
        <s:v>46247.45153935185</s:v>
      </s:c>
    </s:row>
    <s:row r="114">
      <s:c r="A114" s="0" t="n">
        <s:v>260813</s:v>
      </s:c>
      <s:c r="B114" s="0" t="inlineStr">
        <s:is>
          <s:t>이종훈</s:t>
        </s:is>
      </s:c>
      <s:c r="C114" s="0" t="n">
        <s:v>104823</s:v>
      </s:c>
      <s:c r="D114" s="0" t="n">
        <s:v>1267</s:v>
      </s:c>
      <s:c r="F114" s="24">
        <s:f>'자료구성'!$B$2+TIME(INT($C$3/10000),INT(MOD($C$3,10000)/100),MOD($C$3,100))+(ROW()-ROW($C$3))/86400</s:f>
        <s:v>46247.45155092593</s:v>
      </s:c>
    </s:row>
    <s:row r="115">
      <s:c r="A115" s="0" t="n">
        <s:v>260813</s:v>
      </s:c>
      <s:c r="B115" s="0" t="inlineStr">
        <s:is>
          <s:t>이종훈</s:t>
        </s:is>
      </s:c>
      <s:c r="C115" s="0" t="n">
        <s:v>104823</s:v>
      </s:c>
      <s:c r="D115" s="0" t="n">
        <s:v>1242</s:v>
      </s:c>
      <s:c r="F115" s="24">
        <s:f>'자료구성'!$B$2+TIME(INT($C$3/10000),INT(MOD($C$3,10000)/100),MOD($C$3,100))+(ROW()-ROW($C$3))/86400</s:f>
        <s:v>46247.4515625</s:v>
      </s:c>
    </s:row>
    <s:row r="116">
      <s:c r="A116" s="0" t="n">
        <s:v>260813</s:v>
      </s:c>
      <s:c r="B116" s="0" t="inlineStr">
        <s:is>
          <s:t>이종훈</s:t>
        </s:is>
      </s:c>
      <s:c r="C116" s="0" t="n">
        <s:v>104823</s:v>
      </s:c>
      <s:c r="D116" s="0" t="n">
        <s:v>1218</s:v>
      </s:c>
      <s:c r="F116" s="24">
        <s:f>'자료구성'!$B$2+TIME(INT($C$3/10000),INT(MOD($C$3,10000)/100),MOD($C$3,100))+(ROW()-ROW($C$3))/86400</s:f>
        <s:v>46247.451574074075</s:v>
      </s:c>
    </s:row>
    <s:row r="117">
      <s:c r="A117" s="0" t="n">
        <s:v>260813</s:v>
      </s:c>
      <s:c r="B117" s="0" t="inlineStr">
        <s:is>
          <s:t>이종훈</s:t>
        </s:is>
      </s:c>
      <s:c r="C117" s="0" t="n">
        <s:v>104823</s:v>
      </s:c>
      <s:c r="D117" s="0" t="n">
        <s:v>1218</s:v>
      </s:c>
      <s:c r="F117" s="24">
        <s:f>'자료구성'!$B$2+TIME(INT($C$3/10000),INT(MOD($C$3,10000)/100),MOD($C$3,100))+(ROW()-ROW($C$3))/86400</s:f>
        <s:v>46247.451585648145</s:v>
      </s:c>
    </s:row>
    <s:row r="118">
      <s:c r="A118" s="0" t="n">
        <s:v>260813</s:v>
      </s:c>
      <s:c r="B118" s="0" t="inlineStr">
        <s:is>
          <s:t>이종훈</s:t>
        </s:is>
      </s:c>
      <s:c r="C118" s="0" t="n">
        <s:v>104823</s:v>
      </s:c>
      <s:c r="D118" s="0" t="n">
        <s:v>1134</s:v>
      </s:c>
      <s:c r="F118" s="24">
        <s:f>'자료구성'!$B$2+TIME(INT($C$3/10000),INT(MOD($C$3,10000)/100),MOD($C$3,100))+(ROW()-ROW($C$3))/86400</s:f>
        <s:v>46247.45159722222</s:v>
      </s:c>
    </s:row>
    <s:row r="119">
      <s:c r="A119" s="0" t="n">
        <s:v>260813</s:v>
      </s:c>
      <s:c r="B119" s="0" t="inlineStr">
        <s:is>
          <s:t>이종훈</s:t>
        </s:is>
      </s:c>
      <s:c r="C119" s="0" t="n">
        <s:v>104823</s:v>
      </s:c>
      <s:c r="D119" s="0" t="n">
        <s:v>1100</s:v>
      </s:c>
      <s:c r="F119" s="24">
        <s:f>'자료구성'!$B$2+TIME(INT($C$3/10000),INT(MOD($C$3,10000)/100),MOD($C$3,100))+(ROW()-ROW($C$3))/86400</s:f>
        <s:v>46247.4516087963</s:v>
      </s:c>
    </s:row>
    <s:row r="120">
      <s:c r="A120" s="0" t="n">
        <s:v>260813</s:v>
      </s:c>
      <s:c r="B120" s="0" t="inlineStr">
        <s:is>
          <s:t>이종훈</s:t>
        </s:is>
      </s:c>
      <s:c r="C120" s="0" t="n">
        <s:v>104823</s:v>
      </s:c>
      <s:c r="D120" s="0" t="n">
        <s:v>1088</s:v>
      </s:c>
      <s:c r="F120" s="24">
        <s:f>'자료구성'!$B$2+TIME(INT($C$3/10000),INT(MOD($C$3,10000)/100),MOD($C$3,100))+(ROW()-ROW($C$3))/86400</s:f>
        <s:v>46247.45162037037</s:v>
      </s:c>
    </s:row>
    <s:row r="121">
      <s:c r="A121" s="0" t="n">
        <s:v>260813</s:v>
      </s:c>
      <s:c r="B121" s="0" t="inlineStr">
        <s:is>
          <s:t>이종훈</s:t>
        </s:is>
      </s:c>
      <s:c r="C121" s="0" t="n">
        <s:v>104823</s:v>
      </s:c>
      <s:c r="D121" s="0" t="n">
        <s:v>1119</s:v>
      </s:c>
      <s:c r="F121" s="24">
        <s:f>'자료구성'!$B$2+TIME(INT($C$3/10000),INT(MOD($C$3,10000)/100),MOD($C$3,100))+(ROW()-ROW($C$3))/86400</s:f>
        <s:v>46247.451631944445</s:v>
      </s:c>
    </s:row>
    <s:row r="122">
      <s:c r="A122" s="0" t="n">
        <s:v>260813</s:v>
      </s:c>
      <s:c r="B122" s="0" t="inlineStr">
        <s:is>
          <s:t>이종훈</s:t>
        </s:is>
      </s:c>
      <s:c r="C122" s="0" t="n">
        <s:v>104823</s:v>
      </s:c>
      <s:c r="D122" s="0" t="n">
        <s:v>1149</s:v>
      </s:c>
      <s:c r="F122" s="24">
        <s:f>'자료구성'!$B$2+TIME(INT($C$3/10000),INT(MOD($C$3,10000)/100),MOD($C$3,100))+(ROW()-ROW($C$3))/86400</s:f>
        <s:v>46247.45164351852</s:v>
      </s:c>
    </s:row>
    <s:row r="123">
      <s:c r="A123" s="0" t="n">
        <s:v>260813</s:v>
      </s:c>
      <s:c r="B123" s="0" t="inlineStr">
        <s:is>
          <s:t>이종훈</s:t>
        </s:is>
      </s:c>
      <s:c r="C123" s="0" t="n">
        <s:v>104823</s:v>
      </s:c>
      <s:c r="D123" s="0" t="n">
        <s:v>1202</s:v>
      </s:c>
      <s:c r="F123" s="24">
        <s:f>'자료구성'!$B$2+TIME(INT($C$3/10000),INT(MOD($C$3,10000)/100),MOD($C$3,100))+(ROW()-ROW($C$3))/86400</s:f>
        <s:v>46247.45165509259</s:v>
      </s:c>
    </s:row>
    <s:row r="124">
      <s:c r="A124" s="0" t="n">
        <s:v>260813</s:v>
      </s:c>
      <s:c r="B124" s="0" t="inlineStr">
        <s:is>
          <s:t>이종훈</s:t>
        </s:is>
      </s:c>
      <s:c r="C124" s="0" t="n">
        <s:v>104823</s:v>
      </s:c>
      <s:c r="D124" s="0" t="n">
        <s:v>1233</s:v>
      </s:c>
      <s:c r="F124" s="24">
        <s:f>'자료구성'!$B$2+TIME(INT($C$3/10000),INT(MOD($C$3,10000)/100),MOD($C$3,100))+(ROW()-ROW($C$3))/86400</s:f>
        <s:v>46247.45166666667</s:v>
      </s:c>
    </s:row>
    <s:row r="125">
      <s:c r="A125" s="0" t="n">
        <s:v>260813</s:v>
      </s:c>
      <s:c r="B125" s="0" t="inlineStr">
        <s:is>
          <s:t>이종훈</s:t>
        </s:is>
      </s:c>
      <s:c r="C125" s="0" t="n">
        <s:v>104823</s:v>
      </s:c>
      <s:c r="D125" s="0" t="n">
        <s:v>1262</s:v>
      </s:c>
      <s:c r="F125" s="24">
        <s:f>'자료구성'!$B$2+TIME(INT($C$3/10000),INT(MOD($C$3,10000)/100),MOD($C$3,100))+(ROW()-ROW($C$3))/86400</s:f>
        <s:v>46247.45167824074</s:v>
      </s:c>
    </s:row>
    <s:row r="126">
      <s:c r="A126" s="0" t="n">
        <s:v>260813</s:v>
      </s:c>
      <s:c r="B126" s="0" t="inlineStr">
        <s:is>
          <s:t>이종훈</s:t>
        </s:is>
      </s:c>
      <s:c r="C126" s="0" t="n">
        <s:v>104823</s:v>
      </s:c>
      <s:c r="D126" s="0" t="n">
        <s:v>1269</s:v>
      </s:c>
      <s:c r="F126" s="24">
        <s:f>'자료구성'!$B$2+TIME(INT($C$3/10000),INT(MOD($C$3,10000)/100),MOD($C$3,100))+(ROW()-ROW($C$3))/86400</s:f>
        <s:v>46247.451689814814</s:v>
      </s:c>
    </s:row>
    <s:row r="127">
      <s:c r="A127" s="0" t="n">
        <s:v>260813</s:v>
      </s:c>
      <s:c r="B127" s="0" t="inlineStr">
        <s:is>
          <s:t>이종훈</s:t>
        </s:is>
      </s:c>
      <s:c r="C127" s="0" t="n">
        <s:v>104823</s:v>
      </s:c>
      <s:c r="D127" s="0" t="n">
        <s:v>1286</s:v>
      </s:c>
      <s:c r="F127" s="24">
        <s:f>'자료구성'!$B$2+TIME(INT($C$3/10000),INT(MOD($C$3,10000)/100),MOD($C$3,100))+(ROW()-ROW($C$3))/86400</s:f>
        <s:v>46247.45170138889</s:v>
      </s:c>
    </s:row>
    <s:row r="128">
      <s:c r="A128" s="0" t="n">
        <s:v>260813</s:v>
      </s:c>
      <s:c r="B128" s="0" t="inlineStr">
        <s:is>
          <s:t>이종훈</s:t>
        </s:is>
      </s:c>
      <s:c r="C128" s="0" t="n">
        <s:v>104823</s:v>
      </s:c>
      <s:c r="D128" s="0" t="n">
        <s:v>1330</s:v>
      </s:c>
      <s:c r="F128" s="24">
        <s:f>'자료구성'!$B$2+TIME(INT($C$3/10000),INT(MOD($C$3,10000)/100),MOD($C$3,100))+(ROW()-ROW($C$3))/86400</s:f>
        <s:v>46247.45171296296</s:v>
      </s:c>
    </s:row>
    <s:row r="129">
      <s:c r="A129" s="0" t="n">
        <s:v>260813</s:v>
      </s:c>
      <s:c r="B129" s="0" t="inlineStr">
        <s:is>
          <s:t>이종훈</s:t>
        </s:is>
      </s:c>
      <s:c r="C129" s="0" t="n">
        <s:v>104823</s:v>
      </s:c>
      <s:c r="D129" s="0" t="n">
        <s:v>1367</s:v>
      </s:c>
      <s:c r="F129" s="24">
        <s:f>'자료구성'!$B$2+TIME(INT($C$3/10000),INT(MOD($C$3,10000)/100),MOD($C$3,100))+(ROW()-ROW($C$3))/86400</s:f>
        <s:v>46247.45172453704</s:v>
      </s:c>
    </s:row>
    <s:row r="130">
      <s:c r="A130" s="0" t="n">
        <s:v>260813</s:v>
      </s:c>
      <s:c r="B130" s="0" t="inlineStr">
        <s:is>
          <s:t>이종훈</s:t>
        </s:is>
      </s:c>
      <s:c r="C130" s="0" t="n">
        <s:v>104823</s:v>
      </s:c>
      <s:c r="D130" s="0" t="n">
        <s:v>1421</s:v>
      </s:c>
      <s:c r="F130" s="24">
        <s:f>'자료구성'!$B$2+TIME(INT($C$3/10000),INT(MOD($C$3,10000)/100),MOD($C$3,100))+(ROW()-ROW($C$3))/86400</s:f>
        <s:v>46247.451736111114</s:v>
      </s:c>
    </s:row>
    <s:row r="131">
      <s:c r="A131" s="0" t="n">
        <s:v>260813</s:v>
      </s:c>
      <s:c r="B131" s="0" t="inlineStr">
        <s:is>
          <s:t>이종훈</s:t>
        </s:is>
      </s:c>
      <s:c r="C131" s="0" t="n">
        <s:v>104823</s:v>
      </s:c>
      <s:c r="D131" s="0" t="n">
        <s:v>1446</s:v>
      </s:c>
      <s:c r="F131" s="24">
        <s:f>'자료구성'!$B$2+TIME(INT($C$3/10000),INT(MOD($C$3,10000)/100),MOD($C$3,100))+(ROW()-ROW($C$3))/86400</s:f>
        <s:v>46247.45174768518</s:v>
      </s:c>
    </s:row>
    <s:row r="132">
      <s:c r="A132" s="0" t="n">
        <s:v>260813</s:v>
      </s:c>
      <s:c r="B132" s="0" t="inlineStr">
        <s:is>
          <s:t>이종훈</s:t>
        </s:is>
      </s:c>
      <s:c r="C132" s="0" t="n">
        <s:v>104823</s:v>
      </s:c>
      <s:c r="D132" s="0" t="n">
        <s:v>1463</s:v>
      </s:c>
      <s:c r="F132" s="24">
        <s:f>'자료구성'!$B$2+TIME(INT($C$3/10000),INT(MOD($C$3,10000)/100),MOD($C$3,100))+(ROW()-ROW($C$3))/86400</s:f>
        <s:v>46247.45175925926</s:v>
      </s:c>
    </s:row>
    <s:row r="133">
      <s:c r="A133" s="0" t="n">
        <s:v>260813</s:v>
      </s:c>
      <s:c r="B133" s="0" t="inlineStr">
        <s:is>
          <s:t>이종훈</s:t>
        </s:is>
      </s:c>
      <s:c r="C133" s="0" t="n">
        <s:v>104823</s:v>
      </s:c>
      <s:c r="D133" s="0" t="n">
        <s:v>1471</s:v>
      </s:c>
      <s:c r="F133" s="24">
        <s:f>'자료구성'!$B$2+TIME(INT($C$3/10000),INT(MOD($C$3,10000)/100),MOD($C$3,100))+(ROW()-ROW($C$3))/86400</s:f>
        <s:v>46247.45177083334</s:v>
      </s:c>
    </s:row>
    <s:row r="134">
      <s:c r="A134" s="0" t="n">
        <s:v>260813</s:v>
      </s:c>
      <s:c r="B134" s="0" t="inlineStr">
        <s:is>
          <s:t>이종훈</s:t>
        </s:is>
      </s:c>
      <s:c r="C134" s="0" t="n">
        <s:v>104823</s:v>
      </s:c>
      <s:c r="D134" s="0" t="n">
        <s:v>1468</s:v>
      </s:c>
      <s:c r="F134" s="24">
        <s:f>'자료구성'!$B$2+TIME(INT($C$3/10000),INT(MOD($C$3,10000)/100),MOD($C$3,100))+(ROW()-ROW($C$3))/86400</s:f>
        <s:v>46247.45178240741</s:v>
      </s:c>
    </s:row>
    <s:row r="135">
      <s:c r="A135" s="0" t="n">
        <s:v>260813</s:v>
      </s:c>
      <s:c r="B135" s="0" t="inlineStr">
        <s:is>
          <s:t>이종훈</s:t>
        </s:is>
      </s:c>
      <s:c r="C135" s="0" t="n">
        <s:v>104823</s:v>
      </s:c>
      <s:c r="D135" s="0" t="n">
        <s:v>1461</s:v>
      </s:c>
      <s:c r="F135" s="24">
        <s:f>'자료구성'!$B$2+TIME(INT($C$3/10000),INT(MOD($C$3,10000)/100),MOD($C$3,100))+(ROW()-ROW($C$3))/86400</s:f>
        <s:v>46247.45179398148</s:v>
      </s:c>
    </s:row>
    <s:row r="136">
      <s:c r="A136" s="0" t="n">
        <s:v>260813</s:v>
      </s:c>
      <s:c r="B136" s="0" t="inlineStr">
        <s:is>
          <s:t>이종훈</s:t>
        </s:is>
      </s:c>
      <s:c r="C136" s="0" t="n">
        <s:v>104823</s:v>
      </s:c>
      <s:c r="D136" s="0" t="n">
        <s:v>1476</s:v>
      </s:c>
      <s:c r="F136" s="24">
        <s:f>'자료구성'!$B$2+TIME(INT($C$3/10000),INT(MOD($C$3,10000)/100),MOD($C$3,100))+(ROW()-ROW($C$3))/86400</s:f>
        <s:v>46247.45180555555</s:v>
      </s:c>
    </s:row>
    <s:row r="137">
      <s:c r="A137" s="0" t="n">
        <s:v>260813</s:v>
      </s:c>
      <s:c r="B137" s="0" t="inlineStr">
        <s:is>
          <s:t>이종훈</s:t>
        </s:is>
      </s:c>
      <s:c r="C137" s="0" t="n">
        <s:v>104823</s:v>
      </s:c>
      <s:c r="D137" s="0" t="n">
        <s:v>1465</s:v>
      </s:c>
      <s:c r="F137" s="24">
        <s:f>'자료구성'!$B$2+TIME(INT($C$3/10000),INT(MOD($C$3,10000)/100),MOD($C$3,100))+(ROW()-ROW($C$3))/86400</s:f>
        <s:v>46247.45181712963</s:v>
      </s:c>
    </s:row>
    <s:row r="138">
      <s:c r="A138" s="0" t="n">
        <s:v>260813</s:v>
      </s:c>
      <s:c r="B138" s="0" t="inlineStr">
        <s:is>
          <s:t>이종훈</s:t>
        </s:is>
      </s:c>
      <s:c r="C138" s="0" t="n">
        <s:v>104823</s:v>
      </s:c>
      <s:c r="D138" s="0" t="n">
        <s:v>1464</s:v>
      </s:c>
      <s:c r="F138" s="24">
        <s:f>'자료구성'!$B$2+TIME(INT($C$3/10000),INT(MOD($C$3,10000)/100),MOD($C$3,100))+(ROW()-ROW($C$3))/86400</s:f>
        <s:v>46247.451828703706</s:v>
      </s:c>
    </s:row>
    <s:row r="139">
      <s:c r="A139" s="0" t="n">
        <s:v>260813</s:v>
      </s:c>
      <s:c r="B139" s="0" t="inlineStr">
        <s:is>
          <s:t>이종훈</s:t>
        </s:is>
      </s:c>
      <s:c r="C139" s="0" t="n">
        <s:v>104823</s:v>
      </s:c>
      <s:c r="D139" s="0" t="n">
        <s:v>1477</s:v>
      </s:c>
      <s:c r="F139" s="24">
        <s:f>'자료구성'!$B$2+TIME(INT($C$3/10000),INT(MOD($C$3,10000)/100),MOD($C$3,100))+(ROW()-ROW($C$3))/86400</s:f>
        <s:v>46247.451840277776</s:v>
      </s:c>
    </s:row>
    <s:row r="140">
      <s:c r="A140" s="0" t="n">
        <s:v>260813</s:v>
      </s:c>
      <s:c r="B140" s="0" t="inlineStr">
        <s:is>
          <s:t>이종훈</s:t>
        </s:is>
      </s:c>
      <s:c r="C140" s="0" t="n">
        <s:v>104823</s:v>
      </s:c>
      <s:c r="D140" s="0" t="n">
        <s:v>1488</s:v>
      </s:c>
      <s:c r="F140" s="24">
        <s:f>'자료구성'!$B$2+TIME(INT($C$3/10000),INT(MOD($C$3,10000)/100),MOD($C$3,100))+(ROW()-ROW($C$3))/86400</s:f>
        <s:v>46247.45185185185</s:v>
      </s:c>
    </s:row>
    <s:row r="141">
      <s:c r="A141" s="0" t="n">
        <s:v>260813</s:v>
      </s:c>
      <s:c r="B141" s="0" t="inlineStr">
        <s:is>
          <s:t>이종훈</s:t>
        </s:is>
      </s:c>
      <s:c r="C141" s="0" t="n">
        <s:v>104823</s:v>
      </s:c>
      <s:c r="D141" s="0" t="n">
        <s:v>1512</s:v>
      </s:c>
      <s:c r="F141" s="24">
        <s:f>'자료구성'!$B$2+TIME(INT($C$3/10000),INT(MOD($C$3,10000)/100),MOD($C$3,100))+(ROW()-ROW($C$3))/86400</s:f>
        <s:v>46247.45186342593</s:v>
      </s:c>
    </s:row>
    <s:row r="142">
      <s:c r="A142" s="0" t="n">
        <s:v>260813</s:v>
      </s:c>
      <s:c r="B142" s="0" t="inlineStr">
        <s:is>
          <s:t>이종훈</s:t>
        </s:is>
      </s:c>
      <s:c r="C142" s="0" t="n">
        <s:v>104823</s:v>
      </s:c>
      <s:c r="D142" s="0" t="n">
        <s:v>1539</s:v>
      </s:c>
      <s:c r="F142" s="24">
        <s:f>'자료구성'!$B$2+TIME(INT($C$3/10000),INT(MOD($C$3,10000)/100),MOD($C$3,100))+(ROW()-ROW($C$3))/86400</s:f>
        <s:v>46247.451875</s:v>
      </s:c>
    </s:row>
    <s:row r="143">
      <s:c r="A143" s="0" t="n">
        <s:v>260813</s:v>
      </s:c>
      <s:c r="B143" s="0" t="inlineStr">
        <s:is>
          <s:t>이종훈</s:t>
        </s:is>
      </s:c>
      <s:c r="C143" s="0" t="n">
        <s:v>104823</s:v>
      </s:c>
      <s:c r="D143" s="0" t="n">
        <s:v>1570</s:v>
      </s:c>
      <s:c r="F143" s="24">
        <s:f>'자료구성'!$B$2+TIME(INT($C$3/10000),INT(MOD($C$3,10000)/100),MOD($C$3,100))+(ROW()-ROW($C$3))/86400</s:f>
        <s:v>46247.451886574076</s:v>
      </s:c>
    </s:row>
    <s:row r="144">
      <s:c r="A144" s="0" t="n">
        <s:v>260813</s:v>
      </s:c>
      <s:c r="B144" s="0" t="inlineStr">
        <s:is>
          <s:t>이종훈</s:t>
        </s:is>
      </s:c>
      <s:c r="C144" s="0" t="n">
        <s:v>104823</s:v>
      </s:c>
      <s:c r="D144" s="0" t="n">
        <s:v>1561</s:v>
      </s:c>
      <s:c r="F144" s="24">
        <s:f>'자료구성'!$B$2+TIME(INT($C$3/10000),INT(MOD($C$3,10000)/100),MOD($C$3,100))+(ROW()-ROW($C$3))/86400</s:f>
        <s:v>46247.451898148145</s:v>
      </s:c>
    </s:row>
    <s:row r="145">
      <s:c r="A145" s="0" t="n">
        <s:v>260813</s:v>
      </s:c>
      <s:c r="B145" s="0" t="inlineStr">
        <s:is>
          <s:t>이종훈</s:t>
        </s:is>
      </s:c>
      <s:c r="C145" s="0" t="n">
        <s:v>104823</s:v>
      </s:c>
      <s:c r="D145" s="0" t="n">
        <s:v>1571</s:v>
      </s:c>
      <s:c r="F145" s="24">
        <s:f>'자료구성'!$B$2+TIME(INT($C$3/10000),INT(MOD($C$3,10000)/100),MOD($C$3,100))+(ROW()-ROW($C$3))/86400</s:f>
        <s:v>46247.45190972222</s:v>
      </s:c>
    </s:row>
    <s:row r="146">
      <s:c r="A146" s="0" t="n">
        <s:v>260813</s:v>
      </s:c>
      <s:c r="B146" s="0" t="inlineStr">
        <s:is>
          <s:t>이종훈</s:t>
        </s:is>
      </s:c>
      <s:c r="C146" s="0" t="n">
        <s:v>104823</s:v>
      </s:c>
      <s:c r="D146" s="0" t="n">
        <s:v>1582</s:v>
      </s:c>
      <s:c r="F146" s="24">
        <s:f>'자료구성'!$B$2+TIME(INT($C$3/10000),INT(MOD($C$3,10000)/100),MOD($C$3,100))+(ROW()-ROW($C$3))/86400</s:f>
        <s:v>46247.4519212963</s:v>
      </s:c>
    </s:row>
    <s:row r="147">
      <s:c r="A147" s="0" t="n">
        <s:v>260813</s:v>
      </s:c>
      <s:c r="B147" s="0" t="inlineStr">
        <s:is>
          <s:t>이종훈</s:t>
        </s:is>
      </s:c>
      <s:c r="C147" s="0" t="n">
        <s:v>104823</s:v>
      </s:c>
      <s:c r="D147" s="0" t="n">
        <s:v>1581</s:v>
      </s:c>
      <s:c r="F147" s="24">
        <s:f>'자료구성'!$B$2+TIME(INT($C$3/10000),INT(MOD($C$3,10000)/100),MOD($C$3,100))+(ROW()-ROW($C$3))/86400</s:f>
        <s:v>46247.45193287037</s:v>
      </s:c>
    </s:row>
    <s:row r="148">
      <s:c r="A148" s="0" t="n">
        <s:v>260813</s:v>
      </s:c>
      <s:c r="B148" s="0" t="inlineStr">
        <s:is>
          <s:t>이종훈</s:t>
        </s:is>
      </s:c>
      <s:c r="C148" s="0" t="n">
        <s:v>104823</s:v>
      </s:c>
      <s:c r="D148" s="0" t="n">
        <s:v>1564</s:v>
      </s:c>
      <s:c r="F148" s="24">
        <s:f>'자료구성'!$B$2+TIME(INT($C$3/10000),INT(MOD($C$3,10000)/100),MOD($C$3,100))+(ROW()-ROW($C$3))/86400</s:f>
        <s:v>46247.451944444445</s:v>
      </s:c>
    </s:row>
    <s:row r="149">
      <s:c r="A149" s="0" t="n">
        <s:v>260813</s:v>
      </s:c>
      <s:c r="B149" s="0" t="inlineStr">
        <s:is>
          <s:t>이종훈</s:t>
        </s:is>
      </s:c>
      <s:c r="C149" s="0" t="n">
        <s:v>104823</s:v>
      </s:c>
      <s:c r="D149" s="0" t="n">
        <s:v>1540</s:v>
      </s:c>
      <s:c r="F149" s="24">
        <s:f>'자료구성'!$B$2+TIME(INT($C$3/10000),INT(MOD($C$3,10000)/100),MOD($C$3,100))+(ROW()-ROW($C$3))/86400</s:f>
        <s:v>46247.45195601852</s:v>
      </s:c>
    </s:row>
    <s:row r="150">
      <s:c r="A150" s="0" t="n">
        <s:v>260813</s:v>
      </s:c>
      <s:c r="B150" s="0" t="inlineStr">
        <s:is>
          <s:t>이종훈</s:t>
        </s:is>
      </s:c>
      <s:c r="C150" s="0" t="n">
        <s:v>104823</s:v>
      </s:c>
      <s:c r="D150" s="0" t="n">
        <s:v>1496</s:v>
      </s:c>
      <s:c r="F150" s="24">
        <s:f>'자료구성'!$B$2+TIME(INT($C$3/10000),INT(MOD($C$3,10000)/100),MOD($C$3,100))+(ROW()-ROW($C$3))/86400</s:f>
        <s:v>46247.45196759259</s:v>
      </s:c>
    </s:row>
    <s:row r="151">
      <s:c r="A151" s="0" t="n">
        <s:v>260813</s:v>
      </s:c>
      <s:c r="B151" s="0" t="inlineStr">
        <s:is>
          <s:t>이종훈</s:t>
        </s:is>
      </s:c>
      <s:c r="C151" s="0" t="n">
        <s:v>104823</s:v>
      </s:c>
      <s:c r="D151" s="0" t="n">
        <s:v>1460</s:v>
      </s:c>
      <s:c r="F151" s="24">
        <s:f>'자료구성'!$B$2+TIME(INT($C$3/10000),INT(MOD($C$3,10000)/100),MOD($C$3,100))+(ROW()-ROW($C$3))/86400</s:f>
        <s:v>46247.45197916667</s:v>
      </s:c>
    </s:row>
    <s:row r="152">
      <s:c r="A152" s="0" t="n">
        <s:v>260813</s:v>
      </s:c>
      <s:c r="B152" s="0" t="inlineStr">
        <s:is>
          <s:t>이종훈</s:t>
        </s:is>
      </s:c>
      <s:c r="C152" s="0" t="n">
        <s:v>104823</s:v>
      </s:c>
      <s:c r="D152" s="0" t="n">
        <s:v>1470</s:v>
      </s:c>
      <s:c r="F152" s="24">
        <s:f>'자료구성'!$B$2+TIME(INT($C$3/10000),INT(MOD($C$3,10000)/100),MOD($C$3,100))+(ROW()-ROW($C$3))/86400</s:f>
        <s:v>46247.45199074074</s:v>
      </s:c>
    </s:row>
    <s:row r="153">
      <s:c r="A153" s="0" t="n">
        <s:v>260813</s:v>
      </s:c>
      <s:c r="B153" s="0" t="inlineStr">
        <s:is>
          <s:t>이종훈</s:t>
        </s:is>
      </s:c>
      <s:c r="C153" s="0" t="n">
        <s:v>104823</s:v>
      </s:c>
      <s:c r="D153" s="0" t="n">
        <s:v>1417</s:v>
      </s:c>
      <s:c r="F153" s="24">
        <s:f>'자료구성'!$B$2+TIME(INT($C$3/10000),INT(MOD($C$3,10000)/100),MOD($C$3,100))+(ROW()-ROW($C$3))/86400</s:f>
        <s:v>46247.452002314814</s:v>
      </s:c>
    </s:row>
    <s:row r="154">
      <s:c r="A154" s="0" t="n">
        <s:v>260813</s:v>
      </s:c>
      <s:c r="B154" s="0" t="inlineStr">
        <s:is>
          <s:t>이종훈</s:t>
        </s:is>
      </s:c>
      <s:c r="C154" s="0" t="n">
        <s:v>104823</s:v>
      </s:c>
      <s:c r="D154" s="0" t="n">
        <s:v>1364</s:v>
      </s:c>
      <s:c r="F154" s="24">
        <s:f>'자료구성'!$B$2+TIME(INT($C$3/10000),INT(MOD($C$3,10000)/100),MOD($C$3,100))+(ROW()-ROW($C$3))/86400</s:f>
        <s:v>46247.45201388889</s:v>
      </s:c>
    </s:row>
    <s:row r="155">
      <s:c r="A155" s="0" t="n">
        <s:v>260813</s:v>
      </s:c>
      <s:c r="B155" s="0" t="inlineStr">
        <s:is>
          <s:t>이종훈</s:t>
        </s:is>
      </s:c>
      <s:c r="C155" s="0" t="n">
        <s:v>104823</s:v>
      </s:c>
      <s:c r="D155" s="0" t="n">
        <s:v>1310</s:v>
      </s:c>
      <s:c r="F155" s="24">
        <s:f>'자료구성'!$B$2+TIME(INT($C$3/10000),INT(MOD($C$3,10000)/100),MOD($C$3,100))+(ROW()-ROW($C$3))/86400</s:f>
        <s:v>46247.45202546296</s:v>
      </s:c>
    </s:row>
    <s:row r="156">
      <s:c r="A156" s="0" t="n">
        <s:v>260813</s:v>
      </s:c>
      <s:c r="B156" s="0" t="inlineStr">
        <s:is>
          <s:t>이종훈</s:t>
        </s:is>
      </s:c>
      <s:c r="C156" s="0" t="n">
        <s:v>104823</s:v>
      </s:c>
      <s:c r="D156" s="0" t="n">
        <s:v>1310</s:v>
      </s:c>
      <s:c r="F156" s="24">
        <s:f>'자료구성'!$B$2+TIME(INT($C$3/10000),INT(MOD($C$3,10000)/100),MOD($C$3,100))+(ROW()-ROW($C$3))/86400</s:f>
        <s:v>46247.45203703704</s:v>
      </s:c>
    </s:row>
    <s:row r="157">
      <s:c r="A157" s="0" t="n">
        <s:v>260813</s:v>
      </s:c>
      <s:c r="B157" s="0" t="inlineStr">
        <s:is>
          <s:t>이종훈</s:t>
        </s:is>
      </s:c>
      <s:c r="C157" s="0" t="n">
        <s:v>104823</s:v>
      </s:c>
      <s:c r="D157" s="0" t="n">
        <s:v>1292</s:v>
      </s:c>
      <s:c r="F157" s="24">
        <s:f>'자료구성'!$B$2+TIME(INT($C$3/10000),INT(MOD($C$3,10000)/100),MOD($C$3,100))+(ROW()-ROW($C$3))/86400</s:f>
        <s:v>46247.452048611114</s:v>
      </s:c>
    </s:row>
    <s:row r="158">
      <s:c r="A158" s="0" t="n">
        <s:v>260813</s:v>
      </s:c>
      <s:c r="B158" s="0" t="inlineStr">
        <s:is>
          <s:t>이종훈</s:t>
        </s:is>
      </s:c>
      <s:c r="C158" s="0" t="n">
        <s:v>104823</s:v>
      </s:c>
      <s:c r="D158" s="0" t="n">
        <s:v>1275</s:v>
      </s:c>
      <s:c r="F158" s="24">
        <s:f>'자료구성'!$B$2+TIME(INT($C$3/10000),INT(MOD($C$3,10000)/100),MOD($C$3,100))+(ROW()-ROW($C$3))/86400</s:f>
        <s:v>46247.452060185184</s:v>
      </s:c>
    </s:row>
    <s:row r="159">
      <s:c r="A159" s="0" t="n">
        <s:v>260813</s:v>
      </s:c>
      <s:c r="B159" s="0" t="inlineStr">
        <s:is>
          <s:t>이종훈</s:t>
        </s:is>
      </s:c>
      <s:c r="C159" s="0" t="n">
        <s:v>104823</s:v>
      </s:c>
      <s:c r="D159" s="0" t="n">
        <s:v>1240</s:v>
      </s:c>
      <s:c r="F159" s="24">
        <s:f>'자료구성'!$B$2+TIME(INT($C$3/10000),INT(MOD($C$3,10000)/100),MOD($C$3,100))+(ROW()-ROW($C$3))/86400</s:f>
        <s:v>46247.45207175926</s:v>
      </s:c>
    </s:row>
    <s:row r="160">
      <s:c r="A160" s="0" t="n">
        <s:v>260813</s:v>
      </s:c>
      <s:c r="B160" s="0" t="inlineStr">
        <s:is>
          <s:t>이종훈</s:t>
        </s:is>
      </s:c>
      <s:c r="C160" s="0" t="n">
        <s:v>104823</s:v>
      </s:c>
      <s:c r="D160" s="0" t="n">
        <s:v>1211</s:v>
      </s:c>
      <s:c r="F160" s="24">
        <s:f>'자료구성'!$B$2+TIME(INT($C$3/10000),INT(MOD($C$3,10000)/100),MOD($C$3,100))+(ROW()-ROW($C$3))/86400</s:f>
        <s:v>46247.45208333333</s:v>
      </s:c>
    </s:row>
    <s:row r="161">
      <s:c r="A161" s="0" t="n">
        <s:v>260813</s:v>
      </s:c>
      <s:c r="B161" s="0" t="inlineStr">
        <s:is>
          <s:t>이종훈</s:t>
        </s:is>
      </s:c>
      <s:c r="C161" s="0" t="n">
        <s:v>104823</s:v>
      </s:c>
      <s:c r="D161" s="0" t="n">
        <s:v>1196</s:v>
      </s:c>
      <s:c r="F161" s="24">
        <s:f>'자료구성'!$B$2+TIME(INT($C$3/10000),INT(MOD($C$3,10000)/100),MOD($C$3,100))+(ROW()-ROW($C$3))/86400</s:f>
        <s:v>46247.45209490741</s:v>
      </s:c>
    </s:row>
    <s:row r="162">
      <s:c r="A162" s="0" t="n">
        <s:v>260813</s:v>
      </s:c>
      <s:c r="B162" s="0" t="inlineStr">
        <s:is>
          <s:t>이종훈</s:t>
        </s:is>
      </s:c>
      <s:c r="C162" s="0" t="n">
        <s:v>104823</s:v>
      </s:c>
      <s:c r="D162" s="0" t="n">
        <s:v>1166</s:v>
      </s:c>
      <s:c r="F162" s="24">
        <s:f>'자료구성'!$B$2+TIME(INT($C$3/10000),INT(MOD($C$3,10000)/100),MOD($C$3,100))+(ROW()-ROW($C$3))/86400</s:f>
        <s:v>46247.45210648148</s:v>
      </s:c>
    </s:row>
    <s:row r="163">
      <s:c r="A163" s="0" t="n">
        <s:v>260813</s:v>
      </s:c>
      <s:c r="B163" s="0" t="inlineStr">
        <s:is>
          <s:t>이종훈</s:t>
        </s:is>
      </s:c>
      <s:c r="C163" s="0" t="n">
        <s:v>104823</s:v>
      </s:c>
      <s:c r="D163" s="0" t="n">
        <s:v>1144</s:v>
      </s:c>
      <s:c r="F163" s="24">
        <s:f>'자료구성'!$B$2+TIME(INT($C$3/10000),INT(MOD($C$3,10000)/100),MOD($C$3,100))+(ROW()-ROW($C$3))/86400</s:f>
        <s:v>46247.45211805555</s:v>
      </s:c>
    </s:row>
    <s:row r="164">
      <s:c r="A164" s="0" t="n">
        <s:v>260813</s:v>
      </s:c>
      <s:c r="B164" s="0" t="inlineStr">
        <s:is>
          <s:t>이종훈</s:t>
        </s:is>
      </s:c>
      <s:c r="C164" s="0" t="n">
        <s:v>104823</s:v>
      </s:c>
      <s:c r="D164" s="0" t="n">
        <s:v>1126</s:v>
      </s:c>
      <s:c r="F164" s="24">
        <s:f>'자료구성'!$B$2+TIME(INT($C$3/10000),INT(MOD($C$3,10000)/100),MOD($C$3,100))+(ROW()-ROW($C$3))/86400</s:f>
        <s:v>46247.45212962963</s:v>
      </s:c>
    </s:row>
    <s:row r="165">
      <s:c r="A165" s="0" t="n">
        <s:v>260813</s:v>
      </s:c>
      <s:c r="B165" s="0" t="inlineStr">
        <s:is>
          <s:t>이종훈</s:t>
        </s:is>
      </s:c>
      <s:c r="C165" s="0" t="n">
        <s:v>104823</s:v>
      </s:c>
      <s:c r="D165" s="0" t="n">
        <s:v>1121</s:v>
      </s:c>
      <s:c r="F165" s="24">
        <s:f>'자료구성'!$B$2+TIME(INT($C$3/10000),INT(MOD($C$3,10000)/100),MOD($C$3,100))+(ROW()-ROW($C$3))/86400</s:f>
        <s:v>46247.45214120371</s:v>
      </s:c>
    </s:row>
    <s:row r="166">
      <s:c r="A166" s="0" t="n">
        <s:v>260813</s:v>
      </s:c>
      <s:c r="B166" s="0" t="inlineStr">
        <s:is>
          <s:t>이종훈</s:t>
        </s:is>
      </s:c>
      <s:c r="C166" s="0" t="n">
        <s:v>104823</s:v>
      </s:c>
      <s:c r="D166" s="0" t="n">
        <s:v>1098</s:v>
      </s:c>
      <s:c r="F166" s="24">
        <s:f>'자료구성'!$B$2+TIME(INT($C$3/10000),INT(MOD($C$3,10000)/100),MOD($C$3,100))+(ROW()-ROW($C$3))/86400</s:f>
        <s:v>46247.452152777776</s:v>
      </s:c>
    </s:row>
    <s:row r="167">
      <s:c r="A167" s="0" t="n">
        <s:v>260813</s:v>
      </s:c>
      <s:c r="B167" s="0" t="inlineStr">
        <s:is>
          <s:t>이종훈</s:t>
        </s:is>
      </s:c>
      <s:c r="C167" s="0" t="n">
        <s:v>104823</s:v>
      </s:c>
      <s:c r="D167" s="0" t="n">
        <s:v>1090</s:v>
      </s:c>
      <s:c r="F167" s="24">
        <s:f>'자료구성'!$B$2+TIME(INT($C$3/10000),INT(MOD($C$3,10000)/100),MOD($C$3,100))+(ROW()-ROW($C$3))/86400</s:f>
        <s:v>46247.45216435185</s:v>
      </s:c>
    </s:row>
    <s:row r="168">
      <s:c r="A168" s="0" t="n">
        <s:v>260813</s:v>
      </s:c>
      <s:c r="B168" s="0" t="inlineStr">
        <s:is>
          <s:t>이종훈</s:t>
        </s:is>
      </s:c>
      <s:c r="C168" s="0" t="n">
        <s:v>104823</s:v>
      </s:c>
      <s:c r="D168" s="0" t="n">
        <s:v>1086</s:v>
      </s:c>
      <s:c r="F168" s="24">
        <s:f>'자료구성'!$B$2+TIME(INT($C$3/10000),INT(MOD($C$3,10000)/100),MOD($C$3,100))+(ROW()-ROW($C$3))/86400</s:f>
        <s:v>46247.45217592592</s:v>
      </s:c>
    </s:row>
    <s:row r="169">
      <s:c r="A169" s="0" t="n">
        <s:v>260813</s:v>
      </s:c>
      <s:c r="B169" s="0" t="inlineStr">
        <s:is>
          <s:t>이종훈</s:t>
        </s:is>
      </s:c>
      <s:c r="C169" s="0" t="n">
        <s:v>104823</s:v>
      </s:c>
      <s:c r="D169" s="0" t="n">
        <s:v>1083</s:v>
      </s:c>
      <s:c r="F169" s="24">
        <s:f>'자료구성'!$B$2+TIME(INT($C$3/10000),INT(MOD($C$3,10000)/100),MOD($C$3,100))+(ROW()-ROW($C$3))/86400</s:f>
        <s:v>46247.4521875</s:v>
      </s:c>
    </s:row>
    <s:row r="170">
      <s:c r="A170" s="0" t="n">
        <s:v>260813</s:v>
      </s:c>
      <s:c r="B170" s="0" t="inlineStr">
        <s:is>
          <s:t>이종훈</s:t>
        </s:is>
      </s:c>
      <s:c r="C170" s="0" t="n">
        <s:v>104823</s:v>
      </s:c>
      <s:c r="D170" s="0" t="n">
        <s:v>1097</s:v>
      </s:c>
      <s:c r="F170" s="24">
        <s:f>'자료구성'!$B$2+TIME(INT($C$3/10000),INT(MOD($C$3,10000)/100),MOD($C$3,100))+(ROW()-ROW($C$3))/86400</s:f>
        <s:v>46247.452199074076</s:v>
      </s:c>
    </s:row>
    <s:row r="171">
      <s:c r="A171" s="0" t="n">
        <s:v>260813</s:v>
      </s:c>
      <s:c r="B171" s="0" t="inlineStr">
        <s:is>
          <s:t>이종훈</s:t>
        </s:is>
      </s:c>
      <s:c r="C171" s="0" t="n">
        <s:v>104823</s:v>
      </s:c>
      <s:c r="D171" s="0" t="n">
        <s:v>1111</s:v>
      </s:c>
      <s:c r="F171" s="24">
        <s:f>'자료구성'!$B$2+TIME(INT($C$3/10000),INT(MOD($C$3,10000)/100),MOD($C$3,100))+(ROW()-ROW($C$3))/86400</s:f>
        <s:v>46247.452210648145</s:v>
      </s:c>
    </s:row>
    <s:row r="172">
      <s:c r="A172" s="0" t="n">
        <s:v>260813</s:v>
      </s:c>
      <s:c r="B172" s="0" t="inlineStr">
        <s:is>
          <s:t>이종훈</s:t>
        </s:is>
      </s:c>
      <s:c r="C172" s="0" t="n">
        <s:v>104823</s:v>
      </s:c>
      <s:c r="D172" s="0" t="n">
        <s:v>1119</s:v>
      </s:c>
      <s:c r="F172" s="24">
        <s:f>'자료구성'!$B$2+TIME(INT($C$3/10000),INT(MOD($C$3,10000)/100),MOD($C$3,100))+(ROW()-ROW($C$3))/86400</s:f>
        <s:v>46247.45222222222</s:v>
      </s:c>
    </s:row>
    <s:row r="173">
      <s:c r="A173" s="0" t="n">
        <s:v>260813</s:v>
      </s:c>
      <s:c r="B173" s="0" t="inlineStr">
        <s:is>
          <s:t>이종훈</s:t>
        </s:is>
      </s:c>
      <s:c r="C173" s="0" t="n">
        <s:v>104823</s:v>
      </s:c>
      <s:c r="D173" s="0" t="n">
        <s:v>1112</s:v>
      </s:c>
      <s:c r="F173" s="24">
        <s:f>'자료구성'!$B$2+TIME(INT($C$3/10000),INT(MOD($C$3,10000)/100),MOD($C$3,100))+(ROW()-ROW($C$3))/86400</s:f>
        <s:v>46247.4522337963</s:v>
      </s:c>
    </s:row>
    <s:row r="174">
      <s:c r="A174" s="0" t="n">
        <s:v>260813</s:v>
      </s:c>
      <s:c r="B174" s="0" t="inlineStr">
        <s:is>
          <s:t>이종훈</s:t>
        </s:is>
      </s:c>
      <s:c r="C174" s="0" t="n">
        <s:v>104823</s:v>
      </s:c>
      <s:c r="D174" s="0" t="n">
        <s:v>1099</s:v>
      </s:c>
      <s:c r="F174" s="24">
        <s:f>'자료구성'!$B$2+TIME(INT($C$3/10000),INT(MOD($C$3,10000)/100),MOD($C$3,100))+(ROW()-ROW($C$3))/86400</s:f>
        <s:v>46247.45224537037</s:v>
      </s:c>
    </s:row>
    <s:row r="175">
      <s:c r="A175" s="0" t="n">
        <s:v>260813</s:v>
      </s:c>
      <s:c r="B175" s="0" t="inlineStr">
        <s:is>
          <s:t>이종훈</s:t>
        </s:is>
      </s:c>
      <s:c r="C175" s="0" t="n">
        <s:v>104823</s:v>
      </s:c>
      <s:c r="D175" s="0" t="n">
        <s:v>1099</s:v>
      </s:c>
      <s:c r="F175" s="24">
        <s:f>'자료구성'!$B$2+TIME(INT($C$3/10000),INT(MOD($C$3,10000)/100),MOD($C$3,100))+(ROW()-ROW($C$3))/86400</s:f>
        <s:v>46247.452256944445</s:v>
      </s:c>
    </s:row>
    <s:row r="176">
      <s:c r="A176" s="0" t="n">
        <s:v>260813</s:v>
      </s:c>
      <s:c r="B176" s="0" t="inlineStr">
        <s:is>
          <s:t>이종훈</s:t>
        </s:is>
      </s:c>
      <s:c r="C176" s="0" t="n">
        <s:v>104823</s:v>
      </s:c>
      <s:c r="D176" s="0" t="n">
        <s:v>1104</s:v>
      </s:c>
      <s:c r="F176" s="24">
        <s:f>'자료구성'!$B$2+TIME(INT($C$3/10000),INT(MOD($C$3,10000)/100),MOD($C$3,100))+(ROW()-ROW($C$3))/86400</s:f>
        <s:v>46247.45226851852</s:v>
      </s:c>
    </s:row>
    <s:row r="177">
      <s:c r="A177" s="0" t="n">
        <s:v>260813</s:v>
      </s:c>
      <s:c r="B177" s="0" t="inlineStr">
        <s:is>
          <s:t>이종훈</s:t>
        </s:is>
      </s:c>
      <s:c r="C177" s="0" t="n">
        <s:v>104823</s:v>
      </s:c>
      <s:c r="D177" s="0" t="n">
        <s:v>1115</s:v>
      </s:c>
      <s:c r="F177" s="24">
        <s:f>'자료구성'!$B$2+TIME(INT($C$3/10000),INT(MOD($C$3,10000)/100),MOD($C$3,100))+(ROW()-ROW($C$3))/86400</s:f>
        <s:v>46247.45228009259</s:v>
      </s:c>
    </s:row>
    <s:row r="178">
      <s:c r="A178" s="0" t="n">
        <s:v>260813</s:v>
      </s:c>
      <s:c r="B178" s="0" t="inlineStr">
        <s:is>
          <s:t>이종훈</s:t>
        </s:is>
      </s:c>
      <s:c r="C178" s="0" t="n">
        <s:v>104823</s:v>
      </s:c>
      <s:c r="D178" s="0" t="n">
        <s:v>1113</s:v>
      </s:c>
      <s:c r="F178" s="24">
        <s:f>'자료구성'!$B$2+TIME(INT($C$3/10000),INT(MOD($C$3,10000)/100),MOD($C$3,100))+(ROW()-ROW($C$3))/86400</s:f>
        <s:v>46247.45229166667</s:v>
      </s:c>
    </s:row>
    <s:row r="179">
      <s:c r="A179" s="0" t="n">
        <s:v>260813</s:v>
      </s:c>
      <s:c r="B179" s="0" t="inlineStr">
        <s:is>
          <s:t>이종훈</s:t>
        </s:is>
      </s:c>
      <s:c r="C179" s="0" t="n">
        <s:v>104823</s:v>
      </s:c>
      <s:c r="D179" s="0" t="n">
        <s:v>1129</s:v>
      </s:c>
      <s:c r="F179" s="24">
        <s:f>'자료구성'!$B$2+TIME(INT($C$3/10000),INT(MOD($C$3,10000)/100),MOD($C$3,100))+(ROW()-ROW($C$3))/86400</s:f>
        <s:v>46247.45230324074</s:v>
      </s:c>
    </s:row>
    <s:row r="180">
      <s:c r="A180" s="0" t="n">
        <s:v>260813</s:v>
      </s:c>
      <s:c r="B180" s="0" t="inlineStr">
        <s:is>
          <s:t>이종훈</s:t>
        </s:is>
      </s:c>
      <s:c r="C180" s="0" t="n">
        <s:v>104823</s:v>
      </s:c>
      <s:c r="D180" s="0" t="n">
        <s:v>1117</s:v>
      </s:c>
      <s:c r="F180" s="24">
        <s:f>'자료구성'!$B$2+TIME(INT($C$3/10000),INT(MOD($C$3,10000)/100),MOD($C$3,100))+(ROW()-ROW($C$3))/86400</s:f>
        <s:v>46247.452314814815</s:v>
      </s:c>
    </s:row>
    <s:row r="181">
      <s:c r="A181" s="0" t="n">
        <s:v>260813</s:v>
      </s:c>
      <s:c r="B181" s="0" t="inlineStr">
        <s:is>
          <s:t>이종훈</s:t>
        </s:is>
      </s:c>
      <s:c r="C181" s="0" t="n">
        <s:v>104823</s:v>
      </s:c>
      <s:c r="D181" s="0" t="n">
        <s:v>1090</s:v>
      </s:c>
      <s:c r="F181" s="24">
        <s:f>'자료구성'!$B$2+TIME(INT($C$3/10000),INT(MOD($C$3,10000)/100),MOD($C$3,100))+(ROW()-ROW($C$3))/86400</s:f>
        <s:v>46247.45232638889</s:v>
      </s:c>
    </s:row>
    <s:row r="182">
      <s:c r="A182" s="0" t="n">
        <s:v>260813</s:v>
      </s:c>
      <s:c r="B182" s="0" t="inlineStr">
        <s:is>
          <s:t>이종훈</s:t>
        </s:is>
      </s:c>
      <s:c r="C182" s="0" t="n">
        <s:v>104823</s:v>
      </s:c>
      <s:c r="D182" s="0" t="n">
        <s:v>1077</s:v>
      </s:c>
      <s:c r="F182" s="24">
        <s:f>'자료구성'!$B$2+TIME(INT($C$3/10000),INT(MOD($C$3,10000)/100),MOD($C$3,100))+(ROW()-ROW($C$3))/86400</s:f>
        <s:v>46247.45233796296</s:v>
      </s:c>
    </s:row>
    <s:row r="183">
      <s:c r="A183" s="0" t="n">
        <s:v>260813</s:v>
      </s:c>
      <s:c r="B183" s="0" t="inlineStr">
        <s:is>
          <s:t>이종훈</s:t>
        </s:is>
      </s:c>
      <s:c r="C183" s="0" t="n">
        <s:v>104823</s:v>
      </s:c>
      <s:c r="D183" s="0" t="n">
        <s:v>1058</s:v>
      </s:c>
      <s:c r="F183" s="24">
        <s:f>'자료구성'!$B$2+TIME(INT($C$3/10000),INT(MOD($C$3,10000)/100),MOD($C$3,100))+(ROW()-ROW($C$3))/86400</s:f>
        <s:v>46247.45234953704</s:v>
      </s:c>
    </s:row>
    <s:row r="184">
      <s:c r="A184" s="0" t="n">
        <s:v>260813</s:v>
      </s:c>
      <s:c r="B184" s="0" t="inlineStr">
        <s:is>
          <s:t>이종훈</s:t>
        </s:is>
      </s:c>
      <s:c r="C184" s="0" t="n">
        <s:v>104823</s:v>
      </s:c>
      <s:c r="D184" s="0" t="n">
        <s:v>1064</s:v>
      </s:c>
      <s:c r="F184" s="24">
        <s:f>'자료구성'!$B$2+TIME(INT($C$3/10000),INT(MOD($C$3,10000)/100),MOD($C$3,100))+(ROW()-ROW($C$3))/86400</s:f>
        <s:v>46247.452361111114</s:v>
      </s:c>
    </s:row>
    <s:row r="185">
      <s:c r="A185" s="0" t="n">
        <s:v>260813</s:v>
      </s:c>
      <s:c r="B185" s="0" t="inlineStr">
        <s:is>
          <s:t>이종훈</s:t>
        </s:is>
      </s:c>
      <s:c r="C185" s="0" t="n">
        <s:v>104823</s:v>
      </s:c>
      <s:c r="D185" s="0" t="n">
        <s:v>1073</s:v>
      </s:c>
      <s:c r="F185" s="24">
        <s:f>'자료구성'!$B$2+TIME(INT($C$3/10000),INT(MOD($C$3,10000)/100),MOD($C$3,100))+(ROW()-ROW($C$3))/86400</s:f>
        <s:v>46247.452372685184</s:v>
      </s:c>
    </s:row>
    <s:row r="186">
      <s:c r="A186" s="0" t="n">
        <s:v>260813</s:v>
      </s:c>
      <s:c r="B186" s="0" t="inlineStr">
        <s:is>
          <s:t>이종훈</s:t>
        </s:is>
      </s:c>
      <s:c r="C186" s="0" t="n">
        <s:v>104823</s:v>
      </s:c>
      <s:c r="D186" s="0" t="n">
        <s:v>1149</s:v>
      </s:c>
      <s:c r="F186" s="24">
        <s:f>'자료구성'!$B$2+TIME(INT($C$3/10000),INT(MOD($C$3,10000)/100),MOD($C$3,100))+(ROW()-ROW($C$3))/86400</s:f>
        <s:v>46247.45238425926</s:v>
      </s:c>
    </s:row>
    <s:row r="187">
      <s:c r="A187" s="0" t="n">
        <s:v>260813</s:v>
      </s:c>
      <s:c r="B187" s="0" t="inlineStr">
        <s:is>
          <s:t>이종훈</s:t>
        </s:is>
      </s:c>
      <s:c r="C187" s="0" t="n">
        <s:v>104823</s:v>
      </s:c>
      <s:c r="D187" s="0" t="n">
        <s:v>1155</s:v>
      </s:c>
      <s:c r="F187" s="24">
        <s:f>'자료구성'!$B$2+TIME(INT($C$3/10000),INT(MOD($C$3,10000)/100),MOD($C$3,100))+(ROW()-ROW($C$3))/86400</s:f>
        <s:v>46247.45239583333</s:v>
      </s:c>
    </s:row>
    <s:row r="188">
      <s:c r="A188" s="0" t="n">
        <s:v>260813</s:v>
      </s:c>
      <s:c r="B188" s="0" t="inlineStr">
        <s:is>
          <s:t>이종훈</s:t>
        </s:is>
      </s:c>
      <s:c r="C188" s="0" t="n">
        <s:v>104823</s:v>
      </s:c>
      <s:c r="D188" s="0" t="n">
        <s:v>1161</s:v>
      </s:c>
      <s:c r="F188" s="24">
        <s:f>'자료구성'!$B$2+TIME(INT($C$3/10000),INT(MOD($C$3,10000)/100),MOD($C$3,100))+(ROW()-ROW($C$3))/86400</s:f>
        <s:v>46247.45240740741</s:v>
      </s:c>
    </s:row>
    <s:row r="189">
      <s:c r="A189" s="0" t="n">
        <s:v>260813</s:v>
      </s:c>
      <s:c r="B189" s="0" t="inlineStr">
        <s:is>
          <s:t>이종훈</s:t>
        </s:is>
      </s:c>
      <s:c r="C189" s="0" t="n">
        <s:v>104823</s:v>
      </s:c>
      <s:c r="D189" s="0" t="n">
        <s:v>1193</s:v>
      </s:c>
      <s:c r="F189" s="24">
        <s:f>'자료구성'!$B$2+TIME(INT($C$3/10000),INT(MOD($C$3,10000)/100),MOD($C$3,100))+(ROW()-ROW($C$3))/86400</s:f>
        <s:v>46247.452418981484</s:v>
      </s:c>
    </s:row>
    <s:row r="190">
      <s:c r="A190" s="0" t="n">
        <s:v>260813</s:v>
      </s:c>
      <s:c r="B190" s="0" t="inlineStr">
        <s:is>
          <s:t>이종훈</s:t>
        </s:is>
      </s:c>
      <s:c r="C190" s="0" t="n">
        <s:v>104823</s:v>
      </s:c>
      <s:c r="D190" s="0" t="n">
        <s:v>1209</s:v>
      </s:c>
      <s:c r="F190" s="24">
        <s:f>'자료구성'!$B$2+TIME(INT($C$3/10000),INT(MOD($C$3,10000)/100),MOD($C$3,100))+(ROW()-ROW($C$3))/86400</s:f>
        <s:v>46247.45243055555</s:v>
      </s:c>
    </s:row>
    <s:row r="191">
      <s:c r="A191" s="0" t="n">
        <s:v>260813</s:v>
      </s:c>
      <s:c r="B191" s="0" t="inlineStr">
        <s:is>
          <s:t>이종훈</s:t>
        </s:is>
      </s:c>
      <s:c r="C191" s="0" t="n">
        <s:v>104823</s:v>
      </s:c>
      <s:c r="D191" s="0" t="n">
        <s:v>1191</s:v>
      </s:c>
      <s:c r="F191" s="24">
        <s:f>'자료구성'!$B$2+TIME(INT($C$3/10000),INT(MOD($C$3,10000)/100),MOD($C$3,100))+(ROW()-ROW($C$3))/86400</s:f>
        <s:v>46247.45244212963</s:v>
      </s:c>
    </s:row>
    <s:row r="192">
      <s:c r="A192" s="0" t="n">
        <s:v>260813</s:v>
      </s:c>
      <s:c r="B192" s="0" t="inlineStr">
        <s:is>
          <s:t>이종훈</s:t>
        </s:is>
      </s:c>
      <s:c r="C192" s="0" t="n">
        <s:v>104823</s:v>
      </s:c>
      <s:c r="D192" s="0" t="n">
        <s:v>1187</s:v>
      </s:c>
      <s:c r="F192" s="24">
        <s:f>'자료구성'!$B$2+TIME(INT($C$3/10000),INT(MOD($C$3,10000)/100),MOD($C$3,100))+(ROW()-ROW($C$3))/86400</s:f>
        <s:v>46247.45245370371</s:v>
      </s:c>
    </s:row>
    <s:row r="193">
      <s:c r="A193" s="0" t="n">
        <s:v>260813</s:v>
      </s:c>
      <s:c r="B193" s="0" t="inlineStr">
        <s:is>
          <s:t>이종훈</s:t>
        </s:is>
      </s:c>
      <s:c r="C193" s="0" t="n">
        <s:v>104823</s:v>
      </s:c>
      <s:c r="D193" s="0" t="n">
        <s:v>1176</s:v>
      </s:c>
      <s:c r="F193" s="24">
        <s:f>'자료구성'!$B$2+TIME(INT($C$3/10000),INT(MOD($C$3,10000)/100),MOD($C$3,100))+(ROW()-ROW($C$3))/86400</s:f>
        <s:v>46247.452465277776</s:v>
      </s:c>
    </s:row>
    <s:row r="194">
      <s:c r="A194" s="0" t="n">
        <s:v>260813</s:v>
      </s:c>
      <s:c r="B194" s="0" t="inlineStr">
        <s:is>
          <s:t>이종훈</s:t>
        </s:is>
      </s:c>
      <s:c r="C194" s="0" t="n">
        <s:v>104823</s:v>
      </s:c>
      <s:c r="D194" s="0" t="n">
        <s:v>1163</s:v>
      </s:c>
      <s:c r="F194" s="24">
        <s:f>'자료구성'!$B$2+TIME(INT($C$3/10000),INT(MOD($C$3,10000)/100),MOD($C$3,100))+(ROW()-ROW($C$3))/86400</s:f>
        <s:v>46247.45247685185</s:v>
      </s:c>
    </s:row>
    <s:row r="195">
      <s:c r="A195" s="0" t="n">
        <s:v>260813</s:v>
      </s:c>
      <s:c r="B195" s="0" t="inlineStr">
        <s:is>
          <s:t>이종훈</s:t>
        </s:is>
      </s:c>
      <s:c r="C195" s="0" t="n">
        <s:v>104823</s:v>
      </s:c>
      <s:c r="D195" s="0" t="n">
        <s:v>1157</s:v>
      </s:c>
      <s:c r="F195" s="24">
        <s:f>'자료구성'!$B$2+TIME(INT($C$3/10000),INT(MOD($C$3,10000)/100),MOD($C$3,100))+(ROW()-ROW($C$3))/86400</s:f>
        <s:v>46247.45248842592</s:v>
      </s:c>
    </s:row>
    <s:row r="196">
      <s:c r="A196" s="0" t="n">
        <s:v>260813</s:v>
      </s:c>
      <s:c r="B196" s="0" t="inlineStr">
        <s:is>
          <s:t>이종훈</s:t>
        </s:is>
      </s:c>
      <s:c r="C196" s="0" t="n">
        <s:v>104823</s:v>
      </s:c>
      <s:c r="D196" s="0" t="n">
        <s:v>1138</s:v>
      </s:c>
      <s:c r="F196" s="24">
        <s:f>'자료구성'!$B$2+TIME(INT($C$3/10000),INT(MOD($C$3,10000)/100),MOD($C$3,100))+(ROW()-ROW($C$3))/86400</s:f>
        <s:v>46247.4525</s:v>
      </s:c>
    </s:row>
    <s:row r="197">
      <s:c r="A197" s="0" t="n">
        <s:v>260813</s:v>
      </s:c>
      <s:c r="B197" s="0" t="inlineStr">
        <s:is>
          <s:t>이종훈</s:t>
        </s:is>
      </s:c>
      <s:c r="C197" s="0" t="n">
        <s:v>104823</s:v>
      </s:c>
      <s:c r="D197" s="0" t="n">
        <s:v>1124</s:v>
      </s:c>
      <s:c r="F197" s="24">
        <s:f>'자료구성'!$B$2+TIME(INT($C$3/10000),INT(MOD($C$3,10000)/100),MOD($C$3,100))+(ROW()-ROW($C$3))/86400</s:f>
        <s:v>46247.452511574076</s:v>
      </s:c>
    </s:row>
    <s:row r="198">
      <s:c r="A198" s="0" t="n">
        <s:v>260813</s:v>
      </s:c>
      <s:c r="B198" s="0" t="inlineStr">
        <s:is>
          <s:t>이종훈</s:t>
        </s:is>
      </s:c>
      <s:c r="C198" s="0" t="n">
        <s:v>104823</s:v>
      </s:c>
      <s:c r="D198" s="0" t="n">
        <s:v>1104</s:v>
      </s:c>
      <s:c r="F198" s="24">
        <s:f>'자료구성'!$B$2+TIME(INT($C$3/10000),INT(MOD($C$3,10000)/100),MOD($C$3,100))+(ROW()-ROW($C$3))/86400</s:f>
        <s:v>46247.452523148146</s:v>
      </s:c>
    </s:row>
    <s:row r="199">
      <s:c r="A199" s="0" t="n">
        <s:v>260813</s:v>
      </s:c>
      <s:c r="B199" s="0" t="inlineStr">
        <s:is>
          <s:t>이종훈</s:t>
        </s:is>
      </s:c>
      <s:c r="C199" s="0" t="n">
        <s:v>104823</s:v>
      </s:c>
      <s:c r="D199" s="0" t="n">
        <s:v>1089</s:v>
      </s:c>
      <s:c r="F199" s="24">
        <s:f>'자료구성'!$B$2+TIME(INT($C$3/10000),INT(MOD($C$3,10000)/100),MOD($C$3,100))+(ROW()-ROW($C$3))/86400</s:f>
        <s:v>46247.45253472222</s:v>
      </s:c>
    </s:row>
    <s:row r="200">
      <s:c r="A200" s="0" t="n">
        <s:v>260813</s:v>
      </s:c>
      <s:c r="B200" s="0" t="inlineStr">
        <s:is>
          <s:t>이종훈</s:t>
        </s:is>
      </s:c>
      <s:c r="C200" s="0" t="n">
        <s:v>104823</s:v>
      </s:c>
      <s:c r="D200" s="0" t="n">
        <s:v>1079</s:v>
      </s:c>
      <s:c r="F200" s="24">
        <s:f>'자료구성'!$B$2+TIME(INT($C$3/10000),INT(MOD($C$3,10000)/100),MOD($C$3,100))+(ROW()-ROW($C$3))/86400</s:f>
        <s:v>46247.4525462963</s:v>
      </s:c>
    </s:row>
    <s:row r="201">
      <s:c r="A201" s="0" t="n">
        <s:v>260813</s:v>
      </s:c>
      <s:c r="B201" s="0" t="inlineStr">
        <s:is>
          <s:t>이종훈</s:t>
        </s:is>
      </s:c>
      <s:c r="C201" s="0" t="n">
        <s:v>104823</s:v>
      </s:c>
      <s:c r="D201" s="0" t="n">
        <s:v>1079</s:v>
      </s:c>
      <s:c r="F201" s="24">
        <s:f>'자료구성'!$B$2+TIME(INT($C$3/10000),INT(MOD($C$3,10000)/100),MOD($C$3,100))+(ROW()-ROW($C$3))/86400</s:f>
        <s:v>46247.45255787037</s:v>
      </s:c>
    </s:row>
    <s:row r="202">
      <s:c r="A202" s="0" t="n">
        <s:v>260813</s:v>
      </s:c>
      <s:c r="B202" s="0" t="inlineStr">
        <s:is>
          <s:t>이종훈</s:t>
        </s:is>
      </s:c>
      <s:c r="C202" s="0" t="n">
        <s:v>104823</s:v>
      </s:c>
      <s:c r="D202" s="0" t="n">
        <s:v>1088</s:v>
      </s:c>
      <s:c r="F202" s="24">
        <s:f>'자료구성'!$B$2+TIME(INT($C$3/10000),INT(MOD($C$3,10000)/100),MOD($C$3,100))+(ROW()-ROW($C$3))/86400</s:f>
        <s:v>46247.452569444446</s:v>
      </s:c>
    </s:row>
    <s:row r="203">
      <s:c r="A203" s="0" t="n">
        <s:v>260813</s:v>
      </s:c>
      <s:c r="B203" s="0" t="inlineStr">
        <s:is>
          <s:t>이종훈</s:t>
        </s:is>
      </s:c>
      <s:c r="C203" s="0" t="n">
        <s:v>104823</s:v>
      </s:c>
      <s:c r="D203" s="0" t="n">
        <s:v>1082</s:v>
      </s:c>
      <s:c r="F203" s="24">
        <s:f>'자료구성'!$B$2+TIME(INT($C$3/10000),INT(MOD($C$3,10000)/100),MOD($C$3,100))+(ROW()-ROW($C$3))/86400</s:f>
        <s:v>46247.452581018515</s:v>
      </s:c>
    </s:row>
    <s:row r="204">
      <s:c r="A204" s="0" t="n">
        <s:v>260813</s:v>
      </s:c>
      <s:c r="B204" s="0" t="inlineStr">
        <s:is>
          <s:t>이종훈</s:t>
        </s:is>
      </s:c>
      <s:c r="C204" s="0" t="n">
        <s:v>104823</s:v>
      </s:c>
      <s:c r="D204" s="0" t="n">
        <s:v>1075</s:v>
      </s:c>
      <s:c r="F204" s="24">
        <s:f>'자료구성'!$B$2+TIME(INT($C$3/10000),INT(MOD($C$3,10000)/100),MOD($C$3,100))+(ROW()-ROW($C$3))/86400</s:f>
        <s:v>46247.45259259259</s:v>
      </s:c>
    </s:row>
    <s:row r="205">
      <s:c r="A205" s="0" t="n">
        <s:v>260813</s:v>
      </s:c>
      <s:c r="B205" s="0" t="inlineStr">
        <s:is>
          <s:t>이종훈</s:t>
        </s:is>
      </s:c>
      <s:c r="C205" s="0" t="n">
        <s:v>104823</s:v>
      </s:c>
      <s:c r="D205" s="0" t="n">
        <s:v>1064</s:v>
      </s:c>
      <s:c r="F205" s="24">
        <s:f>'자료구성'!$B$2+TIME(INT($C$3/10000),INT(MOD($C$3,10000)/100),MOD($C$3,100))+(ROW()-ROW($C$3))/86400</s:f>
        <s:v>46247.45260416667</s:v>
      </s:c>
    </s:row>
    <s:row r="206">
      <s:c r="A206" s="0" t="n">
        <s:v>260813</s:v>
      </s:c>
      <s:c r="B206" s="0" t="inlineStr">
        <s:is>
          <s:t>이종훈</s:t>
        </s:is>
      </s:c>
      <s:c r="C206" s="0" t="n">
        <s:v>104823</s:v>
      </s:c>
      <s:c r="D206" s="0" t="n">
        <s:v>1068</s:v>
      </s:c>
      <s:c r="F206" s="24">
        <s:f>'자료구성'!$B$2+TIME(INT($C$3/10000),INT(MOD($C$3,10000)/100),MOD($C$3,100))+(ROW()-ROW($C$3))/86400</s:f>
        <s:v>46247.45261574074</s:v>
      </s:c>
    </s:row>
    <s:row r="207">
      <s:c r="A207" s="0" t="n">
        <s:v>260813</s:v>
      </s:c>
      <s:c r="B207" s="0" t="inlineStr">
        <s:is>
          <s:t>이종훈</s:t>
        </s:is>
      </s:c>
      <s:c r="C207" s="0" t="n">
        <s:v>104823</s:v>
      </s:c>
      <s:c r="D207" s="0" t="n">
        <s:v>1070</s:v>
      </s:c>
      <s:c r="F207" s="24">
        <s:f>'자료구성'!$B$2+TIME(INT($C$3/10000),INT(MOD($C$3,10000)/100),MOD($C$3,100))+(ROW()-ROW($C$3))/86400</s:f>
        <s:v>46247.452627314815</s:v>
      </s:c>
    </s:row>
    <s:row r="208">
      <s:c r="A208" s="0" t="n">
        <s:v>260813</s:v>
      </s:c>
      <s:c r="B208" s="0" t="inlineStr">
        <s:is>
          <s:t>이종훈</s:t>
        </s:is>
      </s:c>
      <s:c r="C208" s="0" t="n">
        <s:v>104823</s:v>
      </s:c>
      <s:c r="D208" s="0" t="n">
        <s:v>1078</s:v>
      </s:c>
      <s:c r="F208" s="24">
        <s:f>'자료구성'!$B$2+TIME(INT($C$3/10000),INT(MOD($C$3,10000)/100),MOD($C$3,100))+(ROW()-ROW($C$3))/86400</s:f>
        <s:v>46247.45263888889</s:v>
      </s:c>
    </s:row>
    <s:row r="209">
      <s:c r="A209" s="0" t="n">
        <s:v>260813</s:v>
      </s:c>
      <s:c r="B209" s="0" t="inlineStr">
        <s:is>
          <s:t>이종훈</s:t>
        </s:is>
      </s:c>
      <s:c r="C209" s="0" t="n">
        <s:v>104823</s:v>
      </s:c>
      <s:c r="D209" s="0" t="n">
        <s:v>1094</s:v>
      </s:c>
      <s:c r="F209" s="24">
        <s:f>'자료구성'!$B$2+TIME(INT($C$3/10000),INT(MOD($C$3,10000)/100),MOD($C$3,100))+(ROW()-ROW($C$3))/86400</s:f>
        <s:v>46247.45265046296</s:v>
      </s:c>
    </s:row>
    <s:row r="210">
      <s:c r="A210" s="0" t="n">
        <s:v>260813</s:v>
      </s:c>
      <s:c r="B210" s="0" t="inlineStr">
        <s:is>
          <s:t>이종훈</s:t>
        </s:is>
      </s:c>
      <s:c r="C210" s="0" t="n">
        <s:v>104823</s:v>
      </s:c>
      <s:c r="D210" s="0" t="n">
        <s:v>1094</s:v>
      </s:c>
      <s:c r="F210" s="24">
        <s:f>'자료구성'!$B$2+TIME(INT($C$3/10000),INT(MOD($C$3,10000)/100),MOD($C$3,100))+(ROW()-ROW($C$3))/86400</s:f>
        <s:v>46247.45266203704</s:v>
      </s:c>
    </s:row>
    <s:row r="211">
      <s:c r="A211" s="0" t="n">
        <s:v>260813</s:v>
      </s:c>
      <s:c r="B211" s="0" t="inlineStr">
        <s:is>
          <s:t>이종훈</s:t>
        </s:is>
      </s:c>
      <s:c r="C211" s="0" t="n">
        <s:v>104823</s:v>
      </s:c>
      <s:c r="D211" s="0" t="n">
        <s:v>1087</s:v>
      </s:c>
      <s:c r="F211" s="24">
        <s:f>'자료구성'!$B$2+TIME(INT($C$3/10000),INT(MOD($C$3,10000)/100),MOD($C$3,100))+(ROW()-ROW($C$3))/86400</s:f>
        <s:v>46247.452673611115</s:v>
      </s:c>
    </s:row>
    <s:row r="212">
      <s:c r="A212" s="0" t="n">
        <s:v>260813</s:v>
      </s:c>
      <s:c r="B212" s="0" t="inlineStr">
        <s:is>
          <s:t>이종훈</s:t>
        </s:is>
      </s:c>
      <s:c r="C212" s="0" t="n">
        <s:v>104823</s:v>
      </s:c>
      <s:c r="D212" s="0" t="n">
        <s:v>1094</s:v>
      </s:c>
      <s:c r="F212" s="24">
        <s:f>'자료구성'!$B$2+TIME(INT($C$3/10000),INT(MOD($C$3,10000)/100),MOD($C$3,100))+(ROW()-ROW($C$3))/86400</s:f>
        <s:v>46247.452685185184</s:v>
      </s:c>
    </s:row>
    <s:row r="213">
      <s:c r="A213" s="0" t="n">
        <s:v>260813</s:v>
      </s:c>
      <s:c r="B213" s="0" t="inlineStr">
        <s:is>
          <s:t>이종훈</s:t>
        </s:is>
      </s:c>
      <s:c r="C213" s="0" t="n">
        <s:v>104823</s:v>
      </s:c>
      <s:c r="D213" s="0" t="n">
        <s:v>1092</s:v>
      </s:c>
      <s:c r="F213" s="24">
        <s:f>'자료구성'!$B$2+TIME(INT($C$3/10000),INT(MOD($C$3,10000)/100),MOD($C$3,100))+(ROW()-ROW($C$3))/86400</s:f>
        <s:v>46247.45269675926</s:v>
      </s:c>
    </s:row>
    <s:row r="214">
      <s:c r="A214" s="0" t="n">
        <s:v>260813</s:v>
      </s:c>
      <s:c r="B214" s="0" t="inlineStr">
        <s:is>
          <s:t>이종훈</s:t>
        </s:is>
      </s:c>
      <s:c r="C214" s="0" t="n">
        <s:v>104823</s:v>
      </s:c>
      <s:c r="D214" s="0" t="n">
        <s:v>1094</s:v>
      </s:c>
      <s:c r="F214" s="24">
        <s:f>'자료구성'!$B$2+TIME(INT($C$3/10000),INT(MOD($C$3,10000)/100),MOD($C$3,100))+(ROW()-ROW($C$3))/86400</s:f>
        <s:v>46247.45270833333</s:v>
      </s:c>
    </s:row>
    <s:row r="215">
      <s:c r="A215" s="0" t="n">
        <s:v>260813</s:v>
      </s:c>
      <s:c r="B215" s="0" t="inlineStr">
        <s:is>
          <s:t>이종훈</s:t>
        </s:is>
      </s:c>
      <s:c r="C215" s="0" t="n">
        <s:v>104823</s:v>
      </s:c>
      <s:c r="D215" s="0" t="n">
        <s:v>1087</s:v>
      </s:c>
      <s:c r="F215" s="24">
        <s:f>'자료구성'!$B$2+TIME(INT($C$3/10000),INT(MOD($C$3,10000)/100),MOD($C$3,100))+(ROW()-ROW($C$3))/86400</s:f>
        <s:v>46247.45271990741</s:v>
      </s:c>
    </s:row>
    <s:row r="216">
      <s:c r="A216" s="0" t="n">
        <s:v>260813</s:v>
      </s:c>
      <s:c r="B216" s="0" t="inlineStr">
        <s:is>
          <s:t>이종훈</s:t>
        </s:is>
      </s:c>
      <s:c r="C216" s="0" t="n">
        <s:v>104823</s:v>
      </s:c>
      <s:c r="D216" s="0" t="n">
        <s:v>1107</s:v>
      </s:c>
      <s:c r="F216" s="24">
        <s:f>'자료구성'!$B$2+TIME(INT($C$3/10000),INT(MOD($C$3,10000)/100),MOD($C$3,100))+(ROW()-ROW($C$3))/86400</s:f>
        <s:v>46247.452731481484</s:v>
      </s:c>
    </s:row>
    <s:row r="217">
      <s:c r="A217" s="0" t="n">
        <s:v>260813</s:v>
      </s:c>
      <s:c r="B217" s="0" t="inlineStr">
        <s:is>
          <s:t>이종훈</s:t>
        </s:is>
      </s:c>
      <s:c r="C217" s="0" t="n">
        <s:v>104823</s:v>
      </s:c>
      <s:c r="D217" s="0" t="n">
        <s:v>1146</s:v>
      </s:c>
      <s:c r="F217" s="24">
        <s:f>'자료구성'!$B$2+TIME(INT($C$3/10000),INT(MOD($C$3,10000)/100),MOD($C$3,100))+(ROW()-ROW($C$3))/86400</s:f>
        <s:v>46247.45274305555</s:v>
      </s:c>
    </s:row>
    <s:row r="218">
      <s:c r="A218" s="0" t="n">
        <s:v>260813</s:v>
      </s:c>
      <s:c r="B218" s="0" t="inlineStr">
        <s:is>
          <s:t>이종훈</s:t>
        </s:is>
      </s:c>
      <s:c r="C218" s="0" t="n">
        <s:v>104823</s:v>
      </s:c>
      <s:c r="D218" s="0" t="n">
        <s:v>1136</s:v>
      </s:c>
      <s:c r="F218" s="24">
        <s:f>'자료구성'!$B$2+TIME(INT($C$3/10000),INT(MOD($C$3,10000)/100),MOD($C$3,100))+(ROW()-ROW($C$3))/86400</s:f>
        <s:v>46247.45275462963</s:v>
      </s:c>
    </s:row>
    <s:row r="219">
      <s:c r="A219" s="0" t="n">
        <s:v>260813</s:v>
      </s:c>
      <s:c r="B219" s="0" t="inlineStr">
        <s:is>
          <s:t>이종훈</s:t>
        </s:is>
      </s:c>
      <s:c r="C219" s="0" t="n">
        <s:v>104823</s:v>
      </s:c>
      <s:c r="D219" s="0" t="n">
        <s:v>1155</s:v>
      </s:c>
      <s:c r="F219" s="24">
        <s:f>'자료구성'!$B$2+TIME(INT($C$3/10000),INT(MOD($C$3,10000)/100),MOD($C$3,100))+(ROW()-ROW($C$3))/86400</s:f>
        <s:v>46247.45276620371</s:v>
      </s:c>
    </s:row>
    <s:row r="220">
      <s:c r="A220" s="0" t="n">
        <s:v>260813</s:v>
      </s:c>
      <s:c r="B220" s="0" t="inlineStr">
        <s:is>
          <s:t>이종훈</s:t>
        </s:is>
      </s:c>
      <s:c r="C220" s="0" t="n">
        <s:v>104823</s:v>
      </s:c>
      <s:c r="D220" s="0" t="n">
        <s:v>1157</s:v>
      </s:c>
      <s:c r="F220" s="24">
        <s:f>'자료구성'!$B$2+TIME(INT($C$3/10000),INT(MOD($C$3,10000)/100),MOD($C$3,100))+(ROW()-ROW($C$3))/86400</s:f>
        <s:v>46247.45277777778</s:v>
      </s:c>
    </s:row>
    <s:row r="221">
      <s:c r="A221" s="0" t="n">
        <s:v>260813</s:v>
      </s:c>
      <s:c r="B221" s="0" t="inlineStr">
        <s:is>
          <s:t>이종훈</s:t>
        </s:is>
      </s:c>
      <s:c r="C221" s="0" t="n">
        <s:v>104823</s:v>
      </s:c>
      <s:c r="D221" s="0" t="n">
        <s:v>1150</s:v>
      </s:c>
      <s:c r="F221" s="24">
        <s:f>'자료구성'!$B$2+TIME(INT($C$3/10000),INT(MOD($C$3,10000)/100),MOD($C$3,100))+(ROW()-ROW($C$3))/86400</s:f>
        <s:v>46247.45278935185</s:v>
      </s:c>
    </s:row>
    <s:row r="222">
      <s:c r="A222" s="0" t="n">
        <s:v>260813</s:v>
      </s:c>
      <s:c r="B222" s="0" t="inlineStr">
        <s:is>
          <s:t>이종훈</s:t>
        </s:is>
      </s:c>
      <s:c r="C222" s="0" t="n">
        <s:v>104823</s:v>
      </s:c>
      <s:c r="D222" s="0" t="n">
        <s:v>1157</s:v>
      </s:c>
      <s:c r="F222" s="24">
        <s:f>'자료구성'!$B$2+TIME(INT($C$3/10000),INT(MOD($C$3,10000)/100),MOD($C$3,100))+(ROW()-ROW($C$3))/86400</s:f>
        <s:v>46247.45280092592</s:v>
      </s:c>
    </s:row>
    <s:row r="223">
      <s:c r="A223" s="0" t="n">
        <s:v>260813</s:v>
      </s:c>
      <s:c r="B223" s="0" t="inlineStr">
        <s:is>
          <s:t>이종훈</s:t>
        </s:is>
      </s:c>
      <s:c r="C223" s="0" t="n">
        <s:v>104823</s:v>
      </s:c>
      <s:c r="D223" s="0" t="n">
        <s:v>1139</s:v>
      </s:c>
      <s:c r="F223" s="24">
        <s:f>'자료구성'!$B$2+TIME(INT($C$3/10000),INT(MOD($C$3,10000)/100),MOD($C$3,100))+(ROW()-ROW($C$3))/86400</s:f>
        <s:v>46247.4528125</s:v>
      </s:c>
    </s:row>
    <s:row r="224">
      <s:c r="A224" s="0" t="n">
        <s:v>260813</s:v>
      </s:c>
      <s:c r="B224" s="0" t="inlineStr">
        <s:is>
          <s:t>이종훈</s:t>
        </s:is>
      </s:c>
      <s:c r="C224" s="0" t="n">
        <s:v>104823</s:v>
      </s:c>
      <s:c r="D224" s="0" t="n">
        <s:v>1126</s:v>
      </s:c>
      <s:c r="F224" s="24">
        <s:f>'자료구성'!$B$2+TIME(INT($C$3/10000),INT(MOD($C$3,10000)/100),MOD($C$3,100))+(ROW()-ROW($C$3))/86400</s:f>
        <s:v>46247.45282407408</s:v>
      </s:c>
    </s:row>
    <s:row r="225">
      <s:c r="A225" s="0" t="n">
        <s:v>260813</s:v>
      </s:c>
      <s:c r="B225" s="0" t="inlineStr">
        <s:is>
          <s:t>이종훈</s:t>
        </s:is>
      </s:c>
      <s:c r="C225" s="0" t="n">
        <s:v>104823</s:v>
      </s:c>
      <s:c r="D225" s="0" t="n">
        <s:v>1120</s:v>
      </s:c>
      <s:c r="F225" s="24">
        <s:f>'자료구성'!$B$2+TIME(INT($C$3/10000),INT(MOD($C$3,10000)/100),MOD($C$3,100))+(ROW()-ROW($C$3))/86400</s:f>
        <s:v>46247.452835648146</s:v>
      </s:c>
    </s:row>
    <s:row r="226">
      <s:c r="A226" s="0" t="n">
        <s:v>260813</s:v>
      </s:c>
      <s:c r="B226" s="0" t="inlineStr">
        <s:is>
          <s:t>이종훈</s:t>
        </s:is>
      </s:c>
      <s:c r="C226" s="0" t="n">
        <s:v>104823</s:v>
      </s:c>
      <s:c r="D226" s="0" t="n">
        <s:v>1117</s:v>
      </s:c>
      <s:c r="F226" s="24">
        <s:f>'자료구성'!$B$2+TIME(INT($C$3/10000),INT(MOD($C$3,10000)/100),MOD($C$3,100))+(ROW()-ROW($C$3))/86400</s:f>
        <s:v>46247.45284722222</s:v>
      </s:c>
    </s:row>
    <s:row r="227">
      <s:c r="A227" s="0" t="n">
        <s:v>260813</s:v>
      </s:c>
      <s:c r="B227" s="0" t="inlineStr">
        <s:is>
          <s:t>이종훈</s:t>
        </s:is>
      </s:c>
      <s:c r="C227" s="0" t="n">
        <s:v>104823</s:v>
      </s:c>
      <s:c r="D227" s="0" t="n">
        <s:v>1116</s:v>
      </s:c>
      <s:c r="F227" s="24">
        <s:f>'자료구성'!$B$2+TIME(INT($C$3/10000),INT(MOD($C$3,10000)/100),MOD($C$3,100))+(ROW()-ROW($C$3))/86400</s:f>
        <s:v>46247.4528587963</s:v>
      </s:c>
    </s:row>
    <s:row r="228">
      <s:c r="A228" s="0" t="n">
        <s:v>260813</s:v>
      </s:c>
      <s:c r="B228" s="0" t="inlineStr">
        <s:is>
          <s:t>이종훈</s:t>
        </s:is>
      </s:c>
      <s:c r="C228" s="0" t="n">
        <s:v>104823</s:v>
      </s:c>
      <s:c r="D228" s="0" t="n">
        <s:v>1124</s:v>
      </s:c>
      <s:c r="F228" s="24">
        <s:f>'자료구성'!$B$2+TIME(INT($C$3/10000),INT(MOD($C$3,10000)/100),MOD($C$3,100))+(ROW()-ROW($C$3))/86400</s:f>
        <s:v>46247.45287037037</s:v>
      </s:c>
    </s:row>
    <s:row r="229">
      <s:c r="A229" s="0" t="n">
        <s:v>260813</s:v>
      </s:c>
      <s:c r="B229" s="0" t="inlineStr">
        <s:is>
          <s:t>이종훈</s:t>
        </s:is>
      </s:c>
      <s:c r="C229" s="0" t="n">
        <s:v>104823</s:v>
      </s:c>
      <s:c r="D229" s="0" t="n">
        <s:v>1129</s:v>
      </s:c>
      <s:c r="F229" s="24">
        <s:f>'자료구성'!$B$2+TIME(INT($C$3/10000),INT(MOD($C$3,10000)/100),MOD($C$3,100))+(ROW()-ROW($C$3))/86400</s:f>
        <s:v>46247.452881944446</s:v>
      </s:c>
    </s:row>
    <s:row r="230">
      <s:c r="A230" s="0" t="n">
        <s:v>260813</s:v>
      </s:c>
      <s:c r="B230" s="0" t="inlineStr">
        <s:is>
          <s:t>이종훈</s:t>
        </s:is>
      </s:c>
      <s:c r="C230" s="0" t="n">
        <s:v>104823</s:v>
      </s:c>
      <s:c r="D230" s="0" t="n">
        <s:v>1124</s:v>
      </s:c>
      <s:c r="F230" s="24">
        <s:f>'자료구성'!$B$2+TIME(INT($C$3/10000),INT(MOD($C$3,10000)/100),MOD($C$3,100))+(ROW()-ROW($C$3))/86400</s:f>
        <s:v>46247.452893518515</s:v>
      </s:c>
    </s:row>
    <s:row r="231">
      <s:c r="A231" s="0" t="n">
        <s:v>260813</s:v>
      </s:c>
      <s:c r="B231" s="0" t="inlineStr">
        <s:is>
          <s:t>이종훈</s:t>
        </s:is>
      </s:c>
      <s:c r="C231" s="0" t="n">
        <s:v>104823</s:v>
      </s:c>
      <s:c r="D231" s="0" t="n">
        <s:v>1116</s:v>
      </s:c>
      <s:c r="F231" s="24">
        <s:f>'자료구성'!$B$2+TIME(INT($C$3/10000),INT(MOD($C$3,10000)/100),MOD($C$3,100))+(ROW()-ROW($C$3))/86400</s:f>
        <s:v>46247.45290509259</s:v>
      </s:c>
    </s:row>
    <s:row r="232">
      <s:c r="A232" s="0" t="n">
        <s:v>260813</s:v>
      </s:c>
      <s:c r="B232" s="0" t="inlineStr">
        <s:is>
          <s:t>이종훈</s:t>
        </s:is>
      </s:c>
      <s:c r="C232" s="0" t="n">
        <s:v>104823</s:v>
      </s:c>
      <s:c r="D232" s="0" t="n">
        <s:v>1138</s:v>
      </s:c>
      <s:c r="F232" s="24">
        <s:f>'자료구성'!$B$2+TIME(INT($C$3/10000),INT(MOD($C$3,10000)/100),MOD($C$3,100))+(ROW()-ROW($C$3))/86400</s:f>
        <s:v>46247.45291666667</s:v>
      </s:c>
    </s:row>
    <s:row r="233">
      <s:c r="A233" s="0" t="n">
        <s:v>260813</s:v>
      </s:c>
      <s:c r="B233" s="0" t="inlineStr">
        <s:is>
          <s:t>이종훈</s:t>
        </s:is>
      </s:c>
      <s:c r="C233" s="0" t="n">
        <s:v>104823</s:v>
      </s:c>
      <s:c r="D233" s="0" t="n">
        <s:v>1149</s:v>
      </s:c>
      <s:c r="F233" s="24">
        <s:f>'자료구성'!$B$2+TIME(INT($C$3/10000),INT(MOD($C$3,10000)/100),MOD($C$3,100))+(ROW()-ROW($C$3))/86400</s:f>
        <s:v>46247.45292824074</s:v>
      </s:c>
    </s:row>
    <s:row r="234">
      <s:c r="A234" s="0" t="n">
        <s:v>260813</s:v>
      </s:c>
      <s:c r="B234" s="0" t="inlineStr">
        <s:is>
          <s:t>이종훈</s:t>
        </s:is>
      </s:c>
      <s:c r="C234" s="0" t="n">
        <s:v>104823</s:v>
      </s:c>
      <s:c r="D234" s="0" t="n">
        <s:v>1161</s:v>
      </s:c>
      <s:c r="F234" s="24">
        <s:f>'자료구성'!$B$2+TIME(INT($C$3/10000),INT(MOD($C$3,10000)/100),MOD($C$3,100))+(ROW()-ROW($C$3))/86400</s:f>
        <s:v>46247.452939814815</s:v>
      </s:c>
    </s:row>
    <s:row r="235">
      <s:c r="A235" s="0" t="n">
        <s:v>260813</s:v>
      </s:c>
      <s:c r="B235" s="0" t="inlineStr">
        <s:is>
          <s:t>이종훈</s:t>
        </s:is>
      </s:c>
      <s:c r="C235" s="0" t="n">
        <s:v>104823</s:v>
      </s:c>
      <s:c r="D235" s="0" t="n">
        <s:v>1158</s:v>
      </s:c>
      <s:c r="F235" s="24">
        <s:f>'자료구성'!$B$2+TIME(INT($C$3/10000),INT(MOD($C$3,10000)/100),MOD($C$3,100))+(ROW()-ROW($C$3))/86400</s:f>
        <s:v>46247.45295138889</s:v>
      </s:c>
    </s:row>
    <s:row r="236">
      <s:c r="A236" s="0" t="n">
        <s:v>260813</s:v>
      </s:c>
      <s:c r="B236" s="0" t="inlineStr">
        <s:is>
          <s:t>이종훈</s:t>
        </s:is>
      </s:c>
      <s:c r="C236" s="0" t="n">
        <s:v>104823</s:v>
      </s:c>
      <s:c r="D236" s="0" t="n">
        <s:v>1164</s:v>
      </s:c>
      <s:c r="F236" s="24">
        <s:f>'자료구성'!$B$2+TIME(INT($C$3/10000),INT(MOD($C$3,10000)/100),MOD($C$3,100))+(ROW()-ROW($C$3))/86400</s:f>
        <s:v>46247.45296296296</s:v>
      </s:c>
    </s:row>
    <s:row r="237">
      <s:c r="A237" s="0" t="n">
        <s:v>260813</s:v>
      </s:c>
      <s:c r="B237" s="0" t="inlineStr">
        <s:is>
          <s:t>이종훈</s:t>
        </s:is>
      </s:c>
      <s:c r="C237" s="0" t="n">
        <s:v>104823</s:v>
      </s:c>
      <s:c r="D237" s="0" t="n">
        <s:v>1162</s:v>
      </s:c>
      <s:c r="F237" s="24">
        <s:f>'자료구성'!$B$2+TIME(INT($C$3/10000),INT(MOD($C$3,10000)/100),MOD($C$3,100))+(ROW()-ROW($C$3))/86400</s:f>
        <s:v>46247.45297453704</s:v>
      </s:c>
    </s:row>
    <s:row r="238">
      <s:c r="A238" s="0" t="n">
        <s:v>260813</s:v>
      </s:c>
      <s:c r="B238" s="0" t="inlineStr">
        <s:is>
          <s:t>이종훈</s:t>
        </s:is>
      </s:c>
      <s:c r="C238" s="0" t="n">
        <s:v>104823</s:v>
      </s:c>
      <s:c r="D238" s="0" t="n">
        <s:v>1174</s:v>
      </s:c>
      <s:c r="F238" s="24">
        <s:f>'자료구성'!$B$2+TIME(INT($C$3/10000),INT(MOD($C$3,10000)/100),MOD($C$3,100))+(ROW()-ROW($C$3))/86400</s:f>
        <s:v>46247.45298611111</s:v>
      </s:c>
    </s:row>
    <s:row r="239">
      <s:c r="A239" s="0" t="n">
        <s:v>260813</s:v>
      </s:c>
      <s:c r="B239" s="0" t="inlineStr">
        <s:is>
          <s:t>이종훈</s:t>
        </s:is>
      </s:c>
      <s:c r="C239" s="0" t="n">
        <s:v>104823</s:v>
      </s:c>
      <s:c r="D239" s="0" t="n">
        <s:v>1172</s:v>
      </s:c>
      <s:c r="F239" s="24">
        <s:f>'자료구성'!$B$2+TIME(INT($C$3/10000),INT(MOD($C$3,10000)/100),MOD($C$3,100))+(ROW()-ROW($C$3))/86400</s:f>
        <s:v>46247.452997685185</s:v>
      </s:c>
    </s:row>
    <s:row r="240">
      <s:c r="A240" s="0" t="n">
        <s:v>260813</s:v>
      </s:c>
      <s:c r="B240" s="0" t="inlineStr">
        <s:is>
          <s:t>이종훈</s:t>
        </s:is>
      </s:c>
      <s:c r="C240" s="0" t="n">
        <s:v>104823</s:v>
      </s:c>
      <s:c r="D240" s="0" t="n">
        <s:v>1158</s:v>
      </s:c>
      <s:c r="F240" s="24">
        <s:f>'자료구성'!$B$2+TIME(INT($C$3/10000),INT(MOD($C$3,10000)/100),MOD($C$3,100))+(ROW()-ROW($C$3))/86400</s:f>
        <s:v>46247.45300925926</s:v>
      </s:c>
    </s:row>
    <s:row r="241">
      <s:c r="A241" s="0" t="n">
        <s:v>260813</s:v>
      </s:c>
      <s:c r="B241" s="0" t="inlineStr">
        <s:is>
          <s:t>이종훈</s:t>
        </s:is>
      </s:c>
      <s:c r="C241" s="0" t="n">
        <s:v>104823</s:v>
      </s:c>
      <s:c r="D241" s="0" t="n">
        <s:v>1145</s:v>
      </s:c>
      <s:c r="F241" s="24">
        <s:f>'자료구성'!$B$2+TIME(INT($C$3/10000),INT(MOD($C$3,10000)/100),MOD($C$3,100))+(ROW()-ROW($C$3))/86400</s:f>
        <s:v>46247.45302083333</s:v>
      </s:c>
    </s:row>
    <s:row r="242">
      <s:c r="A242" s="0" t="n">
        <s:v>260813</s:v>
      </s:c>
      <s:c r="B242" s="0" t="inlineStr">
        <s:is>
          <s:t>이종훈</s:t>
        </s:is>
      </s:c>
      <s:c r="C242" s="0" t="n">
        <s:v>104823</s:v>
      </s:c>
      <s:c r="D242" s="0" t="n">
        <s:v>1140</s:v>
      </s:c>
      <s:c r="F242" s="24">
        <s:f>'자료구성'!$B$2+TIME(INT($C$3/10000),INT(MOD($C$3,10000)/100),MOD($C$3,100))+(ROW()-ROW($C$3))/86400</s:f>
        <s:v>46247.45303240741</s:v>
      </s:c>
    </s:row>
    <s:row r="243">
      <s:c r="A243" s="0" t="n">
        <s:v>260813</s:v>
      </s:c>
      <s:c r="B243" s="0" t="inlineStr">
        <s:is>
          <s:t>이종훈</s:t>
        </s:is>
      </s:c>
      <s:c r="C243" s="0" t="n">
        <s:v>104823</s:v>
      </s:c>
      <s:c r="D243" s="0" t="n">
        <s:v>1138</s:v>
      </s:c>
      <s:c r="F243" s="24">
        <s:f>'자료구성'!$B$2+TIME(INT($C$3/10000),INT(MOD($C$3,10000)/100),MOD($C$3,100))+(ROW()-ROW($C$3))/86400</s:f>
        <s:v>46247.453043981484</s:v>
      </s:c>
    </s:row>
    <s:row r="244">
      <s:c r="A244" s="0" t="n">
        <s:v>260813</s:v>
      </s:c>
      <s:c r="B244" s="0" t="inlineStr">
        <s:is>
          <s:t>이종훈</s:t>
        </s:is>
      </s:c>
      <s:c r="C244" s="0" t="n">
        <s:v>104823</s:v>
      </s:c>
      <s:c r="D244" s="0" t="n">
        <s:v>1148</s:v>
      </s:c>
      <s:c r="F244" s="24">
        <s:f>'자료구성'!$B$2+TIME(INT($C$3/10000),INT(MOD($C$3,10000)/100),MOD($C$3,100))+(ROW()-ROW($C$3))/86400</s:f>
        <s:v>46247.453055555554</s:v>
      </s:c>
    </s:row>
    <s:row r="245">
      <s:c r="A245" s="0" t="n">
        <s:v>260813</s:v>
      </s:c>
      <s:c r="B245" s="0" t="inlineStr">
        <s:is>
          <s:t>이종훈</s:t>
        </s:is>
      </s:c>
      <s:c r="C245" s="0" t="n">
        <s:v>104823</s:v>
      </s:c>
      <s:c r="D245" s="0" t="n">
        <s:v>1148</s:v>
      </s:c>
      <s:c r="F245" s="24">
        <s:f>'자료구성'!$B$2+TIME(INT($C$3/10000),INT(MOD($C$3,10000)/100),MOD($C$3,100))+(ROW()-ROW($C$3))/86400</s:f>
        <s:v>46247.45306712963</s:v>
      </s:c>
    </s:row>
    <s:row r="246">
      <s:c r="A246" s="0" t="n">
        <s:v>260813</s:v>
      </s:c>
      <s:c r="B246" s="0" t="inlineStr">
        <s:is>
          <s:t>이종훈</s:t>
        </s:is>
      </s:c>
      <s:c r="C246" s="0" t="n">
        <s:v>104823</s:v>
      </s:c>
      <s:c r="D246" s="0" t="n">
        <s:v>1146</s:v>
      </s:c>
      <s:c r="F246" s="24">
        <s:f>'자료구성'!$B$2+TIME(INT($C$3/10000),INT(MOD($C$3,10000)/100),MOD($C$3,100))+(ROW()-ROW($C$3))/86400</s:f>
        <s:v>46247.4530787037</s:v>
      </s:c>
    </s:row>
    <s:row r="247">
      <s:c r="A247" s="0" t="n">
        <s:v>260813</s:v>
      </s:c>
      <s:c r="B247" s="0" t="inlineStr">
        <s:is>
          <s:t>이종훈</s:t>
        </s:is>
      </s:c>
      <s:c r="C247" s="0" t="n">
        <s:v>104823</s:v>
      </s:c>
      <s:c r="D247" s="0" t="n">
        <s:v>1152</s:v>
      </s:c>
      <s:c r="F247" s="24">
        <s:f>'자료구성'!$B$2+TIME(INT($C$3/10000),INT(MOD($C$3,10000)/100),MOD($C$3,100))+(ROW()-ROW($C$3))/86400</s:f>
        <s:v>46247.45309027778</s:v>
      </s:c>
    </s:row>
    <s:row r="248">
      <s:c r="A248" s="0" t="n">
        <s:v>260813</s:v>
      </s:c>
      <s:c r="B248" s="0" t="inlineStr">
        <s:is>
          <s:t>이종훈</s:t>
        </s:is>
      </s:c>
      <s:c r="C248" s="0" t="n">
        <s:v>104823</s:v>
      </s:c>
      <s:c r="D248" s="0" t="n">
        <s:v>1168</s:v>
      </s:c>
      <s:c r="F248" s="24">
        <s:f>'자료구성'!$B$2+TIME(INT($C$3/10000),INT(MOD($C$3,10000)/100),MOD($C$3,100))+(ROW()-ROW($C$3))/86400</s:f>
        <s:v>46247.453101851854</s:v>
      </s:c>
    </s:row>
    <s:row r="249">
      <s:c r="A249" s="0" t="n">
        <s:v>260813</s:v>
      </s:c>
      <s:c r="B249" s="0" t="inlineStr">
        <s:is>
          <s:t>이종훈</s:t>
        </s:is>
      </s:c>
      <s:c r="C249" s="0" t="n">
        <s:v>104823</s:v>
      </s:c>
      <s:c r="D249" s="0" t="n">
        <s:v>1173</s:v>
      </s:c>
      <s:c r="F249" s="24">
        <s:f>'자료구성'!$B$2+TIME(INT($C$3/10000),INT(MOD($C$3,10000)/100),MOD($C$3,100))+(ROW()-ROW($C$3))/86400</s:f>
        <s:v>46247.45311342592</s:v>
      </s:c>
    </s:row>
    <s:row r="250">
      <s:c r="A250" s="0" t="n">
        <s:v>260813</s:v>
      </s:c>
      <s:c r="B250" s="0" t="inlineStr">
        <s:is>
          <s:t>이종훈</s:t>
        </s:is>
      </s:c>
      <s:c r="C250" s="0" t="n">
        <s:v>104823</s:v>
      </s:c>
      <s:c r="D250" s="0" t="n">
        <s:v>1195</s:v>
      </s:c>
      <s:c r="F250" s="24">
        <s:f>'자료구성'!$B$2+TIME(INT($C$3/10000),INT(MOD($C$3,10000)/100),MOD($C$3,100))+(ROW()-ROW($C$3))/86400</s:f>
        <s:v>46247.453125</s:v>
      </s:c>
    </s:row>
    <s:row r="251">
      <s:c r="A251" s="0" t="n">
        <s:v>260813</s:v>
      </s:c>
      <s:c r="B251" s="0" t="inlineStr">
        <s:is>
          <s:t>이종훈</s:t>
        </s:is>
      </s:c>
      <s:c r="C251" s="0" t="n">
        <s:v>104823</s:v>
      </s:c>
      <s:c r="D251" s="0" t="n">
        <s:v>1186</s:v>
      </s:c>
      <s:c r="F251" s="24">
        <s:f>'자료구성'!$B$2+TIME(INT($C$3/10000),INT(MOD($C$3,10000)/100),MOD($C$3,100))+(ROW()-ROW($C$3))/86400</s:f>
        <s:v>46247.45313657408</s:v>
      </s:c>
    </s:row>
    <s:row r="252">
      <s:c r="A252" s="0" t="n">
        <s:v>260813</s:v>
      </s:c>
      <s:c r="B252" s="0" t="inlineStr">
        <s:is>
          <s:t>이종훈</s:t>
        </s:is>
      </s:c>
      <s:c r="C252" s="0" t="n">
        <s:v>104823</s:v>
      </s:c>
      <s:c r="D252" s="0" t="n">
        <s:v>1179</s:v>
      </s:c>
      <s:c r="F252" s="24">
        <s:f>'자료구성'!$B$2+TIME(INT($C$3/10000),INT(MOD($C$3,10000)/100),MOD($C$3,100))+(ROW()-ROW($C$3))/86400</s:f>
        <s:v>46247.453148148146</s:v>
      </s:c>
    </s:row>
    <s:row r="253">
      <s:c r="A253" s="0" t="n">
        <s:v>260813</s:v>
      </s:c>
      <s:c r="B253" s="0" t="inlineStr">
        <s:is>
          <s:t>이종훈</s:t>
        </s:is>
      </s:c>
      <s:c r="C253" s="0" t="n">
        <s:v>104823</s:v>
      </s:c>
      <s:c r="D253" s="0" t="n">
        <s:v>1181</s:v>
      </s:c>
      <s:c r="F253" s="24">
        <s:f>'자료구성'!$B$2+TIME(INT($C$3/10000),INT(MOD($C$3,10000)/100),MOD($C$3,100))+(ROW()-ROW($C$3))/86400</s:f>
        <s:v>46247.45315972222</s:v>
      </s:c>
    </s:row>
    <s:row r="254">
      <s:c r="A254" s="0" t="n">
        <s:v>260813</s:v>
      </s:c>
      <s:c r="B254" s="0" t="inlineStr">
        <s:is>
          <s:t>이종훈</s:t>
        </s:is>
      </s:c>
      <s:c r="C254" s="0" t="n">
        <s:v>104823</s:v>
      </s:c>
      <s:c r="D254" s="0" t="n">
        <s:v>1187</s:v>
      </s:c>
      <s:c r="F254" s="24">
        <s:f>'자료구성'!$B$2+TIME(INT($C$3/10000),INT(MOD($C$3,10000)/100),MOD($C$3,100))+(ROW()-ROW($C$3))/86400</s:f>
        <s:v>46247.4531712963</s:v>
      </s:c>
    </s:row>
    <s:row r="255">
      <s:c r="A255" s="0" t="n">
        <s:v>260813</s:v>
      </s:c>
      <s:c r="B255" s="0" t="inlineStr">
        <s:is>
          <s:t>이종훈</s:t>
        </s:is>
      </s:c>
      <s:c r="C255" s="0" t="n">
        <s:v>104823</s:v>
      </s:c>
      <s:c r="D255" s="0" t="n">
        <s:v>1175</s:v>
      </s:c>
      <s:c r="F255" s="24">
        <s:f>'자료구성'!$B$2+TIME(INT($C$3/10000),INT(MOD($C$3,10000)/100),MOD($C$3,100))+(ROW()-ROW($C$3))/86400</s:f>
        <s:v>46247.45318287037</s:v>
      </s:c>
    </s:row>
    <s:row r="256">
      <s:c r="A256" s="0" t="n">
        <s:v>260813</s:v>
      </s:c>
      <s:c r="B256" s="0" t="inlineStr">
        <s:is>
          <s:t>이종훈</s:t>
        </s:is>
      </s:c>
      <s:c r="C256" s="0" t="n">
        <s:v>104823</s:v>
      </s:c>
      <s:c r="D256" s="0" t="n">
        <s:v>1157</s:v>
      </s:c>
      <s:c r="F256" s="24">
        <s:f>'자료구성'!$B$2+TIME(INT($C$3/10000),INT(MOD($C$3,10000)/100),MOD($C$3,100))+(ROW()-ROW($C$3))/86400</s:f>
        <s:v>46247.453194444446</s:v>
      </s:c>
    </s:row>
    <s:row r="257">
      <s:c r="A257" s="0" t="n">
        <s:v>260813</s:v>
      </s:c>
      <s:c r="B257" s="0" t="inlineStr">
        <s:is>
          <s:t>이종훈</s:t>
        </s:is>
      </s:c>
      <s:c r="C257" s="0" t="n">
        <s:v>104823</s:v>
      </s:c>
      <s:c r="D257" s="0" t="n">
        <s:v>1147</s:v>
      </s:c>
      <s:c r="F257" s="24">
        <s:f>'자료구성'!$B$2+TIME(INT($C$3/10000),INT(MOD($C$3,10000)/100),MOD($C$3,100))+(ROW()-ROW($C$3))/86400</s:f>
        <s:v>46247.453206018516</s:v>
      </s:c>
    </s:row>
    <s:row r="258">
      <s:c r="A258" s="0" t="n">
        <s:v>260813</s:v>
      </s:c>
      <s:c r="B258" s="0" t="inlineStr">
        <s:is>
          <s:t>이종훈</s:t>
        </s:is>
      </s:c>
      <s:c r="C258" s="0" t="n">
        <s:v>104823</s:v>
      </s:c>
      <s:c r="D258" s="0" t="n">
        <s:v>1138</s:v>
      </s:c>
      <s:c r="F258" s="24">
        <s:f>'자료구성'!$B$2+TIME(INT($C$3/10000),INT(MOD($C$3,10000)/100),MOD($C$3,100))+(ROW()-ROW($C$3))/86400</s:f>
        <s:v>46247.45321759259</s:v>
      </s:c>
    </s:row>
    <s:row r="259">
      <s:c r="A259" s="0" t="n">
        <s:v>260813</s:v>
      </s:c>
      <s:c r="B259" s="0" t="inlineStr">
        <s:is>
          <s:t>이종훈</s:t>
        </s:is>
      </s:c>
      <s:c r="C259" s="0" t="n">
        <s:v>104823</s:v>
      </s:c>
      <s:c r="D259" s="0" t="n">
        <s:v>1162</s:v>
      </s:c>
      <s:c r="F259" s="24">
        <s:f>'자료구성'!$B$2+TIME(INT($C$3/10000),INT(MOD($C$3,10000)/100),MOD($C$3,100))+(ROW()-ROW($C$3))/86400</s:f>
        <s:v>46247.45322916667</s:v>
      </s:c>
    </s:row>
    <s:row r="260">
      <s:c r="A260" s="0" t="n">
        <s:v>260813</s:v>
      </s:c>
      <s:c r="B260" s="0" t="inlineStr">
        <s:is>
          <s:t>이종훈</s:t>
        </s:is>
      </s:c>
      <s:c r="C260" s="0" t="n">
        <s:v>104823</s:v>
      </s:c>
      <s:c r="D260" s="0" t="n">
        <s:v>1177</s:v>
      </s:c>
      <s:c r="F260" s="24">
        <s:f>'자료구성'!$B$2+TIME(INT($C$3/10000),INT(MOD($C$3,10000)/100),MOD($C$3,100))+(ROW()-ROW($C$3))/86400</s:f>
        <s:v>46247.45324074074</s:v>
      </s:c>
    </s:row>
    <s:row r="261">
      <s:c r="A261" s="0" t="n">
        <s:v>260813</s:v>
      </s:c>
      <s:c r="B261" s="0" t="inlineStr">
        <s:is>
          <s:t>이종훈</s:t>
        </s:is>
      </s:c>
      <s:c r="C261" s="0" t="n">
        <s:v>104823</s:v>
      </s:c>
      <s:c r="D261" s="0" t="n">
        <s:v>1180</s:v>
      </s:c>
      <s:c r="F261" s="24">
        <s:f>'자료구성'!$B$2+TIME(INT($C$3/10000),INT(MOD($C$3,10000)/100),MOD($C$3,100))+(ROW()-ROW($C$3))/86400</s:f>
        <s:v>46247.453252314815</s:v>
      </s:c>
    </s:row>
    <s:row r="262">
      <s:c r="A262" s="0" t="n">
        <s:v>260813</s:v>
      </s:c>
      <s:c r="B262" s="0" t="inlineStr">
        <s:is>
          <s:t>이종훈</s:t>
        </s:is>
      </s:c>
      <s:c r="C262" s="0" t="n">
        <s:v>104823</s:v>
      </s:c>
      <s:c r="D262" s="0" t="n">
        <s:v>1161</s:v>
      </s:c>
      <s:c r="F262" s="24">
        <s:f>'자료구성'!$B$2+TIME(INT($C$3/10000),INT(MOD($C$3,10000)/100),MOD($C$3,100))+(ROW()-ROW($C$3))/86400</s:f>
        <s:v>46247.45326388889</s:v>
      </s:c>
    </s:row>
    <s:row r="263">
      <s:c r="A263" s="0" t="n">
        <s:v>260813</s:v>
      </s:c>
      <s:c r="B263" s="0" t="inlineStr">
        <s:is>
          <s:t>이종훈</s:t>
        </s:is>
      </s:c>
      <s:c r="C263" s="0" t="n">
        <s:v>104823</s:v>
      </s:c>
      <s:c r="D263" s="0" t="n">
        <s:v>1142</s:v>
      </s:c>
      <s:c r="F263" s="24">
        <s:f>'자료구성'!$B$2+TIME(INT($C$3/10000),INT(MOD($C$3,10000)/100),MOD($C$3,100))+(ROW()-ROW($C$3))/86400</s:f>
        <s:v>46247.45327546296</s:v>
      </s:c>
    </s:row>
    <s:row r="264">
      <s:c r="A264" s="0" t="n">
        <s:v>260813</s:v>
      </s:c>
      <s:c r="B264" s="0" t="inlineStr">
        <s:is>
          <s:t>이종훈</s:t>
        </s:is>
      </s:c>
      <s:c r="C264" s="0" t="n">
        <s:v>104823</s:v>
      </s:c>
      <s:c r="D264" s="0" t="n">
        <s:v>1113</s:v>
      </s:c>
      <s:c r="F264" s="24">
        <s:f>'자료구성'!$B$2+TIME(INT($C$3/10000),INT(MOD($C$3,10000)/100),MOD($C$3,100))+(ROW()-ROW($C$3))/86400</s:f>
        <s:v>46247.45328703704</s:v>
      </s:c>
    </s:row>
    <s:row r="265">
      <s:c r="A265" s="0" t="n">
        <s:v>260813</s:v>
      </s:c>
      <s:c r="B265" s="0" t="inlineStr">
        <s:is>
          <s:t>이종훈</s:t>
        </s:is>
      </s:c>
      <s:c r="C265" s="0" t="n">
        <s:v>104823</s:v>
      </s:c>
      <s:c r="D265" s="0" t="n">
        <s:v>1107</s:v>
      </s:c>
      <s:c r="F265" s="24">
        <s:f>'자료구성'!$B$2+TIME(INT($C$3/10000),INT(MOD($C$3,10000)/100),MOD($C$3,100))+(ROW()-ROW($C$3))/86400</s:f>
        <s:v>46247.45329861111</s:v>
      </s:c>
    </s:row>
    <s:row r="266">
      <s:c r="A266" s="0" t="n">
        <s:v>260813</s:v>
      </s:c>
      <s:c r="B266" s="0" t="inlineStr">
        <s:is>
          <s:t>이종훈</s:t>
        </s:is>
      </s:c>
      <s:c r="C266" s="0" t="n">
        <s:v>104823</s:v>
      </s:c>
      <s:c r="D266" s="0" t="n">
        <s:v>1103</s:v>
      </s:c>
      <s:c r="F266" s="24">
        <s:f>'자료구성'!$B$2+TIME(INT($C$3/10000),INT(MOD($C$3,10000)/100),MOD($C$3,100))+(ROW()-ROW($C$3))/86400</s:f>
        <s:v>46247.453310185185</s:v>
      </s:c>
    </s:row>
    <s:row r="267">
      <s:c r="A267" s="0" t="n">
        <s:v>260813</s:v>
      </s:c>
      <s:c r="B267" s="0" t="inlineStr">
        <s:is>
          <s:t>이종훈</s:t>
        </s:is>
      </s:c>
      <s:c r="C267" s="0" t="n">
        <s:v>104823</s:v>
      </s:c>
      <s:c r="D267" s="0" t="n">
        <s:v>1098</s:v>
      </s:c>
      <s:c r="F267" s="24">
        <s:f>'자료구성'!$B$2+TIME(INT($C$3/10000),INT(MOD($C$3,10000)/100),MOD($C$3,100))+(ROW()-ROW($C$3))/86400</s:f>
        <s:v>46247.45332175926</s:v>
      </s:c>
    </s:row>
    <s:row r="268">
      <s:c r="A268" s="0" t="n">
        <s:v>260813</s:v>
      </s:c>
      <s:c r="B268" s="0" t="inlineStr">
        <s:is>
          <s:t>이종훈</s:t>
        </s:is>
      </s:c>
      <s:c r="C268" s="0" t="n">
        <s:v>104823</s:v>
      </s:c>
      <s:c r="D268" s="0" t="n">
        <s:v>1088</s:v>
      </s:c>
      <s:c r="F268" s="24">
        <s:f>'자료구성'!$B$2+TIME(INT($C$3/10000),INT(MOD($C$3,10000)/100),MOD($C$3,100))+(ROW()-ROW($C$3))/86400</s:f>
        <s:v>46247.45333333333</s:v>
      </s:c>
    </s:row>
    <s:row r="269">
      <s:c r="A269" s="0" t="n">
        <s:v>260813</s:v>
      </s:c>
      <s:c r="B269" s="0" t="inlineStr">
        <s:is>
          <s:t>이종훈</s:t>
        </s:is>
      </s:c>
      <s:c r="C269" s="0" t="n">
        <s:v>104823</s:v>
      </s:c>
      <s:c r="D269" s="0" t="n">
        <s:v>1074</s:v>
      </s:c>
      <s:c r="F269" s="24">
        <s:f>'자료구성'!$B$2+TIME(INT($C$3/10000),INT(MOD($C$3,10000)/100),MOD($C$3,100))+(ROW()-ROW($C$3))/86400</s:f>
        <s:v>46247.45334490741</s:v>
      </s:c>
    </s:row>
    <s:row r="270">
      <s:c r="A270" s="0" t="n">
        <s:v>260813</s:v>
      </s:c>
      <s:c r="B270" s="0" t="inlineStr">
        <s:is>
          <s:t>이종훈</s:t>
        </s:is>
      </s:c>
      <s:c r="C270" s="0" t="n">
        <s:v>104823</s:v>
      </s:c>
      <s:c r="D270" s="0" t="n">
        <s:v>1045</s:v>
      </s:c>
      <s:c r="F270" s="24">
        <s:f>'자료구성'!$B$2+TIME(INT($C$3/10000),INT(MOD($C$3,10000)/100),MOD($C$3,100))+(ROW()-ROW($C$3))/86400</s:f>
        <s:v>46247.453356481485</s:v>
      </s:c>
    </s:row>
    <s:row r="271">
      <s:c r="A271" s="0" t="n">
        <s:v>260813</s:v>
      </s:c>
      <s:c r="B271" s="0" t="inlineStr">
        <s:is>
          <s:t>이종훈</s:t>
        </s:is>
      </s:c>
      <s:c r="C271" s="0" t="n">
        <s:v>104823</s:v>
      </s:c>
      <s:c r="D271" s="0" t="n">
        <s:v>1035</s:v>
      </s:c>
      <s:c r="F271" s="24">
        <s:f>'자료구성'!$B$2+TIME(INT($C$3/10000),INT(MOD($C$3,10000)/100),MOD($C$3,100))+(ROW()-ROW($C$3))/86400</s:f>
        <s:v>46247.453368055554</s:v>
      </s:c>
    </s:row>
    <s:row r="272">
      <s:c r="A272" s="0" t="n">
        <s:v>260813</s:v>
      </s:c>
      <s:c r="B272" s="0" t="inlineStr">
        <s:is>
          <s:t>이종훈</s:t>
        </s:is>
      </s:c>
      <s:c r="C272" s="0" t="n">
        <s:v>104823</s:v>
      </s:c>
      <s:c r="D272" s="0" t="n">
        <s:v>1030</s:v>
      </s:c>
      <s:c r="F272" s="24">
        <s:f>'자료구성'!$B$2+TIME(INT($C$3/10000),INT(MOD($C$3,10000)/100),MOD($C$3,100))+(ROW()-ROW($C$3))/86400</s:f>
        <s:v>46247.45337962963</s:v>
      </s:c>
    </s:row>
    <s:row r="273">
      <s:c r="A273" s="0" t="n">
        <s:v>260813</s:v>
      </s:c>
      <s:c r="B273" s="0" t="inlineStr">
        <s:is>
          <s:t>이종훈</s:t>
        </s:is>
      </s:c>
      <s:c r="C273" s="0" t="n">
        <s:v>104823</s:v>
      </s:c>
      <s:c r="D273" s="0" t="n">
        <s:v>1045</s:v>
      </s:c>
      <s:c r="F273" s="24">
        <s:f>'자료구성'!$B$2+TIME(INT($C$3/10000),INT(MOD($C$3,10000)/100),MOD($C$3,100))+(ROW()-ROW($C$3))/86400</s:f>
        <s:v>46247.4533912037</s:v>
      </s:c>
    </s:row>
    <s:row r="274">
      <s:c r="A274" s="0" t="n">
        <s:v>260813</s:v>
      </s:c>
      <s:c r="B274" s="0" t="inlineStr">
        <s:is>
          <s:t>이종훈</s:t>
        </s:is>
      </s:c>
      <s:c r="C274" s="0" t="n">
        <s:v>104823</s:v>
      </s:c>
      <s:c r="D274" s="0" t="n">
        <s:v>1060</s:v>
      </s:c>
      <s:c r="F274" s="24">
        <s:f>'자료구성'!$B$2+TIME(INT($C$3/10000),INT(MOD($C$3,10000)/100),MOD($C$3,100))+(ROW()-ROW($C$3))/86400</s:f>
        <s:v>46247.45340277778</s:v>
      </s:c>
    </s:row>
    <s:row r="275">
      <s:c r="A275" s="0" t="n">
        <s:v>260813</s:v>
      </s:c>
      <s:c r="B275" s="0" t="inlineStr">
        <s:is>
          <s:t>이종훈</s:t>
        </s:is>
      </s:c>
      <s:c r="C275" s="0" t="n">
        <s:v>104823</s:v>
      </s:c>
      <s:c r="D275" s="0" t="n">
        <s:v>1054</s:v>
      </s:c>
      <s:c r="F275" s="24">
        <s:f>'자료구성'!$B$2+TIME(INT($C$3/10000),INT(MOD($C$3,10000)/100),MOD($C$3,100))+(ROW()-ROW($C$3))/86400</s:f>
        <s:v>46247.453414351854</s:v>
      </s:c>
    </s:row>
    <s:row r="276">
      <s:c r="A276" s="0" t="n">
        <s:v>260813</s:v>
      </s:c>
      <s:c r="B276" s="0" t="inlineStr">
        <s:is>
          <s:t>이종훈</s:t>
        </s:is>
      </s:c>
      <s:c r="C276" s="0" t="n">
        <s:v>104823</s:v>
      </s:c>
      <s:c r="D276" s="0" t="n">
        <s:v>1030</s:v>
      </s:c>
      <s:c r="F276" s="24">
        <s:f>'자료구성'!$B$2+TIME(INT($C$3/10000),INT(MOD($C$3,10000)/100),MOD($C$3,100))+(ROW()-ROW($C$3))/86400</s:f>
        <s:v>46247.45342592592</s:v>
      </s:c>
    </s:row>
    <s:row r="277">
      <s:c r="A277" s="0" t="n">
        <s:v>260813</s:v>
      </s:c>
      <s:c r="B277" s="0" t="inlineStr">
        <s:is>
          <s:t>이종훈</s:t>
        </s:is>
      </s:c>
      <s:c r="C277" s="0" t="n">
        <s:v>104823</s:v>
      </s:c>
      <s:c r="D277" s="0" t="n">
        <s:v>1013</s:v>
      </s:c>
      <s:c r="F277" s="24">
        <s:f>'자료구성'!$B$2+TIME(INT($C$3/10000),INT(MOD($C$3,10000)/100),MOD($C$3,100))+(ROW()-ROW($C$3))/86400</s:f>
        <s:v>46247.4534375</s:v>
      </s:c>
    </s:row>
    <s:row r="278">
      <s:c r="A278" s="0" t="n">
        <s:v>260813</s:v>
      </s:c>
      <s:c r="B278" s="0" t="inlineStr">
        <s:is>
          <s:t>이종훈</s:t>
        </s:is>
      </s:c>
      <s:c r="C278" s="0" t="n">
        <s:v>104823</s:v>
      </s:c>
      <s:c r="D278" s="0" t="n">
        <s:v>1001</s:v>
      </s:c>
      <s:c r="F278" s="24">
        <s:f>'자료구성'!$B$2+TIME(INT($C$3/10000),INT(MOD($C$3,10000)/100),MOD($C$3,100))+(ROW()-ROW($C$3))/86400</s:f>
        <s:v>46247.45344907408</s:v>
      </s:c>
    </s:row>
    <s:row r="279">
      <s:c r="A279" s="0" t="n">
        <s:v>260813</s:v>
      </s:c>
      <s:c r="B279" s="0" t="inlineStr">
        <s:is>
          <s:t>이종훈</s:t>
        </s:is>
      </s:c>
      <s:c r="C279" s="0" t="n">
        <s:v>104823</s:v>
      </s:c>
      <s:c r="D279" s="0" t="n">
        <s:v>1007</s:v>
      </s:c>
      <s:c r="F279" s="24">
        <s:f>'자료구성'!$B$2+TIME(INT($C$3/10000),INT(MOD($C$3,10000)/100),MOD($C$3,100))+(ROW()-ROW($C$3))/86400</s:f>
        <s:v>46247.45346064815</s:v>
      </s:c>
    </s:row>
    <s:row r="280">
      <s:c r="A280" s="0" t="n">
        <s:v>260813</s:v>
      </s:c>
      <s:c r="B280" s="0" t="inlineStr">
        <s:is>
          <s:t>이종훈</s:t>
        </s:is>
      </s:c>
      <s:c r="C280" s="0" t="n">
        <s:v>104823</s:v>
      </s:c>
      <s:c r="D280" s="0" t="n">
        <s:v>1012</s:v>
      </s:c>
      <s:c r="F280" s="24">
        <s:f>'자료구성'!$B$2+TIME(INT($C$3/10000),INT(MOD($C$3,10000)/100),MOD($C$3,100))+(ROW()-ROW($C$3))/86400</s:f>
        <s:v>46247.45347222222</s:v>
      </s:c>
    </s:row>
    <s:row r="281">
      <s:c r="A281" s="0" t="n">
        <s:v>260813</s:v>
      </s:c>
      <s:c r="B281" s="0" t="inlineStr">
        <s:is>
          <s:t>이종훈</s:t>
        </s:is>
      </s:c>
      <s:c r="C281" s="0" t="n">
        <s:v>104823</s:v>
      </s:c>
      <s:c r="D281" s="0" t="n">
        <s:v>1017</s:v>
      </s:c>
      <s:c r="F281" s="24">
        <s:f>'자료구성'!$B$2+TIME(INT($C$3/10000),INT(MOD($C$3,10000)/100),MOD($C$3,100))+(ROW()-ROW($C$3))/86400</s:f>
        <s:v>46247.45348379629</s:v>
      </s:c>
    </s:row>
    <s:row r="282">
      <s:c r="A282" s="0" t="n">
        <s:v>260813</s:v>
      </s:c>
      <s:c r="B282" s="0" t="inlineStr">
        <s:is>
          <s:t>이종훈</s:t>
        </s:is>
      </s:c>
      <s:c r="C282" s="0" t="n">
        <s:v>104823</s:v>
      </s:c>
      <s:c r="D282" s="0" t="n">
        <s:v>1016</s:v>
      </s:c>
      <s:c r="F282" s="24">
        <s:f>'자료구성'!$B$2+TIME(INT($C$3/10000),INT(MOD($C$3,10000)/100),MOD($C$3,100))+(ROW()-ROW($C$3))/86400</s:f>
        <s:v>46247.45349537037</s:v>
      </s:c>
    </s:row>
    <s:row r="283">
      <s:c r="A283" s="0" t="n">
        <s:v>260813</s:v>
      </s:c>
      <s:c r="B283" s="0" t="inlineStr">
        <s:is>
          <s:t>이종훈</s:t>
        </s:is>
      </s:c>
      <s:c r="C283" s="0" t="n">
        <s:v>104823</s:v>
      </s:c>
      <s:c r="D283" s="0" t="n">
        <s:v>1008</s:v>
      </s:c>
      <s:c r="F283" s="24">
        <s:f>'자료구성'!$B$2+TIME(INT($C$3/10000),INT(MOD($C$3,10000)/100),MOD($C$3,100))+(ROW()-ROW($C$3))/86400</s:f>
        <s:v>46247.45350694445</s:v>
      </s:c>
    </s:row>
    <s:row r="284">
      <s:c r="A284" s="0" t="n">
        <s:v>260813</s:v>
      </s:c>
      <s:c r="B284" s="0" t="inlineStr">
        <s:is>
          <s:t>이종훈</s:t>
        </s:is>
      </s:c>
      <s:c r="C284" s="0" t="n">
        <s:v>104823</s:v>
      </s:c>
      <s:c r="D284" s="0" t="n">
        <s:v>1017</s:v>
      </s:c>
      <s:c r="F284" s="24">
        <s:f>'자료구성'!$B$2+TIME(INT($C$3/10000),INT(MOD($C$3,10000)/100),MOD($C$3,100))+(ROW()-ROW($C$3))/86400</s:f>
        <s:v>46247.453518518516</s:v>
      </s:c>
    </s:row>
    <s:row r="285">
      <s:c r="A285" s="0" t="n">
        <s:v>260813</s:v>
      </s:c>
      <s:c r="B285" s="0" t="inlineStr">
        <s:is>
          <s:t>이종훈</s:t>
        </s:is>
      </s:c>
      <s:c r="C285" s="0" t="n">
        <s:v>104823</s:v>
      </s:c>
      <s:c r="D285" s="0" t="n">
        <s:v>1047</s:v>
      </s:c>
      <s:c r="F285" s="24">
        <s:f>'자료구성'!$B$2+TIME(INT($C$3/10000),INT(MOD($C$3,10000)/100),MOD($C$3,100))+(ROW()-ROW($C$3))/86400</s:f>
        <s:v>46247.45353009259</s:v>
      </s:c>
    </s:row>
    <s:row r="286">
      <s:c r="A286" s="0" t="n">
        <s:v>260813</s:v>
      </s:c>
      <s:c r="B286" s="0" t="inlineStr">
        <s:is>
          <s:t>이종훈</s:t>
        </s:is>
      </s:c>
      <s:c r="C286" s="0" t="n">
        <s:v>104823</s:v>
      </s:c>
      <s:c r="D286" s="0" t="n">
        <s:v>1060</s:v>
      </s:c>
      <s:c r="F286" s="24">
        <s:f>'자료구성'!$B$2+TIME(INT($C$3/10000),INT(MOD($C$3,10000)/100),MOD($C$3,100))+(ROW()-ROW($C$3))/86400</s:f>
        <s:v>46247.45354166667</s:v>
      </s:c>
    </s:row>
    <s:row r="287">
      <s:c r="A287" s="0" t="n">
        <s:v>260813</s:v>
      </s:c>
      <s:c r="B287" s="0" t="inlineStr">
        <s:is>
          <s:t>이종훈</s:t>
        </s:is>
      </s:c>
      <s:c r="C287" s="0" t="n">
        <s:v>104823</s:v>
      </s:c>
      <s:c r="D287" s="0" t="n">
        <s:v>1050</s:v>
      </s:c>
      <s:c r="F287" s="24">
        <s:f>'자료구성'!$B$2+TIME(INT($C$3/10000),INT(MOD($C$3,10000)/100),MOD($C$3,100))+(ROW()-ROW($C$3))/86400</s:f>
        <s:v>46247.45355324074</s:v>
      </s:c>
    </s:row>
    <s:row r="288">
      <s:c r="A288" s="0" t="n">
        <s:v>260813</s:v>
      </s:c>
      <s:c r="B288" s="0" t="inlineStr">
        <s:is>
          <s:t>이종훈</s:t>
        </s:is>
      </s:c>
      <s:c r="C288" s="0" t="n">
        <s:v>104823</s:v>
      </s:c>
      <s:c r="D288" s="0" t="n">
        <s:v>1039</s:v>
      </s:c>
      <s:c r="F288" s="24">
        <s:f>'자료구성'!$B$2+TIME(INT($C$3/10000),INT(MOD($C$3,10000)/100),MOD($C$3,100))+(ROW()-ROW($C$3))/86400</s:f>
        <s:v>46247.453564814816</s:v>
      </s:c>
    </s:row>
    <s:row r="289">
      <s:c r="A289" s="0" t="n">
        <s:v>260813</s:v>
      </s:c>
      <s:c r="B289" s="0" t="inlineStr">
        <s:is>
          <s:t>이종훈</s:t>
        </s:is>
      </s:c>
      <s:c r="C289" s="0" t="n">
        <s:v>104823</s:v>
      </s:c>
      <s:c r="D289" s="0" t="n">
        <s:v>1042</s:v>
      </s:c>
      <s:c r="F289" s="24">
        <s:f>'자료구성'!$B$2+TIME(INT($C$3/10000),INT(MOD($C$3,10000)/100),MOD($C$3,100))+(ROW()-ROW($C$3))/86400</s:f>
        <s:v>46247.453576388885</s:v>
      </s:c>
    </s:row>
    <s:row r="290">
      <s:c r="A290" s="0" t="n">
        <s:v>260813</s:v>
      </s:c>
      <s:c r="B290" s="0" t="inlineStr">
        <s:is>
          <s:t>이종훈</s:t>
        </s:is>
      </s:c>
      <s:c r="C290" s="0" t="n">
        <s:v>104823</s:v>
      </s:c>
      <s:c r="D290" s="0" t="n">
        <s:v>1060</s:v>
      </s:c>
      <s:c r="F290" s="24">
        <s:f>'자료구성'!$B$2+TIME(INT($C$3/10000),INT(MOD($C$3,10000)/100),MOD($C$3,100))+(ROW()-ROW($C$3))/86400</s:f>
        <s:v>46247.45358796296</s:v>
      </s:c>
    </s:row>
    <s:row r="291">
      <s:c r="A291" s="0" t="n">
        <s:v>260813</s:v>
      </s:c>
      <s:c r="B291" s="0" t="inlineStr">
        <s:is>
          <s:t>이종훈</s:t>
        </s:is>
      </s:c>
      <s:c r="C291" s="0" t="n">
        <s:v>104823</s:v>
      </s:c>
      <s:c r="D291" s="0" t="n">
        <s:v>1067</s:v>
      </s:c>
      <s:c r="F291" s="24">
        <s:f>'자료구성'!$B$2+TIME(INT($C$3/10000),INT(MOD($C$3,10000)/100),MOD($C$3,100))+(ROW()-ROW($C$3))/86400</s:f>
        <s:v>46247.45359953704</s:v>
      </s:c>
    </s:row>
    <s:row r="292">
      <s:c r="A292" s="0" t="n">
        <s:v>260813</s:v>
      </s:c>
      <s:c r="B292" s="0" t="inlineStr">
        <s:is>
          <s:t>이종훈</s:t>
        </s:is>
      </s:c>
      <s:c r="C292" s="0" t="n">
        <s:v>104823</s:v>
      </s:c>
      <s:c r="D292" s="0" t="n">
        <s:v>1058</s:v>
      </s:c>
      <s:c r="F292" s="24">
        <s:f>'자료구성'!$B$2+TIME(INT($C$3/10000),INT(MOD($C$3,10000)/100),MOD($C$3,100))+(ROW()-ROW($C$3))/86400</s:f>
        <s:v>46247.45361111111</s:v>
      </s:c>
    </s:row>
    <s:row r="293">
      <s:c r="A293" s="0" t="n">
        <s:v>260813</s:v>
      </s:c>
      <s:c r="B293" s="0" t="inlineStr">
        <s:is>
          <s:t>이종훈</s:t>
        </s:is>
      </s:c>
      <s:c r="C293" s="0" t="n">
        <s:v>104823</s:v>
      </s:c>
      <s:c r="D293" s="0" t="n">
        <s:v>1058</s:v>
      </s:c>
      <s:c r="F293" s="24">
        <s:f>'자료구성'!$B$2+TIME(INT($C$3/10000),INT(MOD($C$3,10000)/100),MOD($C$3,100))+(ROW()-ROW($C$3))/86400</s:f>
        <s:v>46247.453622685185</s:v>
      </s:c>
    </s:row>
    <s:row r="294">
      <s:c r="A294" s="0" t="n">
        <s:v>260813</s:v>
      </s:c>
      <s:c r="B294" s="0" t="inlineStr">
        <s:is>
          <s:t>이종훈</s:t>
        </s:is>
      </s:c>
      <s:c r="C294" s="0" t="n">
        <s:v>104823</s:v>
      </s:c>
      <s:c r="D294" s="0" t="n">
        <s:v>1052</s:v>
      </s:c>
      <s:c r="F294" s="24">
        <s:f>'자료구성'!$B$2+TIME(INT($C$3/10000),INT(MOD($C$3,10000)/100),MOD($C$3,100))+(ROW()-ROW($C$3))/86400</s:f>
        <s:v>46247.45363425926</s:v>
      </s:c>
    </s:row>
    <s:row r="295">
      <s:c r="A295" s="0" t="n">
        <s:v>260813</s:v>
      </s:c>
      <s:c r="B295" s="0" t="inlineStr">
        <s:is>
          <s:t>이종훈</s:t>
        </s:is>
      </s:c>
      <s:c r="C295" s="0" t="n">
        <s:v>104823</s:v>
      </s:c>
      <s:c r="D295" s="0" t="n">
        <s:v>1058</s:v>
      </s:c>
      <s:c r="F295" s="24">
        <s:f>'자료구성'!$B$2+TIME(INT($C$3/10000),INT(MOD($C$3,10000)/100),MOD($C$3,100))+(ROW()-ROW($C$3))/86400</s:f>
        <s:v>46247.45364583333</s:v>
      </s:c>
    </s:row>
    <s:row r="296">
      <s:c r="A296" s="0" t="n">
        <s:v>260813</s:v>
      </s:c>
      <s:c r="B296" s="0" t="inlineStr">
        <s:is>
          <s:t>이종훈</s:t>
        </s:is>
      </s:c>
      <s:c r="C296" s="0" t="n">
        <s:v>104823</s:v>
      </s:c>
      <s:c r="D296" s="0" t="n">
        <s:v>1065</s:v>
      </s:c>
      <s:c r="F296" s="24">
        <s:f>'자료구성'!$B$2+TIME(INT($C$3/10000),INT(MOD($C$3,10000)/100),MOD($C$3,100))+(ROW()-ROW($C$3))/86400</s:f>
        <s:v>46247.45365740741</s:v>
      </s:c>
    </s:row>
    <s:row r="297">
      <s:c r="A297" s="0" t="n">
        <s:v>260813</s:v>
      </s:c>
      <s:c r="B297" s="0" t="inlineStr">
        <s:is>
          <s:t>이종훈</s:t>
        </s:is>
      </s:c>
      <s:c r="C297" s="0" t="n">
        <s:v>104823</s:v>
      </s:c>
      <s:c r="D297" s="0" t="n">
        <s:v>1061</s:v>
      </s:c>
      <s:c r="F297" s="24">
        <s:f>'자료구성'!$B$2+TIME(INT($C$3/10000),INT(MOD($C$3,10000)/100),MOD($C$3,100))+(ROW()-ROW($C$3))/86400</s:f>
        <s:v>46247.453668981485</s:v>
      </s:c>
    </s:row>
    <s:row r="298">
      <s:c r="A298" s="0" t="n">
        <s:v>260813</s:v>
      </s:c>
      <s:c r="B298" s="0" t="inlineStr">
        <s:is>
          <s:t>이종훈</s:t>
        </s:is>
      </s:c>
      <s:c r="C298" s="0" t="n">
        <s:v>104823</s:v>
      </s:c>
      <s:c r="D298" s="0" t="n">
        <s:v>1058</s:v>
      </s:c>
      <s:c r="F298" s="24">
        <s:f>'자료구성'!$B$2+TIME(INT($C$3/10000),INT(MOD($C$3,10000)/100),MOD($C$3,100))+(ROW()-ROW($C$3))/86400</s:f>
        <s:v>46247.453680555554</s:v>
      </s:c>
    </s:row>
    <s:row r="299">
      <s:c r="A299" s="0" t="n">
        <s:v>260813</s:v>
      </s:c>
      <s:c r="B299" s="0" t="inlineStr">
        <s:is>
          <s:t>이종훈</s:t>
        </s:is>
      </s:c>
      <s:c r="C299" s="0" t="n">
        <s:v>104823</s:v>
      </s:c>
      <s:c r="D299" s="0" t="n">
        <s:v>1056</s:v>
      </s:c>
      <s:c r="F299" s="24">
        <s:f>'자료구성'!$B$2+TIME(INT($C$3/10000),INT(MOD($C$3,10000)/100),MOD($C$3,100))+(ROW()-ROW($C$3))/86400</s:f>
        <s:v>46247.45369212963</s:v>
      </s:c>
    </s:row>
    <s:row r="300">
      <s:c r="A300" s="0" t="n">
        <s:v>260813</s:v>
      </s:c>
      <s:c r="B300" s="0" t="inlineStr">
        <s:is>
          <s:t>이종훈</s:t>
        </s:is>
      </s:c>
      <s:c r="C300" s="0" t="n">
        <s:v>104823</s:v>
      </s:c>
      <s:c r="D300" s="0" t="n">
        <s:v>1081</s:v>
      </s:c>
      <s:c r="F300" s="24">
        <s:f>'자료구성'!$B$2+TIME(INT($C$3/10000),INT(MOD($C$3,10000)/100),MOD($C$3,100))+(ROW()-ROW($C$3))/86400</s:f>
        <s:v>46247.4537037037</s:v>
      </s:c>
    </s:row>
    <s:row r="301">
      <s:c r="A301" s="0" t="n">
        <s:v>260813</s:v>
      </s:c>
      <s:c r="B301" s="0" t="inlineStr">
        <s:is>
          <s:t>이종훈</s:t>
        </s:is>
      </s:c>
      <s:c r="C301" s="0" t="n">
        <s:v>104823</s:v>
      </s:c>
      <s:c r="D301" s="0" t="n">
        <s:v>1078</s:v>
      </s:c>
      <s:c r="F301" s="24">
        <s:f>'자료구성'!$B$2+TIME(INT($C$3/10000),INT(MOD($C$3,10000)/100),MOD($C$3,100))+(ROW()-ROW($C$3))/86400</s:f>
        <s:v>46247.45371527778</s:v>
      </s:c>
    </s:row>
    <s:row r="302">
      <s:c r="A302" s="0" t="n">
        <s:v>260813</s:v>
      </s:c>
      <s:c r="B302" s="0" t="inlineStr">
        <s:is>
          <s:t>이종훈</s:t>
        </s:is>
      </s:c>
      <s:c r="C302" s="0" t="n">
        <s:v>104823</s:v>
      </s:c>
      <s:c r="D302" s="0" t="n">
        <s:v>1075</s:v>
      </s:c>
      <s:c r="F302" s="24">
        <s:f>'자료구성'!$B$2+TIME(INT($C$3/10000),INT(MOD($C$3,10000)/100),MOD($C$3,100))+(ROW()-ROW($C$3))/86400</s:f>
        <s:v>46247.453726851854</s:v>
      </s:c>
    </s:row>
    <s:row r="303">
      <s:c r="A303" s="0" t="n">
        <s:v>260813</s:v>
      </s:c>
      <s:c r="B303" s="0" t="inlineStr">
        <s:is>
          <s:t>이종훈</s:t>
        </s:is>
      </s:c>
      <s:c r="C303" s="0" t="n">
        <s:v>104823</s:v>
      </s:c>
      <s:c r="D303" s="0" t="n">
        <s:v>1090</s:v>
      </s:c>
      <s:c r="F303" s="24">
        <s:f>'자료구성'!$B$2+TIME(INT($C$3/10000),INT(MOD($C$3,10000)/100),MOD($C$3,100))+(ROW()-ROW($C$3))/86400</s:f>
        <s:v>46247.453738425924</s:v>
      </s:c>
    </s:row>
    <s:row r="304">
      <s:c r="A304" s="0" t="n">
        <s:v>260813</s:v>
      </s:c>
      <s:c r="B304" s="0" t="inlineStr">
        <s:is>
          <s:t>이종훈</s:t>
        </s:is>
      </s:c>
      <s:c r="C304" s="0" t="n">
        <s:v>104823</s:v>
      </s:c>
      <s:c r="D304" s="0" t="n">
        <s:v>1089</s:v>
      </s:c>
      <s:c r="F304" s="24">
        <s:f>'자료구성'!$B$2+TIME(INT($C$3/10000),INT(MOD($C$3,10000)/100),MOD($C$3,100))+(ROW()-ROW($C$3))/86400</s:f>
        <s:v>46247.45375</s:v>
      </s:c>
    </s:row>
    <s:row r="305">
      <s:c r="A305" s="0" t="n">
        <s:v>260813</s:v>
      </s:c>
      <s:c r="B305" s="0" t="inlineStr">
        <s:is>
          <s:t>이종훈</s:t>
        </s:is>
      </s:c>
      <s:c r="C305" s="0" t="n">
        <s:v>104823</s:v>
      </s:c>
      <s:c r="D305" s="0" t="n">
        <s:v>1083</s:v>
      </s:c>
      <s:c r="F305" s="24">
        <s:f>'자료구성'!$B$2+TIME(INT($C$3/10000),INT(MOD($C$3,10000)/100),MOD($C$3,100))+(ROW()-ROW($C$3))/86400</s:f>
        <s:v>46247.45376157408</s:v>
      </s:c>
    </s:row>
    <s:row r="306">
      <s:c r="A306" s="0" t="n">
        <s:v>260813</s:v>
      </s:c>
      <s:c r="B306" s="0" t="inlineStr">
        <s:is>
          <s:t>이종훈</s:t>
        </s:is>
      </s:c>
      <s:c r="C306" s="0" t="n">
        <s:v>104823</s:v>
      </s:c>
      <s:c r="D306" s="0" t="n">
        <s:v>1073</s:v>
      </s:c>
      <s:c r="F306" s="24">
        <s:f>'자료구성'!$B$2+TIME(INT($C$3/10000),INT(MOD($C$3,10000)/100),MOD($C$3,100))+(ROW()-ROW($C$3))/86400</s:f>
        <s:v>46247.45377314815</s:v>
      </s:c>
    </s:row>
    <s:row r="307">
      <s:c r="A307" s="0" t="n">
        <s:v>260813</s:v>
      </s:c>
      <s:c r="B307" s="0" t="inlineStr">
        <s:is>
          <s:t>이종훈</s:t>
        </s:is>
      </s:c>
      <s:c r="C307" s="0" t="n">
        <s:v>104823</s:v>
      </s:c>
      <s:c r="D307" s="0" t="n">
        <s:v>1062</s:v>
      </s:c>
      <s:c r="F307" s="24">
        <s:f>'자료구성'!$B$2+TIME(INT($C$3/10000),INT(MOD($C$3,10000)/100),MOD($C$3,100))+(ROW()-ROW($C$3))/86400</s:f>
        <s:v>46247.453784722224</s:v>
      </s:c>
    </s:row>
    <s:row r="308">
      <s:c r="A308" s="0" t="n">
        <s:v>260813</s:v>
      </s:c>
      <s:c r="B308" s="0" t="inlineStr">
        <s:is>
          <s:t>이종훈</s:t>
        </s:is>
      </s:c>
      <s:c r="C308" s="0" t="n">
        <s:v>104823</s:v>
      </s:c>
      <s:c r="D308" s="0" t="n">
        <s:v>1065</s:v>
      </s:c>
      <s:c r="F308" s="24">
        <s:f>'자료구성'!$B$2+TIME(INT($C$3/10000),INT(MOD($C$3,10000)/100),MOD($C$3,100))+(ROW()-ROW($C$3))/86400</s:f>
        <s:v>46247.45379629629</s:v>
      </s:c>
    </s:row>
    <s:row r="309">
      <s:c r="A309" s="0" t="n">
        <s:v>260813</s:v>
      </s:c>
      <s:c r="B309" s="0" t="inlineStr">
        <s:is>
          <s:t>이종훈</s:t>
        </s:is>
      </s:c>
      <s:c r="C309" s="0" t="n">
        <s:v>104823</s:v>
      </s:c>
      <s:c r="D309" s="0" t="n">
        <s:v>1078</s:v>
      </s:c>
      <s:c r="F309" s="24">
        <s:f>'자료구성'!$B$2+TIME(INT($C$3/10000),INT(MOD($C$3,10000)/100),MOD($C$3,100))+(ROW()-ROW($C$3))/86400</s:f>
        <s:v>46247.45380787037</s:v>
      </s:c>
    </s:row>
    <s:row r="310">
      <s:c r="A310" s="0" t="n">
        <s:v>260813</s:v>
      </s:c>
      <s:c r="B310" s="0" t="inlineStr">
        <s:is>
          <s:t>이종훈</s:t>
        </s:is>
      </s:c>
      <s:c r="C310" s="0" t="n">
        <s:v>104823</s:v>
      </s:c>
      <s:c r="D310" s="0" t="n">
        <s:v>1099</s:v>
      </s:c>
      <s:c r="F310" s="24">
        <s:f>'자료구성'!$B$2+TIME(INT($C$3/10000),INT(MOD($C$3,10000)/100),MOD($C$3,100))+(ROW()-ROW($C$3))/86400</s:f>
        <s:v>46247.45381944445</s:v>
      </s:c>
    </s:row>
    <s:row r="311">
      <s:c r="A311" s="0" t="n">
        <s:v>260813</s:v>
      </s:c>
      <s:c r="B311" s="0" t="inlineStr">
        <s:is>
          <s:t>이종훈</s:t>
        </s:is>
      </s:c>
      <s:c r="C311" s="0" t="n">
        <s:v>104823</s:v>
      </s:c>
      <s:c r="D311" s="0" t="n">
        <s:v>1110</s:v>
      </s:c>
      <s:c r="F311" s="24">
        <s:f>'자료구성'!$B$2+TIME(INT($C$3/10000),INT(MOD($C$3,10000)/100),MOD($C$3,100))+(ROW()-ROW($C$3))/86400</s:f>
        <s:v>46247.453831018516</s:v>
      </s:c>
    </s:row>
    <s:row r="312">
      <s:c r="A312" s="0" t="n">
        <s:v>260813</s:v>
      </s:c>
      <s:c r="B312" s="0" t="inlineStr">
        <s:is>
          <s:t>이종훈</s:t>
        </s:is>
      </s:c>
      <s:c r="C312" s="0" t="n">
        <s:v>104823</s:v>
      </s:c>
      <s:c r="D312" s="0" t="n">
        <s:v>1131</s:v>
      </s:c>
      <s:c r="F312" s="24">
        <s:f>'자료구성'!$B$2+TIME(INT($C$3/10000),INT(MOD($C$3,10000)/100),MOD($C$3,100))+(ROW()-ROW($C$3))/86400</s:f>
        <s:v>46247.45384259259</s:v>
      </s:c>
    </s:row>
    <s:row r="313">
      <s:c r="A313" s="0" t="n">
        <s:v>260813</s:v>
      </s:c>
      <s:c r="B313" s="0" t="inlineStr">
        <s:is>
          <s:t>이종훈</s:t>
        </s:is>
      </s:c>
      <s:c r="C313" s="0" t="n">
        <s:v>104823</s:v>
      </s:c>
      <s:c r="D313" s="0" t="n">
        <s:v>1140</s:v>
      </s:c>
      <s:c r="F313" s="24">
        <s:f>'자료구성'!$B$2+TIME(INT($C$3/10000),INT(MOD($C$3,10000)/100),MOD($C$3,100))+(ROW()-ROW($C$3))/86400</s:f>
        <s:v>46247.45385416667</s:v>
      </s:c>
    </s:row>
    <s:row r="314">
      <s:c r="A314" s="0" t="n">
        <s:v>260813</s:v>
      </s:c>
      <s:c r="B314" s="0" t="inlineStr">
        <s:is>
          <s:t>이종훈</s:t>
        </s:is>
      </s:c>
      <s:c r="C314" s="0" t="n">
        <s:v>104823</s:v>
      </s:c>
      <s:c r="D314" s="0" t="n">
        <s:v>1142</s:v>
      </s:c>
      <s:c r="F314" s="24">
        <s:f>'자료구성'!$B$2+TIME(INT($C$3/10000),INT(MOD($C$3,10000)/100),MOD($C$3,100))+(ROW()-ROW($C$3))/86400</s:f>
        <s:v>46247.45386574074</s:v>
      </s:c>
    </s:row>
    <s:row r="315">
      <s:c r="A315" s="0" t="n">
        <s:v>260813</s:v>
      </s:c>
      <s:c r="B315" s="0" t="inlineStr">
        <s:is>
          <s:t>이종훈</s:t>
        </s:is>
      </s:c>
      <s:c r="C315" s="0" t="n">
        <s:v>104823</s:v>
      </s:c>
      <s:c r="D315" s="0" t="n">
        <s:v>1146</s:v>
      </s:c>
      <s:c r="F315" s="24">
        <s:f>'자료구성'!$B$2+TIME(INT($C$3/10000),INT(MOD($C$3,10000)/100),MOD($C$3,100))+(ROW()-ROW($C$3))/86400</s:f>
        <s:v>46247.453877314816</s:v>
      </s:c>
    </s:row>
    <s:row r="316">
      <s:c r="A316" s="0" t="n">
        <s:v>260813</s:v>
      </s:c>
      <s:c r="B316" s="0" t="inlineStr">
        <s:is>
          <s:t>이종훈</s:t>
        </s:is>
      </s:c>
      <s:c r="C316" s="0" t="n">
        <s:v>104823</s:v>
      </s:c>
      <s:c r="D316" s="0" t="n">
        <s:v>1145</s:v>
      </s:c>
      <s:c r="F316" s="24">
        <s:f>'자료구성'!$B$2+TIME(INT($C$3/10000),INT(MOD($C$3,10000)/100),MOD($C$3,100))+(ROW()-ROW($C$3))/86400</s:f>
        <s:v>46247.453888888886</s:v>
      </s:c>
    </s:row>
    <s:row r="317">
      <s:c r="A317" s="0" t="n">
        <s:v>260813</s:v>
      </s:c>
      <s:c r="B317" s="0" t="inlineStr">
        <s:is>
          <s:t>이종훈</s:t>
        </s:is>
      </s:c>
      <s:c r="C317" s="0" t="n">
        <s:v>104823</s:v>
      </s:c>
      <s:c r="D317" s="0" t="n">
        <s:v>1136</s:v>
      </s:c>
      <s:c r="F317" s="24">
        <s:f>'자료구성'!$B$2+TIME(INT($C$3/10000),INT(MOD($C$3,10000)/100),MOD($C$3,100))+(ROW()-ROW($C$3))/86400</s:f>
        <s:v>46247.45390046296</s:v>
      </s:c>
    </s:row>
    <s:row r="318">
      <s:c r="A318" s="0" t="n">
        <s:v>260813</s:v>
      </s:c>
      <s:c r="B318" s="0" t="inlineStr">
        <s:is>
          <s:t>이종훈</s:t>
        </s:is>
      </s:c>
      <s:c r="C318" s="0" t="n">
        <s:v>104823</s:v>
      </s:c>
      <s:c r="D318" s="0" t="n">
        <s:v>1155</s:v>
      </s:c>
      <s:c r="F318" s="24">
        <s:f>'자료구성'!$B$2+TIME(INT($C$3/10000),INT(MOD($C$3,10000)/100),MOD($C$3,100))+(ROW()-ROW($C$3))/86400</s:f>
        <s:v>46247.45391203704</s:v>
      </s:c>
    </s:row>
    <s:row r="319">
      <s:c r="A319" s="0" t="n">
        <s:v>260813</s:v>
      </s:c>
      <s:c r="B319" s="0" t="inlineStr">
        <s:is>
          <s:t>이종훈</s:t>
        </s:is>
      </s:c>
      <s:c r="C319" s="0" t="n">
        <s:v>104823</s:v>
      </s:c>
      <s:c r="D319" s="0" t="n">
        <s:v>1180</s:v>
      </s:c>
      <s:c r="F319" s="24">
        <s:f>'자료구성'!$B$2+TIME(INT($C$3/10000),INT(MOD($C$3,10000)/100),MOD($C$3,100))+(ROW()-ROW($C$3))/86400</s:f>
        <s:v>46247.45392361111</s:v>
      </s:c>
    </s:row>
    <s:row r="320">
      <s:c r="A320" s="0" t="n">
        <s:v>260813</s:v>
      </s:c>
      <s:c r="B320" s="0" t="inlineStr">
        <s:is>
          <s:t>이종훈</s:t>
        </s:is>
      </s:c>
      <s:c r="C320" s="0" t="n">
        <s:v>104823</s:v>
      </s:c>
      <s:c r="D320" s="0" t="n">
        <s:v>1192</s:v>
      </s:c>
      <s:c r="F320" s="24">
        <s:f>'자료구성'!$B$2+TIME(INT($C$3/10000),INT(MOD($C$3,10000)/100),MOD($C$3,100))+(ROW()-ROW($C$3))/86400</s:f>
        <s:v>46247.453935185185</s:v>
      </s:c>
    </s:row>
    <s:row r="321">
      <s:c r="A321" s="0" t="n">
        <s:v>260813</s:v>
      </s:c>
      <s:c r="B321" s="0" t="inlineStr">
        <s:is>
          <s:t>이종훈</s:t>
        </s:is>
      </s:c>
      <s:c r="C321" s="0" t="n">
        <s:v>104823</s:v>
      </s:c>
      <s:c r="D321" s="0" t="n">
        <s:v>1211</s:v>
      </s:c>
      <s:c r="F321" s="24">
        <s:f>'자료구성'!$B$2+TIME(INT($C$3/10000),INT(MOD($C$3,10000)/100),MOD($C$3,100))+(ROW()-ROW($C$3))/86400</s:f>
        <s:v>46247.45394675926</s:v>
      </s:c>
    </s:row>
    <s:row r="322">
      <s:c r="A322" s="0" t="n">
        <s:v>260813</s:v>
      </s:c>
      <s:c r="B322" s="0" t="inlineStr">
        <s:is>
          <s:t>이종훈</s:t>
        </s:is>
      </s:c>
      <s:c r="C322" s="0" t="n">
        <s:v>104823</s:v>
      </s:c>
      <s:c r="D322" s="0" t="n">
        <s:v>1233</s:v>
      </s:c>
      <s:c r="F322" s="24">
        <s:f>'자료구성'!$B$2+TIME(INT($C$3/10000),INT(MOD($C$3,10000)/100),MOD($C$3,100))+(ROW()-ROW($C$3))/86400</s:f>
        <s:v>46247.45395833333</s:v>
      </s:c>
    </s:row>
    <s:row r="323">
      <s:c r="A323" s="0" t="n">
        <s:v>260813</s:v>
      </s:c>
      <s:c r="B323" s="0" t="inlineStr">
        <s:is>
          <s:t>이종훈</s:t>
        </s:is>
      </s:c>
      <s:c r="C323" s="0" t="n">
        <s:v>104823</s:v>
      </s:c>
      <s:c r="D323" s="0" t="n">
        <s:v>1245</s:v>
      </s:c>
      <s:c r="F323" s="24">
        <s:f>'자료구성'!$B$2+TIME(INT($C$3/10000),INT(MOD($C$3,10000)/100),MOD($C$3,100))+(ROW()-ROW($C$3))/86400</s:f>
        <s:v>46247.45396990741</s:v>
      </s:c>
    </s:row>
    <s:row r="324">
      <s:c r="A324" s="0" t="n">
        <s:v>260813</s:v>
      </s:c>
      <s:c r="B324" s="0" t="inlineStr">
        <s:is>
          <s:t>이종훈</s:t>
        </s:is>
      </s:c>
      <s:c r="C324" s="0" t="n">
        <s:v>104823</s:v>
      </s:c>
      <s:c r="D324" s="0" t="n">
        <s:v>1242</s:v>
      </s:c>
      <s:c r="F324" s="24">
        <s:f>'자료구성'!$B$2+TIME(INT($C$3/10000),INT(MOD($C$3,10000)/100),MOD($C$3,100))+(ROW()-ROW($C$3))/86400</s:f>
        <s:v>46247.45398148148</s:v>
      </s:c>
    </s:row>
    <s:row r="325">
      <s:c r="A325" s="0" t="n">
        <s:v>260813</s:v>
      </s:c>
      <s:c r="B325" s="0" t="inlineStr">
        <s:is>
          <s:t>이종훈</s:t>
        </s:is>
      </s:c>
      <s:c r="C325" s="0" t="n">
        <s:v>104823</s:v>
      </s:c>
      <s:c r="D325" s="0" t="n">
        <s:v>1236</s:v>
      </s:c>
      <s:c r="F325" s="24">
        <s:f>'자료구성'!$B$2+TIME(INT($C$3/10000),INT(MOD($C$3,10000)/100),MOD($C$3,100))+(ROW()-ROW($C$3))/86400</s:f>
        <s:v>46247.453993055555</s:v>
      </s:c>
    </s:row>
    <s:row r="326">
      <s:c r="A326" s="0" t="n">
        <s:v>260813</s:v>
      </s:c>
      <s:c r="B326" s="0" t="inlineStr">
        <s:is>
          <s:t>이종훈</s:t>
        </s:is>
      </s:c>
      <s:c r="C326" s="0" t="n">
        <s:v>104823</s:v>
      </s:c>
      <s:c r="D326" s="0" t="n">
        <s:v>1241</s:v>
      </s:c>
      <s:c r="F326" s="24">
        <s:f>'자료구성'!$B$2+TIME(INT($C$3/10000),INT(MOD($C$3,10000)/100),MOD($C$3,100))+(ROW()-ROW($C$3))/86400</s:f>
        <s:v>46247.45400462963</s:v>
      </s:c>
    </s:row>
    <s:row r="327">
      <s:c r="A327" s="0" t="n">
        <s:v>260813</s:v>
      </s:c>
      <s:c r="B327" s="0" t="inlineStr">
        <s:is>
          <s:t>이종훈</s:t>
        </s:is>
      </s:c>
      <s:c r="C327" s="0" t="n">
        <s:v>104823</s:v>
      </s:c>
      <s:c r="D327" s="0" t="n">
        <s:v>1242</s:v>
      </s:c>
      <s:c r="F327" s="24">
        <s:f>'자료구성'!$B$2+TIME(INT($C$3/10000),INT(MOD($C$3,10000)/100),MOD($C$3,100))+(ROW()-ROW($C$3))/86400</s:f>
        <s:v>46247.4540162037</s:v>
      </s:c>
    </s:row>
    <s:row r="328">
      <s:c r="A328" s="0" t="n">
        <s:v>260813</s:v>
      </s:c>
      <s:c r="B328" s="0" t="inlineStr">
        <s:is>
          <s:t>이종훈</s:t>
        </s:is>
      </s:c>
      <s:c r="C328" s="0" t="n">
        <s:v>104823</s:v>
      </s:c>
      <s:c r="D328" s="0" t="n">
        <s:v>1227</s:v>
      </s:c>
      <s:c r="F328" s="24">
        <s:f>'자료구성'!$B$2+TIME(INT($C$3/10000),INT(MOD($C$3,10000)/100),MOD($C$3,100))+(ROW()-ROW($C$3))/86400</s:f>
        <s:v>46247.45402777778</s:v>
      </s:c>
    </s:row>
    <s:row r="329">
      <s:c r="A329" s="0" t="n">
        <s:v>260813</s:v>
      </s:c>
      <s:c r="B329" s="0" t="inlineStr">
        <s:is>
          <s:t>이종훈</s:t>
        </s:is>
      </s:c>
      <s:c r="C329" s="0" t="n">
        <s:v>104823</s:v>
      </s:c>
      <s:c r="D329" s="0" t="n">
        <s:v>1231</s:v>
      </s:c>
      <s:c r="F329" s="24">
        <s:f>'자료구성'!$B$2+TIME(INT($C$3/10000),INT(MOD($C$3,10000)/100),MOD($C$3,100))+(ROW()-ROW($C$3))/86400</s:f>
        <s:v>46247.454039351855</s:v>
      </s:c>
    </s:row>
    <s:row r="330">
      <s:c r="A330" s="0" t="n">
        <s:v>260813</s:v>
      </s:c>
      <s:c r="B330" s="0" t="inlineStr">
        <s:is>
          <s:t>이종훈</s:t>
        </s:is>
      </s:c>
      <s:c r="C330" s="0" t="n">
        <s:v>104823</s:v>
      </s:c>
      <s:c r="D330" s="0" t="n">
        <s:v>1242</s:v>
      </s:c>
      <s:c r="F330" s="24">
        <s:f>'자료구성'!$B$2+TIME(INT($C$3/10000),INT(MOD($C$3,10000)/100),MOD($C$3,100))+(ROW()-ROW($C$3))/86400</s:f>
        <s:v>46247.454050925924</s:v>
      </s:c>
    </s:row>
    <s:row r="331">
      <s:c r="A331" s="0" t="n">
        <s:v>260813</s:v>
      </s:c>
      <s:c r="B331" s="0" t="inlineStr">
        <s:is>
          <s:t>이종훈</s:t>
        </s:is>
      </s:c>
      <s:c r="C331" s="0" t="n">
        <s:v>104823</s:v>
      </s:c>
      <s:c r="D331" s="0" t="n">
        <s:v>1249</s:v>
      </s:c>
      <s:c r="F331" s="24">
        <s:f>'자료구성'!$B$2+TIME(INT($C$3/10000),INT(MOD($C$3,10000)/100),MOD($C$3,100))+(ROW()-ROW($C$3))/86400</s:f>
        <s:v>46247.4540625</s:v>
      </s:c>
    </s:row>
    <s:row r="332">
      <s:c r="A332" s="0" t="n">
        <s:v>260813</s:v>
      </s:c>
      <s:c r="B332" s="0" t="inlineStr">
        <s:is>
          <s:t>이종훈</s:t>
        </s:is>
      </s:c>
      <s:c r="C332" s="0" t="n">
        <s:v>104823</s:v>
      </s:c>
      <s:c r="D332" s="0" t="n">
        <s:v>1252</s:v>
      </s:c>
      <s:c r="F332" s="24">
        <s:f>'자료구성'!$B$2+TIME(INT($C$3/10000),INT(MOD($C$3,10000)/100),MOD($C$3,100))+(ROW()-ROW($C$3))/86400</s:f>
        <s:v>46247.45407407408</s:v>
      </s:c>
    </s:row>
    <s:row r="333">
      <s:c r="A333" s="0" t="n">
        <s:v>260813</s:v>
      </s:c>
      <s:c r="B333" s="0" t="inlineStr">
        <s:is>
          <s:t>이종훈</s:t>
        </s:is>
      </s:c>
      <s:c r="C333" s="0" t="n">
        <s:v>104823</s:v>
      </s:c>
      <s:c r="D333" s="0" t="n">
        <s:v>1239</s:v>
      </s:c>
      <s:c r="F333" s="24">
        <s:f>'자료구성'!$B$2+TIME(INT($C$3/10000),INT(MOD($C$3,10000)/100),MOD($C$3,100))+(ROW()-ROW($C$3))/86400</s:f>
        <s:v>46247.45408564815</s:v>
      </s:c>
    </s:row>
    <s:row r="334">
      <s:c r="A334" s="0" t="n">
        <s:v>260813</s:v>
      </s:c>
      <s:c r="B334" s="0" t="inlineStr">
        <s:is>
          <s:t>이종훈</s:t>
        </s:is>
      </s:c>
      <s:c r="C334" s="0" t="n">
        <s:v>104823</s:v>
      </s:c>
      <s:c r="D334" s="0" t="n">
        <s:v>1229</s:v>
      </s:c>
      <s:c r="F334" s="24">
        <s:f>'자료구성'!$B$2+TIME(INT($C$3/10000),INT(MOD($C$3,10000)/100),MOD($C$3,100))+(ROW()-ROW($C$3))/86400</s:f>
        <s:v>46247.454097222224</s:v>
      </s:c>
    </s:row>
    <s:row r="335">
      <s:c r="A335" s="0" t="n">
        <s:v>260813</s:v>
      </s:c>
      <s:c r="B335" s="0" t="inlineStr">
        <s:is>
          <s:t>이종훈</s:t>
        </s:is>
      </s:c>
      <s:c r="C335" s="0" t="n">
        <s:v>104823</s:v>
      </s:c>
      <s:c r="D335" s="0" t="n">
        <s:v>1224</s:v>
      </s:c>
      <s:c r="F335" s="24">
        <s:f>'자료구성'!$B$2+TIME(INT($C$3/10000),INT(MOD($C$3,10000)/100),MOD($C$3,100))+(ROW()-ROW($C$3))/86400</s:f>
        <s:v>46247.45410879629</s:v>
      </s:c>
    </s:row>
    <s:row r="336">
      <s:c r="A336" s="0" t="n">
        <s:v>260813</s:v>
      </s:c>
      <s:c r="B336" s="0" t="inlineStr">
        <s:is>
          <s:t>이종훈</s:t>
        </s:is>
      </s:c>
      <s:c r="C336" s="0" t="n">
        <s:v>104823</s:v>
      </s:c>
      <s:c r="D336" s="0" t="n">
        <s:v>1212</s:v>
      </s:c>
      <s:c r="F336" s="24">
        <s:f>'자료구성'!$B$2+TIME(INT($C$3/10000),INT(MOD($C$3,10000)/100),MOD($C$3,100))+(ROW()-ROW($C$3))/86400</s:f>
        <s:v>46247.45412037037</s:v>
      </s:c>
    </s:row>
    <s:row r="337">
      <s:c r="A337" s="0" t="n">
        <s:v>260813</s:v>
      </s:c>
      <s:c r="B337" s="0" t="inlineStr">
        <s:is>
          <s:t>이종훈</s:t>
        </s:is>
      </s:c>
      <s:c r="C337" s="0" t="n">
        <s:v>104823</s:v>
      </s:c>
      <s:c r="D337" s="0" t="n">
        <s:v>1213</s:v>
      </s:c>
      <s:c r="F337" s="24">
        <s:f>'자료구성'!$B$2+TIME(INT($C$3/10000),INT(MOD($C$3,10000)/100),MOD($C$3,100))+(ROW()-ROW($C$3))/86400</s:f>
        <s:v>46247.45413194445</s:v>
      </s:c>
    </s:row>
    <s:row r="338">
      <s:c r="A338" s="0" t="n">
        <s:v>260813</s:v>
      </s:c>
      <s:c r="B338" s="0" t="inlineStr">
        <s:is>
          <s:t>이종훈</s:t>
        </s:is>
      </s:c>
      <s:c r="C338" s="0" t="n">
        <s:v>104823</s:v>
      </s:c>
      <s:c r="D338" s="0" t="n">
        <s:v>1219</s:v>
      </s:c>
      <s:c r="F338" s="24">
        <s:f>'자료구성'!$B$2+TIME(INT($C$3/10000),INT(MOD($C$3,10000)/100),MOD($C$3,100))+(ROW()-ROW($C$3))/86400</s:f>
        <s:v>46247.45414351852</s:v>
      </s:c>
    </s:row>
    <s:row r="339">
      <s:c r="A339" s="0" t="n">
        <s:v>260813</s:v>
      </s:c>
      <s:c r="B339" s="0" t="inlineStr">
        <s:is>
          <s:t>이종훈</s:t>
        </s:is>
      </s:c>
      <s:c r="C339" s="0" t="n">
        <s:v>104823</s:v>
      </s:c>
      <s:c r="D339" s="0" t="n">
        <s:v>1264</s:v>
      </s:c>
      <s:c r="F339" s="24">
        <s:f>'자료구성'!$B$2+TIME(INT($C$3/10000),INT(MOD($C$3,10000)/100),MOD($C$3,100))+(ROW()-ROW($C$3))/86400</s:f>
        <s:v>46247.45415509259</s:v>
      </s:c>
    </s:row>
    <s:row r="340">
      <s:c r="A340" s="0" t="n">
        <s:v>260813</s:v>
      </s:c>
      <s:c r="B340" s="0" t="inlineStr">
        <s:is>
          <s:t>이종훈</s:t>
        </s:is>
      </s:c>
      <s:c r="C340" s="0" t="n">
        <s:v>104823</s:v>
      </s:c>
      <s:c r="D340" s="0" t="n">
        <s:v>1288</s:v>
      </s:c>
      <s:c r="F340" s="24">
        <s:f>'자료구성'!$B$2+TIME(INT($C$3/10000),INT(MOD($C$3,10000)/100),MOD($C$3,100))+(ROW()-ROW($C$3))/86400</s:f>
        <s:v>46247.45416666667</s:v>
      </s:c>
    </s:row>
    <s:row r="341">
      <s:c r="A341" s="0" t="n">
        <s:v>260813</s:v>
      </s:c>
      <s:c r="B341" s="0" t="inlineStr">
        <s:is>
          <s:t>이종훈</s:t>
        </s:is>
      </s:c>
      <s:c r="C341" s="0" t="n">
        <s:v>104823</s:v>
      </s:c>
      <s:c r="D341" s="0" t="n">
        <s:v>1306</s:v>
      </s:c>
      <s:c r="F341" s="24">
        <s:f>'자료구성'!$B$2+TIME(INT($C$3/10000),INT(MOD($C$3,10000)/100),MOD($C$3,100))+(ROW()-ROW($C$3))/86400</s:f>
        <s:v>46247.45417824074</s:v>
      </s:c>
    </s:row>
    <s:row r="342">
      <s:c r="A342" s="0" t="n">
        <s:v>260813</s:v>
      </s:c>
      <s:c r="B342" s="0" t="inlineStr">
        <s:is>
          <s:t>이종훈</s:t>
        </s:is>
      </s:c>
      <s:c r="C342" s="0" t="n">
        <s:v>104823</s:v>
      </s:c>
      <s:c r="D342" s="0" t="n">
        <s:v>1320</s:v>
      </s:c>
      <s:c r="F342" s="24">
        <s:f>'자료구성'!$B$2+TIME(INT($C$3/10000),INT(MOD($C$3,10000)/100),MOD($C$3,100))+(ROW()-ROW($C$3))/86400</s:f>
        <s:v>46247.454189814816</s:v>
      </s:c>
    </s:row>
    <s:row r="343">
      <s:c r="A343" s="0" t="n">
        <s:v>260813</s:v>
      </s:c>
      <s:c r="B343" s="0" t="inlineStr">
        <s:is>
          <s:t>이종훈</s:t>
        </s:is>
      </s:c>
      <s:c r="C343" s="0" t="n">
        <s:v>104823</s:v>
      </s:c>
      <s:c r="D343" s="0" t="n">
        <s:v>1312</s:v>
      </s:c>
      <s:c r="F343" s="24">
        <s:f>'자료구성'!$B$2+TIME(INT($C$3/10000),INT(MOD($C$3,10000)/100),MOD($C$3,100))+(ROW()-ROW($C$3))/86400</s:f>
        <s:v>46247.454201388886</s:v>
      </s:c>
    </s:row>
    <s:row r="344">
      <s:c r="A344" s="0" t="n">
        <s:v>260813</s:v>
      </s:c>
      <s:c r="B344" s="0" t="inlineStr">
        <s:is>
          <s:t>이종훈</s:t>
        </s:is>
      </s:c>
      <s:c r="C344" s="0" t="n">
        <s:v>104823</s:v>
      </s:c>
      <s:c r="D344" s="0" t="n">
        <s:v>1300</s:v>
      </s:c>
      <s:c r="F344" s="24">
        <s:f>'자료구성'!$B$2+TIME(INT($C$3/10000),INT(MOD($C$3,10000)/100),MOD($C$3,100))+(ROW()-ROW($C$3))/86400</s:f>
        <s:v>46247.45421296296</s:v>
      </s:c>
    </s:row>
    <s:row r="345">
      <s:c r="A345" s="0" t="n">
        <s:v>260813</s:v>
      </s:c>
      <s:c r="B345" s="0" t="inlineStr">
        <s:is>
          <s:t>이종훈</s:t>
        </s:is>
      </s:c>
      <s:c r="C345" s="0" t="n">
        <s:v>104823</s:v>
      </s:c>
      <s:c r="D345" s="0" t="n">
        <s:v>1295</s:v>
      </s:c>
      <s:c r="F345" s="24">
        <s:f>'자료구성'!$B$2+TIME(INT($C$3/10000),INT(MOD($C$3,10000)/100),MOD($C$3,100))+(ROW()-ROW($C$3))/86400</s:f>
        <s:v>46247.45422453704</s:v>
      </s:c>
    </s:row>
    <s:row r="346">
      <s:c r="A346" s="0" t="n">
        <s:v>260813</s:v>
      </s:c>
      <s:c r="B346" s="0" t="inlineStr">
        <s:is>
          <s:t>이종훈</s:t>
        </s:is>
      </s:c>
      <s:c r="C346" s="0" t="n">
        <s:v>104823</s:v>
      </s:c>
      <s:c r="D346" s="0" t="n">
        <s:v>1305</s:v>
      </s:c>
      <s:c r="F346" s="24">
        <s:f>'자료구성'!$B$2+TIME(INT($C$3/10000),INT(MOD($C$3,10000)/100),MOD($C$3,100))+(ROW()-ROW($C$3))/86400</s:f>
        <s:v>46247.45423611111</s:v>
      </s:c>
    </s:row>
    <s:row r="347">
      <s:c r="A347" s="0" t="n">
        <s:v>260813</s:v>
      </s:c>
      <s:c r="B347" s="0" t="inlineStr">
        <s:is>
          <s:t>이종훈</s:t>
        </s:is>
      </s:c>
      <s:c r="C347" s="0" t="n">
        <s:v>104823</s:v>
      </s:c>
      <s:c r="D347" s="0" t="n">
        <s:v>1357</s:v>
      </s:c>
      <s:c r="F347" s="24">
        <s:f>'자료구성'!$B$2+TIME(INT($C$3/10000),INT(MOD($C$3,10000)/100),MOD($C$3,100))+(ROW()-ROW($C$3))/86400</s:f>
        <s:v>46247.454247685186</s:v>
      </s:c>
    </s:row>
    <s:row r="348">
      <s:c r="A348" s="0" t="n">
        <s:v>260813</s:v>
      </s:c>
      <s:c r="B348" s="0" t="inlineStr">
        <s:is>
          <s:t>이종훈</s:t>
        </s:is>
      </s:c>
      <s:c r="C348" s="0" t="n">
        <s:v>104823</s:v>
      </s:c>
      <s:c r="D348" s="0" t="n">
        <s:v>1444</s:v>
      </s:c>
      <s:c r="F348" s="24">
        <s:f>'자료구성'!$B$2+TIME(INT($C$3/10000),INT(MOD($C$3,10000)/100),MOD($C$3,100))+(ROW()-ROW($C$3))/86400</s:f>
        <s:v>46247.45425925926</s:v>
      </s:c>
    </s:row>
    <s:row r="349">
      <s:c r="A349" s="0" t="n">
        <s:v>260813</s:v>
      </s:c>
      <s:c r="B349" s="0" t="inlineStr">
        <s:is>
          <s:t>이종훈</s:t>
        </s:is>
      </s:c>
      <s:c r="C349" s="0" t="n">
        <s:v>104823</s:v>
      </s:c>
      <s:c r="D349" s="0" t="n">
        <s:v>1446</s:v>
      </s:c>
      <s:c r="F349" s="24">
        <s:f>'자료구성'!$B$2+TIME(INT($C$3/10000),INT(MOD($C$3,10000)/100),MOD($C$3,100))+(ROW()-ROW($C$3))/86400</s:f>
        <s:v>46247.45427083333</s:v>
      </s:c>
    </s:row>
    <s:row r="350">
      <s:c r="A350" s="0" t="n">
        <s:v>260813</s:v>
      </s:c>
      <s:c r="B350" s="0" t="inlineStr">
        <s:is>
          <s:t>이종훈</s:t>
        </s:is>
      </s:c>
      <s:c r="C350" s="0" t="n">
        <s:v>104823</s:v>
      </s:c>
      <s:c r="D350" s="0" t="n">
        <s:v>1441</s:v>
      </s:c>
      <s:c r="F350" s="24">
        <s:f>'자료구성'!$B$2+TIME(INT($C$3/10000),INT(MOD($C$3,10000)/100),MOD($C$3,100))+(ROW()-ROW($C$3))/86400</s:f>
        <s:v>46247.45428240741</s:v>
      </s:c>
    </s:row>
    <s:row r="351">
      <s:c r="A351" s="0" t="n">
        <s:v>260813</s:v>
      </s:c>
      <s:c r="B351" s="0" t="inlineStr">
        <s:is>
          <s:t>이종훈</s:t>
        </s:is>
      </s:c>
      <s:c r="C351" s="0" t="n">
        <s:v>104823</s:v>
      </s:c>
      <s:c r="D351" s="0" t="n">
        <s:v>1460</s:v>
      </s:c>
      <s:c r="F351" s="24">
        <s:f>'자료구성'!$B$2+TIME(INT($C$3/10000),INT(MOD($C$3,10000)/100),MOD($C$3,100))+(ROW()-ROW($C$3))/86400</s:f>
        <s:v>46247.45429398148</s:v>
      </s:c>
    </s:row>
    <s:row r="352">
      <s:c r="A352" s="0" t="n">
        <s:v>260813</s:v>
      </s:c>
      <s:c r="B352" s="0" t="inlineStr">
        <s:is>
          <s:t>이종훈</s:t>
        </s:is>
      </s:c>
      <s:c r="C352" s="0" t="n">
        <s:v>104823</s:v>
      </s:c>
      <s:c r="D352" s="0" t="n">
        <s:v>1471</s:v>
      </s:c>
      <s:c r="F352" s="24">
        <s:f>'자료구성'!$B$2+TIME(INT($C$3/10000),INT(MOD($C$3,10000)/100),MOD($C$3,100))+(ROW()-ROW($C$3))/86400</s:f>
        <s:v>46247.454305555555</s:v>
      </s:c>
    </s:row>
    <s:row r="353">
      <s:c r="A353" s="0" t="n">
        <s:v>260813</s:v>
      </s:c>
      <s:c r="B353" s="0" t="inlineStr">
        <s:is>
          <s:t>이종훈</s:t>
        </s:is>
      </s:c>
      <s:c r="C353" s="0" t="n">
        <s:v>104823</s:v>
      </s:c>
      <s:c r="D353" s="0" t="n">
        <s:v>1487</s:v>
      </s:c>
      <s:c r="F353" s="24">
        <s:f>'자료구성'!$B$2+TIME(INT($C$3/10000),INT(MOD($C$3,10000)/100),MOD($C$3,100))+(ROW()-ROW($C$3))/86400</s:f>
        <s:v>46247.45431712963</s:v>
      </s:c>
    </s:row>
    <s:row r="354">
      <s:c r="A354" s="0" t="n">
        <s:v>260813</s:v>
      </s:c>
      <s:c r="B354" s="0" t="inlineStr">
        <s:is>
          <s:t>이종훈</s:t>
        </s:is>
      </s:c>
      <s:c r="C354" s="0" t="n">
        <s:v>104823</s:v>
      </s:c>
      <s:c r="D354" s="0" t="n">
        <s:v>1487</s:v>
      </s:c>
      <s:c r="F354" s="24">
        <s:f>'자료구성'!$B$2+TIME(INT($C$3/10000),INT(MOD($C$3,10000)/100),MOD($C$3,100))+(ROW()-ROW($C$3))/86400</s:f>
        <s:v>46247.4543287037</s:v>
      </s:c>
    </s:row>
    <s:row r="355">
      <s:c r="A355" s="0" t="n">
        <s:v>260813</s:v>
      </s:c>
      <s:c r="B355" s="0" t="inlineStr">
        <s:is>
          <s:t>이종훈</s:t>
        </s:is>
      </s:c>
      <s:c r="C355" s="0" t="n">
        <s:v>104823</s:v>
      </s:c>
      <s:c r="D355" s="0" t="n">
        <s:v>1495</s:v>
      </s:c>
      <s:c r="F355" s="24">
        <s:f>'자료구성'!$B$2+TIME(INT($C$3/10000),INT(MOD($C$3,10000)/100),MOD($C$3,100))+(ROW()-ROW($C$3))/86400</s:f>
        <s:v>46247.45434027778</s:v>
      </s:c>
    </s:row>
    <s:row r="356">
      <s:c r="A356" s="0" t="n">
        <s:v>260813</s:v>
      </s:c>
      <s:c r="B356" s="0" t="inlineStr">
        <s:is>
          <s:t>이종훈</s:t>
        </s:is>
      </s:c>
      <s:c r="C356" s="0" t="n">
        <s:v>104823</s:v>
      </s:c>
      <s:c r="D356" s="0" t="n">
        <s:v>1506</s:v>
      </s:c>
      <s:c r="F356" s="24">
        <s:f>'자료구성'!$B$2+TIME(INT($C$3/10000),INT(MOD($C$3,10000)/100),MOD($C$3,100))+(ROW()-ROW($C$3))/86400</s:f>
        <s:v>46247.454351851855</s:v>
      </s:c>
    </s:row>
    <s:row r="357">
      <s:c r="A357" s="0" t="n">
        <s:v>260813</s:v>
      </s:c>
      <s:c r="B357" s="0" t="inlineStr">
        <s:is>
          <s:t>이종훈</s:t>
        </s:is>
      </s:c>
      <s:c r="C357" s="0" t="n">
        <s:v>104823</s:v>
      </s:c>
      <s:c r="D357" s="0" t="n">
        <s:v>1493</s:v>
      </s:c>
      <s:c r="F357" s="24">
        <s:f>'자료구성'!$B$2+TIME(INT($C$3/10000),INT(MOD($C$3,10000)/100),MOD($C$3,100))+(ROW()-ROW($C$3))/86400</s:f>
        <s:v>46247.454363425924</s:v>
      </s:c>
    </s:row>
    <s:row r="358">
      <s:c r="A358" s="0" t="n">
        <s:v>260813</s:v>
      </s:c>
      <s:c r="B358" s="0" t="inlineStr">
        <s:is>
          <s:t>이종훈</s:t>
        </s:is>
      </s:c>
      <s:c r="C358" s="0" t="n">
        <s:v>104823</s:v>
      </s:c>
      <s:c r="D358" s="0" t="n">
        <s:v>1491</s:v>
      </s:c>
      <s:c r="F358" s="24">
        <s:f>'자료구성'!$B$2+TIME(INT($C$3/10000),INT(MOD($C$3,10000)/100),MOD($C$3,100))+(ROW()-ROW($C$3))/86400</s:f>
        <s:v>46247.454375</s:v>
      </s:c>
    </s:row>
    <s:row r="359">
      <s:c r="A359" s="0" t="n">
        <s:v>260813</s:v>
      </s:c>
      <s:c r="B359" s="0" t="inlineStr">
        <s:is>
          <s:t>이종훈</s:t>
        </s:is>
      </s:c>
      <s:c r="C359" s="0" t="n">
        <s:v>104823</s:v>
      </s:c>
      <s:c r="D359" s="0" t="n">
        <s:v>1488</s:v>
      </s:c>
      <s:c r="F359" s="24">
        <s:f>'자료구성'!$B$2+TIME(INT($C$3/10000),INT(MOD($C$3,10000)/100),MOD($C$3,100))+(ROW()-ROW($C$3))/86400</s:f>
        <s:v>46247.45438657407</s:v>
      </s:c>
    </s:row>
    <s:row r="360">
      <s:c r="A360" s="0" t="n">
        <s:v>260813</s:v>
      </s:c>
      <s:c r="B360" s="0" t="inlineStr">
        <s:is>
          <s:t>이종훈</s:t>
        </s:is>
      </s:c>
      <s:c r="C360" s="0" t="n">
        <s:v>104823</s:v>
      </s:c>
      <s:c r="D360" s="0" t="n">
        <s:v>1477</s:v>
      </s:c>
      <s:c r="F360" s="24">
        <s:f>'자료구성'!$B$2+TIME(INT($C$3/10000),INT(MOD($C$3,10000)/100),MOD($C$3,100))+(ROW()-ROW($C$3))/86400</s:f>
        <s:v>46247.45439814815</s:v>
      </s:c>
    </s:row>
    <s:row r="361">
      <s:c r="A361" s="0" t="n">
        <s:v>260813</s:v>
      </s:c>
      <s:c r="B361" s="0" t="inlineStr">
        <s:is>
          <s:t>이종훈</s:t>
        </s:is>
      </s:c>
      <s:c r="C361" s="0" t="n">
        <s:v>104823</s:v>
      </s:c>
      <s:c r="D361" s="0" t="n">
        <s:v>1465</s:v>
      </s:c>
      <s:c r="F361" s="24">
        <s:f>'자료구성'!$B$2+TIME(INT($C$3/10000),INT(MOD($C$3,10000)/100),MOD($C$3,100))+(ROW()-ROW($C$3))/86400</s:f>
        <s:v>46247.454409722224</s:v>
      </s:c>
    </s:row>
    <s:row r="362">
      <s:c r="A362" s="0" t="n">
        <s:v>260813</s:v>
      </s:c>
      <s:c r="B362" s="0" t="inlineStr">
        <s:is>
          <s:t>이종훈</s:t>
        </s:is>
      </s:c>
      <s:c r="C362" s="0" t="n">
        <s:v>104823</s:v>
      </s:c>
      <s:c r="D362" s="0" t="n">
        <s:v>1467</s:v>
      </s:c>
      <s:c r="F362" s="24">
        <s:f>'자료구성'!$B$2+TIME(INT($C$3/10000),INT(MOD($C$3,10000)/100),MOD($C$3,100))+(ROW()-ROW($C$3))/86400</s:f>
        <s:v>46247.454421296294</s:v>
      </s:c>
    </s:row>
    <s:row r="363">
      <s:c r="A363" s="0" t="n">
        <s:v>260813</s:v>
      </s:c>
      <s:c r="B363" s="0" t="inlineStr">
        <s:is>
          <s:t>이종훈</s:t>
        </s:is>
      </s:c>
      <s:c r="C363" s="0" t="n">
        <s:v>104823</s:v>
      </s:c>
      <s:c r="D363" s="0" t="n">
        <s:v>1476</s:v>
      </s:c>
      <s:c r="F363" s="24">
        <s:f>'자료구성'!$B$2+TIME(INT($C$3/10000),INT(MOD($C$3,10000)/100),MOD($C$3,100))+(ROW()-ROW($C$3))/86400</s:f>
        <s:v>46247.45443287037</s:v>
      </s:c>
    </s:row>
    <s:row r="364">
      <s:c r="A364" s="0" t="n">
        <s:v>260813</s:v>
      </s:c>
      <s:c r="B364" s="0" t="inlineStr">
        <s:is>
          <s:t>이종훈</s:t>
        </s:is>
      </s:c>
      <s:c r="C364" s="0" t="n">
        <s:v>104823</s:v>
      </s:c>
      <s:c r="D364" s="0" t="n">
        <s:v>1484</s:v>
      </s:c>
      <s:c r="F364" s="24">
        <s:f>'자료구성'!$B$2+TIME(INT($C$3/10000),INT(MOD($C$3,10000)/100),MOD($C$3,100))+(ROW()-ROW($C$3))/86400</s:f>
        <s:v>46247.45444444445</s:v>
      </s:c>
    </s:row>
    <s:row r="365">
      <s:c r="A365" s="0" t="n">
        <s:v>260813</s:v>
      </s:c>
      <s:c r="B365" s="0" t="inlineStr">
        <s:is>
          <s:t>이종훈</s:t>
        </s:is>
      </s:c>
      <s:c r="C365" s="0" t="n">
        <s:v>104823</s:v>
      </s:c>
      <s:c r="D365" s="0" t="n">
        <s:v>1494</s:v>
      </s:c>
      <s:c r="F365" s="24">
        <s:f>'자료구성'!$B$2+TIME(INT($C$3/10000),INT(MOD($C$3,10000)/100),MOD($C$3,100))+(ROW()-ROW($C$3))/86400</s:f>
        <s:v>46247.45445601852</s:v>
      </s:c>
    </s:row>
    <s:row r="366">
      <s:c r="A366" s="0" t="n">
        <s:v>260813</s:v>
      </s:c>
      <s:c r="B366" s="0" t="inlineStr">
        <s:is>
          <s:t>이종훈</s:t>
        </s:is>
      </s:c>
      <s:c r="C366" s="0" t="n">
        <s:v>104823</s:v>
      </s:c>
      <s:c r="D366" s="0" t="n">
        <s:v>1507</s:v>
      </s:c>
      <s:c r="F366" s="24">
        <s:f>'자료구성'!$B$2+TIME(INT($C$3/10000),INT(MOD($C$3,10000)/100),MOD($C$3,100))+(ROW()-ROW($C$3))/86400</s:f>
        <s:v>46247.45446759259</s:v>
      </s:c>
    </s:row>
    <s:row r="367">
      <s:c r="A367" s="0" t="n">
        <s:v>260813</s:v>
      </s:c>
      <s:c r="B367" s="0" t="inlineStr">
        <s:is>
          <s:t>이종훈</s:t>
        </s:is>
      </s:c>
      <s:c r="C367" s="0" t="n">
        <s:v>104823</s:v>
      </s:c>
      <s:c r="D367" s="0" t="n">
        <s:v>1479</s:v>
      </s:c>
      <s:c r="F367" s="24">
        <s:f>'자료구성'!$B$2+TIME(INT($C$3/10000),INT(MOD($C$3,10000)/100),MOD($C$3,100))+(ROW()-ROW($C$3))/86400</s:f>
        <s:v>46247.45447916666</s:v>
      </s:c>
    </s:row>
    <s:row r="368">
      <s:c r="A368" s="0" t="n">
        <s:v>260813</s:v>
      </s:c>
      <s:c r="B368" s="0" t="inlineStr">
        <s:is>
          <s:t>이종훈</s:t>
        </s:is>
      </s:c>
      <s:c r="C368" s="0" t="n">
        <s:v>104823</s:v>
      </s:c>
      <s:c r="D368" s="0" t="n">
        <s:v>1466</s:v>
      </s:c>
      <s:c r="F368" s="24">
        <s:f>'자료구성'!$B$2+TIME(INT($C$3/10000),INT(MOD($C$3,10000)/100),MOD($C$3,100))+(ROW()-ROW($C$3))/86400</s:f>
        <s:v>46247.45449074074</s:v>
      </s:c>
    </s:row>
    <s:row r="369">
      <s:c r="A369" s="0" t="n">
        <s:v>260813</s:v>
      </s:c>
      <s:c r="B369" s="0" t="inlineStr">
        <s:is>
          <s:t>이종훈</s:t>
        </s:is>
      </s:c>
      <s:c r="C369" s="0" t="n">
        <s:v>104823</s:v>
      </s:c>
      <s:c r="D369" s="0" t="n">
        <s:v>1450</s:v>
      </s:c>
      <s:c r="F369" s="24">
        <s:f>'자료구성'!$B$2+TIME(INT($C$3/10000),INT(MOD($C$3,10000)/100),MOD($C$3,100))+(ROW()-ROW($C$3))/86400</s:f>
        <s:v>46247.45450231482</s:v>
      </s:c>
    </s:row>
    <s:row r="370">
      <s:c r="A370" s="0" t="n">
        <s:v>260813</s:v>
      </s:c>
      <s:c r="B370" s="0" t="inlineStr">
        <s:is>
          <s:t>이종훈</s:t>
        </s:is>
      </s:c>
      <s:c r="C370" s="0" t="n">
        <s:v>104823</s:v>
      </s:c>
      <s:c r="D370" s="0" t="n">
        <s:v>1450</s:v>
      </s:c>
      <s:c r="F370" s="24">
        <s:f>'자료구성'!$B$2+TIME(INT($C$3/10000),INT(MOD($C$3,10000)/100),MOD($C$3,100))+(ROW()-ROW($C$3))/86400</s:f>
        <s:v>46247.454513888886</s:v>
      </s:c>
    </s:row>
    <s:row r="371">
      <s:c r="A371" s="0" t="n">
        <s:v>260813</s:v>
      </s:c>
      <s:c r="B371" s="0" t="inlineStr">
        <s:is>
          <s:t>이종훈</s:t>
        </s:is>
      </s:c>
      <s:c r="C371" s="0" t="n">
        <s:v>104823</s:v>
      </s:c>
      <s:c r="D371" s="0" t="n">
        <s:v>1440</s:v>
      </s:c>
      <s:c r="F371" s="24">
        <s:f>'자료구성'!$B$2+TIME(INT($C$3/10000),INT(MOD($C$3,10000)/100),MOD($C$3,100))+(ROW()-ROW($C$3))/86400</s:f>
        <s:v>46247.45452546296</s:v>
      </s:c>
    </s:row>
    <s:row r="372">
      <s:c r="A372" s="0" t="n">
        <s:v>260813</s:v>
      </s:c>
      <s:c r="B372" s="0" t="inlineStr">
        <s:is>
          <s:t>이종훈</s:t>
        </s:is>
      </s:c>
      <s:c r="C372" s="0" t="n">
        <s:v>104823</s:v>
      </s:c>
      <s:c r="D372" s="0" t="n">
        <s:v>1426</s:v>
      </s:c>
      <s:c r="F372" s="24">
        <s:f>'자료구성'!$B$2+TIME(INT($C$3/10000),INT(MOD($C$3,10000)/100),MOD($C$3,100))+(ROW()-ROW($C$3))/86400</s:f>
        <s:v>46247.45453703704</s:v>
      </s:c>
    </s:row>
    <s:row r="373">
      <s:c r="A373" s="0" t="n">
        <s:v>260813</s:v>
      </s:c>
      <s:c r="B373" s="0" t="inlineStr">
        <s:is>
          <s:t>이종훈</s:t>
        </s:is>
      </s:c>
      <s:c r="C373" s="0" t="n">
        <s:v>104823</s:v>
      </s:c>
      <s:c r="D373" s="0" t="n">
        <s:v>1428</s:v>
      </s:c>
      <s:c r="F373" s="24">
        <s:f>'자료구성'!$B$2+TIME(INT($C$3/10000),INT(MOD($C$3,10000)/100),MOD($C$3,100))+(ROW()-ROW($C$3))/86400</s:f>
        <s:v>46247.45454861111</s:v>
      </s:c>
    </s:row>
    <s:row r="374">
      <s:c r="A374" s="0" t="n">
        <s:v>260813</s:v>
      </s:c>
      <s:c r="B374" s="0" t="inlineStr">
        <s:is>
          <s:t>이종훈</s:t>
        </s:is>
      </s:c>
      <s:c r="C374" s="0" t="n">
        <s:v>104823</s:v>
      </s:c>
      <s:c r="D374" s="0" t="n">
        <s:v>1422</s:v>
      </s:c>
      <s:c r="F374" s="24">
        <s:f>'자료구성'!$B$2+TIME(INT($C$3/10000),INT(MOD($C$3,10000)/100),MOD($C$3,100))+(ROW()-ROW($C$3))/86400</s:f>
        <s:v>46247.454560185186</s:v>
      </s:c>
    </s:row>
    <s:row r="375">
      <s:c r="A375" s="0" t="n">
        <s:v>260813</s:v>
      </s:c>
      <s:c r="B375" s="0" t="inlineStr">
        <s:is>
          <s:t>이종훈</s:t>
        </s:is>
      </s:c>
      <s:c r="C375" s="0" t="n">
        <s:v>104823</s:v>
      </s:c>
      <s:c r="D375" s="0" t="n">
        <s:v>1417</s:v>
      </s:c>
      <s:c r="F375" s="24">
        <s:f>'자료구성'!$B$2+TIME(INT($C$3/10000),INT(MOD($C$3,10000)/100),MOD($C$3,100))+(ROW()-ROW($C$3))/86400</s:f>
        <s:v>46247.45457175926</s:v>
      </s:c>
    </s:row>
    <s:row r="376">
      <s:c r="A376" s="0" t="n">
        <s:v>260813</s:v>
      </s:c>
      <s:c r="B376" s="0" t="inlineStr">
        <s:is>
          <s:t>이종훈</s:t>
        </s:is>
      </s:c>
      <s:c r="C376" s="0" t="n">
        <s:v>104823</s:v>
      </s:c>
      <s:c r="D376" s="0" t="n">
        <s:v>1418</s:v>
      </s:c>
      <s:c r="F376" s="24">
        <s:f>'자료구성'!$B$2+TIME(INT($C$3/10000),INT(MOD($C$3,10000)/100),MOD($C$3,100))+(ROW()-ROW($C$3))/86400</s:f>
        <s:v>46247.45458333333</s:v>
      </s:c>
    </s:row>
    <s:row r="377">
      <s:c r="A377" s="0" t="n">
        <s:v>260813</s:v>
      </s:c>
      <s:c r="B377" s="0" t="inlineStr">
        <s:is>
          <s:t>이종훈</s:t>
        </s:is>
      </s:c>
      <s:c r="C377" s="0" t="n">
        <s:v>104823</s:v>
      </s:c>
      <s:c r="D377" s="0" t="n">
        <s:v>1431</s:v>
      </s:c>
      <s:c r="F377" s="24">
        <s:f>'자료구성'!$B$2+TIME(INT($C$3/10000),INT(MOD($C$3,10000)/100),MOD($C$3,100))+(ROW()-ROW($C$3))/86400</s:f>
        <s:v>46247.45459490741</s:v>
      </s:c>
    </s:row>
    <s:row r="378">
      <s:c r="A378" s="0" t="n">
        <s:v>260813</s:v>
      </s:c>
      <s:c r="B378" s="0" t="inlineStr">
        <s:is>
          <s:t>이종훈</s:t>
        </s:is>
      </s:c>
      <s:c r="C378" s="0" t="n">
        <s:v>104823</s:v>
      </s:c>
      <s:c r="D378" s="0" t="n">
        <s:v>1426</s:v>
      </s:c>
      <s:c r="F378" s="24">
        <s:f>'자료구성'!$B$2+TIME(INT($C$3/10000),INT(MOD($C$3,10000)/100),MOD($C$3,100))+(ROW()-ROW($C$3))/86400</s:f>
        <s:v>46247.45460648148</s:v>
      </s:c>
    </s:row>
    <s:row r="379">
      <s:c r="A379" s="0" t="n">
        <s:v>260813</s:v>
      </s:c>
      <s:c r="B379" s="0" t="inlineStr">
        <s:is>
          <s:t>이종훈</s:t>
        </s:is>
      </s:c>
      <s:c r="C379" s="0" t="n">
        <s:v>104823</s:v>
      </s:c>
      <s:c r="D379" s="0" t="n">
        <s:v>1428</s:v>
      </s:c>
      <s:c r="F379" s="24">
        <s:f>'자료구성'!$B$2+TIME(INT($C$3/10000),INT(MOD($C$3,10000)/100),MOD($C$3,100))+(ROW()-ROW($C$3))/86400</s:f>
        <s:v>46247.454618055555</s:v>
      </s:c>
    </s:row>
    <s:row r="380">
      <s:c r="A380" s="0" t="n">
        <s:v>260813</s:v>
      </s:c>
      <s:c r="B380" s="0" t="inlineStr">
        <s:is>
          <s:t>이종훈</s:t>
        </s:is>
      </s:c>
      <s:c r="C380" s="0" t="n">
        <s:v>104823</s:v>
      </s:c>
      <s:c r="D380" s="0" t="n">
        <s:v>1424</s:v>
      </s:c>
      <s:c r="F380" s="24">
        <s:f>'자료구성'!$B$2+TIME(INT($C$3/10000),INT(MOD($C$3,10000)/100),MOD($C$3,100))+(ROW()-ROW($C$3))/86400</s:f>
        <s:v>46247.45462962963</s:v>
      </s:c>
    </s:row>
    <s:row r="381">
      <s:c r="A381" s="0" t="n">
        <s:v>260813</s:v>
      </s:c>
      <s:c r="B381" s="0" t="inlineStr">
        <s:is>
          <s:t>이종훈</s:t>
        </s:is>
      </s:c>
      <s:c r="C381" s="0" t="n">
        <s:v>104823</s:v>
      </s:c>
      <s:c r="D381" s="0" t="n">
        <s:v>1436</s:v>
      </s:c>
      <s:c r="F381" s="24">
        <s:f>'자료구성'!$B$2+TIME(INT($C$3/10000),INT(MOD($C$3,10000)/100),MOD($C$3,100))+(ROW()-ROW($C$3))/86400</s:f>
        <s:v>46247.4546412037</s:v>
      </s:c>
    </s:row>
    <s:row r="382">
      <s:c r="A382" s="0" t="n">
        <s:v>260813</s:v>
      </s:c>
      <s:c r="B382" s="0" t="inlineStr">
        <s:is>
          <s:t>이종훈</s:t>
        </s:is>
      </s:c>
      <s:c r="C382" s="0" t="n">
        <s:v>104823</s:v>
      </s:c>
      <s:c r="D382" s="0" t="n">
        <s:v>1454</s:v>
      </s:c>
      <s:c r="F382" s="24">
        <s:f>'자료구성'!$B$2+TIME(INT($C$3/10000),INT(MOD($C$3,10000)/100),MOD($C$3,100))+(ROW()-ROW($C$3))/86400</s:f>
        <s:v>46247.45465277778</s:v>
      </s:c>
    </s:row>
    <s:row r="383">
      <s:c r="A383" s="0" t="n">
        <s:v>260813</s:v>
      </s:c>
      <s:c r="B383" s="0" t="inlineStr">
        <s:is>
          <s:t>이종훈</s:t>
        </s:is>
      </s:c>
      <s:c r="C383" s="0" t="n">
        <s:v>104823</s:v>
      </s:c>
      <s:c r="D383" s="0" t="n">
        <s:v>1454</s:v>
      </s:c>
      <s:c r="F383" s="24">
        <s:f>'자료구성'!$B$2+TIME(INT($C$3/10000),INT(MOD($C$3,10000)/100),MOD($C$3,100))+(ROW()-ROW($C$3))/86400</s:f>
        <s:v>46247.454664351855</s:v>
      </s:c>
    </s:row>
    <s:row r="384">
      <s:c r="A384" s="0" t="n">
        <s:v>260813</s:v>
      </s:c>
      <s:c r="B384" s="0" t="inlineStr">
        <s:is>
          <s:t>이종훈</s:t>
        </s:is>
      </s:c>
      <s:c r="C384" s="0" t="n">
        <s:v>104823</s:v>
      </s:c>
      <s:c r="D384" s="0" t="n">
        <s:v>1431</s:v>
      </s:c>
      <s:c r="F384" s="24">
        <s:f>'자료구성'!$B$2+TIME(INT($C$3/10000),INT(MOD($C$3,10000)/100),MOD($C$3,100))+(ROW()-ROW($C$3))/86400</s:f>
        <s:v>46247.454675925925</s:v>
      </s:c>
    </s:row>
    <s:row r="385">
      <s:c r="A385" s="0" t="n">
        <s:v>260813</s:v>
      </s:c>
      <s:c r="B385" s="0" t="inlineStr">
        <s:is>
          <s:t>이종훈</s:t>
        </s:is>
      </s:c>
      <s:c r="C385" s="0" t="n">
        <s:v>104823</s:v>
      </s:c>
      <s:c r="D385" s="0" t="n">
        <s:v>1420</s:v>
      </s:c>
      <s:c r="F385" s="24">
        <s:f>'자료구성'!$B$2+TIME(INT($C$3/10000),INT(MOD($C$3,10000)/100),MOD($C$3,100))+(ROW()-ROW($C$3))/86400</s:f>
        <s:v>46247.4546875</s:v>
      </s:c>
    </s:row>
    <s:row r="386">
      <s:c r="A386" s="0" t="n">
        <s:v>260813</s:v>
      </s:c>
      <s:c r="B386" s="0" t="inlineStr">
        <s:is>
          <s:t>이종훈</s:t>
        </s:is>
      </s:c>
      <s:c r="C386" s="0" t="n">
        <s:v>104823</s:v>
      </s:c>
      <s:c r="D386" s="0" t="n">
        <s:v>1423</s:v>
      </s:c>
      <s:c r="F386" s="24">
        <s:f>'자료구성'!$B$2+TIME(INT($C$3/10000),INT(MOD($C$3,10000)/100),MOD($C$3,100))+(ROW()-ROW($C$3))/86400</s:f>
        <s:v>46247.45469907407</s:v>
      </s:c>
    </s:row>
    <s:row r="387">
      <s:c r="A387" s="0" t="n">
        <s:v>260813</s:v>
      </s:c>
      <s:c r="B387" s="0" t="inlineStr">
        <s:is>
          <s:t>이종훈</s:t>
        </s:is>
      </s:c>
      <s:c r="C387" s="0" t="n">
        <s:v>104823</s:v>
      </s:c>
      <s:c r="D387" s="0" t="n">
        <s:v>1448</s:v>
      </s:c>
      <s:c r="F387" s="24">
        <s:f>'자료구성'!$B$2+TIME(INT($C$3/10000),INT(MOD($C$3,10000)/100),MOD($C$3,100))+(ROW()-ROW($C$3))/86400</s:f>
        <s:v>46247.45471064815</s:v>
      </s:c>
    </s:row>
    <s:row r="388">
      <s:c r="A388" s="0" t="n">
        <s:v>260813</s:v>
      </s:c>
      <s:c r="B388" s="0" t="inlineStr">
        <s:is>
          <s:t>이종훈</s:t>
        </s:is>
      </s:c>
      <s:c r="C388" s="0" t="n">
        <s:v>104823</s:v>
      </s:c>
      <s:c r="D388" s="0" t="n">
        <s:v>1462</s:v>
      </s:c>
      <s:c r="F388" s="24">
        <s:f>'자료구성'!$B$2+TIME(INT($C$3/10000),INT(MOD($C$3,10000)/100),MOD($C$3,100))+(ROW()-ROW($C$3))/86400</s:f>
        <s:v>46247.454722222225</s:v>
      </s:c>
    </s:row>
    <s:row r="389">
      <s:c r="A389" s="0" t="n">
        <s:v>260813</s:v>
      </s:c>
      <s:c r="B389" s="0" t="inlineStr">
        <s:is>
          <s:t>이종훈</s:t>
        </s:is>
      </s:c>
      <s:c r="C389" s="0" t="n">
        <s:v>104823</s:v>
      </s:c>
      <s:c r="D389" s="0" t="n">
        <s:v>1466</s:v>
      </s:c>
      <s:c r="F389" s="24">
        <s:f>'자료구성'!$B$2+TIME(INT($C$3/10000),INT(MOD($C$3,10000)/100),MOD($C$3,100))+(ROW()-ROW($C$3))/86400</s:f>
        <s:v>46247.454733796294</s:v>
      </s:c>
    </s:row>
    <s:row r="390">
      <s:c r="A390" s="0" t="n">
        <s:v>260813</s:v>
      </s:c>
      <s:c r="B390" s="0" t="inlineStr">
        <s:is>
          <s:t>이종훈</s:t>
        </s:is>
      </s:c>
      <s:c r="C390" s="0" t="n">
        <s:v>104823</s:v>
      </s:c>
      <s:c r="D390" s="0" t="n">
        <s:v>1458</s:v>
      </s:c>
      <s:c r="F390" s="24">
        <s:f>'자료구성'!$B$2+TIME(INT($C$3/10000),INT(MOD($C$3,10000)/100),MOD($C$3,100))+(ROW()-ROW($C$3))/86400</s:f>
        <s:v>46247.45474537037</s:v>
      </s:c>
    </s:row>
    <s:row r="391">
      <s:c r="A391" s="0" t="n">
        <s:v>260813</s:v>
      </s:c>
      <s:c r="B391" s="0" t="inlineStr">
        <s:is>
          <s:t>이종훈</s:t>
        </s:is>
      </s:c>
      <s:c r="C391" s="0" t="n">
        <s:v>104823</s:v>
      </s:c>
      <s:c r="D391" s="0" t="n">
        <s:v>1466</s:v>
      </s:c>
      <s:c r="F391" s="24">
        <s:f>'자료구성'!$B$2+TIME(INT($C$3/10000),INT(MOD($C$3,10000)/100),MOD($C$3,100))+(ROW()-ROW($C$3))/86400</s:f>
        <s:v>46247.45475694445</s:v>
      </s:c>
    </s:row>
    <s:row r="392">
      <s:c r="A392" s="0" t="n">
        <s:v>260813</s:v>
      </s:c>
      <s:c r="B392" s="0" t="inlineStr">
        <s:is>
          <s:t>이종훈</s:t>
        </s:is>
      </s:c>
      <s:c r="C392" s="0" t="n">
        <s:v>104823</s:v>
      </s:c>
      <s:c r="D392" s="0" t="n">
        <s:v>1474</s:v>
      </s:c>
      <s:c r="F392" s="24">
        <s:f>'자료구성'!$B$2+TIME(INT($C$3/10000),INT(MOD($C$3,10000)/100),MOD($C$3,100))+(ROW()-ROW($C$3))/86400</s:f>
        <s:v>46247.45476851852</s:v>
      </s:c>
    </s:row>
    <s:row r="393">
      <s:c r="A393" s="0" t="n">
        <s:v>260813</s:v>
      </s:c>
      <s:c r="B393" s="0" t="inlineStr">
        <s:is>
          <s:t>이종훈</s:t>
        </s:is>
      </s:c>
      <s:c r="C393" s="0" t="n">
        <s:v>104823</s:v>
      </s:c>
      <s:c r="D393" s="0" t="n">
        <s:v>1475</s:v>
      </s:c>
      <s:c r="F393" s="24">
        <s:f>'자료구성'!$B$2+TIME(INT($C$3/10000),INT(MOD($C$3,10000)/100),MOD($C$3,100))+(ROW()-ROW($C$3))/86400</s:f>
        <s:v>46247.454780092594</s:v>
      </s:c>
    </s:row>
    <s:row r="394">
      <s:c r="A394" s="0" t="n">
        <s:v>260813</s:v>
      </s:c>
      <s:c r="B394" s="0" t="inlineStr">
        <s:is>
          <s:t>이종훈</s:t>
        </s:is>
      </s:c>
      <s:c r="C394" s="0" t="n">
        <s:v>104823</s:v>
      </s:c>
      <s:c r="D394" s="0" t="n">
        <s:v>1487</s:v>
      </s:c>
      <s:c r="F394" s="24">
        <s:f>'자료구성'!$B$2+TIME(INT($C$3/10000),INT(MOD($C$3,10000)/100),MOD($C$3,100))+(ROW()-ROW($C$3))/86400</s:f>
        <s:v>46247.45479166666</s:v>
      </s:c>
    </s:row>
    <s:row r="395">
      <s:c r="A395" s="0" t="n">
        <s:v>260813</s:v>
      </s:c>
      <s:c r="B395" s="0" t="inlineStr">
        <s:is>
          <s:t>이종훈</s:t>
        </s:is>
      </s:c>
      <s:c r="C395" s="0" t="n">
        <s:v>104823</s:v>
      </s:c>
      <s:c r="D395" s="0" t="n">
        <s:v>1506</s:v>
      </s:c>
      <s:c r="F395" s="24">
        <s:f>'자료구성'!$B$2+TIME(INT($C$3/10000),INT(MOD($C$3,10000)/100),MOD($C$3,100))+(ROW()-ROW($C$3))/86400</s:f>
        <s:v>46247.45480324074</s:v>
      </s:c>
    </s:row>
    <s:row r="396">
      <s:c r="A396" s="0" t="n">
        <s:v>260813</s:v>
      </s:c>
      <s:c r="B396" s="0" t="inlineStr">
        <s:is>
          <s:t>이종훈</s:t>
        </s:is>
      </s:c>
      <s:c r="C396" s="0" t="n">
        <s:v>104823</s:v>
      </s:c>
      <s:c r="D396" s="0" t="n">
        <s:v>1526</s:v>
      </s:c>
      <s:c r="F396" s="24">
        <s:f>'자료구성'!$B$2+TIME(INT($C$3/10000),INT(MOD($C$3,10000)/100),MOD($C$3,100))+(ROW()-ROW($C$3))/86400</s:f>
        <s:v>46247.45481481482</s:v>
      </s:c>
    </s:row>
    <s:row r="397">
      <s:c r="A397" s="0" t="n">
        <s:v>260813</s:v>
      </s:c>
      <s:c r="B397" s="0" t="inlineStr">
        <s:is>
          <s:t>이종훈</s:t>
        </s:is>
      </s:c>
      <s:c r="C397" s="0" t="n">
        <s:v>104823</s:v>
      </s:c>
      <s:c r="D397" s="0" t="n">
        <s:v>1545</s:v>
      </s:c>
      <s:c r="F397" s="24">
        <s:f>'자료구성'!$B$2+TIME(INT($C$3/10000),INT(MOD($C$3,10000)/100),MOD($C$3,100))+(ROW()-ROW($C$3))/86400</s:f>
        <s:v>46247.45482638889</s:v>
      </s:c>
    </s:row>
    <s:row r="398">
      <s:c r="A398" s="0" t="n">
        <s:v>260813</s:v>
      </s:c>
      <s:c r="B398" s="0" t="inlineStr">
        <s:is>
          <s:t>이종훈</s:t>
        </s:is>
      </s:c>
      <s:c r="C398" s="0" t="n">
        <s:v>104823</s:v>
      </s:c>
      <s:c r="D398" s="0" t="n">
        <s:v>1552</s:v>
      </s:c>
      <s:c r="F398" s="24">
        <s:f>'자료구성'!$B$2+TIME(INT($C$3/10000),INT(MOD($C$3,10000)/100),MOD($C$3,100))+(ROW()-ROW($C$3))/86400</s:f>
        <s:v>46247.45483796296</s:v>
      </s:c>
    </s:row>
    <s:row r="399">
      <s:c r="A399" s="0" t="n">
        <s:v>260813</s:v>
      </s:c>
      <s:c r="B399" s="0" t="inlineStr">
        <s:is>
          <s:t>이종훈</s:t>
        </s:is>
      </s:c>
      <s:c r="C399" s="0" t="n">
        <s:v>104823</s:v>
      </s:c>
      <s:c r="D399" s="0" t="n">
        <s:v>1571</s:v>
      </s:c>
      <s:c r="F399" s="24">
        <s:f>'자료구성'!$B$2+TIME(INT($C$3/10000),INT(MOD($C$3,10000)/100),MOD($C$3,100))+(ROW()-ROW($C$3))/86400</s:f>
        <s:v>46247.45484953704</s:v>
      </s:c>
    </s:row>
    <s:row r="400">
      <s:c r="A400" s="0" t="n">
        <s:v>260813</s:v>
      </s:c>
      <s:c r="B400" s="0" t="inlineStr">
        <s:is>
          <s:t>이종훈</s:t>
        </s:is>
      </s:c>
      <s:c r="C400" s="0" t="n">
        <s:v>104823</s:v>
      </s:c>
      <s:c r="D400" s="0" t="n">
        <s:v>1576</s:v>
      </s:c>
      <s:c r="F400" s="24">
        <s:f>'자료구성'!$B$2+TIME(INT($C$3/10000),INT(MOD($C$3,10000)/100),MOD($C$3,100))+(ROW()-ROW($C$3))/86400</s:f>
        <s:v>46247.45486111111</s:v>
      </s:c>
    </s:row>
    <s:row r="401">
      <s:c r="A401" s="0" t="n">
        <s:v>260813</s:v>
      </s:c>
      <s:c r="B401" s="0" t="inlineStr">
        <s:is>
          <s:t>이종훈</s:t>
        </s:is>
      </s:c>
      <s:c r="C401" s="0" t="n">
        <s:v>104823</s:v>
      </s:c>
      <s:c r="D401" s="0" t="n">
        <s:v>1596</s:v>
      </s:c>
      <s:c r="F401" s="24">
        <s:f>'자료구성'!$B$2+TIME(INT($C$3/10000),INT(MOD($C$3,10000)/100),MOD($C$3,100))+(ROW()-ROW($C$3))/86400</s:f>
        <s:v>46247.454872685186</s:v>
      </s:c>
    </s:row>
    <s:row r="402">
      <s:c r="A402" s="0" t="n">
        <s:v>260813</s:v>
      </s:c>
      <s:c r="B402" s="0" t="inlineStr">
        <s:is>
          <s:t>이종훈</s:t>
        </s:is>
      </s:c>
      <s:c r="C402" s="0" t="n">
        <s:v>104823</s:v>
      </s:c>
      <s:c r="D402" s="0" t="n">
        <s:v>1600</s:v>
      </s:c>
      <s:c r="F402" s="24">
        <s:f>'자료구성'!$B$2+TIME(INT($C$3/10000),INT(MOD($C$3,10000)/100),MOD($C$3,100))+(ROW()-ROW($C$3))/86400</s:f>
        <s:v>46247.454884259256</s:v>
      </s:c>
    </s:row>
    <s:row r="403">
      <s:c r="A403" s="0" t="n">
        <s:v>260813</s:v>
      </s:c>
      <s:c r="B403" s="0" t="inlineStr">
        <s:is>
          <s:t>이종훈</s:t>
        </s:is>
      </s:c>
      <s:c r="C403" s="0" t="n">
        <s:v>104823</s:v>
      </s:c>
      <s:c r="D403" s="0" t="n">
        <s:v>1631</s:v>
      </s:c>
      <s:c r="F403" s="24">
        <s:f>'자료구성'!$B$2+TIME(INT($C$3/10000),INT(MOD($C$3,10000)/100),MOD($C$3,100))+(ROW()-ROW($C$3))/86400</s:f>
        <s:v>46247.45489583333</s:v>
      </s:c>
    </s:row>
    <s:row r="404">
      <s:c r="A404" s="0" t="n">
        <s:v>260813</s:v>
      </s:c>
      <s:c r="B404" s="0" t="inlineStr">
        <s:is>
          <s:t>이종훈</s:t>
        </s:is>
      </s:c>
      <s:c r="C404" s="0" t="n">
        <s:v>104823</s:v>
      </s:c>
      <s:c r="D404" s="0" t="n">
        <s:v>1634</s:v>
      </s:c>
      <s:c r="F404" s="24">
        <s:f>'자료구성'!$B$2+TIME(INT($C$3/10000),INT(MOD($C$3,10000)/100),MOD($C$3,100))+(ROW()-ROW($C$3))/86400</s:f>
        <s:v>46247.45490740741</s:v>
      </s:c>
    </s:row>
    <s:row r="405">
      <s:c r="A405" s="0" t="n">
        <s:v>260813</s:v>
      </s:c>
      <s:c r="B405" s="0" t="inlineStr">
        <s:is>
          <s:t>이종훈</s:t>
        </s:is>
      </s:c>
      <s:c r="C405" s="0" t="n">
        <s:v>104823</s:v>
      </s:c>
      <s:c r="D405" s="0" t="n">
        <s:v>1635</s:v>
      </s:c>
      <s:c r="F405" s="24">
        <s:f>'자료구성'!$B$2+TIME(INT($C$3/10000),INT(MOD($C$3,10000)/100),MOD($C$3,100))+(ROW()-ROW($C$3))/86400</s:f>
        <s:v>46247.45491898148</s:v>
      </s:c>
    </s:row>
    <s:row r="406">
      <s:c r="A406" s="0" t="n">
        <s:v>260813</s:v>
      </s:c>
      <s:c r="B406" s="0" t="inlineStr">
        <s:is>
          <s:t>이종훈</s:t>
        </s:is>
      </s:c>
      <s:c r="C406" s="0" t="n">
        <s:v>104823</s:v>
      </s:c>
      <s:c r="D406" s="0" t="n">
        <s:v>1628</s:v>
      </s:c>
      <s:c r="F406" s="24">
        <s:f>'자료구성'!$B$2+TIME(INT($C$3/10000),INT(MOD($C$3,10000)/100),MOD($C$3,100))+(ROW()-ROW($C$3))/86400</s:f>
        <s:v>46247.454930555556</s:v>
      </s:c>
    </s:row>
    <s:row r="407">
      <s:c r="A407" s="0" t="n">
        <s:v>260813</s:v>
      </s:c>
      <s:c r="B407" s="0" t="inlineStr">
        <s:is>
          <s:t>이종훈</s:t>
        </s:is>
      </s:c>
      <s:c r="C407" s="0" t="n">
        <s:v>104823</s:v>
      </s:c>
      <s:c r="D407" s="0" t="n">
        <s:v>1626</s:v>
      </s:c>
      <s:c r="F407" s="24">
        <s:f>'자료구성'!$B$2+TIME(INT($C$3/10000),INT(MOD($C$3,10000)/100),MOD($C$3,100))+(ROW()-ROW($C$3))/86400</s:f>
        <s:v>46247.45494212963</s:v>
      </s:c>
    </s:row>
    <s:row r="408">
      <s:c r="A408" s="0" t="n">
        <s:v>260813</s:v>
      </s:c>
      <s:c r="B408" s="0" t="inlineStr">
        <s:is>
          <s:t>이종훈</s:t>
        </s:is>
      </s:c>
      <s:c r="C408" s="0" t="n">
        <s:v>104823</s:v>
      </s:c>
      <s:c r="D408" s="0" t="n">
        <s:v>1620</s:v>
      </s:c>
      <s:c r="F408" s="24">
        <s:f>'자료구성'!$B$2+TIME(INT($C$3/10000),INT(MOD($C$3,10000)/100),MOD($C$3,100))+(ROW()-ROW($C$3))/86400</s:f>
        <s:v>46247.4549537037</s:v>
      </s:c>
    </s:row>
    <s:row r="409">
      <s:c r="A409" s="0" t="n">
        <s:v>260813</s:v>
      </s:c>
      <s:c r="B409" s="0" t="inlineStr">
        <s:is>
          <s:t>이종훈</s:t>
        </s:is>
      </s:c>
      <s:c r="C409" s="0" t="n">
        <s:v>104823</s:v>
      </s:c>
      <s:c r="D409" s="0" t="n">
        <s:v>1616</s:v>
      </s:c>
      <s:c r="F409" s="24">
        <s:f>'자료구성'!$B$2+TIME(INT($C$3/10000),INT(MOD($C$3,10000)/100),MOD($C$3,100))+(ROW()-ROW($C$3))/86400</s:f>
        <s:v>46247.45496527778</s:v>
      </s:c>
    </s:row>
    <s:row r="410">
      <s:c r="A410" s="0" t="n">
        <s:v>260813</s:v>
      </s:c>
      <s:c r="B410" s="0" t="inlineStr">
        <s:is>
          <s:t>이종훈</s:t>
        </s:is>
      </s:c>
      <s:c r="C410" s="0" t="n">
        <s:v>104823</s:v>
      </s:c>
      <s:c r="D410" s="0" t="n">
        <s:v>1617</s:v>
      </s:c>
      <s:c r="F410" s="24">
        <s:f>'자료구성'!$B$2+TIME(INT($C$3/10000),INT(MOD($C$3,10000)/100),MOD($C$3,100))+(ROW()-ROW($C$3))/86400</s:f>
        <s:v>46247.454976851855</s:v>
      </s:c>
    </s:row>
    <s:row r="411">
      <s:c r="A411" s="0" t="n">
        <s:v>260813</s:v>
      </s:c>
      <s:c r="B411" s="0" t="inlineStr">
        <s:is>
          <s:t>이종훈</s:t>
        </s:is>
      </s:c>
      <s:c r="C411" s="0" t="n">
        <s:v>104823</s:v>
      </s:c>
      <s:c r="D411" s="0" t="n">
        <s:v>1639</s:v>
      </s:c>
      <s:c r="F411" s="24">
        <s:f>'자료구성'!$B$2+TIME(INT($C$3/10000),INT(MOD($C$3,10000)/100),MOD($C$3,100))+(ROW()-ROW($C$3))/86400</s:f>
        <s:v>46247.454988425925</s:v>
      </s:c>
    </s:row>
    <s:row r="412">
      <s:c r="A412" s="0" t="n">
        <s:v>260813</s:v>
      </s:c>
      <s:c r="B412" s="0" t="inlineStr">
        <s:is>
          <s:t>이종훈</s:t>
        </s:is>
      </s:c>
      <s:c r="C412" s="0" t="n">
        <s:v>104823</s:v>
      </s:c>
      <s:c r="D412" s="0" t="n">
        <s:v>1648</s:v>
      </s:c>
      <s:c r="F412" s="24">
        <s:f>'자료구성'!$B$2+TIME(INT($C$3/10000),INT(MOD($C$3,10000)/100),MOD($C$3,100))+(ROW()-ROW($C$3))/86400</s:f>
        <s:v>46247.455</s:v>
      </s:c>
    </s:row>
    <s:row r="413">
      <s:c r="A413" s="0" t="n">
        <s:v>260813</s:v>
      </s:c>
      <s:c r="B413" s="0" t="inlineStr">
        <s:is>
          <s:t>이종훈</s:t>
        </s:is>
      </s:c>
      <s:c r="C413" s="0" t="n">
        <s:v>104823</s:v>
      </s:c>
      <s:c r="D413" s="0" t="n">
        <s:v>1654</s:v>
      </s:c>
      <s:c r="F413" s="24">
        <s:f>'자료구성'!$B$2+TIME(INT($C$3/10000),INT(MOD($C$3,10000)/100),MOD($C$3,100))+(ROW()-ROW($C$3))/86400</s:f>
        <s:v>46247.45501157407</s:v>
      </s:c>
    </s:row>
    <s:row r="414">
      <s:c r="A414" s="0" t="n">
        <s:v>260813</s:v>
      </s:c>
      <s:c r="B414" s="0" t="inlineStr">
        <s:is>
          <s:t>이종훈</s:t>
        </s:is>
      </s:c>
      <s:c r="C414" s="0" t="n">
        <s:v>104823</s:v>
      </s:c>
      <s:c r="D414" s="0" t="n">
        <s:v>1661</s:v>
      </s:c>
      <s:c r="F414" s="24">
        <s:f>'자료구성'!$B$2+TIME(INT($C$3/10000),INT(MOD($C$3,10000)/100),MOD($C$3,100))+(ROW()-ROW($C$3))/86400</s:f>
        <s:v>46247.45502314815</s:v>
      </s:c>
    </s:row>
    <s:row r="415">
      <s:c r="A415" s="0" t="n">
        <s:v>260813</s:v>
      </s:c>
      <s:c r="B415" s="0" t="inlineStr">
        <s:is>
          <s:t>이종훈</s:t>
        </s:is>
      </s:c>
      <s:c r="C415" s="0" t="n">
        <s:v>104823</s:v>
      </s:c>
      <s:c r="D415" s="0" t="n">
        <s:v>1657</s:v>
      </s:c>
      <s:c r="F415" s="24">
        <s:f>'자료구성'!$B$2+TIME(INT($C$3/10000),INT(MOD($C$3,10000)/100),MOD($C$3,100))+(ROW()-ROW($C$3))/86400</s:f>
        <s:v>46247.455034722225</s:v>
      </s:c>
    </s:row>
    <s:row r="416">
      <s:c r="A416" s="0" t="n">
        <s:v>260813</s:v>
      </s:c>
      <s:c r="B416" s="0" t="inlineStr">
        <s:is>
          <s:t>이종훈</s:t>
        </s:is>
      </s:c>
      <s:c r="C416" s="0" t="n">
        <s:v>104823</s:v>
      </s:c>
      <s:c r="D416" s="0" t="n">
        <s:v>1654</s:v>
      </s:c>
      <s:c r="F416" s="24">
        <s:f>'자료구성'!$B$2+TIME(INT($C$3/10000),INT(MOD($C$3,10000)/100),MOD($C$3,100))+(ROW()-ROW($C$3))/86400</s:f>
        <s:v>46247.455046296294</s:v>
      </s:c>
    </s:row>
    <s:row r="417">
      <s:c r="A417" s="0" t="n">
        <s:v>260813</s:v>
      </s:c>
      <s:c r="B417" s="0" t="inlineStr">
        <s:is>
          <s:t>이종훈</s:t>
        </s:is>
      </s:c>
      <s:c r="C417" s="0" t="n">
        <s:v>104823</s:v>
      </s:c>
      <s:c r="D417" s="0" t="n">
        <s:v>1656</s:v>
      </s:c>
      <s:c r="F417" s="24">
        <s:f>'자료구성'!$B$2+TIME(INT($C$3/10000),INT(MOD($C$3,10000)/100),MOD($C$3,100))+(ROW()-ROW($C$3))/86400</s:f>
        <s:v>46247.45505787037</s:v>
      </s:c>
    </s:row>
    <s:row r="418">
      <s:c r="A418" s="0" t="n">
        <s:v>260813</s:v>
      </s:c>
      <s:c r="B418" s="0" t="inlineStr">
        <s:is>
          <s:t>이종훈</s:t>
        </s:is>
      </s:c>
      <s:c r="C418" s="0" t="n">
        <s:v>104823</s:v>
      </s:c>
      <s:c r="D418" s="0" t="n">
        <s:v>1665</s:v>
      </s:c>
      <s:c r="F418" s="24">
        <s:f>'자료구성'!$B$2+TIME(INT($C$3/10000),INT(MOD($C$3,10000)/100),MOD($C$3,100))+(ROW()-ROW($C$3))/86400</s:f>
        <s:v>46247.45506944445</s:v>
      </s:c>
    </s:row>
    <s:row r="419">
      <s:c r="A419" s="0" t="n">
        <s:v>260813</s:v>
      </s:c>
      <s:c r="B419" s="0" t="inlineStr">
        <s:is>
          <s:t>이종훈</s:t>
        </s:is>
      </s:c>
      <s:c r="C419" s="0" t="n">
        <s:v>104823</s:v>
      </s:c>
      <s:c r="D419" s="0" t="n">
        <s:v>1676</s:v>
      </s:c>
      <s:c r="F419" s="24">
        <s:f>'자료구성'!$B$2+TIME(INT($C$3/10000),INT(MOD($C$3,10000)/100),MOD($C$3,100))+(ROW()-ROW($C$3))/86400</s:f>
        <s:v>46247.45508101852</s:v>
      </s:c>
    </s:row>
    <s:row r="420">
      <s:c r="A420" s="0" t="n">
        <s:v>260813</s:v>
      </s:c>
      <s:c r="B420" s="0" t="inlineStr">
        <s:is>
          <s:t>이종훈</s:t>
        </s:is>
      </s:c>
      <s:c r="C420" s="0" t="n">
        <s:v>104823</s:v>
      </s:c>
      <s:c r="D420" s="0" t="n">
        <s:v>1681</s:v>
      </s:c>
      <s:c r="F420" s="24">
        <s:f>'자료구성'!$B$2+TIME(INT($C$3/10000),INT(MOD($C$3,10000)/100),MOD($C$3,100))+(ROW()-ROW($C$3))/86400</s:f>
        <s:v>46247.455092592594</s:v>
      </s:c>
    </s:row>
    <s:row r="421">
      <s:c r="A421" s="0" t="n">
        <s:v>260813</s:v>
      </s:c>
      <s:c r="B421" s="0" t="inlineStr">
        <s:is>
          <s:t>이종훈</s:t>
        </s:is>
      </s:c>
      <s:c r="C421" s="0" t="n">
        <s:v>104823</s:v>
      </s:c>
      <s:c r="D421" s="0" t="n">
        <s:v>1677</s:v>
      </s:c>
      <s:c r="F421" s="24">
        <s:f>'자료구성'!$B$2+TIME(INT($C$3/10000),INT(MOD($C$3,10000)/100),MOD($C$3,100))+(ROW()-ROW($C$3))/86400</s:f>
        <s:v>46247.455104166664</s:v>
      </s:c>
    </s:row>
    <s:row r="422">
      <s:c r="A422" s="0" t="n">
        <s:v>260813</s:v>
      </s:c>
      <s:c r="B422" s="0" t="inlineStr">
        <s:is>
          <s:t>이종훈</s:t>
        </s:is>
      </s:c>
      <s:c r="C422" s="0" t="n">
        <s:v>104823</s:v>
      </s:c>
      <s:c r="D422" s="0" t="n">
        <s:v>1674</s:v>
      </s:c>
      <s:c r="F422" s="24">
        <s:f>'자료구성'!$B$2+TIME(INT($C$3/10000),INT(MOD($C$3,10000)/100),MOD($C$3,100))+(ROW()-ROW($C$3))/86400</s:f>
        <s:v>46247.45511574074</s:v>
      </s:c>
    </s:row>
    <s:row r="423">
      <s:c r="A423" s="0" t="n">
        <s:v>260813</s:v>
      </s:c>
      <s:c r="B423" s="0" t="inlineStr">
        <s:is>
          <s:t>이종훈</s:t>
        </s:is>
      </s:c>
      <s:c r="C423" s="0" t="n">
        <s:v>104823</s:v>
      </s:c>
      <s:c r="D423" s="0" t="n">
        <s:v>1658</s:v>
      </s:c>
      <s:c r="F423" s="24">
        <s:f>'자료구성'!$B$2+TIME(INT($C$3/10000),INT(MOD($C$3,10000)/100),MOD($C$3,100))+(ROW()-ROW($C$3))/86400</s:f>
        <s:v>46247.45512731482</s:v>
      </s:c>
    </s:row>
    <s:row r="424">
      <s:c r="A424" s="0" t="n">
        <s:v>260813</s:v>
      </s:c>
      <s:c r="B424" s="0" t="inlineStr">
        <s:is>
          <s:t>이종훈</s:t>
        </s:is>
      </s:c>
      <s:c r="C424" s="0" t="n">
        <s:v>104823</s:v>
      </s:c>
      <s:c r="D424" s="0" t="n">
        <s:v>1667</s:v>
      </s:c>
      <s:c r="F424" s="24">
        <s:f>'자료구성'!$B$2+TIME(INT($C$3/10000),INT(MOD($C$3,10000)/100),MOD($C$3,100))+(ROW()-ROW($C$3))/86400</s:f>
        <s:v>46247.45513888889</s:v>
      </s:c>
    </s:row>
    <s:row r="425">
      <s:c r="A425" s="0" t="n">
        <s:v>260813</s:v>
      </s:c>
      <s:c r="B425" s="0" t="inlineStr">
        <s:is>
          <s:t>이종훈</s:t>
        </s:is>
      </s:c>
      <s:c r="C425" s="0" t="n">
        <s:v>104823</s:v>
      </s:c>
      <s:c r="D425" s="0" t="n">
        <s:v>1689</s:v>
      </s:c>
      <s:c r="F425" s="24">
        <s:f>'자료구성'!$B$2+TIME(INT($C$3/10000),INT(MOD($C$3,10000)/100),MOD($C$3,100))+(ROW()-ROW($C$3))/86400</s:f>
        <s:v>46247.45515046296</s:v>
      </s:c>
    </s:row>
    <s:row r="426">
      <s:c r="A426" s="0" t="n">
        <s:v>260813</s:v>
      </s:c>
      <s:c r="B426" s="0" t="inlineStr">
        <s:is>
          <s:t>이종훈</s:t>
        </s:is>
      </s:c>
      <s:c r="C426" s="0" t="n">
        <s:v>104823</s:v>
      </s:c>
      <s:c r="D426" s="0" t="n">
        <s:v>1677</s:v>
      </s:c>
      <s:c r="F426" s="24">
        <s:f>'자료구성'!$B$2+TIME(INT($C$3/10000),INT(MOD($C$3,10000)/100),MOD($C$3,100))+(ROW()-ROW($C$3))/86400</s:f>
        <s:v>46247.45516203704</s:v>
      </s:c>
    </s:row>
    <s:row r="427">
      <s:c r="A427" s="0" t="n">
        <s:v>260813</s:v>
      </s:c>
      <s:c r="B427" s="0" t="inlineStr">
        <s:is>
          <s:t>이종훈</s:t>
        </s:is>
      </s:c>
      <s:c r="C427" s="0" t="n">
        <s:v>104823</s:v>
      </s:c>
      <s:c r="D427" s="0" t="n">
        <s:v>1601</s:v>
      </s:c>
      <s:c r="F427" s="24">
        <s:f>'자료구성'!$B$2+TIME(INT($C$3/10000),INT(MOD($C$3,10000)/100),MOD($C$3,100))+(ROW()-ROW($C$3))/86400</s:f>
        <s:v>46247.45517361111</s:v>
      </s:c>
    </s:row>
    <s:row r="428">
      <s:c r="A428" s="0" t="n">
        <s:v>260813</s:v>
      </s:c>
      <s:c r="B428" s="0" t="inlineStr">
        <s:is>
          <s:t>이종훈</s:t>
        </s:is>
      </s:c>
      <s:c r="C428" s="0" t="n">
        <s:v>104823</s:v>
      </s:c>
      <s:c r="D428" s="0" t="n">
        <s:v>1541</s:v>
      </s:c>
      <s:c r="F428" s="24">
        <s:f>'자료구성'!$B$2+TIME(INT($C$3/10000),INT(MOD($C$3,10000)/100),MOD($C$3,100))+(ROW()-ROW($C$3))/86400</s:f>
        <s:v>46247.45518518519</s:v>
      </s:c>
    </s:row>
    <s:row r="429">
      <s:c r="A429" s="0" t="n">
        <s:v>260813</s:v>
      </s:c>
      <s:c r="B429" s="0" t="inlineStr">
        <s:is>
          <s:t>이종훈</s:t>
        </s:is>
      </s:c>
      <s:c r="C429" s="0" t="n">
        <s:v>104823</s:v>
      </s:c>
      <s:c r="D429" s="0" t="n">
        <s:v>1492</s:v>
      </s:c>
      <s:c r="F429" s="24">
        <s:f>'자료구성'!$B$2+TIME(INT($C$3/10000),INT(MOD($C$3,10000)/100),MOD($C$3,100))+(ROW()-ROW($C$3))/86400</s:f>
        <s:v>46247.455196759256</s:v>
      </s:c>
    </s:row>
    <s:row r="430">
      <s:c r="A430" s="0" t="n">
        <s:v>260813</s:v>
      </s:c>
      <s:c r="B430" s="0" t="inlineStr">
        <s:is>
          <s:t>이종훈</s:t>
        </s:is>
      </s:c>
      <s:c r="C430" s="0" t="n">
        <s:v>104823</s:v>
      </s:c>
      <s:c r="D430" s="0" t="n">
        <s:v>1477</s:v>
      </s:c>
      <s:c r="F430" s="24">
        <s:f>'자료구성'!$B$2+TIME(INT($C$3/10000),INT(MOD($C$3,10000)/100),MOD($C$3,100))+(ROW()-ROW($C$3))/86400</s:f>
        <s:v>46247.45520833333</s:v>
      </s:c>
    </s:row>
    <s:row r="431">
      <s:c r="A431" s="0" t="n">
        <s:v>260813</s:v>
      </s:c>
      <s:c r="B431" s="0" t="inlineStr">
        <s:is>
          <s:t>이종훈</s:t>
        </s:is>
      </s:c>
      <s:c r="C431" s="0" t="n">
        <s:v>104823</s:v>
      </s:c>
      <s:c r="D431" s="0" t="n">
        <s:v>1468</s:v>
      </s:c>
      <s:c r="F431" s="24">
        <s:f>'자료구성'!$B$2+TIME(INT($C$3/10000),INT(MOD($C$3,10000)/100),MOD($C$3,100))+(ROW()-ROW($C$3))/86400</s:f>
        <s:v>46247.45521990741</s:v>
      </s:c>
    </s:row>
    <s:row r="432">
      <s:c r="A432" s="0" t="n">
        <s:v>260813</s:v>
      </s:c>
      <s:c r="B432" s="0" t="inlineStr">
        <s:is>
          <s:t>이종훈</s:t>
        </s:is>
      </s:c>
      <s:c r="C432" s="0" t="n">
        <s:v>104823</s:v>
      </s:c>
      <s:c r="D432" s="0" t="n">
        <s:v>1491</s:v>
      </s:c>
      <s:c r="F432" s="24">
        <s:f>'자료구성'!$B$2+TIME(INT($C$3/10000),INT(MOD($C$3,10000)/100),MOD($C$3,100))+(ROW()-ROW($C$3))/86400</s:f>
        <s:v>46247.45523148148</s:v>
      </s:c>
    </s:row>
    <s:row r="433">
      <s:c r="A433" s="0" t="n">
        <s:v>260813</s:v>
      </s:c>
      <s:c r="B433" s="0" t="inlineStr">
        <s:is>
          <s:t>이종훈</s:t>
        </s:is>
      </s:c>
      <s:c r="C433" s="0" t="n">
        <s:v>104823</s:v>
      </s:c>
      <s:c r="D433" s="0" t="n">
        <s:v>1530</s:v>
      </s:c>
      <s:c r="F433" s="24">
        <s:f>'자료구성'!$B$2+TIME(INT($C$3/10000),INT(MOD($C$3,10000)/100),MOD($C$3,100))+(ROW()-ROW($C$3))/86400</s:f>
        <s:v>46247.455243055556</s:v>
      </s:c>
    </s:row>
    <s:row r="434">
      <s:c r="A434" s="0" t="n">
        <s:v>260813</s:v>
      </s:c>
      <s:c r="B434" s="0" t="inlineStr">
        <s:is>
          <s:t>이종훈</s:t>
        </s:is>
      </s:c>
      <s:c r="C434" s="0" t="n">
        <s:v>104823</s:v>
      </s:c>
      <s:c r="D434" s="0" t="n">
        <s:v>1500</s:v>
      </s:c>
      <s:c r="F434" s="24">
        <s:f>'자료구성'!$B$2+TIME(INT($C$3/10000),INT(MOD($C$3,10000)/100),MOD($C$3,100))+(ROW()-ROW($C$3))/86400</s:f>
        <s:v>46247.45525462963</s:v>
      </s:c>
    </s:row>
    <s:row r="435">
      <s:c r="A435" s="0" t="n">
        <s:v>260813</s:v>
      </s:c>
      <s:c r="B435" s="0" t="inlineStr">
        <s:is>
          <s:t>이종훈</s:t>
        </s:is>
      </s:c>
      <s:c r="C435" s="0" t="n">
        <s:v>104823</s:v>
      </s:c>
      <s:c r="D435" s="0" t="n">
        <s:v>1471</s:v>
      </s:c>
      <s:c r="F435" s="24">
        <s:f>'자료구성'!$B$2+TIME(INT($C$3/10000),INT(MOD($C$3,10000)/100),MOD($C$3,100))+(ROW()-ROW($C$3))/86400</s:f>
        <s:v>46247.4552662037</s:v>
      </s:c>
    </s:row>
    <s:row r="436">
      <s:c r="A436" s="0" t="n">
        <s:v>260813</s:v>
      </s:c>
      <s:c r="B436" s="0" t="inlineStr">
        <s:is>
          <s:t>이종훈</s:t>
        </s:is>
      </s:c>
      <s:c r="C436" s="0" t="n">
        <s:v>104823</s:v>
      </s:c>
      <s:c r="D436" s="0" t="n">
        <s:v>1443</s:v>
      </s:c>
      <s:c r="F436" s="24">
        <s:f>'자료구성'!$B$2+TIME(INT($C$3/10000),INT(MOD($C$3,10000)/100),MOD($C$3,100))+(ROW()-ROW($C$3))/86400</s:f>
        <s:v>46247.45527777778</s:v>
      </s:c>
    </s:row>
    <s:row r="437">
      <s:c r="A437" s="0" t="n">
        <s:v>260813</s:v>
      </s:c>
      <s:c r="B437" s="0" t="inlineStr">
        <s:is>
          <s:t>이종훈</s:t>
        </s:is>
      </s:c>
      <s:c r="C437" s="0" t="n">
        <s:v>104823</s:v>
      </s:c>
      <s:c r="D437" s="0" t="n">
        <s:v>1432</s:v>
      </s:c>
      <s:c r="F437" s="24">
        <s:f>'자료구성'!$B$2+TIME(INT($C$3/10000),INT(MOD($C$3,10000)/100),MOD($C$3,100))+(ROW()-ROW($C$3))/86400</s:f>
        <s:v>46247.45528935185</s:v>
      </s:c>
    </s:row>
    <s:row r="438">
      <s:c r="A438" s="0" t="n">
        <s:v>260813</s:v>
      </s:c>
      <s:c r="B438" s="0" t="inlineStr">
        <s:is>
          <s:t>이종훈</s:t>
        </s:is>
      </s:c>
      <s:c r="C438" s="0" t="n">
        <s:v>104823</s:v>
      </s:c>
      <s:c r="D438" s="0" t="n">
        <s:v>1428</s:v>
      </s:c>
      <s:c r="F438" s="24">
        <s:f>'자료구성'!$B$2+TIME(INT($C$3/10000),INT(MOD($C$3,10000)/100),MOD($C$3,100))+(ROW()-ROW($C$3))/86400</s:f>
        <s:v>46247.455300925925</s:v>
      </s:c>
    </s:row>
    <s:row r="439">
      <s:c r="A439" s="0" t="n">
        <s:v>260813</s:v>
      </s:c>
      <s:c r="B439" s="0" t="inlineStr">
        <s:is>
          <s:t>이종훈</s:t>
        </s:is>
      </s:c>
      <s:c r="C439" s="0" t="n">
        <s:v>104823</s:v>
      </s:c>
      <s:c r="D439" s="0" t="n">
        <s:v>1389</s:v>
      </s:c>
      <s:c r="F439" s="24">
        <s:f>'자료구성'!$B$2+TIME(INT($C$3/10000),INT(MOD($C$3,10000)/100),MOD($C$3,100))+(ROW()-ROW($C$3))/86400</s:f>
        <s:v>46247.4553125</s:v>
      </s:c>
    </s:row>
    <s:row r="440">
      <s:c r="A440" s="0" t="n">
        <s:v>260813</s:v>
      </s:c>
      <s:c r="B440" s="0" t="inlineStr">
        <s:is>
          <s:t>이종훈</s:t>
        </s:is>
      </s:c>
      <s:c r="C440" s="0" t="n">
        <s:v>104823</s:v>
      </s:c>
      <s:c r="D440" s="0" t="n">
        <s:v>1418</s:v>
      </s:c>
      <s:c r="F440" s="24">
        <s:f>'자료구성'!$B$2+TIME(INT($C$3/10000),INT(MOD($C$3,10000)/100),MOD($C$3,100))+(ROW()-ROW($C$3))/86400</s:f>
        <s:v>46247.45532407407</s:v>
      </s:c>
    </s:row>
    <s:row r="441">
      <s:c r="A441" s="0" t="n">
        <s:v>260813</s:v>
      </s:c>
      <s:c r="B441" s="0" t="inlineStr">
        <s:is>
          <s:t>이종훈</s:t>
        </s:is>
      </s:c>
      <s:c r="C441" s="0" t="n">
        <s:v>104823</s:v>
      </s:c>
      <s:c r="D441" s="0" t="n">
        <s:v>1436</s:v>
      </s:c>
      <s:c r="F441" s="24">
        <s:f>'자료구성'!$B$2+TIME(INT($C$3/10000),INT(MOD($C$3,10000)/100),MOD($C$3,100))+(ROW()-ROW($C$3))/86400</s:f>
        <s:v>46247.45533564815</s:v>
      </s:c>
    </s:row>
    <s:row r="442">
      <s:c r="A442" s="0" t="n">
        <s:v>260813</s:v>
      </s:c>
      <s:c r="B442" s="0" t="inlineStr">
        <s:is>
          <s:t>이종훈</s:t>
        </s:is>
      </s:c>
      <s:c r="C442" s="0" t="n">
        <s:v>104823</s:v>
      </s:c>
      <s:c r="D442" s="0" t="n">
        <s:v>1406</s:v>
      </s:c>
      <s:c r="F442" s="24">
        <s:f>'자료구성'!$B$2+TIME(INT($C$3/10000),INT(MOD($C$3,10000)/100),MOD($C$3,100))+(ROW()-ROW($C$3))/86400</s:f>
        <s:v>46247.455347222225</s:v>
      </s:c>
    </s:row>
    <s:row r="443">
      <s:c r="A443" s="0" t="n">
        <s:v>260813</s:v>
      </s:c>
      <s:c r="B443" s="0" t="inlineStr">
        <s:is>
          <s:t>이종훈</s:t>
        </s:is>
      </s:c>
      <s:c r="C443" s="0" t="n">
        <s:v>104823</s:v>
      </s:c>
      <s:c r="D443" s="0" t="n">
        <s:v>1380</s:v>
      </s:c>
      <s:c r="F443" s="24">
        <s:f>'자료구성'!$B$2+TIME(INT($C$3/10000),INT(MOD($C$3,10000)/100),MOD($C$3,100))+(ROW()-ROW($C$3))/86400</s:f>
        <s:v>46247.455358796295</s:v>
      </s:c>
    </s:row>
    <s:row r="444">
      <s:c r="A444" s="0" t="n">
        <s:v>260813</s:v>
      </s:c>
      <s:c r="B444" s="0" t="inlineStr">
        <s:is>
          <s:t>이종훈</s:t>
        </s:is>
      </s:c>
      <s:c r="C444" s="0" t="n">
        <s:v>104823</s:v>
      </s:c>
      <s:c r="D444" s="0" t="n">
        <s:v>1380</s:v>
      </s:c>
      <s:c r="F444" s="24">
        <s:f>'자료구성'!$B$2+TIME(INT($C$3/10000),INT(MOD($C$3,10000)/100),MOD($C$3,100))+(ROW()-ROW($C$3))/86400</s:f>
        <s:v>46247.45537037037</s:v>
      </s:c>
    </s:row>
    <s:row r="445">
      <s:c r="A445" s="0" t="n">
        <s:v>260813</s:v>
      </s:c>
      <s:c r="B445" s="0" t="inlineStr">
        <s:is>
          <s:t>이종훈</s:t>
        </s:is>
      </s:c>
      <s:c r="C445" s="0" t="n">
        <s:v>104823</s:v>
      </s:c>
      <s:c r="D445" s="0" t="n">
        <s:v>1375</s:v>
      </s:c>
      <s:c r="F445" s="24">
        <s:f>'자료구성'!$B$2+TIME(INT($C$3/10000),INT(MOD($C$3,10000)/100),MOD($C$3,100))+(ROW()-ROW($C$3))/86400</s:f>
        <s:v>46247.45538194444</s:v>
      </s:c>
    </s:row>
    <s:row r="446">
      <s:c r="A446" s="0" t="n">
        <s:v>260813</s:v>
      </s:c>
      <s:c r="B446" s="0" t="inlineStr">
        <s:is>
          <s:t>이종훈</s:t>
        </s:is>
      </s:c>
      <s:c r="C446" s="0" t="n">
        <s:v>104823</s:v>
      </s:c>
      <s:c r="D446" s="0" t="n">
        <s:v>1375</s:v>
      </s:c>
      <s:c r="F446" s="24">
        <s:f>'자료구성'!$B$2+TIME(INT($C$3/10000),INT(MOD($C$3,10000)/100),MOD($C$3,100))+(ROW()-ROW($C$3))/86400</s:f>
        <s:v>46247.45539351852</s:v>
      </s:c>
    </s:row>
    <s:row r="447">
      <s:c r="A447" s="0" t="n">
        <s:v>260813</s:v>
      </s:c>
      <s:c r="B447" s="0" t="inlineStr">
        <s:is>
          <s:t>이종훈</s:t>
        </s:is>
      </s:c>
      <s:c r="C447" s="0" t="n">
        <s:v>104823</s:v>
      </s:c>
      <s:c r="D447" s="0" t="n">
        <s:v>1416</s:v>
      </s:c>
      <s:c r="F447" s="24">
        <s:f>'자료구성'!$B$2+TIME(INT($C$3/10000),INT(MOD($C$3,10000)/100),MOD($C$3,100))+(ROW()-ROW($C$3))/86400</s:f>
        <s:v>46247.455405092594</s:v>
      </s:c>
    </s:row>
    <s:row r="448">
      <s:c r="A448" s="0" t="n">
        <s:v>260813</s:v>
      </s:c>
      <s:c r="B448" s="0" t="inlineStr">
        <s:is>
          <s:t>이종훈</s:t>
        </s:is>
      </s:c>
      <s:c r="C448" s="0" t="n">
        <s:v>104823</s:v>
      </s:c>
      <s:c r="D448" s="0" t="n">
        <s:v>1471</s:v>
      </s:c>
      <s:c r="F448" s="24">
        <s:f>'자료구성'!$B$2+TIME(INT($C$3/10000),INT(MOD($C$3,10000)/100),MOD($C$3,100))+(ROW()-ROW($C$3))/86400</s:f>
        <s:v>46247.455416666664</s:v>
      </s:c>
    </s:row>
    <s:row r="449">
      <s:c r="A449" s="0" t="n">
        <s:v>260813</s:v>
      </s:c>
      <s:c r="B449" s="0" t="inlineStr">
        <s:is>
          <s:t>이종훈</s:t>
        </s:is>
      </s:c>
      <s:c r="C449" s="0" t="n">
        <s:v>104823</s:v>
      </s:c>
      <s:c r="D449" s="0" t="n">
        <s:v>1535</s:v>
      </s:c>
      <s:c r="F449" s="24">
        <s:f>'자료구성'!$B$2+TIME(INT($C$3/10000),INT(MOD($C$3,10000)/100),MOD($C$3,100))+(ROW()-ROW($C$3))/86400</s:f>
        <s:v>46247.45542824074</s:v>
      </s:c>
    </s:row>
    <s:row r="450">
      <s:c r="A450" s="0" t="n">
        <s:v>260813</s:v>
      </s:c>
      <s:c r="B450" s="0" t="inlineStr">
        <s:is>
          <s:t>이종훈</s:t>
        </s:is>
      </s:c>
      <s:c r="C450" s="0" t="n">
        <s:v>104823</s:v>
      </s:c>
      <s:c r="D450" s="0" t="n">
        <s:v>1594</s:v>
      </s:c>
      <s:c r="F450" s="24">
        <s:f>'자료구성'!$B$2+TIME(INT($C$3/10000),INT(MOD($C$3,10000)/100),MOD($C$3,100))+(ROW()-ROW($C$3))/86400</s:f>
        <s:v>46247.45543981482</s:v>
      </s:c>
    </s:row>
    <s:row r="451">
      <s:c r="A451" s="0" t="n">
        <s:v>260813</s:v>
      </s:c>
      <s:c r="B451" s="0" t="inlineStr">
        <s:is>
          <s:t>이종훈</s:t>
        </s:is>
      </s:c>
      <s:c r="C451" s="0" t="n">
        <s:v>104823</s:v>
      </s:c>
      <s:c r="D451" s="0" t="n">
        <s:v>1627</s:v>
      </s:c>
      <s:c r="F451" s="24">
        <s:f>'자료구성'!$B$2+TIME(INT($C$3/10000),INT(MOD($C$3,10000)/100),MOD($C$3,100))+(ROW()-ROW($C$3))/86400</s:f>
        <s:v>46247.45545138889</s:v>
      </s:c>
    </s:row>
    <s:row r="452">
      <s:c r="A452" s="0" t="n">
        <s:v>260813</s:v>
      </s:c>
      <s:c r="B452" s="0" t="inlineStr">
        <s:is>
          <s:t>이종훈</s:t>
        </s:is>
      </s:c>
      <s:c r="C452" s="0" t="n">
        <s:v>104823</s:v>
      </s:c>
      <s:c r="D452" s="0" t="n">
        <s:v>1657</s:v>
      </s:c>
      <s:c r="F452" s="24">
        <s:f>'자료구성'!$B$2+TIME(INT($C$3/10000),INT(MOD($C$3,10000)/100),MOD($C$3,100))+(ROW()-ROW($C$3))/86400</s:f>
        <s:v>46247.455462962964</s:v>
      </s:c>
    </s:row>
    <s:row r="453">
      <s:c r="A453" s="0" t="n">
        <s:v>260813</s:v>
      </s:c>
      <s:c r="B453" s="0" t="inlineStr">
        <s:is>
          <s:t>이종훈</s:t>
        </s:is>
      </s:c>
      <s:c r="C453" s="0" t="n">
        <s:v>104823</s:v>
      </s:c>
      <s:c r="D453" s="0" t="n">
        <s:v>1620</s:v>
      </s:c>
      <s:c r="F453" s="24">
        <s:f>'자료구성'!$B$2+TIME(INT($C$3/10000),INT(MOD($C$3,10000)/100),MOD($C$3,100))+(ROW()-ROW($C$3))/86400</s:f>
        <s:v>46247.45547453704</s:v>
      </s:c>
    </s:row>
    <s:row r="454">
      <s:c r="A454" s="0" t="n">
        <s:v>260813</s:v>
      </s:c>
      <s:c r="B454" s="0" t="inlineStr">
        <s:is>
          <s:t>이종훈</s:t>
        </s:is>
      </s:c>
      <s:c r="C454" s="0" t="n">
        <s:v>104823</s:v>
      </s:c>
      <s:c r="D454" s="0" t="n">
        <s:v>1607</s:v>
      </s:c>
      <s:c r="F454" s="24">
        <s:f>'자료구성'!$B$2+TIME(INT($C$3/10000),INT(MOD($C$3,10000)/100),MOD($C$3,100))+(ROW()-ROW($C$3))/86400</s:f>
        <s:v>46247.45548611111</s:v>
      </s:c>
    </s:row>
    <s:row r="455">
      <s:c r="A455" s="0" t="n">
        <s:v>260813</s:v>
      </s:c>
      <s:c r="B455" s="0" t="inlineStr">
        <s:is>
          <s:t>이종훈</s:t>
        </s:is>
      </s:c>
      <s:c r="C455" s="0" t="n">
        <s:v>104823</s:v>
      </s:c>
      <s:c r="D455" s="0" t="n">
        <s:v>1625</s:v>
      </s:c>
      <s:c r="F455" s="24">
        <s:f>'자료구성'!$B$2+TIME(INT($C$3/10000),INT(MOD($C$3,10000)/100),MOD($C$3,100))+(ROW()-ROW($C$3))/86400</s:f>
        <s:v>46247.45549768519</s:v>
      </s:c>
    </s:row>
    <s:row r="456">
      <s:c r="A456" s="0" t="n">
        <s:v>260813</s:v>
      </s:c>
      <s:c r="B456" s="0" t="inlineStr">
        <s:is>
          <s:t>이종훈</s:t>
        </s:is>
      </s:c>
      <s:c r="C456" s="0" t="n">
        <s:v>104823</s:v>
      </s:c>
      <s:c r="D456" s="0" t="n">
        <s:v>1627</s:v>
      </s:c>
      <s:c r="F456" s="24">
        <s:f>'자료구성'!$B$2+TIME(INT($C$3/10000),INT(MOD($C$3,10000)/100),MOD($C$3,100))+(ROW()-ROW($C$3))/86400</s:f>
        <s:v>46247.455509259256</s:v>
      </s:c>
    </s:row>
    <s:row r="457">
      <s:c r="A457" s="0" t="n">
        <s:v>260813</s:v>
      </s:c>
      <s:c r="B457" s="0" t="inlineStr">
        <s:is>
          <s:t>이종훈</s:t>
        </s:is>
      </s:c>
      <s:c r="C457" s="0" t="n">
        <s:v>104823</s:v>
      </s:c>
      <s:c r="D457" s="0" t="n">
        <s:v>1614</s:v>
      </s:c>
      <s:c r="F457" s="24">
        <s:f>'자료구성'!$B$2+TIME(INT($C$3/10000),INT(MOD($C$3,10000)/100),MOD($C$3,100))+(ROW()-ROW($C$3))/86400</s:f>
        <s:v>46247.45552083333</s:v>
      </s:c>
    </s:row>
    <s:row r="458">
      <s:c r="A458" s="0" t="n">
        <s:v>260813</s:v>
      </s:c>
      <s:c r="B458" s="0" t="inlineStr">
        <s:is>
          <s:t>이종훈</s:t>
        </s:is>
      </s:c>
      <s:c r="C458" s="0" t="n">
        <s:v>104823</s:v>
      </s:c>
      <s:c r="D458" s="0" t="n">
        <s:v>1603</s:v>
      </s:c>
      <s:c r="F458" s="24">
        <s:f>'자료구성'!$B$2+TIME(INT($C$3/10000),INT(MOD($C$3,10000)/100),MOD($C$3,100))+(ROW()-ROW($C$3))/86400</s:f>
        <s:v>46247.45553240741</s:v>
      </s:c>
    </s:row>
    <s:row r="459">
      <s:c r="A459" s="0" t="n">
        <s:v>260813</s:v>
      </s:c>
      <s:c r="B459" s="0" t="inlineStr">
        <s:is>
          <s:t>이종훈</s:t>
        </s:is>
      </s:c>
      <s:c r="C459" s="0" t="n">
        <s:v>104823</s:v>
      </s:c>
      <s:c r="D459" s="0" t="n">
        <s:v>1572</s:v>
      </s:c>
      <s:c r="F459" s="24">
        <s:f>'자료구성'!$B$2+TIME(INT($C$3/10000),INT(MOD($C$3,10000)/100),MOD($C$3,100))+(ROW()-ROW($C$3))/86400</s:f>
        <s:v>46247.45554398148</s:v>
      </s:c>
    </s:row>
    <s:row r="460">
      <s:c r="A460" s="0" t="n">
        <s:v>260813</s:v>
      </s:c>
      <s:c r="B460" s="0" t="inlineStr">
        <s:is>
          <s:t>이종훈</s:t>
        </s:is>
      </s:c>
      <s:c r="C460" s="0" t="n">
        <s:v>104823</s:v>
      </s:c>
      <s:c r="D460" s="0" t="n">
        <s:v>1552</s:v>
      </s:c>
      <s:c r="F460" s="24">
        <s:f>'자료구성'!$B$2+TIME(INT($C$3/10000),INT(MOD($C$3,10000)/100),MOD($C$3,100))+(ROW()-ROW($C$3))/86400</s:f>
        <s:v>46247.455555555556</s:v>
      </s:c>
    </s:row>
    <s:row r="461">
      <s:c r="A461" s="0" t="n">
        <s:v>260813</s:v>
      </s:c>
      <s:c r="B461" s="0" t="inlineStr">
        <s:is>
          <s:t>이종훈</s:t>
        </s:is>
      </s:c>
      <s:c r="C461" s="0" t="n">
        <s:v>104823</s:v>
      </s:c>
      <s:c r="D461" s="0" t="n">
        <s:v>1551</s:v>
      </s:c>
      <s:c r="F461" s="24">
        <s:f>'자료구성'!$B$2+TIME(INT($C$3/10000),INT(MOD($C$3,10000)/100),MOD($C$3,100))+(ROW()-ROW($C$3))/86400</s:f>
        <s:v>46247.45556712963</s:v>
      </s:c>
    </s:row>
    <s:row r="462">
      <s:c r="A462" s="0" t="n">
        <s:v>260813</s:v>
      </s:c>
      <s:c r="B462" s="0" t="inlineStr">
        <s:is>
          <s:t>이종훈</s:t>
        </s:is>
      </s:c>
      <s:c r="C462" s="0" t="n">
        <s:v>104823</s:v>
      </s:c>
      <s:c r="D462" s="0" t="n">
        <s:v>1555</s:v>
      </s:c>
      <s:c r="F462" s="24">
        <s:f>'자료구성'!$B$2+TIME(INT($C$3/10000),INT(MOD($C$3,10000)/100),MOD($C$3,100))+(ROW()-ROW($C$3))/86400</s:f>
        <s:v>46247.4555787037</s:v>
      </s:c>
    </s:row>
    <s:row r="463">
      <s:c r="A463" s="0" t="n">
        <s:v>260813</s:v>
      </s:c>
      <s:c r="B463" s="0" t="inlineStr">
        <s:is>
          <s:t>이종훈</s:t>
        </s:is>
      </s:c>
      <s:c r="C463" s="0" t="n">
        <s:v>104823</s:v>
      </s:c>
      <s:c r="D463" s="0" t="n">
        <s:v>1532</s:v>
      </s:c>
      <s:c r="F463" s="24">
        <s:f>'자료구성'!$B$2+TIME(INT($C$3/10000),INT(MOD($C$3,10000)/100),MOD($C$3,100))+(ROW()-ROW($C$3))/86400</s:f>
        <s:v>46247.45559027778</s:v>
      </s:c>
    </s:row>
    <s:row r="464">
      <s:c r="A464" s="0" t="n">
        <s:v>260813</s:v>
      </s:c>
      <s:c r="B464" s="0" t="inlineStr">
        <s:is>
          <s:t>이종훈</s:t>
        </s:is>
      </s:c>
      <s:c r="C464" s="0" t="n">
        <s:v>104823</s:v>
      </s:c>
      <s:c r="D464" s="0" t="n">
        <s:v>1512</s:v>
      </s:c>
      <s:c r="F464" s="24">
        <s:f>'자료구성'!$B$2+TIME(INT($C$3/10000),INT(MOD($C$3,10000)/100),MOD($C$3,100))+(ROW()-ROW($C$3))/86400</s:f>
        <s:v>46247.45560185185</s:v>
      </s:c>
    </s:row>
    <s:row r="465">
      <s:c r="A465" s="0" t="n">
        <s:v>260813</s:v>
      </s:c>
      <s:c r="B465" s="0" t="inlineStr">
        <s:is>
          <s:t>이종훈</s:t>
        </s:is>
      </s:c>
      <s:c r="C465" s="0" t="n">
        <s:v>104823</s:v>
      </s:c>
      <s:c r="D465" s="0" t="n">
        <s:v>1483</s:v>
      </s:c>
      <s:c r="F465" s="24">
        <s:f>'자료구성'!$B$2+TIME(INT($C$3/10000),INT(MOD($C$3,10000)/100),MOD($C$3,100))+(ROW()-ROW($C$3))/86400</s:f>
        <s:v>46247.455613425926</s:v>
      </s:c>
    </s:row>
    <s:row r="466">
      <s:c r="A466" s="0" t="n">
        <s:v>260813</s:v>
      </s:c>
      <s:c r="B466" s="0" t="inlineStr">
        <s:is>
          <s:t>이종훈</s:t>
        </s:is>
      </s:c>
      <s:c r="C466" s="0" t="n">
        <s:v>104823</s:v>
      </s:c>
      <s:c r="D466" s="0" t="n">
        <s:v>1449</s:v>
      </s:c>
      <s:c r="F466" s="24">
        <s:f>'자료구성'!$B$2+TIME(INT($C$3/10000),INT(MOD($C$3,10000)/100),MOD($C$3,100))+(ROW()-ROW($C$3))/86400</s:f>
        <s:v>46247.455625</s:v>
      </s:c>
    </s:row>
    <s:row r="467">
      <s:c r="A467" s="0" t="n">
        <s:v>260813</s:v>
      </s:c>
      <s:c r="B467" s="0" t="inlineStr">
        <s:is>
          <s:t>이종훈</s:t>
        </s:is>
      </s:c>
      <s:c r="C467" s="0" t="n">
        <s:v>104823</s:v>
      </s:c>
      <s:c r="D467" s="0" t="n">
        <s:v>1443</s:v>
      </s:c>
      <s:c r="F467" s="24">
        <s:f>'자료구성'!$B$2+TIME(INT($C$3/10000),INT(MOD($C$3,10000)/100),MOD($C$3,100))+(ROW()-ROW($C$3))/86400</s:f>
        <s:v>46247.45563657407</s:v>
      </s:c>
    </s:row>
    <s:row r="468">
      <s:c r="A468" s="0" t="n">
        <s:v>260813</s:v>
      </s:c>
      <s:c r="B468" s="0" t="inlineStr">
        <s:is>
          <s:t>이종훈</s:t>
        </s:is>
      </s:c>
      <s:c r="C468" s="0" t="n">
        <s:v>104823</s:v>
      </s:c>
      <s:c r="D468" s="0" t="n">
        <s:v>1418</s:v>
      </s:c>
      <s:c r="F468" s="24">
        <s:f>'자료구성'!$B$2+TIME(INT($C$3/10000),INT(MOD($C$3,10000)/100),MOD($C$3,100))+(ROW()-ROW($C$3))/86400</s:f>
        <s:v>46247.45564814815</s:v>
      </s:c>
    </s:row>
    <s:row r="469">
      <s:c r="A469" s="0" t="n">
        <s:v>260813</s:v>
      </s:c>
      <s:c r="B469" s="0" t="inlineStr">
        <s:is>
          <s:t>이종훈</s:t>
        </s:is>
      </s:c>
      <s:c r="C469" s="0" t="n">
        <s:v>104823</s:v>
      </s:c>
      <s:c r="D469" s="0" t="n">
        <s:v>1386</s:v>
      </s:c>
      <s:c r="F469" s="24">
        <s:f>'자료구성'!$B$2+TIME(INT($C$3/10000),INT(MOD($C$3,10000)/100),MOD($C$3,100))+(ROW()-ROW($C$3))/86400</s:f>
        <s:v>46247.455659722225</s:v>
      </s:c>
    </s:row>
    <s:row r="470">
      <s:c r="A470" s="0" t="n">
        <s:v>260813</s:v>
      </s:c>
      <s:c r="B470" s="0" t="inlineStr">
        <s:is>
          <s:t>이종훈</s:t>
        </s:is>
      </s:c>
      <s:c r="C470" s="0" t="n">
        <s:v>104823</s:v>
      </s:c>
      <s:c r="D470" s="0" t="n">
        <s:v>1389</s:v>
      </s:c>
      <s:c r="F470" s="24">
        <s:f>'자료구성'!$B$2+TIME(INT($C$3/10000),INT(MOD($C$3,10000)/100),MOD($C$3,100))+(ROW()-ROW($C$3))/86400</s:f>
        <s:v>46247.455671296295</s:v>
      </s:c>
    </s:row>
    <s:row r="471">
      <s:c r="A471" s="0" t="n">
        <s:v>260813</s:v>
      </s:c>
      <s:c r="B471" s="0" t="inlineStr">
        <s:is>
          <s:t>이종훈</s:t>
        </s:is>
      </s:c>
      <s:c r="C471" s="0" t="n">
        <s:v>104823</s:v>
      </s:c>
      <s:c r="D471" s="0" t="n">
        <s:v>1412</s:v>
      </s:c>
      <s:c r="F471" s="24">
        <s:f>'자료구성'!$B$2+TIME(INT($C$3/10000),INT(MOD($C$3,10000)/100),MOD($C$3,100))+(ROW()-ROW($C$3))/86400</s:f>
        <s:v>46247.45568287037</s:v>
      </s:c>
    </s:row>
    <s:row r="472">
      <s:c r="A472" s="0" t="n">
        <s:v>260813</s:v>
      </s:c>
      <s:c r="B472" s="0" t="inlineStr">
        <s:is>
          <s:t>이종훈</s:t>
        </s:is>
      </s:c>
      <s:c r="C472" s="0" t="n">
        <s:v>104823</s:v>
      </s:c>
      <s:c r="D472" s="0" t="n">
        <s:v>1429</s:v>
      </s:c>
      <s:c r="F472" s="24">
        <s:f>'자료구성'!$B$2+TIME(INT($C$3/10000),INT(MOD($C$3,10000)/100),MOD($C$3,100))+(ROW()-ROW($C$3))/86400</s:f>
        <s:v>46247.45569444444</s:v>
      </s:c>
    </s:row>
    <s:row r="473">
      <s:c r="A473" s="0" t="n">
        <s:v>260813</s:v>
      </s:c>
      <s:c r="B473" s="0" t="inlineStr">
        <s:is>
          <s:t>이종훈</s:t>
        </s:is>
      </s:c>
      <s:c r="C473" s="0" t="n">
        <s:v>104823</s:v>
      </s:c>
      <s:c r="D473" s="0" t="n">
        <s:v>1444</s:v>
      </s:c>
      <s:c r="F473" s="24">
        <s:f>'자료구성'!$B$2+TIME(INT($C$3/10000),INT(MOD($C$3,10000)/100),MOD($C$3,100))+(ROW()-ROW($C$3))/86400</s:f>
        <s:v>46247.45570601852</s:v>
      </s:c>
    </s:row>
    <s:row r="474">
      <s:c r="A474" s="0" t="n">
        <s:v>260813</s:v>
      </s:c>
      <s:c r="B474" s="0" t="inlineStr">
        <s:is>
          <s:t>이종훈</s:t>
        </s:is>
      </s:c>
      <s:c r="C474" s="0" t="n">
        <s:v>104823</s:v>
      </s:c>
      <s:c r="D474" s="0" t="n">
        <s:v>1432</s:v>
      </s:c>
      <s:c r="F474" s="24">
        <s:f>'자료구성'!$B$2+TIME(INT($C$3/10000),INT(MOD($C$3,10000)/100),MOD($C$3,100))+(ROW()-ROW($C$3))/86400</s:f>
        <s:v>46247.455717592595</s:v>
      </s:c>
    </s:row>
    <s:row r="475">
      <s:c r="A475" s="0" t="n">
        <s:v>260813</s:v>
      </s:c>
      <s:c r="B475" s="0" t="inlineStr">
        <s:is>
          <s:t>이종훈</s:t>
        </s:is>
      </s:c>
      <s:c r="C475" s="0" t="n">
        <s:v>104823</s:v>
      </s:c>
      <s:c r="D475" s="0" t="n">
        <s:v>1439</s:v>
      </s:c>
      <s:c r="F475" s="24">
        <s:f>'자료구성'!$B$2+TIME(INT($C$3/10000),INT(MOD($C$3,10000)/100),MOD($C$3,100))+(ROW()-ROW($C$3))/86400</s:f>
        <s:v>46247.455729166664</s:v>
      </s:c>
    </s:row>
    <s:row r="476">
      <s:c r="A476" s="0" t="n">
        <s:v>260813</s:v>
      </s:c>
      <s:c r="B476" s="0" t="inlineStr">
        <s:is>
          <s:t>이종훈</s:t>
        </s:is>
      </s:c>
      <s:c r="C476" s="0" t="n">
        <s:v>104823</s:v>
      </s:c>
      <s:c r="D476" s="0" t="n">
        <s:v>1457</s:v>
      </s:c>
      <s:c r="F476" s="24">
        <s:f>'자료구성'!$B$2+TIME(INT($C$3/10000),INT(MOD($C$3,10000)/100),MOD($C$3,100))+(ROW()-ROW($C$3))/86400</s:f>
        <s:v>46247.45574074074</s:v>
      </s:c>
    </s:row>
    <s:row r="477">
      <s:c r="A477" s="0" t="n">
        <s:v>260813</s:v>
      </s:c>
      <s:c r="B477" s="0" t="inlineStr">
        <s:is>
          <s:t>이종훈</s:t>
        </s:is>
      </s:c>
      <s:c r="C477" s="0" t="n">
        <s:v>104823</s:v>
      </s:c>
      <s:c r="D477" s="0" t="n">
        <s:v>1456</s:v>
      </s:c>
      <s:c r="F477" s="24">
        <s:f>'자료구성'!$B$2+TIME(INT($C$3/10000),INT(MOD($C$3,10000)/100),MOD($C$3,100))+(ROW()-ROW($C$3))/86400</s:f>
        <s:v>46247.45575231482</s:v>
      </s:c>
    </s:row>
    <s:row r="478">
      <s:c r="A478" s="0" t="n">
        <s:v>260813</s:v>
      </s:c>
      <s:c r="B478" s="0" t="inlineStr">
        <s:is>
          <s:t>이종훈</s:t>
        </s:is>
      </s:c>
      <s:c r="C478" s="0" t="n">
        <s:v>104823</s:v>
      </s:c>
      <s:c r="D478" s="0" t="n">
        <s:v>1447</s:v>
      </s:c>
      <s:c r="F478" s="24">
        <s:f>'자료구성'!$B$2+TIME(INT($C$3/10000),INT(MOD($C$3,10000)/100),MOD($C$3,100))+(ROW()-ROW($C$3))/86400</s:f>
        <s:v>46247.45576388889</s:v>
      </s:c>
    </s:row>
    <s:row r="479">
      <s:c r="A479" s="0" t="n">
        <s:v>260813</s:v>
      </s:c>
      <s:c r="B479" s="0" t="inlineStr">
        <s:is>
          <s:t>이종훈</s:t>
        </s:is>
      </s:c>
      <s:c r="C479" s="0" t="n">
        <s:v>104823</s:v>
      </s:c>
      <s:c r="D479" s="0" t="n">
        <s:v>1435</s:v>
      </s:c>
      <s:c r="F479" s="24">
        <s:f>'자료구성'!$B$2+TIME(INT($C$3/10000),INT(MOD($C$3,10000)/100),MOD($C$3,100))+(ROW()-ROW($C$3))/86400</s:f>
        <s:v>46247.455775462964</s:v>
      </s:c>
    </s:row>
    <s:row r="480">
      <s:c r="A480" s="0" t="n">
        <s:v>260813</s:v>
      </s:c>
      <s:c r="B480" s="0" t="inlineStr">
        <s:is>
          <s:t>이종훈</s:t>
        </s:is>
      </s:c>
      <s:c r="C480" s="0" t="n">
        <s:v>104823</s:v>
      </s:c>
      <s:c r="D480" s="0" t="n">
        <s:v>1430</s:v>
      </s:c>
      <s:c r="F480" s="24">
        <s:f>'자료구성'!$B$2+TIME(INT($C$3/10000),INT(MOD($C$3,10000)/100),MOD($C$3,100))+(ROW()-ROW($C$3))/86400</s:f>
        <s:v>46247.45578703703</s:v>
      </s:c>
    </s:row>
    <s:row r="481">
      <s:c r="A481" s="0" t="n">
        <s:v>260813</s:v>
      </s:c>
      <s:c r="B481" s="0" t="inlineStr">
        <s:is>
          <s:t>이종훈</s:t>
        </s:is>
      </s:c>
      <s:c r="C481" s="0" t="n">
        <s:v>104823</s:v>
      </s:c>
      <s:c r="D481" s="0" t="n">
        <s:v>1439</s:v>
      </s:c>
      <s:c r="F481" s="24">
        <s:f>'자료구성'!$B$2+TIME(INT($C$3/10000),INT(MOD($C$3,10000)/100),MOD($C$3,100))+(ROW()-ROW($C$3))/86400</s:f>
        <s:v>46247.45579861111</s:v>
      </s:c>
    </s:row>
    <s:row r="482">
      <s:c r="A482" s="0" t="n">
        <s:v>260813</s:v>
      </s:c>
      <s:c r="B482" s="0" t="inlineStr">
        <s:is>
          <s:t>이종훈</s:t>
        </s:is>
      </s:c>
      <s:c r="C482" s="0" t="n">
        <s:v>104823</s:v>
      </s:c>
      <s:c r="D482" s="0" t="n">
        <s:v>1423</s:v>
      </s:c>
      <s:c r="F482" s="24">
        <s:f>'자료구성'!$B$2+TIME(INT($C$3/10000),INT(MOD($C$3,10000)/100),MOD($C$3,100))+(ROW()-ROW($C$3))/86400</s:f>
        <s:v>46247.45581018519</s:v>
      </s:c>
    </s:row>
    <s:row r="483">
      <s:c r="A483" s="0" t="n">
        <s:v>260813</s:v>
      </s:c>
      <s:c r="B483" s="0" t="inlineStr">
        <s:is>
          <s:t>이종훈</s:t>
        </s:is>
      </s:c>
      <s:c r="C483" s="0" t="n">
        <s:v>104823</s:v>
      </s:c>
      <s:c r="D483" s="0" t="n">
        <s:v>1410</s:v>
      </s:c>
      <s:c r="F483" s="24">
        <s:f>'자료구성'!$B$2+TIME(INT($C$3/10000),INT(MOD($C$3,10000)/100),MOD($C$3,100))+(ROW()-ROW($C$3))/86400</s:f>
        <s:v>46247.45582175926</s:v>
      </s:c>
    </s:row>
    <s:row r="484">
      <s:c r="A484" s="0" t="n">
        <s:v>260813</s:v>
      </s:c>
      <s:c r="B484" s="0" t="inlineStr">
        <s:is>
          <s:t>이종훈</s:t>
        </s:is>
      </s:c>
      <s:c r="C484" s="0" t="n">
        <s:v>104823</s:v>
      </s:c>
      <s:c r="D484" s="0" t="n">
        <s:v>1388</s:v>
      </s:c>
      <s:c r="F484" s="24">
        <s:f>'자료구성'!$B$2+TIME(INT($C$3/10000),INT(MOD($C$3,10000)/100),MOD($C$3,100))+(ROW()-ROW($C$3))/86400</s:f>
        <s:v>46247.45583333333</s:v>
      </s:c>
    </s:row>
    <s:row r="485">
      <s:c r="A485" s="0" t="n">
        <s:v>260813</s:v>
      </s:c>
      <s:c r="B485" s="0" t="inlineStr">
        <s:is>
          <s:t>이종훈</s:t>
        </s:is>
      </s:c>
      <s:c r="C485" s="0" t="n">
        <s:v>104823</s:v>
      </s:c>
      <s:c r="D485" s="0" t="n">
        <s:v>1386</s:v>
      </s:c>
      <s:c r="F485" s="24">
        <s:f>'자료구성'!$B$2+TIME(INT($C$3/10000),INT(MOD($C$3,10000)/100),MOD($C$3,100))+(ROW()-ROW($C$3))/86400</s:f>
        <s:v>46247.45584490741</s:v>
      </s:c>
    </s:row>
    <s:row r="486">
      <s:c r="A486" s="0" t="n">
        <s:v>260813</s:v>
      </s:c>
      <s:c r="B486" s="0" t="inlineStr">
        <s:is>
          <s:t>이종훈</s:t>
        </s:is>
      </s:c>
      <s:c r="C486" s="0" t="n">
        <s:v>104823</s:v>
      </s:c>
      <s:c r="D486" s="0" t="n">
        <s:v>1376</s:v>
      </s:c>
      <s:c r="F486" s="24">
        <s:f>'자료구성'!$B$2+TIME(INT($C$3/10000),INT(MOD($C$3,10000)/100),MOD($C$3,100))+(ROW()-ROW($C$3))/86400</s:f>
        <s:v>46247.45585648148</s:v>
      </s:c>
    </s:row>
    <s:row r="487">
      <s:c r="A487" s="0" t="n">
        <s:v>260813</s:v>
      </s:c>
      <s:c r="B487" s="0" t="inlineStr">
        <s:is>
          <s:t>이종훈</s:t>
        </s:is>
      </s:c>
      <s:c r="C487" s="0" t="n">
        <s:v>104823</s:v>
      </s:c>
      <s:c r="D487" s="0" t="n">
        <s:v>1340</s:v>
      </s:c>
      <s:c r="F487" s="24">
        <s:f>'자료구성'!$B$2+TIME(INT($C$3/10000),INT(MOD($C$3,10000)/100),MOD($C$3,100))+(ROW()-ROW($C$3))/86400</s:f>
        <s:v>46247.45586805556</s:v>
      </s:c>
    </s:row>
    <s:row r="488">
      <s:c r="A488" s="0" t="n">
        <s:v>260813</s:v>
      </s:c>
      <s:c r="B488" s="0" t="inlineStr">
        <s:is>
          <s:t>이종훈</s:t>
        </s:is>
      </s:c>
      <s:c r="C488" s="0" t="n">
        <s:v>104823</s:v>
      </s:c>
      <s:c r="D488" s="0" t="n">
        <s:v>1318</s:v>
      </s:c>
      <s:c r="F488" s="24">
        <s:f>'자료구성'!$B$2+TIME(INT($C$3/10000),INT(MOD($C$3,10000)/100),MOD($C$3,100))+(ROW()-ROW($C$3))/86400</s:f>
        <s:v>46247.455879629626</s:v>
      </s:c>
    </s:row>
    <s:row r="489">
      <s:c r="A489" s="0" t="n">
        <s:v>260813</s:v>
      </s:c>
      <s:c r="B489" s="0" t="inlineStr">
        <s:is>
          <s:t>이종훈</s:t>
        </s:is>
      </s:c>
      <s:c r="C489" s="0" t="n">
        <s:v>104823</s:v>
      </s:c>
      <s:c r="D489" s="0" t="n">
        <s:v>1294</s:v>
      </s:c>
      <s:c r="F489" s="24">
        <s:f>'자료구성'!$B$2+TIME(INT($C$3/10000),INT(MOD($C$3,10000)/100),MOD($C$3,100))+(ROW()-ROW($C$3))/86400</s:f>
        <s:v>46247.4558912037</s:v>
      </s:c>
    </s:row>
    <s:row r="490">
      <s:c r="A490" s="0" t="n">
        <s:v>260813</s:v>
      </s:c>
      <s:c r="B490" s="0" t="inlineStr">
        <s:is>
          <s:t>이종훈</s:t>
        </s:is>
      </s:c>
      <s:c r="C490" s="0" t="n">
        <s:v>104823</s:v>
      </s:c>
      <s:c r="D490" s="0" t="n">
        <s:v>1286</s:v>
      </s:c>
      <s:c r="F490" s="24">
        <s:f>'자료구성'!$B$2+TIME(INT($C$3/10000),INT(MOD($C$3,10000)/100),MOD($C$3,100))+(ROW()-ROW($C$3))/86400</s:f>
        <s:v>46247.45590277778</s:v>
      </s:c>
    </s:row>
    <s:row r="491">
      <s:c r="A491" s="0" t="n">
        <s:v>260813</s:v>
      </s:c>
      <s:c r="B491" s="0" t="inlineStr">
        <s:is>
          <s:t>이종훈</s:t>
        </s:is>
      </s:c>
      <s:c r="C491" s="0" t="n">
        <s:v>104823</s:v>
      </s:c>
      <s:c r="D491" s="0" t="n">
        <s:v>1270</s:v>
      </s:c>
      <s:c r="F491" s="24">
        <s:f>'자료구성'!$B$2+TIME(INT($C$3/10000),INT(MOD($C$3,10000)/100),MOD($C$3,100))+(ROW()-ROW($C$3))/86400</s:f>
        <s:v>46247.45591435185</s:v>
      </s:c>
    </s:row>
    <s:row r="492">
      <s:c r="A492" s="0" t="n">
        <s:v>260813</s:v>
      </s:c>
      <s:c r="B492" s="0" t="inlineStr">
        <s:is>
          <s:t>이종훈</s:t>
        </s:is>
      </s:c>
      <s:c r="C492" s="0" t="n">
        <s:v>104823</s:v>
      </s:c>
      <s:c r="D492" s="0" t="n">
        <s:v>1253</s:v>
      </s:c>
      <s:c r="F492" s="24">
        <s:f>'자료구성'!$B$2+TIME(INT($C$3/10000),INT(MOD($C$3,10000)/100),MOD($C$3,100))+(ROW()-ROW($C$3))/86400</s:f>
        <s:v>46247.455925925926</s:v>
      </s:c>
    </s:row>
    <s:row r="493">
      <s:c r="A493" s="0" t="n">
        <s:v>260813</s:v>
      </s:c>
      <s:c r="B493" s="0" t="inlineStr">
        <s:is>
          <s:t>이종훈</s:t>
        </s:is>
      </s:c>
      <s:c r="C493" s="0" t="n">
        <s:v>104823</s:v>
      </s:c>
      <s:c r="D493" s="0" t="n">
        <s:v>1257</s:v>
      </s:c>
      <s:c r="F493" s="24">
        <s:f>'자료구성'!$B$2+TIME(INT($C$3/10000),INT(MOD($C$3,10000)/100),MOD($C$3,100))+(ROW()-ROW($C$3))/86400</s:f>
        <s:v>46247.4559375</s:v>
      </s:c>
    </s:row>
    <s:row r="494">
      <s:c r="A494" s="0" t="n">
        <s:v>260813</s:v>
      </s:c>
      <s:c r="B494" s="0" t="inlineStr">
        <s:is>
          <s:t>이종훈</s:t>
        </s:is>
      </s:c>
      <s:c r="C494" s="0" t="n">
        <s:v>104823</s:v>
      </s:c>
      <s:c r="D494" s="0" t="n">
        <s:v>1289</s:v>
      </s:c>
      <s:c r="F494" s="24">
        <s:f>'자료구성'!$B$2+TIME(INT($C$3/10000),INT(MOD($C$3,10000)/100),MOD($C$3,100))+(ROW()-ROW($C$3))/86400</s:f>
        <s:v>46247.45594907407</s:v>
      </s:c>
    </s:row>
    <s:row r="495">
      <s:c r="A495" s="0" t="n">
        <s:v>260813</s:v>
      </s:c>
      <s:c r="B495" s="0" t="inlineStr">
        <s:is>
          <s:t>이종훈</s:t>
        </s:is>
      </s:c>
      <s:c r="C495" s="0" t="n">
        <s:v>104823</s:v>
      </s:c>
      <s:c r="D495" s="0" t="n">
        <s:v>1300</s:v>
      </s:c>
      <s:c r="F495" s="24">
        <s:f>'자료구성'!$B$2+TIME(INT($C$3/10000),INT(MOD($C$3,10000)/100),MOD($C$3,100))+(ROW()-ROW($C$3))/86400</s:f>
        <s:v>46247.45596064815</s:v>
      </s:c>
    </s:row>
    <s:row r="496">
      <s:c r="A496" s="0" t="n">
        <s:v>260813</s:v>
      </s:c>
      <s:c r="B496" s="0" t="inlineStr">
        <s:is>
          <s:t>이종훈</s:t>
        </s:is>
      </s:c>
      <s:c r="C496" s="0" t="n">
        <s:v>104823</s:v>
      </s:c>
      <s:c r="D496" s="0" t="n">
        <s:v>1308</s:v>
      </s:c>
      <s:c r="F496" s="24">
        <s:f>'자료구성'!$B$2+TIME(INT($C$3/10000),INT(MOD($C$3,10000)/100),MOD($C$3,100))+(ROW()-ROW($C$3))/86400</s:f>
        <s:v>46247.455972222226</s:v>
      </s:c>
    </s:row>
    <s:row r="497">
      <s:c r="A497" s="0" t="n">
        <s:v>260813</s:v>
      </s:c>
      <s:c r="B497" s="0" t="inlineStr">
        <s:is>
          <s:t>이종훈</s:t>
        </s:is>
      </s:c>
      <s:c r="C497" s="0" t="n">
        <s:v>104823</s:v>
      </s:c>
      <s:c r="D497" s="0" t="n">
        <s:v>1327</s:v>
      </s:c>
      <s:c r="F497" s="24">
        <s:f>'자료구성'!$B$2+TIME(INT($C$3/10000),INT(MOD($C$3,10000)/100),MOD($C$3,100))+(ROW()-ROW($C$3))/86400</s:f>
        <s:v>46247.455983796295</s:v>
      </s:c>
    </s:row>
    <s:row r="498">
      <s:c r="A498" s="0" t="n">
        <s:v>260813</s:v>
      </s:c>
      <s:c r="B498" s="0" t="inlineStr">
        <s:is>
          <s:t>이종훈</s:t>
        </s:is>
      </s:c>
      <s:c r="C498" s="0" t="n">
        <s:v>104823</s:v>
      </s:c>
      <s:c r="D498" s="0" t="n">
        <s:v>1327</s:v>
      </s:c>
      <s:c r="F498" s="24">
        <s:f>'자료구성'!$B$2+TIME(INT($C$3/10000),INT(MOD($C$3,10000)/100),MOD($C$3,100))+(ROW()-ROW($C$3))/86400</s:f>
        <s:v>46247.45599537037</s:v>
      </s:c>
    </s:row>
    <s:row r="499">
      <s:c r="A499" s="0" t="n">
        <s:v>260813</s:v>
      </s:c>
      <s:c r="B499" s="0" t="inlineStr">
        <s:is>
          <s:t>이종훈</s:t>
        </s:is>
      </s:c>
      <s:c r="C499" s="0" t="n">
        <s:v>104823</s:v>
      </s:c>
      <s:c r="D499" s="0" t="n">
        <s:v>1328</s:v>
      </s:c>
      <s:c r="F499" s="24">
        <s:f>'자료구성'!$B$2+TIME(INT($C$3/10000),INT(MOD($C$3,10000)/100),MOD($C$3,100))+(ROW()-ROW($C$3))/86400</s:f>
        <s:v>46247.45600694444</s:v>
      </s:c>
    </s:row>
    <s:row r="500">
      <s:c r="A500" s="0" t="n">
        <s:v>260813</s:v>
      </s:c>
      <s:c r="B500" s="0" t="inlineStr">
        <s:is>
          <s:t>이종훈</s:t>
        </s:is>
      </s:c>
      <s:c r="C500" s="0" t="n">
        <s:v>104823</s:v>
      </s:c>
      <s:c r="D500" s="0" t="n">
        <s:v>1329</s:v>
      </s:c>
      <s:c r="F500" s="24">
        <s:f>'자료구성'!$B$2+TIME(INT($C$3/10000),INT(MOD($C$3,10000)/100),MOD($C$3,100))+(ROW()-ROW($C$3))/86400</s:f>
        <s:v>46247.45601851852</s:v>
      </s:c>
    </s:row>
    <s:row r="501">
      <s:c r="A501" s="0" t="n">
        <s:v>260813</s:v>
      </s:c>
      <s:c r="B501" s="0" t="inlineStr">
        <s:is>
          <s:t>이종훈</s:t>
        </s:is>
      </s:c>
      <s:c r="C501" s="0" t="n">
        <s:v>104823</s:v>
      </s:c>
      <s:c r="D501" s="0" t="n">
        <s:v>1345</s:v>
      </s:c>
      <s:c r="F501" s="24">
        <s:f>'자료구성'!$B$2+TIME(INT($C$3/10000),INT(MOD($C$3,10000)/100),MOD($C$3,100))+(ROW()-ROW($C$3))/86400</s:f>
        <s:v>46247.456030092595</s:v>
      </s:c>
    </s:row>
    <s:row r="502">
      <s:c r="A502" s="0" t="n">
        <s:v>260813</s:v>
      </s:c>
      <s:c r="B502" s="0" t="inlineStr">
        <s:is>
          <s:t>이종훈</s:t>
        </s:is>
      </s:c>
      <s:c r="C502" s="0" t="n">
        <s:v>104823</s:v>
      </s:c>
      <s:c r="D502" s="0" t="n">
        <s:v>1359</s:v>
      </s:c>
      <s:c r="F502" s="24">
        <s:f>'자료구성'!$B$2+TIME(INT($C$3/10000),INT(MOD($C$3,10000)/100),MOD($C$3,100))+(ROW()-ROW($C$3))/86400</s:f>
        <s:v>46247.456041666665</s:v>
      </s:c>
    </s:row>
    <s:row r="503">
      <s:c r="A503" s="0" t="n">
        <s:v>260813</s:v>
      </s:c>
      <s:c r="B503" s="0" t="inlineStr">
        <s:is>
          <s:t>이종훈</s:t>
        </s:is>
      </s:c>
      <s:c r="C503" s="0" t="n">
        <s:v>104823</s:v>
      </s:c>
      <s:c r="D503" s="0" t="n">
        <s:v>1367</s:v>
      </s:c>
      <s:c r="F503" s="24">
        <s:f>'자료구성'!$B$2+TIME(INT($C$3/10000),INT(MOD($C$3,10000)/100),MOD($C$3,100))+(ROW()-ROW($C$3))/86400</s:f>
        <s:v>46247.45605324074</s:v>
      </s:c>
    </s:row>
    <s:row r="504">
      <s:c r="A504" s="0" t="n">
        <s:v>260813</s:v>
      </s:c>
      <s:c r="B504" s="0" t="inlineStr">
        <s:is>
          <s:t>이종훈</s:t>
        </s:is>
      </s:c>
      <s:c r="C504" s="0" t="n">
        <s:v>104823</s:v>
      </s:c>
      <s:c r="D504" s="0" t="n">
        <s:v>1386</s:v>
      </s:c>
      <s:c r="F504" s="24">
        <s:f>'자료구성'!$B$2+TIME(INT($C$3/10000),INT(MOD($C$3,10000)/100),MOD($C$3,100))+(ROW()-ROW($C$3))/86400</s:f>
        <s:v>46247.45606481482</s:v>
      </s:c>
    </s:row>
    <s:row r="505">
      <s:c r="A505" s="0" t="n">
        <s:v>260813</s:v>
      </s:c>
      <s:c r="B505" s="0" t="inlineStr">
        <s:is>
          <s:t>이종훈</s:t>
        </s:is>
      </s:c>
      <s:c r="C505" s="0" t="n">
        <s:v>104823</s:v>
      </s:c>
      <s:c r="D505" s="0" t="n">
        <s:v>1392</s:v>
      </s:c>
      <s:c r="F505" s="24">
        <s:f>'자료구성'!$B$2+TIME(INT($C$3/10000),INT(MOD($C$3,10000)/100),MOD($C$3,100))+(ROW()-ROW($C$3))/86400</s:f>
        <s:v>46247.45607638889</s:v>
      </s:c>
    </s:row>
    <s:row r="506">
      <s:c r="A506" s="0" t="n">
        <s:v>260813</s:v>
      </s:c>
      <s:c r="B506" s="0" t="inlineStr">
        <s:is>
          <s:t>이종훈</s:t>
        </s:is>
      </s:c>
      <s:c r="C506" s="0" t="n">
        <s:v>104823</s:v>
      </s:c>
      <s:c r="D506" s="0" t="n">
        <s:v>1402</s:v>
      </s:c>
      <s:c r="F506" s="24">
        <s:f>'자료구성'!$B$2+TIME(INT($C$3/10000),INT(MOD($C$3,10000)/100),MOD($C$3,100))+(ROW()-ROW($C$3))/86400</s:f>
        <s:v>46247.456087962964</s:v>
      </s:c>
    </s:row>
    <s:row r="507">
      <s:c r="A507" s="0" t="n">
        <s:v>260813</s:v>
      </s:c>
      <s:c r="B507" s="0" t="inlineStr">
        <s:is>
          <s:t>이종훈</s:t>
        </s:is>
      </s:c>
      <s:c r="C507" s="0" t="n">
        <s:v>104823</s:v>
      </s:c>
      <s:c r="D507" s="0" t="n">
        <s:v>1422</s:v>
      </s:c>
      <s:c r="F507" s="24">
        <s:f>'자료구성'!$B$2+TIME(INT($C$3/10000),INT(MOD($C$3,10000)/100),MOD($C$3,100))+(ROW()-ROW($C$3))/86400</s:f>
        <s:v>46247.456099537034</s:v>
      </s:c>
    </s:row>
    <s:row r="508">
      <s:c r="A508" s="0" t="n">
        <s:v>260813</s:v>
      </s:c>
      <s:c r="B508" s="0" t="inlineStr">
        <s:is>
          <s:t>이종훈</s:t>
        </s:is>
      </s:c>
      <s:c r="C508" s="0" t="n">
        <s:v>104823</s:v>
      </s:c>
      <s:c r="D508" s="0" t="n">
        <s:v>1454</s:v>
      </s:c>
      <s:c r="F508" s="24">
        <s:f>'자료구성'!$B$2+TIME(INT($C$3/10000),INT(MOD($C$3,10000)/100),MOD($C$3,100))+(ROW()-ROW($C$3))/86400</s:f>
        <s:v>46247.45611111111</s:v>
      </s:c>
    </s:row>
    <s:row r="509">
      <s:c r="A509" s="0" t="n">
        <s:v>260813</s:v>
      </s:c>
      <s:c r="B509" s="0" t="inlineStr">
        <s:is>
          <s:t>이종훈</s:t>
        </s:is>
      </s:c>
      <s:c r="C509" s="0" t="n">
        <s:v>104823</s:v>
      </s:c>
      <s:c r="D509" s="0" t="n">
        <s:v>1461</s:v>
      </s:c>
      <s:c r="F509" s="24">
        <s:f>'자료구성'!$B$2+TIME(INT($C$3/10000),INT(MOD($C$3,10000)/100),MOD($C$3,100))+(ROW()-ROW($C$3))/86400</s:f>
        <s:v>46247.45612268519</s:v>
      </s:c>
    </s:row>
    <s:row r="510">
      <s:c r="A510" s="0" t="n">
        <s:v>260813</s:v>
      </s:c>
      <s:c r="B510" s="0" t="inlineStr">
        <s:is>
          <s:t>이종훈</s:t>
        </s:is>
      </s:c>
      <s:c r="C510" s="0" t="n">
        <s:v>104823</s:v>
      </s:c>
      <s:c r="D510" s="0" t="n">
        <s:v>1459</s:v>
      </s:c>
      <s:c r="F510" s="24">
        <s:f>'자료구성'!$B$2+TIME(INT($C$3/10000),INT(MOD($C$3,10000)/100),MOD($C$3,100))+(ROW()-ROW($C$3))/86400</s:f>
        <s:v>46247.45613425926</s:v>
      </s:c>
    </s:row>
    <s:row r="511">
      <s:c r="A511" s="0" t="n">
        <s:v>260813</s:v>
      </s:c>
      <s:c r="B511" s="0" t="inlineStr">
        <s:is>
          <s:t>이종훈</s:t>
        </s:is>
      </s:c>
      <s:c r="C511" s="0" t="n">
        <s:v>104823</s:v>
      </s:c>
      <s:c r="D511" s="0" t="n">
        <s:v>1463</s:v>
      </s:c>
      <s:c r="F511" s="24">
        <s:f>'자료구성'!$B$2+TIME(INT($C$3/10000),INT(MOD($C$3,10000)/100),MOD($C$3,100))+(ROW()-ROW($C$3))/86400</s:f>
        <s:v>46247.456145833334</s:v>
      </s:c>
    </s:row>
    <s:row r="512">
      <s:c r="A512" s="0" t="n">
        <s:v>260813</s:v>
      </s:c>
      <s:c r="B512" s="0" t="inlineStr">
        <s:is>
          <s:t>이종훈</s:t>
        </s:is>
      </s:c>
      <s:c r="C512" s="0" t="n">
        <s:v>104823</s:v>
      </s:c>
      <s:c r="D512" s="0" t="n">
        <s:v>1473</s:v>
      </s:c>
      <s:c r="F512" s="24">
        <s:f>'자료구성'!$B$2+TIME(INT($C$3/10000),INT(MOD($C$3,10000)/100),MOD($C$3,100))+(ROW()-ROW($C$3))/86400</s:f>
        <s:v>46247.45615740741</s:v>
      </s:c>
    </s:row>
    <s:row r="513">
      <s:c r="A513" s="0" t="n">
        <s:v>260813</s:v>
      </s:c>
      <s:c r="B513" s="0" t="inlineStr">
        <s:is>
          <s:t>이종훈</s:t>
        </s:is>
      </s:c>
      <s:c r="C513" s="0" t="n">
        <s:v>104823</s:v>
      </s:c>
      <s:c r="D513" s="0" t="n">
        <s:v>1494</s:v>
      </s:c>
      <s:c r="F513" s="24">
        <s:f>'자료구성'!$B$2+TIME(INT($C$3/10000),INT(MOD($C$3,10000)/100),MOD($C$3,100))+(ROW()-ROW($C$3))/86400</s:f>
        <s:v>46247.45616898148</s:v>
      </s:c>
    </s:row>
    <s:row r="514">
      <s:c r="A514" s="0" t="n">
        <s:v>260813</s:v>
      </s:c>
      <s:c r="B514" s="0" t="inlineStr">
        <s:is>
          <s:t>이종훈</s:t>
        </s:is>
      </s:c>
      <s:c r="C514" s="0" t="n">
        <s:v>104823</s:v>
      </s:c>
      <s:c r="D514" s="0" t="n">
        <s:v>1498</s:v>
      </s:c>
      <s:c r="F514" s="24">
        <s:f>'자료구성'!$B$2+TIME(INT($C$3/10000),INT(MOD($C$3,10000)/100),MOD($C$3,100))+(ROW()-ROW($C$3))/86400</s:f>
        <s:v>46247.45618055556</s:v>
      </s:c>
    </s:row>
    <s:row r="515">
      <s:c r="A515" s="0" t="n">
        <s:v>260813</s:v>
      </s:c>
      <s:c r="B515" s="0" t="inlineStr">
        <s:is>
          <s:t>이종훈</s:t>
        </s:is>
      </s:c>
      <s:c r="C515" s="0" t="n">
        <s:v>104823</s:v>
      </s:c>
      <s:c r="D515" s="0" t="n">
        <s:v>1496</s:v>
      </s:c>
      <s:c r="F515" s="24">
        <s:f>'자료구성'!$B$2+TIME(INT($C$3/10000),INT(MOD($C$3,10000)/100),MOD($C$3,100))+(ROW()-ROW($C$3))/86400</s:f>
        <s:v>46247.456192129626</s:v>
      </s:c>
    </s:row>
    <s:row r="516">
      <s:c r="A516" s="0" t="n">
        <s:v>260813</s:v>
      </s:c>
      <s:c r="B516" s="0" t="inlineStr">
        <s:is>
          <s:t>이종훈</s:t>
        </s:is>
      </s:c>
      <s:c r="C516" s="0" t="n">
        <s:v>104823</s:v>
      </s:c>
      <s:c r="D516" s="0" t="n">
        <s:v>1495</s:v>
      </s:c>
      <s:c r="F516" s="24">
        <s:f>'자료구성'!$B$2+TIME(INT($C$3/10000),INT(MOD($C$3,10000)/100),MOD($C$3,100))+(ROW()-ROW($C$3))/86400</s:f>
        <s:v>46247.4562037037</s:v>
      </s:c>
    </s:row>
    <s:row r="517">
      <s:c r="A517" s="0" t="n">
        <s:v>260813</s:v>
      </s:c>
      <s:c r="B517" s="0" t="inlineStr">
        <s:is>
          <s:t>이종훈</s:t>
        </s:is>
      </s:c>
      <s:c r="C517" s="0" t="n">
        <s:v>104823</s:v>
      </s:c>
      <s:c r="D517" s="0" t="n">
        <s:v>1496</s:v>
      </s:c>
      <s:c r="F517" s="24">
        <s:f>'자료구성'!$B$2+TIME(INT($C$3/10000),INT(MOD($C$3,10000)/100),MOD($C$3,100))+(ROW()-ROW($C$3))/86400</s:f>
        <s:v>46247.45621527778</s:v>
      </s:c>
    </s:row>
    <s:row r="518">
      <s:c r="A518" s="0" t="n">
        <s:v>260813</s:v>
      </s:c>
      <s:c r="B518" s="0" t="inlineStr">
        <s:is>
          <s:t>이종훈</s:t>
        </s:is>
      </s:c>
      <s:c r="C518" s="0" t="n">
        <s:v>104823</s:v>
      </s:c>
      <s:c r="D518" s="0" t="n">
        <s:v>1499</s:v>
      </s:c>
      <s:c r="F518" s="24">
        <s:f>'자료구성'!$B$2+TIME(INT($C$3/10000),INT(MOD($C$3,10000)/100),MOD($C$3,100))+(ROW()-ROW($C$3))/86400</s:f>
        <s:v>46247.45622685185</s:v>
      </s:c>
    </s:row>
    <s:row r="519">
      <s:c r="A519" s="0" t="n">
        <s:v>260813</s:v>
      </s:c>
      <s:c r="B519" s="0" t="inlineStr">
        <s:is>
          <s:t>이종훈</s:t>
        </s:is>
      </s:c>
      <s:c r="C519" s="0" t="n">
        <s:v>104823</s:v>
      </s:c>
      <s:c r="D519" s="0" t="n">
        <s:v>1503</s:v>
      </s:c>
      <s:c r="F519" s="24">
        <s:f>'자료구성'!$B$2+TIME(INT($C$3/10000),INT(MOD($C$3,10000)/100),MOD($C$3,100))+(ROW()-ROW($C$3))/86400</s:f>
        <s:v>46247.456238425926</s:v>
      </s:c>
    </s:row>
    <s:row r="520">
      <s:c r="A520" s="0" t="n">
        <s:v>260813</s:v>
      </s:c>
      <s:c r="B520" s="0" t="inlineStr">
        <s:is>
          <s:t>이종훈</s:t>
        </s:is>
      </s:c>
      <s:c r="C520" s="0" t="n">
        <s:v>104823</s:v>
      </s:c>
      <s:c r="D520" s="0" t="n">
        <s:v>1510</s:v>
      </s:c>
      <s:c r="F520" s="24">
        <s:f>'자료구성'!$B$2+TIME(INT($C$3/10000),INT(MOD($C$3,10000)/100),MOD($C$3,100))+(ROW()-ROW($C$3))/86400</s:f>
        <s:v>46247.45625</s:v>
      </s:c>
    </s:row>
    <s:row r="521">
      <s:c r="A521" s="0" t="n">
        <s:v>260813</s:v>
      </s:c>
      <s:c r="B521" s="0" t="inlineStr">
        <s:is>
          <s:t>이종훈</s:t>
        </s:is>
      </s:c>
      <s:c r="C521" s="0" t="n">
        <s:v>104823</s:v>
      </s:c>
      <s:c r="D521" s="0" t="n">
        <s:v>1518</s:v>
      </s:c>
      <s:c r="F521" s="24">
        <s:f>'자료구성'!$B$2+TIME(INT($C$3/10000),INT(MOD($C$3,10000)/100),MOD($C$3,100))+(ROW()-ROW($C$3))/86400</s:f>
        <s:v>46247.45626157407</s:v>
      </s:c>
    </s:row>
    <s:row r="522">
      <s:c r="A522" s="0" t="n">
        <s:v>260813</s:v>
      </s:c>
      <s:c r="B522" s="0" t="inlineStr">
        <s:is>
          <s:t>이종훈</s:t>
        </s:is>
      </s:c>
      <s:c r="C522" s="0" t="n">
        <s:v>104823</s:v>
      </s:c>
      <s:c r="D522" s="0" t="n">
        <s:v>1525</s:v>
      </s:c>
      <s:c r="F522" s="24">
        <s:f>'자료구성'!$B$2+TIME(INT($C$3/10000),INT(MOD($C$3,10000)/100),MOD($C$3,100))+(ROW()-ROW($C$3))/86400</s:f>
        <s:v>46247.45627314815</s:v>
      </s:c>
    </s:row>
    <s:row r="523">
      <s:c r="A523" s="0" t="n">
        <s:v>260813</s:v>
      </s:c>
      <s:c r="B523" s="0" t="inlineStr">
        <s:is>
          <s:t>이종훈</s:t>
        </s:is>
      </s:c>
      <s:c r="C523" s="0" t="n">
        <s:v>104823</s:v>
      </s:c>
      <s:c r="D523" s="0" t="n">
        <s:v>1534</s:v>
      </s:c>
      <s:c r="F523" s="24">
        <s:f>'자료구성'!$B$2+TIME(INT($C$3/10000),INT(MOD($C$3,10000)/100),MOD($C$3,100))+(ROW()-ROW($C$3))/86400</s:f>
        <s:v>46247.45628472222</s:v>
      </s:c>
    </s:row>
    <s:row r="524">
      <s:c r="A524" s="0" t="n">
        <s:v>260813</s:v>
      </s:c>
      <s:c r="B524" s="0" t="inlineStr">
        <s:is>
          <s:t>이종훈</s:t>
        </s:is>
      </s:c>
      <s:c r="C524" s="0" t="n">
        <s:v>104823</s:v>
      </s:c>
      <s:c r="D524" s="0" t="n">
        <s:v>1535</s:v>
      </s:c>
      <s:c r="F524" s="24">
        <s:f>'자료구성'!$B$2+TIME(INT($C$3/10000),INT(MOD($C$3,10000)/100),MOD($C$3,100))+(ROW()-ROW($C$3))/86400</s:f>
        <s:v>46247.456296296295</s:v>
      </s:c>
    </s:row>
    <s:row r="525">
      <s:c r="A525" s="0" t="n">
        <s:v>260813</s:v>
      </s:c>
      <s:c r="B525" s="0" t="inlineStr">
        <s:is>
          <s:t>이종훈</s:t>
        </s:is>
      </s:c>
      <s:c r="C525" s="0" t="n">
        <s:v>104823</s:v>
      </s:c>
      <s:c r="D525" s="0" t="n">
        <s:v>1529</s:v>
      </s:c>
      <s:c r="F525" s="24">
        <s:f>'자료구성'!$B$2+TIME(INT($C$3/10000),INT(MOD($C$3,10000)/100),MOD($C$3,100))+(ROW()-ROW($C$3))/86400</s:f>
        <s:v>46247.45630787037</s:v>
      </s:c>
    </s:row>
    <s:row r="526">
      <s:c r="A526" s="0" t="n">
        <s:v>260813</s:v>
      </s:c>
      <s:c r="B526" s="0" t="inlineStr">
        <s:is>
          <s:t>이종훈</s:t>
        </s:is>
      </s:c>
      <s:c r="C526" s="0" t="n">
        <s:v>104823</s:v>
      </s:c>
      <s:c r="D526" s="0" t="n">
        <s:v>1519</s:v>
      </s:c>
      <s:c r="F526" s="24">
        <s:f>'자료구성'!$B$2+TIME(INT($C$3/10000),INT(MOD($C$3,10000)/100),MOD($C$3,100))+(ROW()-ROW($C$3))/86400</s:f>
        <s:v>46247.45631944444</s:v>
      </s:c>
    </s:row>
    <s:row r="527">
      <s:c r="A527" s="0" t="n">
        <s:v>260813</s:v>
      </s:c>
      <s:c r="B527" s="0" t="inlineStr">
        <s:is>
          <s:t>이종훈</s:t>
        </s:is>
      </s:c>
      <s:c r="C527" s="0" t="n">
        <s:v>104823</s:v>
      </s:c>
      <s:c r="D527" s="0" t="n">
        <s:v>1513</s:v>
      </s:c>
      <s:c r="F527" s="24">
        <s:f>'자료구성'!$B$2+TIME(INT($C$3/10000),INT(MOD($C$3,10000)/100),MOD($C$3,100))+(ROW()-ROW($C$3))/86400</s:f>
        <s:v>46247.45633101852</s:v>
      </s:c>
    </s:row>
    <s:row r="528">
      <s:c r="A528" s="0" t="n">
        <s:v>260813</s:v>
      </s:c>
      <s:c r="B528" s="0" t="inlineStr">
        <s:is>
          <s:t>이종훈</s:t>
        </s:is>
      </s:c>
      <s:c r="C528" s="0" t="n">
        <s:v>104823</s:v>
      </s:c>
      <s:c r="D528" s="0" t="n">
        <s:v>1512</s:v>
      </s:c>
      <s:c r="F528" s="24">
        <s:f>'자료구성'!$B$2+TIME(INT($C$3/10000),INT(MOD($C$3,10000)/100),MOD($C$3,100))+(ROW()-ROW($C$3))/86400</s:f>
        <s:v>46247.456342592595</s:v>
      </s:c>
    </s:row>
    <s:row r="529">
      <s:c r="A529" s="0" t="n">
        <s:v>260813</s:v>
      </s:c>
      <s:c r="B529" s="0" t="inlineStr">
        <s:is>
          <s:t>이종훈</s:t>
        </s:is>
      </s:c>
      <s:c r="C529" s="0" t="n">
        <s:v>104823</s:v>
      </s:c>
      <s:c r="D529" s="0" t="n">
        <s:v>1517</s:v>
      </s:c>
      <s:c r="F529" s="24">
        <s:f>'자료구성'!$B$2+TIME(INT($C$3/10000),INT(MOD($C$3,10000)/100),MOD($C$3,100))+(ROW()-ROW($C$3))/86400</s:f>
        <s:v>46247.456354166665</s:v>
      </s:c>
    </s:row>
    <s:row r="530">
      <s:c r="A530" s="0" t="n">
        <s:v>260813</s:v>
      </s:c>
      <s:c r="B530" s="0" t="inlineStr">
        <s:is>
          <s:t>이종훈</s:t>
        </s:is>
      </s:c>
      <s:c r="C530" s="0" t="n">
        <s:v>104823</s:v>
      </s:c>
      <s:c r="D530" s="0" t="n">
        <s:v>1508</s:v>
      </s:c>
      <s:c r="F530" s="24">
        <s:f>'자료구성'!$B$2+TIME(INT($C$3/10000),INT(MOD($C$3,10000)/100),MOD($C$3,100))+(ROW()-ROW($C$3))/86400</s:f>
        <s:v>46247.45636574074</s:v>
      </s:c>
    </s:row>
    <s:row r="531">
      <s:c r="A531" s="0" t="n">
        <s:v>260813</s:v>
      </s:c>
      <s:c r="B531" s="0" t="inlineStr">
        <s:is>
          <s:t>이종훈</s:t>
        </s:is>
      </s:c>
      <s:c r="C531" s="0" t="n">
        <s:v>104823</s:v>
      </s:c>
      <s:c r="D531" s="0" t="n">
        <s:v>1511</s:v>
      </s:c>
      <s:c r="F531" s="24">
        <s:f>'자료구성'!$B$2+TIME(INT($C$3/10000),INT(MOD($C$3,10000)/100),MOD($C$3,100))+(ROW()-ROW($C$3))/86400</s:f>
        <s:v>46247.45637731482</s:v>
      </s:c>
    </s:row>
    <s:row r="532">
      <s:c r="A532" s="0" t="n">
        <s:v>260813</s:v>
      </s:c>
      <s:c r="B532" s="0" t="inlineStr">
        <s:is>
          <s:t>이종훈</s:t>
        </s:is>
      </s:c>
      <s:c r="C532" s="0" t="n">
        <s:v>104823</s:v>
      </s:c>
      <s:c r="D532" s="0" t="n">
        <s:v>1513</s:v>
      </s:c>
      <s:c r="F532" s="24">
        <s:f>'자료구성'!$B$2+TIME(INT($C$3/10000),INT(MOD($C$3,10000)/100),MOD($C$3,100))+(ROW()-ROW($C$3))/86400</s:f>
        <s:v>46247.45638888889</s:v>
      </s:c>
    </s:row>
    <s:row r="533">
      <s:c r="A533" s="0" t="n">
        <s:v>260813</s:v>
      </s:c>
      <s:c r="B533" s="0" t="inlineStr">
        <s:is>
          <s:t>이종훈</s:t>
        </s:is>
      </s:c>
      <s:c r="C533" s="0" t="n">
        <s:v>104823</s:v>
      </s:c>
      <s:c r="D533" s="0" t="n">
        <s:v>1499</s:v>
      </s:c>
      <s:c r="F533" s="24">
        <s:f>'자료구성'!$B$2+TIME(INT($C$3/10000),INT(MOD($C$3,10000)/100),MOD($C$3,100))+(ROW()-ROW($C$3))/86400</s:f>
        <s:v>46247.456400462965</s:v>
      </s:c>
    </s:row>
    <s:row r="534">
      <s:c r="A534" s="0" t="n">
        <s:v>260813</s:v>
      </s:c>
      <s:c r="B534" s="0" t="inlineStr">
        <s:is>
          <s:t>이종훈</s:t>
        </s:is>
      </s:c>
      <s:c r="C534" s="0" t="n">
        <s:v>104823</s:v>
      </s:c>
      <s:c r="D534" s="0" t="n">
        <s:v>1481</s:v>
      </s:c>
      <s:c r="F534" s="24">
        <s:f>'자료구성'!$B$2+TIME(INT($C$3/10000),INT(MOD($C$3,10000)/100),MOD($C$3,100))+(ROW()-ROW($C$3))/86400</s:f>
        <s:v>46247.456412037034</s:v>
      </s:c>
    </s:row>
    <s:row r="535">
      <s:c r="A535" s="0" t="n">
        <s:v>260813</s:v>
      </s:c>
      <s:c r="B535" s="0" t="inlineStr">
        <s:is>
          <s:t>이종훈</s:t>
        </s:is>
      </s:c>
      <s:c r="C535" s="0" t="n">
        <s:v>104823</s:v>
      </s:c>
      <s:c r="D535" s="0" t="n">
        <s:v>1468</s:v>
      </s:c>
      <s:c r="F535" s="24">
        <s:f>'자료구성'!$B$2+TIME(INT($C$3/10000),INT(MOD($C$3,10000)/100),MOD($C$3,100))+(ROW()-ROW($C$3))/86400</s:f>
        <s:v>46247.45642361111</s:v>
      </s:c>
    </s:row>
    <s:row r="536">
      <s:c r="A536" s="0" t="n">
        <s:v>260813</s:v>
      </s:c>
      <s:c r="B536" s="0" t="inlineStr">
        <s:is>
          <s:t>이종훈</s:t>
        </s:is>
      </s:c>
      <s:c r="C536" s="0" t="n">
        <s:v>104823</s:v>
      </s:c>
      <s:c r="D536" s="0" t="n">
        <s:v>1440</s:v>
      </s:c>
      <s:c r="F536" s="24">
        <s:f>'자료구성'!$B$2+TIME(INT($C$3/10000),INT(MOD($C$3,10000)/100),MOD($C$3,100))+(ROW()-ROW($C$3))/86400</s:f>
        <s:v>46247.45643518519</s:v>
      </s:c>
    </s:row>
    <s:row r="537">
      <s:c r="A537" s="0" t="n">
        <s:v>260813</s:v>
      </s:c>
      <s:c r="B537" s="0" t="inlineStr">
        <s:is>
          <s:t>이종훈</s:t>
        </s:is>
      </s:c>
      <s:c r="C537" s="0" t="n">
        <s:v>104823</s:v>
      </s:c>
      <s:c r="D537" s="0" t="n">
        <s:v>1436</s:v>
      </s:c>
      <s:c r="F537" s="24">
        <s:f>'자료구성'!$B$2+TIME(INT($C$3/10000),INT(MOD($C$3,10000)/100),MOD($C$3,100))+(ROW()-ROW($C$3))/86400</s:f>
        <s:v>46247.45644675926</s:v>
      </s:c>
    </s:row>
    <s:row r="538">
      <s:c r="A538" s="0" t="n">
        <s:v>260813</s:v>
      </s:c>
      <s:c r="B538" s="0" t="inlineStr">
        <s:is>
          <s:t>이종훈</s:t>
        </s:is>
      </s:c>
      <s:c r="C538" s="0" t="n">
        <s:v>104823</s:v>
      </s:c>
      <s:c r="D538" s="0" t="n">
        <s:v>1438</s:v>
      </s:c>
      <s:c r="F538" s="24">
        <s:f>'자료구성'!$B$2+TIME(INT($C$3/10000),INT(MOD($C$3,10000)/100),MOD($C$3,100))+(ROW()-ROW($C$3))/86400</s:f>
        <s:v>46247.456458333334</s:v>
      </s:c>
    </s:row>
    <s:row r="539">
      <s:c r="A539" s="0" t="n">
        <s:v>260813</s:v>
      </s:c>
      <s:c r="B539" s="0" t="inlineStr">
        <s:is>
          <s:t>이종훈</s:t>
        </s:is>
      </s:c>
      <s:c r="C539" s="0" t="n">
        <s:v>104823</s:v>
      </s:c>
      <s:c r="D539" s="0" t="n">
        <s:v>1419</s:v>
      </s:c>
      <s:c r="F539" s="24">
        <s:f>'자료구성'!$B$2+TIME(INT($C$3/10000),INT(MOD($C$3,10000)/100),MOD($C$3,100))+(ROW()-ROW($C$3))/86400</s:f>
        <s:v>46247.45646990741</s:v>
      </s:c>
    </s:row>
    <s:row r="540">
      <s:c r="A540" s="0" t="n">
        <s:v>260813</s:v>
      </s:c>
      <s:c r="B540" s="0" t="inlineStr">
        <s:is>
          <s:t>이종훈</s:t>
        </s:is>
      </s:c>
      <s:c r="C540" s="0" t="n">
        <s:v>104823</s:v>
      </s:c>
      <s:c r="D540" s="0" t="n">
        <s:v>1415</s:v>
      </s:c>
      <s:c r="F540" s="24">
        <s:f>'자료구성'!$B$2+TIME(INT($C$3/10000),INT(MOD($C$3,10000)/100),MOD($C$3,100))+(ROW()-ROW($C$3))/86400</s:f>
        <s:v>46247.45648148148</s:v>
      </s:c>
    </s:row>
    <s:row r="541">
      <s:c r="A541" s="0" t="n">
        <s:v>260813</s:v>
      </s:c>
      <s:c r="B541" s="0" t="inlineStr">
        <s:is>
          <s:t>이종훈</s:t>
        </s:is>
      </s:c>
      <s:c r="C541" s="0" t="n">
        <s:v>104823</s:v>
      </s:c>
      <s:c r="D541" s="0" t="n">
        <s:v>1414</s:v>
      </s:c>
      <s:c r="F541" s="24">
        <s:f>'자료구성'!$B$2+TIME(INT($C$3/10000),INT(MOD($C$3,10000)/100),MOD($C$3,100))+(ROW()-ROW($C$3))/86400</s:f>
        <s:v>46247.45649305556</s:v>
      </s:c>
    </s:row>
    <s:row r="542">
      <s:c r="A542" s="0" t="n">
        <s:v>260813</s:v>
      </s:c>
      <s:c r="B542" s="0" t="inlineStr">
        <s:is>
          <s:t>이종훈</s:t>
        </s:is>
      </s:c>
      <s:c r="C542" s="0" t="n">
        <s:v>104823</s:v>
      </s:c>
      <s:c r="D542" s="0" t="n">
        <s:v>1408</s:v>
      </s:c>
      <s:c r="F542" s="24">
        <s:f>'자료구성'!$B$2+TIME(INT($C$3/10000),INT(MOD($C$3,10000)/100),MOD($C$3,100))+(ROW()-ROW($C$3))/86400</s:f>
        <s:v>46247.45650462963</s:v>
      </s:c>
    </s:row>
    <s:row r="543">
      <s:c r="A543" s="0" t="n">
        <s:v>260813</s:v>
      </s:c>
      <s:c r="B543" s="0" t="inlineStr">
        <s:is>
          <s:t>이종훈</s:t>
        </s:is>
      </s:c>
      <s:c r="C543" s="0" t="n">
        <s:v>104823</s:v>
      </s:c>
      <s:c r="D543" s="0" t="n">
        <s:v>1401</s:v>
      </s:c>
      <s:c r="F543" s="24">
        <s:f>'자료구성'!$B$2+TIME(INT($C$3/10000),INT(MOD($C$3,10000)/100),MOD($C$3,100))+(ROW()-ROW($C$3))/86400</s:f>
        <s:v>46247.4565162037</s:v>
      </s:c>
    </s:row>
    <s:row r="544">
      <s:c r="A544" s="0" t="n">
        <s:v>260813</s:v>
      </s:c>
      <s:c r="B544" s="0" t="inlineStr">
        <s:is>
          <s:t>이종훈</s:t>
        </s:is>
      </s:c>
      <s:c r="C544" s="0" t="n">
        <s:v>104823</s:v>
      </s:c>
      <s:c r="D544" s="0" t="n">
        <s:v>1403</s:v>
      </s:c>
      <s:c r="F544" s="24">
        <s:f>'자료구성'!$B$2+TIME(INT($C$3/10000),INT(MOD($C$3,10000)/100),MOD($C$3,100))+(ROW()-ROW($C$3))/86400</s:f>
        <s:v>46247.45652777778</s:v>
      </s:c>
    </s:row>
    <s:row r="545">
      <s:c r="A545" s="0" t="n">
        <s:v>260813</s:v>
      </s:c>
      <s:c r="B545" s="0" t="inlineStr">
        <s:is>
          <s:t>이종훈</s:t>
        </s:is>
      </s:c>
      <s:c r="C545" s="0" t="n">
        <s:v>104823</s:v>
      </s:c>
      <s:c r="D545" s="0" t="n">
        <s:v>1411</s:v>
      </s:c>
      <s:c r="F545" s="24">
        <s:f>'자료구성'!$B$2+TIME(INT($C$3/10000),INT(MOD($C$3,10000)/100),MOD($C$3,100))+(ROW()-ROW($C$3))/86400</s:f>
        <s:v>46247.45653935185</s:v>
      </s:c>
    </s:row>
    <s:row r="546">
      <s:c r="A546" s="0" t="n">
        <s:v>260813</s:v>
      </s:c>
      <s:c r="B546" s="0" t="inlineStr">
        <s:is>
          <s:t>이종훈</s:t>
        </s:is>
      </s:c>
      <s:c r="C546" s="0" t="n">
        <s:v>104823</s:v>
      </s:c>
      <s:c r="D546" s="0" t="n">
        <s:v>1414</s:v>
      </s:c>
      <s:c r="F546" s="24">
        <s:f>'자료구성'!$B$2+TIME(INT($C$3/10000),INT(MOD($C$3,10000)/100),MOD($C$3,100))+(ROW()-ROW($C$3))/86400</s:f>
        <s:v>46247.45655092593</s:v>
      </s:c>
    </s:row>
    <s:row r="547">
      <s:c r="A547" s="0" t="n">
        <s:v>260813</s:v>
      </s:c>
      <s:c r="B547" s="0" t="inlineStr">
        <s:is>
          <s:t>이종훈</s:t>
        </s:is>
      </s:c>
      <s:c r="C547" s="0" t="n">
        <s:v>104823</s:v>
      </s:c>
      <s:c r="D547" s="0" t="n">
        <s:v>1403</s:v>
      </s:c>
      <s:c r="F547" s="24">
        <s:f>'자료구성'!$B$2+TIME(INT($C$3/10000),INT(MOD($C$3,10000)/100),MOD($C$3,100))+(ROW()-ROW($C$3))/86400</s:f>
        <s:v>46247.4565625</s:v>
      </s:c>
    </s:row>
    <s:row r="548">
      <s:c r="A548" s="0" t="n">
        <s:v>260813</s:v>
      </s:c>
      <s:c r="B548" s="0" t="inlineStr">
        <s:is>
          <s:t>이종훈</s:t>
        </s:is>
      </s:c>
      <s:c r="C548" s="0" t="n">
        <s:v>104823</s:v>
      </s:c>
      <s:c r="D548" s="0" t="n">
        <s:v>1406</s:v>
      </s:c>
      <s:c r="F548" s="24">
        <s:f>'자료구성'!$B$2+TIME(INT($C$3/10000),INT(MOD($C$3,10000)/100),MOD($C$3,100))+(ROW()-ROW($C$3))/86400</s:f>
        <s:v>46247.45657407407</s:v>
      </s:c>
    </s:row>
    <s:row r="549">
      <s:c r="A549" s="0" t="n">
        <s:v>260813</s:v>
      </s:c>
      <s:c r="B549" s="0" t="inlineStr">
        <s:is>
          <s:t>이종훈</s:t>
        </s:is>
      </s:c>
      <s:c r="C549" s="0" t="n">
        <s:v>104823</s:v>
      </s:c>
      <s:c r="D549" s="0" t="n">
        <s:v>1347</s:v>
      </s:c>
      <s:c r="F549" s="24">
        <s:f>'자료구성'!$B$2+TIME(INT($C$3/10000),INT(MOD($C$3,10000)/100),MOD($C$3,100))+(ROW()-ROW($C$3))/86400</s:f>
        <s:v>46247.45658564815</s:v>
      </s:c>
    </s:row>
    <s:row r="550">
      <s:c r="A550" s="0" t="n">
        <s:v>260813</s:v>
      </s:c>
      <s:c r="B550" s="0" t="inlineStr">
        <s:is>
          <s:t>이종훈</s:t>
        </s:is>
      </s:c>
      <s:c r="C550" s="0" t="n">
        <s:v>104823</s:v>
      </s:c>
      <s:c r="D550" s="0" t="n">
        <s:v>1317</s:v>
      </s:c>
      <s:c r="F550" s="24">
        <s:f>'자료구성'!$B$2+TIME(INT($C$3/10000),INT(MOD($C$3,10000)/100),MOD($C$3,100))+(ROW()-ROW($C$3))/86400</s:f>
        <s:v>46247.45659722222</s:v>
      </s:c>
    </s:row>
    <s:row r="551">
      <s:c r="A551" s="0" t="n">
        <s:v>260813</s:v>
      </s:c>
      <s:c r="B551" s="0" t="inlineStr">
        <s:is>
          <s:t>이종훈</s:t>
        </s:is>
      </s:c>
      <s:c r="C551" s="0" t="n">
        <s:v>104823</s:v>
      </s:c>
      <s:c r="D551" s="0" t="n">
        <s:v>1280</s:v>
      </s:c>
      <s:c r="F551" s="24">
        <s:f>'자료구성'!$B$2+TIME(INT($C$3/10000),INT(MOD($C$3,10000)/100),MOD($C$3,100))+(ROW()-ROW($C$3))/86400</s:f>
        <s:v>46247.456608796296</s:v>
      </s:c>
    </s:row>
    <s:row r="552">
      <s:c r="A552" s="0" t="n">
        <s:v>260813</s:v>
      </s:c>
      <s:c r="B552" s="0" t="inlineStr">
        <s:is>
          <s:t>이종훈</s:t>
        </s:is>
      </s:c>
      <s:c r="C552" s="0" t="n">
        <s:v>104823</s:v>
      </s:c>
      <s:c r="D552" s="0" t="n">
        <s:v>1244</s:v>
      </s:c>
      <s:c r="F552" s="24">
        <s:f>'자료구성'!$B$2+TIME(INT($C$3/10000),INT(MOD($C$3,10000)/100),MOD($C$3,100))+(ROW()-ROW($C$3))/86400</s:f>
        <s:v>46247.45662037037</s:v>
      </s:c>
    </s:row>
    <s:row r="553">
      <s:c r="A553" s="0" t="n">
        <s:v>260813</s:v>
      </s:c>
      <s:c r="B553" s="0" t="inlineStr">
        <s:is>
          <s:t>이종훈</s:t>
        </s:is>
      </s:c>
      <s:c r="C553" s="0" t="n">
        <s:v>104823</s:v>
      </s:c>
      <s:c r="D553" s="0" t="n">
        <s:v>1235</s:v>
      </s:c>
      <s:c r="F553" s="24">
        <s:f>'자료구성'!$B$2+TIME(INT($C$3/10000),INT(MOD($C$3,10000)/100),MOD($C$3,100))+(ROW()-ROW($C$3))/86400</s:f>
        <s:v>46247.45663194444</s:v>
      </s:c>
    </s:row>
    <s:row r="554">
      <s:c r="A554" s="0" t="n">
        <s:v>260813</s:v>
      </s:c>
      <s:c r="B554" s="0" t="inlineStr">
        <s:is>
          <s:t>이종훈</s:t>
        </s:is>
      </s:c>
      <s:c r="C554" s="0" t="n">
        <s:v>104823</s:v>
      </s:c>
      <s:c r="D554" s="0" t="n">
        <s:v>1238</s:v>
      </s:c>
      <s:c r="F554" s="24">
        <s:f>'자료구성'!$B$2+TIME(INT($C$3/10000),INT(MOD($C$3,10000)/100),MOD($C$3,100))+(ROW()-ROW($C$3))/86400</s:f>
        <s:v>46247.45664351852</s:v>
      </s:c>
    </s:row>
    <s:row r="555">
      <s:c r="A555" s="0" t="n">
        <s:v>260813</s:v>
      </s:c>
      <s:c r="B555" s="0" t="inlineStr">
        <s:is>
          <s:t>이종훈</s:t>
        </s:is>
      </s:c>
      <s:c r="C555" s="0" t="n">
        <s:v>104823</s:v>
      </s:c>
      <s:c r="D555" s="0" t="n">
        <s:v>1260</s:v>
      </s:c>
      <s:c r="F555" s="24">
        <s:f>'자료구성'!$B$2+TIME(INT($C$3/10000),INT(MOD($C$3,10000)/100),MOD($C$3,100))+(ROW()-ROW($C$3))/86400</s:f>
        <s:v>46247.456655092596</s:v>
      </s:c>
    </s:row>
    <s:row r="556">
      <s:c r="A556" s="0" t="n">
        <s:v>260813</s:v>
      </s:c>
      <s:c r="B556" s="0" t="inlineStr">
        <s:is>
          <s:t>이종훈</s:t>
        </s:is>
      </s:c>
      <s:c r="C556" s="0" t="n">
        <s:v>104823</s:v>
      </s:c>
      <s:c r="D556" s="0" t="n">
        <s:v>1284</s:v>
      </s:c>
      <s:c r="F556" s="24">
        <s:f>'자료구성'!$B$2+TIME(INT($C$3/10000),INT(MOD($C$3,10000)/100),MOD($C$3,100))+(ROW()-ROW($C$3))/86400</s:f>
        <s:v>46247.456666666665</s:v>
      </s:c>
    </s:row>
    <s:row r="557">
      <s:c r="A557" s="0" t="n">
        <s:v>260813</s:v>
      </s:c>
      <s:c r="B557" s="0" t="inlineStr">
        <s:is>
          <s:t>이종훈</s:t>
        </s:is>
      </s:c>
      <s:c r="C557" s="0" t="n">
        <s:v>104823</s:v>
      </s:c>
      <s:c r="D557" s="0" t="n">
        <s:v>1298</s:v>
      </s:c>
      <s:c r="F557" s="24">
        <s:f>'자료구성'!$B$2+TIME(INT($C$3/10000),INT(MOD($C$3,10000)/100),MOD($C$3,100))+(ROW()-ROW($C$3))/86400</s:f>
        <s:v>46247.45667824074</s:v>
      </s:c>
    </s:row>
    <s:row r="558">
      <s:c r="A558" s="0" t="n">
        <s:v>260813</s:v>
      </s:c>
      <s:c r="B558" s="0" t="inlineStr">
        <s:is>
          <s:t>이종훈</s:t>
        </s:is>
      </s:c>
      <s:c r="C558" s="0" t="n">
        <s:v>104823</s:v>
      </s:c>
      <s:c r="D558" s="0" t="n">
        <s:v>1298</s:v>
      </s:c>
      <s:c r="F558" s="24">
        <s:f>'자료구성'!$B$2+TIME(INT($C$3/10000),INT(MOD($C$3,10000)/100),MOD($C$3,100))+(ROW()-ROW($C$3))/86400</s:f>
        <s:v>46247.45668981481</s:v>
      </s:c>
    </s:row>
    <s:row r="559">
      <s:c r="A559" s="0" t="n">
        <s:v>260813</s:v>
      </s:c>
      <s:c r="B559" s="0" t="inlineStr">
        <s:is>
          <s:t>이종훈</s:t>
        </s:is>
      </s:c>
      <s:c r="C559" s="0" t="n">
        <s:v>104823</s:v>
      </s:c>
      <s:c r="D559" s="0" t="n">
        <s:v>1288</s:v>
      </s:c>
      <s:c r="F559" s="24">
        <s:f>'자료구성'!$B$2+TIME(INT($C$3/10000),INT(MOD($C$3,10000)/100),MOD($C$3,100))+(ROW()-ROW($C$3))/86400</s:f>
        <s:v>46247.45670138889</s:v>
      </s:c>
    </s:row>
    <s:row r="560">
      <s:c r="A560" s="0" t="n">
        <s:v>260813</s:v>
      </s:c>
      <s:c r="B560" s="0" t="inlineStr">
        <s:is>
          <s:t>이종훈</s:t>
        </s:is>
      </s:c>
      <s:c r="C560" s="0" t="n">
        <s:v>104823</s:v>
      </s:c>
      <s:c r="D560" s="0" t="n">
        <s:v>1296</s:v>
      </s:c>
      <s:c r="F560" s="24">
        <s:f>'자료구성'!$B$2+TIME(INT($C$3/10000),INT(MOD($C$3,10000)/100),MOD($C$3,100))+(ROW()-ROW($C$3))/86400</s:f>
        <s:v>46247.456712962965</s:v>
      </s:c>
    </s:row>
    <s:row r="561">
      <s:c r="A561" s="0" t="n">
        <s:v>260813</s:v>
      </s:c>
      <s:c r="B561" s="0" t="inlineStr">
        <s:is>
          <s:t>이종훈</s:t>
        </s:is>
      </s:c>
      <s:c r="C561" s="0" t="n">
        <s:v>104823</s:v>
      </s:c>
      <s:c r="D561" s="0" t="n">
        <s:v>1299</s:v>
      </s:c>
      <s:c r="F561" s="24">
        <s:f>'자료구성'!$B$2+TIME(INT($C$3/10000),INT(MOD($C$3,10000)/100),MOD($C$3,100))+(ROW()-ROW($C$3))/86400</s:f>
        <s:v>46247.456724537034</s:v>
      </s:c>
    </s:row>
    <s:row r="562">
      <s:c r="A562" s="0" t="n">
        <s:v>260813</s:v>
      </s:c>
      <s:c r="B562" s="0" t="inlineStr">
        <s:is>
          <s:t>이종훈</s:t>
        </s:is>
      </s:c>
      <s:c r="C562" s="0" t="n">
        <s:v>104823</s:v>
      </s:c>
      <s:c r="D562" s="0" t="n">
        <s:v>1278</s:v>
      </s:c>
      <s:c r="F562" s="24">
        <s:f>'자료구성'!$B$2+TIME(INT($C$3/10000),INT(MOD($C$3,10000)/100),MOD($C$3,100))+(ROW()-ROW($C$3))/86400</s:f>
        <s:v>46247.45673611111</s:v>
      </s:c>
    </s:row>
    <s:row r="563">
      <s:c r="A563" s="0" t="n">
        <s:v>260813</s:v>
      </s:c>
      <s:c r="B563" s="0" t="inlineStr">
        <s:is>
          <s:t>이종훈</s:t>
        </s:is>
      </s:c>
      <s:c r="C563" s="0" t="n">
        <s:v>104823</s:v>
      </s:c>
      <s:c r="D563" s="0" t="n">
        <s:v>1258</s:v>
      </s:c>
      <s:c r="F563" s="24">
        <s:f>'자료구성'!$B$2+TIME(INT($C$3/10000),INT(MOD($C$3,10000)/100),MOD($C$3,100))+(ROW()-ROW($C$3))/86400</s:f>
        <s:v>46247.45674768519</s:v>
      </s:c>
    </s:row>
    <s:row r="564">
      <s:c r="A564" s="0" t="n">
        <s:v>260813</s:v>
      </s:c>
      <s:c r="B564" s="0" t="inlineStr">
        <s:is>
          <s:t>이종훈</s:t>
        </s:is>
      </s:c>
      <s:c r="C564" s="0" t="n">
        <s:v>104823</s:v>
      </s:c>
      <s:c r="D564" s="0" t="n">
        <s:v>1231</s:v>
      </s:c>
      <s:c r="F564" s="24">
        <s:f>'자료구성'!$B$2+TIME(INT($C$3/10000),INT(MOD($C$3,10000)/100),MOD($C$3,100))+(ROW()-ROW($C$3))/86400</s:f>
        <s:v>46247.45675925926</s:v>
      </s:c>
    </s:row>
    <s:row r="565">
      <s:c r="A565" s="0" t="n">
        <s:v>260813</s:v>
      </s:c>
      <s:c r="B565" s="0" t="inlineStr">
        <s:is>
          <s:t>이종훈</s:t>
        </s:is>
      </s:c>
      <s:c r="C565" s="0" t="n">
        <s:v>104823</s:v>
      </s:c>
      <s:c r="D565" s="0" t="n">
        <s:v>1198</s:v>
      </s:c>
      <s:c r="F565" s="24">
        <s:f>'자료구성'!$B$2+TIME(INT($C$3/10000),INT(MOD($C$3,10000)/100),MOD($C$3,100))+(ROW()-ROW($C$3))/86400</s:f>
        <s:v>46247.456770833334</s:v>
      </s:c>
    </s:row>
    <s:row r="566">
      <s:c r="A566" s="0" t="n">
        <s:v>260813</s:v>
      </s:c>
      <s:c r="B566" s="0" t="inlineStr">
        <s:is>
          <s:t>이종훈</s:t>
        </s:is>
      </s:c>
      <s:c r="C566" s="0" t="n">
        <s:v>104823</s:v>
      </s:c>
      <s:c r="D566" s="0" t="n">
        <s:v>1187</s:v>
      </s:c>
      <s:c r="F566" s="24">
        <s:f>'자료구성'!$B$2+TIME(INT($C$3/10000),INT(MOD($C$3,10000)/100),MOD($C$3,100))+(ROW()-ROW($C$3))/86400</s:f>
        <s:v>46247.456782407404</s:v>
      </s:c>
    </s:row>
    <s:row r="567">
      <s:c r="A567" s="0" t="n">
        <s:v>260813</s:v>
      </s:c>
      <s:c r="B567" s="0" t="inlineStr">
        <s:is>
          <s:t>이종훈</s:t>
        </s:is>
      </s:c>
      <s:c r="C567" s="0" t="n">
        <s:v>104823</s:v>
      </s:c>
      <s:c r="D567" s="0" t="n">
        <s:v>1178</s:v>
      </s:c>
      <s:c r="F567" s="24">
        <s:f>'자료구성'!$B$2+TIME(INT($C$3/10000),INT(MOD($C$3,10000)/100),MOD($C$3,100))+(ROW()-ROW($C$3))/86400</s:f>
        <s:v>46247.45679398148</s:v>
      </s:c>
    </s:row>
    <s:row r="568">
      <s:c r="A568" s="0" t="n">
        <s:v>260813</s:v>
      </s:c>
      <s:c r="B568" s="0" t="inlineStr">
        <s:is>
          <s:t>이종훈</s:t>
        </s:is>
      </s:c>
      <s:c r="C568" s="0" t="n">
        <s:v>104823</s:v>
      </s:c>
      <s:c r="D568" s="0" t="n">
        <s:v>1155</s:v>
      </s:c>
      <s:c r="F568" s="24">
        <s:f>'자료구성'!$B$2+TIME(INT($C$3/10000),INT(MOD($C$3,10000)/100),MOD($C$3,100))+(ROW()-ROW($C$3))/86400</s:f>
        <s:v>46247.45680555556</s:v>
      </s:c>
    </s:row>
    <s:row r="569">
      <s:c r="A569" s="0" t="n">
        <s:v>260813</s:v>
      </s:c>
      <s:c r="B569" s="0" t="inlineStr">
        <s:is>
          <s:t>이종훈</s:t>
        </s:is>
      </s:c>
      <s:c r="C569" s="0" t="n">
        <s:v>104823</s:v>
      </s:c>
      <s:c r="D569" s="0" t="n">
        <s:v>1149</s:v>
      </s:c>
      <s:c r="F569" s="24">
        <s:f>'자료구성'!$B$2+TIME(INT($C$3/10000),INT(MOD($C$3,10000)/100),MOD($C$3,100))+(ROW()-ROW($C$3))/86400</s:f>
        <s:v>46247.45681712963</s:v>
      </s:c>
    </s:row>
    <s:row r="570">
      <s:c r="A570" s="0" t="n">
        <s:v>260813</s:v>
      </s:c>
      <s:c r="B570" s="0" t="inlineStr">
        <s:is>
          <s:t>이종훈</s:t>
        </s:is>
      </s:c>
      <s:c r="C570" s="0" t="n">
        <s:v>104823</s:v>
      </s:c>
      <s:c r="D570" s="0" t="n">
        <s:v>1158</s:v>
      </s:c>
      <s:c r="F570" s="24">
        <s:f>'자료구성'!$B$2+TIME(INT($C$3/10000),INT(MOD($C$3,10000)/100),MOD($C$3,100))+(ROW()-ROW($C$3))/86400</s:f>
        <s:v>46247.456828703704</s:v>
      </s:c>
    </s:row>
    <s:row r="571">
      <s:c r="A571" s="0" t="n">
        <s:v>260813</s:v>
      </s:c>
      <s:c r="B571" s="0" t="inlineStr">
        <s:is>
          <s:t>이종훈</s:t>
        </s:is>
      </s:c>
      <s:c r="C571" s="0" t="n">
        <s:v>104823</s:v>
      </s:c>
      <s:c r="D571" s="0" t="n">
        <s:v>1135</s:v>
      </s:c>
      <s:c r="F571" s="24">
        <s:f>'자료구성'!$B$2+TIME(INT($C$3/10000),INT(MOD($C$3,10000)/100),MOD($C$3,100))+(ROW()-ROW($C$3))/86400</s:f>
        <s:v>46247.45684027778</s:v>
      </s:c>
    </s:row>
    <s:row r="572">
      <s:c r="A572" s="0" t="n">
        <s:v>260813</s:v>
      </s:c>
      <s:c r="B572" s="0" t="inlineStr">
        <s:is>
          <s:t>이종훈</s:t>
        </s:is>
      </s:c>
      <s:c r="C572" s="0" t="n">
        <s:v>104823</s:v>
      </s:c>
      <s:c r="D572" s="0" t="n">
        <s:v>1133</s:v>
      </s:c>
      <s:c r="F572" s="24">
        <s:f>'자료구성'!$B$2+TIME(INT($C$3/10000),INT(MOD($C$3,10000)/100),MOD($C$3,100))+(ROW()-ROW($C$3))/86400</s:f>
        <s:v>46247.45685185185</s:v>
      </s:c>
    </s:row>
    <s:row r="573">
      <s:c r="A573" s="0" t="n">
        <s:v>260813</s:v>
      </s:c>
      <s:c r="B573" s="0" t="inlineStr">
        <s:is>
          <s:t>이종훈</s:t>
        </s:is>
      </s:c>
      <s:c r="C573" s="0" t="n">
        <s:v>104823</s:v>
      </s:c>
      <s:c r="D573" s="0" t="n">
        <s:v>1126</s:v>
      </s:c>
      <s:c r="F573" s="24">
        <s:f>'자료구성'!$B$2+TIME(INT($C$3/10000),INT(MOD($C$3,10000)/100),MOD($C$3,100))+(ROW()-ROW($C$3))/86400</s:f>
        <s:v>46247.45686342593</s:v>
      </s:c>
    </s:row>
    <s:row r="574">
      <s:c r="A574" s="0" t="n">
        <s:v>260813</s:v>
      </s:c>
      <s:c r="B574" s="0" t="inlineStr">
        <s:is>
          <s:t>이종훈</s:t>
        </s:is>
      </s:c>
      <s:c r="C574" s="0" t="n">
        <s:v>104823</s:v>
      </s:c>
      <s:c r="D574" s="0" t="n">
        <s:v>1118</s:v>
      </s:c>
      <s:c r="F574" s="24">
        <s:f>'자료구성'!$B$2+TIME(INT($C$3/10000),INT(MOD($C$3,10000)/100),MOD($C$3,100))+(ROW()-ROW($C$3))/86400</s:f>
        <s:v>46247.456875</s:v>
      </s:c>
    </s:row>
    <s:row r="575">
      <s:c r="A575" s="0" t="n">
        <s:v>260813</s:v>
      </s:c>
      <s:c r="B575" s="0" t="inlineStr">
        <s:is>
          <s:t>이종훈</s:t>
        </s:is>
      </s:c>
      <s:c r="C575" s="0" t="n">
        <s:v>104823</s:v>
      </s:c>
      <s:c r="D575" s="0" t="n">
        <s:v>1117</s:v>
      </s:c>
      <s:c r="F575" s="24">
        <s:f>'자료구성'!$B$2+TIME(INT($C$3/10000),INT(MOD($C$3,10000)/100),MOD($C$3,100))+(ROW()-ROW($C$3))/86400</s:f>
        <s:v>46247.45688657407</s:v>
      </s:c>
    </s:row>
    <s:row r="576">
      <s:c r="A576" s="0" t="n">
        <s:v>260813</s:v>
      </s:c>
      <s:c r="B576" s="0" t="inlineStr">
        <s:is>
          <s:t>이종훈</s:t>
        </s:is>
      </s:c>
      <s:c r="C576" s="0" t="n">
        <s:v>104823</s:v>
      </s:c>
      <s:c r="D576" s="0" t="n">
        <s:v>1121</s:v>
      </s:c>
      <s:c r="F576" s="24">
        <s:f>'자료구성'!$B$2+TIME(INT($C$3/10000),INT(MOD($C$3,10000)/100),MOD($C$3,100))+(ROW()-ROW($C$3))/86400</s:f>
        <s:v>46247.45689814815</s:v>
      </s:c>
    </s:row>
    <s:row r="577">
      <s:c r="A577" s="0" t="n">
        <s:v>260813</s:v>
      </s:c>
      <s:c r="B577" s="0" t="inlineStr">
        <s:is>
          <s:t>이종훈</s:t>
        </s:is>
      </s:c>
      <s:c r="C577" s="0" t="n">
        <s:v>104823</s:v>
      </s:c>
      <s:c r="D577" s="0" t="n">
        <s:v>1148</s:v>
      </s:c>
      <s:c r="F577" s="24">
        <s:f>'자료구성'!$B$2+TIME(INT($C$3/10000),INT(MOD($C$3,10000)/100),MOD($C$3,100))+(ROW()-ROW($C$3))/86400</s:f>
        <s:v>46247.45690972222</s:v>
      </s:c>
    </s:row>
    <s:row r="578">
      <s:c r="A578" s="0" t="n">
        <s:v>260813</s:v>
      </s:c>
      <s:c r="B578" s="0" t="inlineStr">
        <s:is>
          <s:t>이종훈</s:t>
        </s:is>
      </s:c>
      <s:c r="C578" s="0" t="n">
        <s:v>104823</s:v>
      </s:c>
      <s:c r="D578" s="0" t="n">
        <s:v>1180</s:v>
      </s:c>
      <s:c r="F578" s="24">
        <s:f>'자료구성'!$B$2+TIME(INT($C$3/10000),INT(MOD($C$3,10000)/100),MOD($C$3,100))+(ROW()-ROW($C$3))/86400</s:f>
        <s:v>46247.456921296296</s:v>
      </s:c>
    </s:row>
    <s:row r="579">
      <s:c r="A579" s="0" t="n">
        <s:v>260813</s:v>
      </s:c>
      <s:c r="B579" s="0" t="inlineStr">
        <s:is>
          <s:t>이종훈</s:t>
        </s:is>
      </s:c>
      <s:c r="C579" s="0" t="n">
        <s:v>104823</s:v>
      </s:c>
      <s:c r="D579" s="0" t="n">
        <s:v>1178</s:v>
      </s:c>
      <s:c r="F579" s="24">
        <s:f>'자료구성'!$B$2+TIME(INT($C$3/10000),INT(MOD($C$3,10000)/100),MOD($C$3,100))+(ROW()-ROW($C$3))/86400</s:f>
        <s:v>46247.45693287037</s:v>
      </s:c>
    </s:row>
    <s:row r="580">
      <s:c r="A580" s="0" t="n">
        <s:v>260813</s:v>
      </s:c>
      <s:c r="B580" s="0" t="inlineStr">
        <s:is>
          <s:t>이종훈</s:t>
        </s:is>
      </s:c>
      <s:c r="C580" s="0" t="n">
        <s:v>104823</s:v>
      </s:c>
      <s:c r="D580" s="0" t="n">
        <s:v>1207</s:v>
      </s:c>
      <s:c r="F580" s="24">
        <s:f>'자료구성'!$B$2+TIME(INT($C$3/10000),INT(MOD($C$3,10000)/100),MOD($C$3,100))+(ROW()-ROW($C$3))/86400</s:f>
        <s:v>46247.45694444444</s:v>
      </s:c>
    </s:row>
    <s:row r="581">
      <s:c r="A581" s="0" t="n">
        <s:v>260813</s:v>
      </s:c>
      <s:c r="B581" s="0" t="inlineStr">
        <s:is>
          <s:t>이종훈</s:t>
        </s:is>
      </s:c>
      <s:c r="C581" s="0" t="n">
        <s:v>104823</s:v>
      </s:c>
      <s:c r="D581" s="0" t="n">
        <s:v>1236</s:v>
      </s:c>
      <s:c r="F581" s="24">
        <s:f>'자료구성'!$B$2+TIME(INT($C$3/10000),INT(MOD($C$3,10000)/100),MOD($C$3,100))+(ROW()-ROW($C$3))/86400</s:f>
        <s:v>46247.45695601852</s:v>
      </s:c>
    </s:row>
    <s:row r="582">
      <s:c r="A582" s="0" t="n">
        <s:v>260813</s:v>
      </s:c>
      <s:c r="B582" s="0" t="inlineStr">
        <s:is>
          <s:t>이종훈</s:t>
        </s:is>
      </s:c>
      <s:c r="C582" s="0" t="n">
        <s:v>104823</s:v>
      </s:c>
      <s:c r="D582" s="0" t="n">
        <s:v>1260</s:v>
      </s:c>
      <s:c r="F582" s="24">
        <s:f>'자료구성'!$B$2+TIME(INT($C$3/10000),INT(MOD($C$3,10000)/100),MOD($C$3,100))+(ROW()-ROW($C$3))/86400</s:f>
        <s:v>46247.456967592596</s:v>
      </s:c>
    </s:row>
    <s:row r="583">
      <s:c r="A583" s="0" t="n">
        <s:v>260813</s:v>
      </s:c>
      <s:c r="B583" s="0" t="inlineStr">
        <s:is>
          <s:t>이종훈</s:t>
        </s:is>
      </s:c>
      <s:c r="C583" s="0" t="n">
        <s:v>104823</s:v>
      </s:c>
      <s:c r="D583" s="0" t="n">
        <s:v>1255</s:v>
      </s:c>
      <s:c r="F583" s="24">
        <s:f>'자료구성'!$B$2+TIME(INT($C$3/10000),INT(MOD($C$3,10000)/100),MOD($C$3,100))+(ROW()-ROW($C$3))/86400</s:f>
        <s:v>46247.456979166665</s:v>
      </s:c>
    </s:row>
    <s:row r="584">
      <s:c r="A584" s="0" t="n">
        <s:v>260813</s:v>
      </s:c>
      <s:c r="B584" s="0" t="inlineStr">
        <s:is>
          <s:t>이종훈</s:t>
        </s:is>
      </s:c>
      <s:c r="C584" s="0" t="n">
        <s:v>104823</s:v>
      </s:c>
      <s:c r="D584" s="0" t="n">
        <s:v>1251</s:v>
      </s:c>
      <s:c r="F584" s="24">
        <s:f>'자료구성'!$B$2+TIME(INT($C$3/10000),INT(MOD($C$3,10000)/100),MOD($C$3,100))+(ROW()-ROW($C$3))/86400</s:f>
        <s:v>46247.45699074074</s:v>
      </s:c>
    </s:row>
    <s:row r="585">
      <s:c r="A585" s="0" t="n">
        <s:v>260813</s:v>
      </s:c>
      <s:c r="B585" s="0" t="inlineStr">
        <s:is>
          <s:t>이종훈</s:t>
        </s:is>
      </s:c>
      <s:c r="C585" s="0" t="n">
        <s:v>104823</s:v>
      </s:c>
      <s:c r="D585" s="0" t="n">
        <s:v>1252</s:v>
      </s:c>
      <s:c r="F585" s="24">
        <s:f>'자료구성'!$B$2+TIME(INT($C$3/10000),INT(MOD($C$3,10000)/100),MOD($C$3,100))+(ROW()-ROW($C$3))/86400</s:f>
        <s:v>46247.45700231481</s:v>
      </s:c>
    </s:row>
    <s:row r="586">
      <s:c r="A586" s="0" t="n">
        <s:v>260813</s:v>
      </s:c>
      <s:c r="B586" s="0" t="inlineStr">
        <s:is>
          <s:t>이종훈</s:t>
        </s:is>
      </s:c>
      <s:c r="C586" s="0" t="n">
        <s:v>104823</s:v>
      </s:c>
      <s:c r="D586" s="0" t="n">
        <s:v>1261</s:v>
      </s:c>
      <s:c r="F586" s="24">
        <s:f>'자료구성'!$B$2+TIME(INT($C$3/10000),INT(MOD($C$3,10000)/100),MOD($C$3,100))+(ROW()-ROW($C$3))/86400</s:f>
        <s:v>46247.45701388889</s:v>
      </s:c>
    </s:row>
    <s:row r="587">
      <s:c r="A587" s="0" t="n">
        <s:v>260813</s:v>
      </s:c>
      <s:c r="B587" s="0" t="inlineStr">
        <s:is>
          <s:t>이종훈</s:t>
        </s:is>
      </s:c>
      <s:c r="C587" s="0" t="n">
        <s:v>104823</s:v>
      </s:c>
      <s:c r="D587" s="0" t="n">
        <s:v>1253</s:v>
      </s:c>
      <s:c r="F587" s="24">
        <s:f>'자료구성'!$B$2+TIME(INT($C$3/10000),INT(MOD($C$3,10000)/100),MOD($C$3,100))+(ROW()-ROW($C$3))/86400</s:f>
        <s:v>46247.457025462965</s:v>
      </s:c>
    </s:row>
    <s:row r="588">
      <s:c r="A588" s="0" t="n">
        <s:v>260813</s:v>
      </s:c>
      <s:c r="B588" s="0" t="inlineStr">
        <s:is>
          <s:t>이종훈</s:t>
        </s:is>
      </s:c>
      <s:c r="C588" s="0" t="n">
        <s:v>104823</s:v>
      </s:c>
      <s:c r="D588" s="0" t="n">
        <s:v>1256</s:v>
      </s:c>
      <s:c r="F588" s="24">
        <s:f>'자료구성'!$B$2+TIME(INT($C$3/10000),INT(MOD($C$3,10000)/100),MOD($C$3,100))+(ROW()-ROW($C$3))/86400</s:f>
        <s:v>46247.457037037035</s:v>
      </s:c>
    </s:row>
    <s:row r="589">
      <s:c r="A589" s="0" t="n">
        <s:v>260813</s:v>
      </s:c>
      <s:c r="B589" s="0" t="inlineStr">
        <s:is>
          <s:t>이종훈</s:t>
        </s:is>
      </s:c>
      <s:c r="C589" s="0" t="n">
        <s:v>104823</s:v>
      </s:c>
      <s:c r="D589" s="0" t="n">
        <s:v>1270</s:v>
      </s:c>
      <s:c r="F589" s="24">
        <s:f>'자료구성'!$B$2+TIME(INT($C$3/10000),INT(MOD($C$3,10000)/100),MOD($C$3,100))+(ROW()-ROW($C$3))/86400</s:f>
        <s:v>46247.45704861111</s:v>
      </s:c>
    </s:row>
    <s:row r="590">
      <s:c r="A590" s="0" t="n">
        <s:v>260813</s:v>
      </s:c>
      <s:c r="B590" s="0" t="inlineStr">
        <s:is>
          <s:t>이종훈</s:t>
        </s:is>
      </s:c>
      <s:c r="C590" s="0" t="n">
        <s:v>104823</s:v>
      </s:c>
      <s:c r="D590" s="0" t="n">
        <s:v>1270</s:v>
      </s:c>
      <s:c r="F590" s="24">
        <s:f>'자료구성'!$B$2+TIME(INT($C$3/10000),INT(MOD($C$3,10000)/100),MOD($C$3,100))+(ROW()-ROW($C$3))/86400</s:f>
        <s:v>46247.45706018519</s:v>
      </s:c>
    </s:row>
    <s:row r="591">
      <s:c r="A591" s="0" t="n">
        <s:v>260813</s:v>
      </s:c>
      <s:c r="B591" s="0" t="inlineStr">
        <s:is>
          <s:t>이종훈</s:t>
        </s:is>
      </s:c>
      <s:c r="C591" s="0" t="n">
        <s:v>104823</s:v>
      </s:c>
      <s:c r="D591" s="0" t="n">
        <s:v>1248</s:v>
      </s:c>
      <s:c r="F591" s="24">
        <s:f>'자료구성'!$B$2+TIME(INT($C$3/10000),INT(MOD($C$3,10000)/100),MOD($C$3,100))+(ROW()-ROW($C$3))/86400</s:f>
        <s:v>46247.45707175926</s:v>
      </s:c>
    </s:row>
    <s:row r="592">
      <s:c r="A592" s="0" t="n">
        <s:v>260813</s:v>
      </s:c>
      <s:c r="B592" s="0" t="inlineStr">
        <s:is>
          <s:t>이종훈</s:t>
        </s:is>
      </s:c>
      <s:c r="C592" s="0" t="n">
        <s:v>104823</s:v>
      </s:c>
      <s:c r="D592" s="0" t="n">
        <s:v>1219</s:v>
      </s:c>
      <s:c r="F592" s="24">
        <s:f>'자료구성'!$B$2+TIME(INT($C$3/10000),INT(MOD($C$3,10000)/100),MOD($C$3,100))+(ROW()-ROW($C$3))/86400</s:f>
        <s:v>46247.457083333335</s:v>
      </s:c>
    </s:row>
    <s:row r="593">
      <s:c r="A593" s="0" t="n">
        <s:v>260813</s:v>
      </s:c>
      <s:c r="B593" s="0" t="inlineStr">
        <s:is>
          <s:t>이종훈</s:t>
        </s:is>
      </s:c>
      <s:c r="C593" s="0" t="n">
        <s:v>104823</s:v>
      </s:c>
      <s:c r="D593" s="0" t="n">
        <s:v>1216</s:v>
      </s:c>
      <s:c r="F593" s="24">
        <s:f>'자료구성'!$B$2+TIME(INT($C$3/10000),INT(MOD($C$3,10000)/100),MOD($C$3,100))+(ROW()-ROW($C$3))/86400</s:f>
        <s:v>46247.457094907404</s:v>
      </s:c>
    </s:row>
    <s:row r="594">
      <s:c r="A594" s="0" t="n">
        <s:v>260813</s:v>
      </s:c>
      <s:c r="B594" s="0" t="inlineStr">
        <s:is>
          <s:t>이종훈</s:t>
        </s:is>
      </s:c>
      <s:c r="C594" s="0" t="n">
        <s:v>104823</s:v>
      </s:c>
      <s:c r="D594" s="0" t="n">
        <s:v>1209</s:v>
      </s:c>
      <s:c r="F594" s="24">
        <s:f>'자료구성'!$B$2+TIME(INT($C$3/10000),INT(MOD($C$3,10000)/100),MOD($C$3,100))+(ROW()-ROW($C$3))/86400</s:f>
        <s:v>46247.45710648148</s:v>
      </s:c>
    </s:row>
    <s:row r="595">
      <s:c r="A595" s="0" t="n">
        <s:v>260813</s:v>
      </s:c>
      <s:c r="B595" s="0" t="inlineStr">
        <s:is>
          <s:t>이종훈</s:t>
        </s:is>
      </s:c>
      <s:c r="C595" s="0" t="n">
        <s:v>104823</s:v>
      </s:c>
      <s:c r="D595" s="0" t="n">
        <s:v>1207</s:v>
      </s:c>
      <s:c r="F595" s="24">
        <s:f>'자료구성'!$B$2+TIME(INT($C$3/10000),INT(MOD($C$3,10000)/100),MOD($C$3,100))+(ROW()-ROW($C$3))/86400</s:f>
        <s:v>46247.45711805556</s:v>
      </s:c>
    </s:row>
    <s:row r="596">
      <s:c r="A596" s="0" t="n">
        <s:v>260813</s:v>
      </s:c>
      <s:c r="B596" s="0" t="inlineStr">
        <s:is>
          <s:t>이종훈</s:t>
        </s:is>
      </s:c>
      <s:c r="C596" s="0" t="n">
        <s:v>104823</s:v>
      </s:c>
      <s:c r="D596" s="0" t="n">
        <s:v>1218</s:v>
      </s:c>
      <s:c r="F596" s="24">
        <s:f>'자료구성'!$B$2+TIME(INT($C$3/10000),INT(MOD($C$3,10000)/100),MOD($C$3,100))+(ROW()-ROW($C$3))/86400</s:f>
        <s:v>46247.45712962963</s:v>
      </s:c>
    </s:row>
    <s:row r="597">
      <s:c r="A597" s="0" t="n">
        <s:v>260813</s:v>
      </s:c>
      <s:c r="B597" s="0" t="inlineStr">
        <s:is>
          <s:t>이종훈</s:t>
        </s:is>
      </s:c>
      <s:c r="C597" s="0" t="n">
        <s:v>104823</s:v>
      </s:c>
      <s:c r="D597" s="0" t="n">
        <s:v>1239</s:v>
      </s:c>
      <s:c r="F597" s="24">
        <s:f>'자료구성'!$B$2+TIME(INT($C$3/10000),INT(MOD($C$3,10000)/100),MOD($C$3,100))+(ROW()-ROW($C$3))/86400</s:f>
        <s:v>46247.457141203704</s:v>
      </s:c>
    </s:row>
    <s:row r="598">
      <s:c r="A598" s="0" t="n">
        <s:v>260813</s:v>
      </s:c>
      <s:c r="B598" s="0" t="inlineStr">
        <s:is>
          <s:t>이종훈</s:t>
        </s:is>
      </s:c>
      <s:c r="C598" s="0" t="n">
        <s:v>104823</s:v>
      </s:c>
      <s:c r="D598" s="0" t="n">
        <s:v>1256</s:v>
      </s:c>
      <s:c r="F598" s="24">
        <s:f>'자료구성'!$B$2+TIME(INT($C$3/10000),INT(MOD($C$3,10000)/100),MOD($C$3,100))+(ROW()-ROW($C$3))/86400</s:f>
        <s:v>46247.45715277778</s:v>
      </s:c>
    </s:row>
    <s:row r="599">
      <s:c r="A599" s="0" t="n">
        <s:v>260813</s:v>
      </s:c>
      <s:c r="B599" s="0" t="inlineStr">
        <s:is>
          <s:t>이종훈</s:t>
        </s:is>
      </s:c>
      <s:c r="C599" s="0" t="n">
        <s:v>104823</s:v>
      </s:c>
      <s:c r="D599" s="0" t="n">
        <s:v>1256</s:v>
      </s:c>
      <s:c r="F599" s="24">
        <s:f>'자료구성'!$B$2+TIME(INT($C$3/10000),INT(MOD($C$3,10000)/100),MOD($C$3,100))+(ROW()-ROW($C$3))/86400</s:f>
        <s:v>46247.45716435185</s:v>
      </s:c>
    </s:row>
    <s:row r="600">
      <s:c r="A600" s="0" t="n">
        <s:v>260813</s:v>
      </s:c>
      <s:c r="B600" s="0" t="inlineStr">
        <s:is>
          <s:t>이종훈</s:t>
        </s:is>
      </s:c>
      <s:c r="C600" s="0" t="n">
        <s:v>104823</s:v>
      </s:c>
      <s:c r="D600" s="0" t="n">
        <s:v>1248</s:v>
      </s:c>
      <s:c r="F600" s="24">
        <s:f>'자료구성'!$B$2+TIME(INT($C$3/10000),INT(MOD($C$3,10000)/100),MOD($C$3,100))+(ROW()-ROW($C$3))/86400</s:f>
        <s:v>46247.45717592593</s:v>
      </s:c>
    </s:row>
    <s:row r="601">
      <s:c r="A601" s="0" t="n">
        <s:v>260813</s:v>
      </s:c>
      <s:c r="B601" s="0" t="inlineStr">
        <s:is>
          <s:t>이종훈</s:t>
        </s:is>
      </s:c>
      <s:c r="C601" s="0" t="n">
        <s:v>104823</s:v>
      </s:c>
      <s:c r="D601" s="0" t="n">
        <s:v>1248</s:v>
      </s:c>
      <s:c r="F601" s="24">
        <s:f>'자료구성'!$B$2+TIME(INT($C$3/10000),INT(MOD($C$3,10000)/100),MOD($C$3,100))+(ROW()-ROW($C$3))/86400</s:f>
        <s:v>46247.4571875</s:v>
      </s:c>
    </s:row>
    <s:row r="602">
      <s:c r="A602" s="0" t="n">
        <s:v>260813</s:v>
      </s:c>
      <s:c r="B602" s="0" t="inlineStr">
        <s:is>
          <s:t>이종훈</s:t>
        </s:is>
      </s:c>
      <s:c r="C602" s="0" t="n">
        <s:v>104823</s:v>
      </s:c>
      <s:c r="D602" s="0" t="n">
        <s:v>1257</s:v>
      </s:c>
      <s:c r="F602" s="24">
        <s:f>'자료구성'!$B$2+TIME(INT($C$3/10000),INT(MOD($C$3,10000)/100),MOD($C$3,100))+(ROW()-ROW($C$3))/86400</s:f>
        <s:v>46247.45719907407</s:v>
      </s:c>
    </s:row>
    <s:row r="603">
      <s:c r="A603" s="0" t="n">
        <s:v>260813</s:v>
      </s:c>
      <s:c r="B603" s="0" t="inlineStr">
        <s:is>
          <s:t>이종훈</s:t>
        </s:is>
      </s:c>
      <s:c r="C603" s="0" t="n">
        <s:v>104823</s:v>
      </s:c>
      <s:c r="D603" s="0" t="n">
        <s:v>1254</s:v>
      </s:c>
      <s:c r="F603" s="24">
        <s:f>'자료구성'!$B$2+TIME(INT($C$3/10000),INT(MOD($C$3,10000)/100),MOD($C$3,100))+(ROW()-ROW($C$3))/86400</s:f>
        <s:v>46247.45721064815</s:v>
      </s:c>
    </s:row>
    <s:row r="604">
      <s:c r="A604" s="0" t="n">
        <s:v>260813</s:v>
      </s:c>
      <s:c r="B604" s="0" t="inlineStr">
        <s:is>
          <s:t>이종훈</s:t>
        </s:is>
      </s:c>
      <s:c r="C604" s="0" t="n">
        <s:v>104823</s:v>
      </s:c>
      <s:c r="D604" s="0" t="n">
        <s:v>1268</s:v>
      </s:c>
      <s:c r="F604" s="24">
        <s:f>'자료구성'!$B$2+TIME(INT($C$3/10000),INT(MOD($C$3,10000)/100),MOD($C$3,100))+(ROW()-ROW($C$3))/86400</s:f>
        <s:v>46247.45722222222</s:v>
      </s:c>
    </s:row>
    <s:row r="605">
      <s:c r="A605" s="0" t="n">
        <s:v>260813</s:v>
      </s:c>
      <s:c r="B605" s="0" t="inlineStr">
        <s:is>
          <s:t>이종훈</s:t>
        </s:is>
      </s:c>
      <s:c r="C605" s="0" t="n">
        <s:v>104823</s:v>
      </s:c>
      <s:c r="D605" s="0" t="n">
        <s:v>1252</s:v>
      </s:c>
      <s:c r="F605" s="24">
        <s:f>'자료구성'!$B$2+TIME(INT($C$3/10000),INT(MOD($C$3,10000)/100),MOD($C$3,100))+(ROW()-ROW($C$3))/86400</s:f>
        <s:v>46247.457233796296</s:v>
      </s:c>
    </s:row>
    <s:row r="606">
      <s:c r="A606" s="0" t="n">
        <s:v>260813</s:v>
      </s:c>
      <s:c r="B606" s="0" t="inlineStr">
        <s:is>
          <s:t>이종훈</s:t>
        </s:is>
      </s:c>
      <s:c r="C606" s="0" t="n">
        <s:v>104823</s:v>
      </s:c>
      <s:c r="D606" s="0" t="n">
        <s:v>1227</s:v>
      </s:c>
      <s:c r="F606" s="24">
        <s:f>'자료구성'!$B$2+TIME(INT($C$3/10000),INT(MOD($C$3,10000)/100),MOD($C$3,100))+(ROW()-ROW($C$3))/86400</s:f>
        <s:v>46247.45724537037</s:v>
      </s:c>
    </s:row>
    <s:row r="607">
      <s:c r="A607" s="0" t="n">
        <s:v>260813</s:v>
      </s:c>
      <s:c r="B607" s="0" t="inlineStr">
        <s:is>
          <s:t>이종훈</s:t>
        </s:is>
      </s:c>
      <s:c r="C607" s="0" t="n">
        <s:v>104823</s:v>
      </s:c>
      <s:c r="D607" s="0" t="n">
        <s:v>1230</s:v>
      </s:c>
      <s:c r="F607" s="24">
        <s:f>'자료구성'!$B$2+TIME(INT($C$3/10000),INT(MOD($C$3,10000)/100),MOD($C$3,100))+(ROW()-ROW($C$3))/86400</s:f>
        <s:v>46247.45725694444</s:v>
      </s:c>
    </s:row>
    <s:row r="608">
      <s:c r="A608" s="0" t="n">
        <s:v>260813</s:v>
      </s:c>
      <s:c r="B608" s="0" t="inlineStr">
        <s:is>
          <s:t>이종훈</s:t>
        </s:is>
      </s:c>
      <s:c r="C608" s="0" t="n">
        <s:v>104823</s:v>
      </s:c>
      <s:c r="D608" s="0" t="n">
        <s:v>1212</s:v>
      </s:c>
      <s:c r="F608" s="24">
        <s:f>'자료구성'!$B$2+TIME(INT($C$3/10000),INT(MOD($C$3,10000)/100),MOD($C$3,100))+(ROW()-ROW($C$3))/86400</s:f>
        <s:v>46247.45726851852</s:v>
      </s:c>
    </s:row>
    <s:row r="609">
      <s:c r="A609" s="0" t="n">
        <s:v>260813</s:v>
      </s:c>
      <s:c r="B609" s="0" t="inlineStr">
        <s:is>
          <s:t>이종훈</s:t>
        </s:is>
      </s:c>
      <s:c r="C609" s="0" t="n">
        <s:v>104823</s:v>
      </s:c>
      <s:c r="D609" s="0" t="n">
        <s:v>1193</s:v>
      </s:c>
      <s:c r="F609" s="24">
        <s:f>'자료구성'!$B$2+TIME(INT($C$3/10000),INT(MOD($C$3,10000)/100),MOD($C$3,100))+(ROW()-ROW($C$3))/86400</s:f>
        <s:v>46247.457280092596</s:v>
      </s:c>
    </s:row>
    <s:row r="610">
      <s:c r="A610" s="0" t="n">
        <s:v>260813</s:v>
      </s:c>
      <s:c r="B610" s="0" t="inlineStr">
        <s:is>
          <s:t>이종훈</s:t>
        </s:is>
      </s:c>
      <s:c r="C610" s="0" t="n">
        <s:v>104823</s:v>
      </s:c>
      <s:c r="D610" s="0" t="n">
        <s:v>1202</s:v>
      </s:c>
      <s:c r="F610" s="24">
        <s:f>'자료구성'!$B$2+TIME(INT($C$3/10000),INT(MOD($C$3,10000)/100),MOD($C$3,100))+(ROW()-ROW($C$3))/86400</s:f>
        <s:v>46247.457291666666</s:v>
      </s:c>
    </s:row>
    <s:row r="611">
      <s:c r="A611" s="0" t="n">
        <s:v>260813</s:v>
      </s:c>
      <s:c r="B611" s="0" t="inlineStr">
        <s:is>
          <s:t>이종훈</s:t>
        </s:is>
      </s:c>
      <s:c r="C611" s="0" t="n">
        <s:v>104823</s:v>
      </s:c>
      <s:c r="D611" s="0" t="n">
        <s:v>1201</s:v>
      </s:c>
      <s:c r="F611" s="24">
        <s:f>'자료구성'!$B$2+TIME(INT($C$3/10000),INT(MOD($C$3,10000)/100),MOD($C$3,100))+(ROW()-ROW($C$3))/86400</s:f>
        <s:v>46247.45730324074</s:v>
      </s:c>
    </s:row>
    <s:row r="612">
      <s:c r="A612" s="0" t="n">
        <s:v>260813</s:v>
      </s:c>
      <s:c r="B612" s="0" t="inlineStr">
        <s:is>
          <s:t>이종훈</s:t>
        </s:is>
      </s:c>
      <s:c r="C612" s="0" t="n">
        <s:v>104823</s:v>
      </s:c>
      <s:c r="D612" s="0" t="n">
        <s:v>1195</s:v>
      </s:c>
      <s:c r="F612" s="24">
        <s:f>'자료구성'!$B$2+TIME(INT($C$3/10000),INT(MOD($C$3,10000)/100),MOD($C$3,100))+(ROW()-ROW($C$3))/86400</s:f>
        <s:v>46247.45731481481</s:v>
      </s:c>
    </s:row>
    <s:row r="613">
      <s:c r="A613" s="0" t="n">
        <s:v>260813</s:v>
      </s:c>
      <s:c r="B613" s="0" t="inlineStr">
        <s:is>
          <s:t>이종훈</s:t>
        </s:is>
      </s:c>
      <s:c r="C613" s="0" t="n">
        <s:v>104823</s:v>
      </s:c>
      <s:c r="D613" s="0" t="n">
        <s:v>1197</s:v>
      </s:c>
      <s:c r="F613" s="24">
        <s:f>'자료구성'!$B$2+TIME(INT($C$3/10000),INT(MOD($C$3,10000)/100),MOD($C$3,100))+(ROW()-ROW($C$3))/86400</s:f>
        <s:v>46247.45732638889</s:v>
      </s:c>
    </s:row>
    <s:row r="614">
      <s:c r="A614" s="0" t="n">
        <s:v>260813</s:v>
      </s:c>
      <s:c r="B614" s="0" t="inlineStr">
        <s:is>
          <s:t>이종훈</s:t>
        </s:is>
      </s:c>
      <s:c r="C614" s="0" t="n">
        <s:v>104823</s:v>
      </s:c>
      <s:c r="D614" s="0" t="n">
        <s:v>1197</s:v>
      </s:c>
      <s:c r="F614" s="24">
        <s:f>'자료구성'!$B$2+TIME(INT($C$3/10000),INT(MOD($C$3,10000)/100),MOD($C$3,100))+(ROW()-ROW($C$3))/86400</s:f>
        <s:v>46247.457337962966</s:v>
      </s:c>
    </s:row>
    <s:row r="615">
      <s:c r="A615" s="0" t="n">
        <s:v>260813</s:v>
      </s:c>
      <s:c r="B615" s="0" t="inlineStr">
        <s:is>
          <s:t>이종훈</s:t>
        </s:is>
      </s:c>
      <s:c r="C615" s="0" t="n">
        <s:v>104823</s:v>
      </s:c>
      <s:c r="D615" s="0" t="n">
        <s:v>1185</s:v>
      </s:c>
      <s:c r="F615" s="24">
        <s:f>'자료구성'!$B$2+TIME(INT($C$3/10000),INT(MOD($C$3,10000)/100),MOD($C$3,100))+(ROW()-ROW($C$3))/86400</s:f>
        <s:v>46247.457349537035</s:v>
      </s:c>
    </s:row>
    <s:row r="616">
      <s:c r="A616" s="0" t="n">
        <s:v>260813</s:v>
      </s:c>
      <s:c r="B616" s="0" t="inlineStr">
        <s:is>
          <s:t>이종훈</s:t>
        </s:is>
      </s:c>
      <s:c r="C616" s="0" t="n">
        <s:v>104823</s:v>
      </s:c>
      <s:c r="D616" s="0" t="n">
        <s:v>1184</s:v>
      </s:c>
      <s:c r="F616" s="24">
        <s:f>'자료구성'!$B$2+TIME(INT($C$3/10000),INT(MOD($C$3,10000)/100),MOD($C$3,100))+(ROW()-ROW($C$3))/86400</s:f>
        <s:v>46247.45736111111</s:v>
      </s:c>
    </s:row>
    <s:row r="617">
      <s:c r="A617" s="0" t="n">
        <s:v>260813</s:v>
      </s:c>
      <s:c r="B617" s="0" t="inlineStr">
        <s:is>
          <s:t>이종훈</s:t>
        </s:is>
      </s:c>
      <s:c r="C617" s="0" t="n">
        <s:v>104823</s:v>
      </s:c>
      <s:c r="D617" s="0" t="n">
        <s:v>1141</s:v>
      </s:c>
      <s:c r="F617" s="24">
        <s:f>'자료구성'!$B$2+TIME(INT($C$3/10000),INT(MOD($C$3,10000)/100),MOD($C$3,100))+(ROW()-ROW($C$3))/86400</s:f>
        <s:v>46247.45737268519</s:v>
      </s:c>
    </s:row>
    <s:row r="618">
      <s:c r="A618" s="0" t="n">
        <s:v>260813</s:v>
      </s:c>
      <s:c r="B618" s="0" t="inlineStr">
        <s:is>
          <s:t>이종훈</s:t>
        </s:is>
      </s:c>
      <s:c r="C618" s="0" t="n">
        <s:v>104823</s:v>
      </s:c>
      <s:c r="D618" s="0" t="n">
        <s:v>1130</s:v>
      </s:c>
      <s:c r="F618" s="24">
        <s:f>'자료구성'!$B$2+TIME(INT($C$3/10000),INT(MOD($C$3,10000)/100),MOD($C$3,100))+(ROW()-ROW($C$3))/86400</s:f>
        <s:v>46247.45738425926</s:v>
      </s:c>
    </s:row>
    <s:row r="619">
      <s:c r="A619" s="0" t="n">
        <s:v>260813</s:v>
      </s:c>
      <s:c r="B619" s="0" t="inlineStr">
        <s:is>
          <s:t>이종훈</s:t>
        </s:is>
      </s:c>
      <s:c r="C619" s="0" t="n">
        <s:v>104823</s:v>
      </s:c>
      <s:c r="D619" s="0" t="n">
        <s:v>1131</s:v>
      </s:c>
      <s:c r="F619" s="24">
        <s:f>'자료구성'!$B$2+TIME(INT($C$3/10000),INT(MOD($C$3,10000)/100),MOD($C$3,100))+(ROW()-ROW($C$3))/86400</s:f>
        <s:v>46247.457395833335</s:v>
      </s:c>
    </s:row>
    <s:row r="620">
      <s:c r="A620" s="0" t="n">
        <s:v>260813</s:v>
      </s:c>
      <s:c r="B620" s="0" t="inlineStr">
        <s:is>
          <s:t>이종훈</s:t>
        </s:is>
      </s:c>
      <s:c r="C620" s="0" t="n">
        <s:v>104823</s:v>
      </s:c>
      <s:c r="D620" s="0" t="n">
        <s:v>1115</s:v>
      </s:c>
      <s:c r="F620" s="24">
        <s:f>'자료구성'!$B$2+TIME(INT($C$3/10000),INT(MOD($C$3,10000)/100),MOD($C$3,100))+(ROW()-ROW($C$3))/86400</s:f>
        <s:v>46247.457407407404</s:v>
      </s:c>
    </s:row>
    <s:row r="621">
      <s:c r="A621" s="0" t="n">
        <s:v>260813</s:v>
      </s:c>
      <s:c r="B621" s="0" t="inlineStr">
        <s:is>
          <s:t>이종훈</s:t>
        </s:is>
      </s:c>
      <s:c r="C621" s="0" t="n">
        <s:v>104823</s:v>
      </s:c>
      <s:c r="D621" s="0" t="n">
        <s:v>1104</s:v>
      </s:c>
      <s:c r="F621" s="24">
        <s:f>'자료구성'!$B$2+TIME(INT($C$3/10000),INT(MOD($C$3,10000)/100),MOD($C$3,100))+(ROW()-ROW($C$3))/86400</s:f>
        <s:v>46247.45741898148</s:v>
      </s:c>
    </s:row>
    <s:row r="622">
      <s:c r="A622" s="0" t="n">
        <s:v>260813</s:v>
      </s:c>
      <s:c r="B622" s="0" t="inlineStr">
        <s:is>
          <s:t>이종훈</s:t>
        </s:is>
      </s:c>
      <s:c r="C622" s="0" t="n">
        <s:v>104823</s:v>
      </s:c>
      <s:c r="D622" s="0" t="n">
        <s:v>1099</s:v>
      </s:c>
      <s:c r="F622" s="24">
        <s:f>'자료구성'!$B$2+TIME(INT($C$3/10000),INT(MOD($C$3,10000)/100),MOD($C$3,100))+(ROW()-ROW($C$3))/86400</s:f>
        <s:v>46247.45743055556</s:v>
      </s:c>
    </s:row>
    <s:row r="623">
      <s:c r="A623" s="0" t="n">
        <s:v>260813</s:v>
      </s:c>
      <s:c r="B623" s="0" t="inlineStr">
        <s:is>
          <s:t>이종훈</s:t>
        </s:is>
      </s:c>
      <s:c r="C623" s="0" t="n">
        <s:v>104823</s:v>
      </s:c>
      <s:c r="D623" s="0" t="n">
        <s:v>1097</s:v>
      </s:c>
      <s:c r="F623" s="24">
        <s:f>'자료구성'!$B$2+TIME(INT($C$3/10000),INT(MOD($C$3,10000)/100),MOD($C$3,100))+(ROW()-ROW($C$3))/86400</s:f>
        <s:v>46247.45744212963</s:v>
      </s:c>
    </s:row>
    <s:row r="624">
      <s:c r="A624" s="0" t="n">
        <s:v>260813</s:v>
      </s:c>
      <s:c r="B624" s="0" t="inlineStr">
        <s:is>
          <s:t>이종훈</s:t>
        </s:is>
      </s:c>
      <s:c r="C624" s="0" t="n">
        <s:v>104823</s:v>
      </s:c>
      <s:c r="D624" s="0" t="n">
        <s:v>1104</s:v>
      </s:c>
      <s:c r="F624" s="24">
        <s:f>'자료구성'!$B$2+TIME(INT($C$3/10000),INT(MOD($C$3,10000)/100),MOD($C$3,100))+(ROW()-ROW($C$3))/86400</s:f>
        <s:v>46247.457453703704</s:v>
      </s:c>
    </s:row>
    <s:row r="625">
      <s:c r="A625" s="0" t="n">
        <s:v>260813</s:v>
      </s:c>
      <s:c r="B625" s="0" t="inlineStr">
        <s:is>
          <s:t>이종훈</s:t>
        </s:is>
      </s:c>
      <s:c r="C625" s="0" t="n">
        <s:v>104823</s:v>
      </s:c>
      <s:c r="D625" s="0" t="n">
        <s:v>1114</s:v>
      </s:c>
      <s:c r="F625" s="24">
        <s:f>'자료구성'!$B$2+TIME(INT($C$3/10000),INT(MOD($C$3,10000)/100),MOD($C$3,100))+(ROW()-ROW($C$3))/86400</s:f>
        <s:v>46247.45746527778</s:v>
      </s:c>
    </s:row>
    <s:row r="626">
      <s:c r="A626" s="0" t="n">
        <s:v>260813</s:v>
      </s:c>
      <s:c r="B626" s="0" t="inlineStr">
        <s:is>
          <s:t>이종훈</s:t>
        </s:is>
      </s:c>
      <s:c r="C626" s="0" t="n">
        <s:v>104823</s:v>
      </s:c>
      <s:c r="D626" s="0" t="n">
        <s:v>1105</s:v>
      </s:c>
      <s:c r="F626" s="24">
        <s:f>'자료구성'!$B$2+TIME(INT($C$3/10000),INT(MOD($C$3,10000)/100),MOD($C$3,100))+(ROW()-ROW($C$3))/86400</s:f>
        <s:v>46247.45747685185</s:v>
      </s:c>
    </s:row>
    <s:row r="627">
      <s:c r="A627" s="0" t="n">
        <s:v>260813</s:v>
      </s:c>
      <s:c r="B627" s="0" t="inlineStr">
        <s:is>
          <s:t>이종훈</s:t>
        </s:is>
      </s:c>
      <s:c r="C627" s="0" t="n">
        <s:v>104823</s:v>
      </s:c>
      <s:c r="D627" s="0" t="n">
        <s:v>1136</s:v>
      </s:c>
      <s:c r="F627" s="24">
        <s:f>'자료구성'!$B$2+TIME(INT($C$3/10000),INT(MOD($C$3,10000)/100),MOD($C$3,100))+(ROW()-ROW($C$3))/86400</s:f>
        <s:v>46247.45748842593</s:v>
      </s:c>
    </s:row>
    <s:row r="628">
      <s:c r="A628" s="0" t="n">
        <s:v>260813</s:v>
      </s:c>
      <s:c r="B628" s="0" t="inlineStr">
        <s:is>
          <s:t>이종훈</s:t>
        </s:is>
      </s:c>
      <s:c r="C628" s="0" t="n">
        <s:v>104823</s:v>
      </s:c>
      <s:c r="D628" s="0" t="n">
        <s:v>1132</s:v>
      </s:c>
      <s:c r="F628" s="24">
        <s:f>'자료구성'!$B$2+TIME(INT($C$3/10000),INT(MOD($C$3,10000)/100),MOD($C$3,100))+(ROW()-ROW($C$3))/86400</s:f>
        <s:v>46247.4575</s:v>
      </s:c>
    </s:row>
    <s:row r="629">
      <s:c r="A629" s="0" t="n">
        <s:v>260813</s:v>
      </s:c>
      <s:c r="B629" s="0" t="inlineStr">
        <s:is>
          <s:t>이종훈</s:t>
        </s:is>
      </s:c>
      <s:c r="C629" s="0" t="n">
        <s:v>104823</s:v>
      </s:c>
      <s:c r="D629" s="0" t="n">
        <s:v>1132</s:v>
      </s:c>
      <s:c r="F629" s="24">
        <s:f>'자료구성'!$B$2+TIME(INT($C$3/10000),INT(MOD($C$3,10000)/100),MOD($C$3,100))+(ROW()-ROW($C$3))/86400</s:f>
        <s:v>46247.45751157407</s:v>
      </s:c>
    </s:row>
    <s:row r="630">
      <s:c r="A630" s="0" t="n">
        <s:v>260813</s:v>
      </s:c>
      <s:c r="B630" s="0" t="inlineStr">
        <s:is>
          <s:t>이종훈</s:t>
        </s:is>
      </s:c>
      <s:c r="C630" s="0" t="n">
        <s:v>104823</s:v>
      </s:c>
      <s:c r="D630" s="0" t="n">
        <s:v>1120</s:v>
      </s:c>
      <s:c r="F630" s="24">
        <s:f>'자료구성'!$B$2+TIME(INT($C$3/10000),INT(MOD($C$3,10000)/100),MOD($C$3,100))+(ROW()-ROW($C$3))/86400</s:f>
        <s:v>46247.45752314815</s:v>
      </s:c>
    </s:row>
    <s:row r="631">
      <s:c r="A631" s="0" t="n">
        <s:v>260813</s:v>
      </s:c>
      <s:c r="B631" s="0" t="inlineStr">
        <s:is>
          <s:t>이종훈</s:t>
        </s:is>
      </s:c>
      <s:c r="C631" s="0" t="n">
        <s:v>104823</s:v>
      </s:c>
      <s:c r="D631" s="0" t="n">
        <s:v>1116</s:v>
      </s:c>
      <s:c r="F631" s="24">
        <s:f>'자료구성'!$B$2+TIME(INT($C$3/10000),INT(MOD($C$3,10000)/100),MOD($C$3,100))+(ROW()-ROW($C$3))/86400</s:f>
        <s:v>46247.45753472222</s:v>
      </s:c>
    </s:row>
    <s:row r="632">
      <s:c r="A632" s="0" t="n">
        <s:v>260813</s:v>
      </s:c>
      <s:c r="B632" s="0" t="inlineStr">
        <s:is>
          <s:t>이종훈</s:t>
        </s:is>
      </s:c>
      <s:c r="C632" s="0" t="n">
        <s:v>104823</s:v>
      </s:c>
      <s:c r="D632" s="0" t="n">
        <s:v>1109</s:v>
      </s:c>
      <s:c r="F632" s="24">
        <s:f>'자료구성'!$B$2+TIME(INT($C$3/10000),INT(MOD($C$3,10000)/100),MOD($C$3,100))+(ROW()-ROW($C$3))/86400</s:f>
        <s:v>46247.4575462963</s:v>
      </s:c>
    </s:row>
    <s:row r="633">
      <s:c r="A633" s="0" t="n">
        <s:v>260813</s:v>
      </s:c>
      <s:c r="B633" s="0" t="inlineStr">
        <s:is>
          <s:t>이종훈</s:t>
        </s:is>
      </s:c>
      <s:c r="C633" s="0" t="n">
        <s:v>104823</s:v>
      </s:c>
      <s:c r="D633" s="0" t="n">
        <s:v>1105</s:v>
      </s:c>
      <s:c r="F633" s="24">
        <s:f>'자료구성'!$B$2+TIME(INT($C$3/10000),INT(MOD($C$3,10000)/100),MOD($C$3,100))+(ROW()-ROW($C$3))/86400</s:f>
        <s:v>46247.45755787037</s:v>
      </s:c>
    </s:row>
    <s:row r="634">
      <s:c r="A634" s="0" t="n">
        <s:v>260813</s:v>
      </s:c>
      <s:c r="B634" s="0" t="inlineStr">
        <s:is>
          <s:t>이종훈</s:t>
        </s:is>
      </s:c>
      <s:c r="C634" s="0" t="n">
        <s:v>104823</s:v>
      </s:c>
      <s:c r="D634" s="0" t="n">
        <s:v>1109</s:v>
      </s:c>
      <s:c r="F634" s="24">
        <s:f>'자료구성'!$B$2+TIME(INT($C$3/10000),INT(MOD($C$3,10000)/100),MOD($C$3,100))+(ROW()-ROW($C$3))/86400</s:f>
        <s:v>46247.45756944444</s:v>
      </s:c>
    </s:row>
    <s:row r="635">
      <s:c r="A635" s="0" t="n">
        <s:v>260813</s:v>
      </s:c>
      <s:c r="B635" s="0" t="inlineStr">
        <s:is>
          <s:t>이종훈</s:t>
        </s:is>
      </s:c>
      <s:c r="C635" s="0" t="n">
        <s:v>104823</s:v>
      </s:c>
      <s:c r="D635" s="0" t="n">
        <s:v>1121</s:v>
      </s:c>
      <s:c r="F635" s="24">
        <s:f>'자료구성'!$B$2+TIME(INT($C$3/10000),INT(MOD($C$3,10000)/100),MOD($C$3,100))+(ROW()-ROW($C$3))/86400</s:f>
        <s:v>46247.45758101852</s:v>
      </s:c>
    </s:row>
    <s:row r="636">
      <s:c r="A636" s="0" t="n">
        <s:v>260813</s:v>
      </s:c>
      <s:c r="B636" s="0" t="inlineStr">
        <s:is>
          <s:t>이종훈</s:t>
        </s:is>
      </s:c>
      <s:c r="C636" s="0" t="n">
        <s:v>104823</s:v>
      </s:c>
      <s:c r="D636" s="0" t="n">
        <s:v>1149</s:v>
      </s:c>
      <s:c r="F636" s="24">
        <s:f>'자료구성'!$B$2+TIME(INT($C$3/10000),INT(MOD($C$3,10000)/100),MOD($C$3,100))+(ROW()-ROW($C$3))/86400</s:f>
        <s:v>46247.45759259259</s:v>
      </s:c>
    </s:row>
    <s:row r="637">
      <s:c r="A637" s="0" t="n">
        <s:v>260813</s:v>
      </s:c>
      <s:c r="B637" s="0" t="inlineStr">
        <s:is>
          <s:t>이종훈</s:t>
        </s:is>
      </s:c>
      <s:c r="C637" s="0" t="n">
        <s:v>104823</s:v>
      </s:c>
      <s:c r="D637" s="0" t="n">
        <s:v>1163</s:v>
      </s:c>
      <s:c r="F637" s="24">
        <s:f>'자료구성'!$B$2+TIME(INT($C$3/10000),INT(MOD($C$3,10000)/100),MOD($C$3,100))+(ROW()-ROW($C$3))/86400</s:f>
        <s:v>46247.457604166666</s:v>
      </s:c>
    </s:row>
    <s:row r="638">
      <s:c r="A638" s="0" t="n">
        <s:v>260813</s:v>
      </s:c>
      <s:c r="B638" s="0" t="inlineStr">
        <s:is>
          <s:t>이종훈</s:t>
        </s:is>
      </s:c>
      <s:c r="C638" s="0" t="n">
        <s:v>104823</s:v>
      </s:c>
      <s:c r="D638" s="0" t="n">
        <s:v>1179</s:v>
      </s:c>
      <s:c r="F638" s="24">
        <s:f>'자료구성'!$B$2+TIME(INT($C$3/10000),INT(MOD($C$3,10000)/100),MOD($C$3,100))+(ROW()-ROW($C$3))/86400</s:f>
        <s:v>46247.45761574074</s:v>
      </s:c>
    </s:row>
    <s:row r="639">
      <s:c r="A639" s="0" t="n">
        <s:v>260813</s:v>
      </s:c>
      <s:c r="B639" s="0" t="inlineStr">
        <s:is>
          <s:t>이종훈</s:t>
        </s:is>
      </s:c>
      <s:c r="C639" s="0" t="n">
        <s:v>104823</s:v>
      </s:c>
      <s:c r="D639" s="0" t="n">
        <s:v>1187</s:v>
      </s:c>
      <s:c r="F639" s="24">
        <s:f>'자료구성'!$B$2+TIME(INT($C$3/10000),INT(MOD($C$3,10000)/100),MOD($C$3,100))+(ROW()-ROW($C$3))/86400</s:f>
        <s:v>46247.45762731481</s:v>
      </s:c>
    </s:row>
    <s:row r="640">
      <s:c r="A640" s="0" t="n">
        <s:v>260813</s:v>
      </s:c>
      <s:c r="B640" s="0" t="inlineStr">
        <s:is>
          <s:t>이종훈</s:t>
        </s:is>
      </s:c>
      <s:c r="C640" s="0" t="n">
        <s:v>104823</s:v>
      </s:c>
      <s:c r="D640" s="0" t="n">
        <s:v>1193</s:v>
      </s:c>
      <s:c r="F640" s="24">
        <s:f>'자료구성'!$B$2+TIME(INT($C$3/10000),INT(MOD($C$3,10000)/100),MOD($C$3,100))+(ROW()-ROW($C$3))/86400</s:f>
        <s:v>46247.45763888889</s:v>
      </s:c>
    </s:row>
    <s:row r="641">
      <s:c r="A641" s="0" t="n">
        <s:v>260813</s:v>
      </s:c>
      <s:c r="B641" s="0" t="inlineStr">
        <s:is>
          <s:t>이종훈</s:t>
        </s:is>
      </s:c>
      <s:c r="C641" s="0" t="n">
        <s:v>104823</s:v>
      </s:c>
      <s:c r="D641" s="0" t="n">
        <s:v>1191</s:v>
      </s:c>
      <s:c r="F641" s="24">
        <s:f>'자료구성'!$B$2+TIME(INT($C$3/10000),INT(MOD($C$3,10000)/100),MOD($C$3,100))+(ROW()-ROW($C$3))/86400</s:f>
        <s:v>46247.457650462966</s:v>
      </s:c>
    </s:row>
    <s:row r="642">
      <s:c r="A642" s="0" t="n">
        <s:v>260813</s:v>
      </s:c>
      <s:c r="B642" s="0" t="inlineStr">
        <s:is>
          <s:t>이종훈</s:t>
        </s:is>
      </s:c>
      <s:c r="C642" s="0" t="n">
        <s:v>104823</s:v>
      </s:c>
      <s:c r="D642" s="0" t="n">
        <s:v>1202</s:v>
      </s:c>
      <s:c r="F642" s="24">
        <s:f>'자료구성'!$B$2+TIME(INT($C$3/10000),INT(MOD($C$3,10000)/100),MOD($C$3,100))+(ROW()-ROW($C$3))/86400</s:f>
        <s:v>46247.457662037035</s:v>
      </s:c>
    </s:row>
    <s:row r="643">
      <s:c r="A643" s="0" t="n">
        <s:v>260813</s:v>
      </s:c>
      <s:c r="B643" s="0" t="inlineStr">
        <s:is>
          <s:t>이종훈</s:t>
        </s:is>
      </s:c>
      <s:c r="C643" s="0" t="n">
        <s:v>104823</s:v>
      </s:c>
      <s:c r="D643" s="0" t="n">
        <s:v>1205</s:v>
      </s:c>
      <s:c r="F643" s="24">
        <s:f>'자료구성'!$B$2+TIME(INT($C$3/10000),INT(MOD($C$3,10000)/100),MOD($C$3,100))+(ROW()-ROW($C$3))/86400</s:f>
        <s:v>46247.45767361111</s:v>
      </s:c>
    </s:row>
    <s:row r="644">
      <s:c r="A644" s="0" t="n">
        <s:v>260813</s:v>
      </s:c>
      <s:c r="B644" s="0" t="inlineStr">
        <s:is>
          <s:t>이종훈</s:t>
        </s:is>
      </s:c>
      <s:c r="C644" s="0" t="n">
        <s:v>104823</s:v>
      </s:c>
      <s:c r="D644" s="0" t="n">
        <s:v>1195</s:v>
      </s:c>
      <s:c r="F644" s="24">
        <s:f>'자료구성'!$B$2+TIME(INT($C$3/10000),INT(MOD($C$3,10000)/100),MOD($C$3,100))+(ROW()-ROW($C$3))/86400</s:f>
        <s:v>46247.45768518518</s:v>
      </s:c>
    </s:row>
    <s:row r="645">
      <s:c r="A645" s="0" t="n">
        <s:v>260813</s:v>
      </s:c>
      <s:c r="B645" s="0" t="inlineStr">
        <s:is>
          <s:t>이종훈</s:t>
        </s:is>
      </s:c>
      <s:c r="C645" s="0" t="n">
        <s:v>104823</s:v>
      </s:c>
      <s:c r="D645" s="0" t="n">
        <s:v>1192</s:v>
      </s:c>
      <s:c r="F645" s="24">
        <s:f>'자료구성'!$B$2+TIME(INT($C$3/10000),INT(MOD($C$3,10000)/100),MOD($C$3,100))+(ROW()-ROW($C$3))/86400</s:f>
        <s:v>46247.45769675926</s:v>
      </s:c>
    </s:row>
    <s:row r="646">
      <s:c r="A646" s="0" t="n">
        <s:v>260813</s:v>
      </s:c>
      <s:c r="B646" s="0" t="inlineStr">
        <s:is>
          <s:t>이종훈</s:t>
        </s:is>
      </s:c>
      <s:c r="C646" s="0" t="n">
        <s:v>104823</s:v>
      </s:c>
      <s:c r="D646" s="0" t="n">
        <s:v>1181</s:v>
      </s:c>
      <s:c r="F646" s="24">
        <s:f>'자료구성'!$B$2+TIME(INT($C$3/10000),INT(MOD($C$3,10000)/100),MOD($C$3,100))+(ROW()-ROW($C$3))/86400</s:f>
        <s:v>46247.457708333335</s:v>
      </s:c>
    </s:row>
    <s:row r="647">
      <s:c r="A647" s="0" t="n">
        <s:v>260813</s:v>
      </s:c>
      <s:c r="B647" s="0" t="inlineStr">
        <s:is>
          <s:t>이종훈</s:t>
        </s:is>
      </s:c>
      <s:c r="C647" s="0" t="n">
        <s:v>104823</s:v>
      </s:c>
      <s:c r="D647" s="0" t="n">
        <s:v>1175</s:v>
      </s:c>
      <s:c r="F647" s="24">
        <s:f>'자료구성'!$B$2+TIME(INT($C$3/10000),INT(MOD($C$3,10000)/100),MOD($C$3,100))+(ROW()-ROW($C$3))/86400</s:f>
        <s:v>46247.457719907405</s:v>
      </s:c>
    </s:row>
    <s:row r="648">
      <s:c r="A648" s="0" t="n">
        <s:v>260813</s:v>
      </s:c>
      <s:c r="B648" s="0" t="inlineStr">
        <s:is>
          <s:t>이종훈</s:t>
        </s:is>
      </s:c>
      <s:c r="C648" s="0" t="n">
        <s:v>104823</s:v>
      </s:c>
      <s:c r="D648" s="0" t="n">
        <s:v>1163</s:v>
      </s:c>
      <s:c r="F648" s="24">
        <s:f>'자료구성'!$B$2+TIME(INT($C$3/10000),INT(MOD($C$3,10000)/100),MOD($C$3,100))+(ROW()-ROW($C$3))/86400</s:f>
        <s:v>46247.45773148148</s:v>
      </s:c>
    </s:row>
    <s:row r="649">
      <s:c r="A649" s="0" t="n">
        <s:v>260813</s:v>
      </s:c>
      <s:c r="B649" s="0" t="inlineStr">
        <s:is>
          <s:t>이종훈</s:t>
        </s:is>
      </s:c>
      <s:c r="C649" s="0" t="n">
        <s:v>104823</s:v>
      </s:c>
      <s:c r="D649" s="0" t="n">
        <s:v>1158</s:v>
      </s:c>
      <s:c r="F649" s="24">
        <s:f>'자료구성'!$B$2+TIME(INT($C$3/10000),INT(MOD($C$3,10000)/100),MOD($C$3,100))+(ROW()-ROW($C$3))/86400</s:f>
        <s:v>46247.45774305556</s:v>
      </s:c>
    </s:row>
    <s:row r="650">
      <s:c r="A650" s="0" t="n">
        <s:v>260813</s:v>
      </s:c>
      <s:c r="B650" s="0" t="inlineStr">
        <s:is>
          <s:t>이종훈</s:t>
        </s:is>
      </s:c>
      <s:c r="C650" s="0" t="n">
        <s:v>104823</s:v>
      </s:c>
      <s:c r="D650" s="0" t="n">
        <s:v>1157</s:v>
      </s:c>
      <s:c r="F650" s="24">
        <s:f>'자료구성'!$B$2+TIME(INT($C$3/10000),INT(MOD($C$3,10000)/100),MOD($C$3,100))+(ROW()-ROW($C$3))/86400</s:f>
        <s:v>46247.45775462963</s:v>
      </s:c>
    </s:row>
    <s:row r="651">
      <s:c r="A651" s="0" t="n">
        <s:v>260813</s:v>
      </s:c>
      <s:c r="B651" s="0" t="inlineStr">
        <s:is>
          <s:t>이종훈</s:t>
        </s:is>
      </s:c>
      <s:c r="C651" s="0" t="n">
        <s:v>104823</s:v>
      </s:c>
      <s:c r="D651" s="0" t="n">
        <s:v>1154</s:v>
      </s:c>
      <s:c r="F651" s="24">
        <s:f>'자료구성'!$B$2+TIME(INT($C$3/10000),INT(MOD($C$3,10000)/100),MOD($C$3,100))+(ROW()-ROW($C$3))/86400</s:f>
        <s:v>46247.457766203705</s:v>
      </s:c>
    </s:row>
    <s:row r="652">
      <s:c r="A652" s="0" t="n">
        <s:v>260813</s:v>
      </s:c>
      <s:c r="B652" s="0" t="inlineStr">
        <s:is>
          <s:t>이종훈</s:t>
        </s:is>
      </s:c>
      <s:c r="C652" s="0" t="n">
        <s:v>104823</s:v>
      </s:c>
      <s:c r="D652" s="0" t="n">
        <s:v>1162</s:v>
      </s:c>
      <s:c r="F652" s="24">
        <s:f>'자료구성'!$B$2+TIME(INT($C$3/10000),INT(MOD($C$3,10000)/100),MOD($C$3,100))+(ROW()-ROW($C$3))/86400</s:f>
        <s:v>46247.45777777778</s:v>
      </s:c>
    </s:row>
    <s:row r="653">
      <s:c r="A653" s="0" t="n">
        <s:v>260813</s:v>
      </s:c>
      <s:c r="B653" s="0" t="inlineStr">
        <s:is>
          <s:t>이종훈</s:t>
        </s:is>
      </s:c>
      <s:c r="C653" s="0" t="n">
        <s:v>104823</s:v>
      </s:c>
      <s:c r="D653" s="0" t="n">
        <s:v>1164</s:v>
      </s:c>
      <s:c r="F653" s="24">
        <s:f>'자료구성'!$B$2+TIME(INT($C$3/10000),INT(MOD($C$3,10000)/100),MOD($C$3,100))+(ROW()-ROW($C$3))/86400</s:f>
        <s:v>46247.45778935185</s:v>
      </s:c>
    </s:row>
    <s:row r="654">
      <s:c r="A654" s="0" t="n">
        <s:v>260813</s:v>
      </s:c>
      <s:c r="B654" s="0" t="inlineStr">
        <s:is>
          <s:t>이종훈</s:t>
        </s:is>
      </s:c>
      <s:c r="C654" s="0" t="n">
        <s:v>104823</s:v>
      </s:c>
      <s:c r="D654" s="0" t="n">
        <s:v>1162</s:v>
      </s:c>
      <s:c r="F654" s="24">
        <s:f>'자료구성'!$B$2+TIME(INT($C$3/10000),INT(MOD($C$3,10000)/100),MOD($C$3,100))+(ROW()-ROW($C$3))/86400</s:f>
        <s:v>46247.45780092593</s:v>
      </s:c>
    </s:row>
    <s:row r="655">
      <s:c r="A655" s="0" t="n">
        <s:v>260813</s:v>
      </s:c>
      <s:c r="B655" s="0" t="inlineStr">
        <s:is>
          <s:t>이종훈</s:t>
        </s:is>
      </s:c>
      <s:c r="C655" s="0" t="n">
        <s:v>104823</s:v>
      </s:c>
      <s:c r="D655" s="0" t="n">
        <s:v>1181</s:v>
      </s:c>
      <s:c r="F655" s="24">
        <s:f>'자료구성'!$B$2+TIME(INT($C$3/10000),INT(MOD($C$3,10000)/100),MOD($C$3,100))+(ROW()-ROW($C$3))/86400</s:f>
        <s:v>46247.4578125</s:v>
      </s:c>
    </s:row>
    <s:row r="656">
      <s:c r="A656" s="0" t="n">
        <s:v>260813</s:v>
      </s:c>
      <s:c r="B656" s="0" t="inlineStr">
        <s:is>
          <s:t>이종훈</s:t>
        </s:is>
      </s:c>
      <s:c r="C656" s="0" t="n">
        <s:v>104823</s:v>
      </s:c>
      <s:c r="D656" s="0" t="n">
        <s:v>1180</s:v>
      </s:c>
      <s:c r="F656" s="24">
        <s:f>'자료구성'!$B$2+TIME(INT($C$3/10000),INT(MOD($C$3,10000)/100),MOD($C$3,100))+(ROW()-ROW($C$3))/86400</s:f>
        <s:v>46247.457824074074</s:v>
      </s:c>
    </s:row>
    <s:row r="657">
      <s:c r="A657" s="0" t="n">
        <s:v>260813</s:v>
      </s:c>
      <s:c r="B657" s="0" t="inlineStr">
        <s:is>
          <s:t>이종훈</s:t>
        </s:is>
      </s:c>
      <s:c r="C657" s="0" t="n">
        <s:v>104823</s:v>
      </s:c>
      <s:c r="D657" s="0" t="n">
        <s:v>1189</s:v>
      </s:c>
      <s:c r="F657" s="24">
        <s:f>'자료구성'!$B$2+TIME(INT($C$3/10000),INT(MOD($C$3,10000)/100),MOD($C$3,100))+(ROW()-ROW($C$3))/86400</s:f>
        <s:v>46247.45783564815</s:v>
      </s:c>
    </s:row>
    <s:row r="658">
      <s:c r="A658" s="0" t="n">
        <s:v>260813</s:v>
      </s:c>
      <s:c r="B658" s="0" t="inlineStr">
        <s:is>
          <s:t>이종훈</s:t>
        </s:is>
      </s:c>
      <s:c r="C658" s="0" t="n">
        <s:v>104823</s:v>
      </s:c>
      <s:c r="D658" s="0" t="n">
        <s:v>1209</s:v>
      </s:c>
      <s:c r="F658" s="24">
        <s:f>'자료구성'!$B$2+TIME(INT($C$3/10000),INT(MOD($C$3,10000)/100),MOD($C$3,100))+(ROW()-ROW($C$3))/86400</s:f>
        <s:v>46247.45784722222</s:v>
      </s:c>
    </s:row>
    <s:row r="659">
      <s:c r="A659" s="0" t="n">
        <s:v>260813</s:v>
      </s:c>
      <s:c r="B659" s="0" t="inlineStr">
        <s:is>
          <s:t>이종훈</s:t>
        </s:is>
      </s:c>
      <s:c r="C659" s="0" t="n">
        <s:v>104823</s:v>
      </s:c>
      <s:c r="D659" s="0" t="n">
        <s:v>1225</s:v>
      </s:c>
      <s:c r="F659" s="24">
        <s:f>'자료구성'!$B$2+TIME(INT($C$3/10000),INT(MOD($C$3,10000)/100),MOD($C$3,100))+(ROW()-ROW($C$3))/86400</s:f>
        <s:v>46247.4578587963</s:v>
      </s:c>
    </s:row>
    <s:row r="660">
      <s:c r="A660" s="0" t="n">
        <s:v>260813</s:v>
      </s:c>
      <s:c r="B660" s="0" t="inlineStr">
        <s:is>
          <s:t>이종훈</s:t>
        </s:is>
      </s:c>
      <s:c r="C660" s="0" t="n">
        <s:v>104823</s:v>
      </s:c>
      <s:c r="D660" s="0" t="n">
        <s:v>1233</s:v>
      </s:c>
      <s:c r="F660" s="24">
        <s:f>'자료구성'!$B$2+TIME(INT($C$3/10000),INT(MOD($C$3,10000)/100),MOD($C$3,100))+(ROW()-ROW($C$3))/86400</s:f>
        <s:v>46247.457870370374</s:v>
      </s:c>
    </s:row>
    <s:row r="661">
      <s:c r="A661" s="0" t="n">
        <s:v>260813</s:v>
      </s:c>
      <s:c r="B661" s="0" t="inlineStr">
        <s:is>
          <s:t>이종훈</s:t>
        </s:is>
      </s:c>
      <s:c r="C661" s="0" t="n">
        <s:v>104823</s:v>
      </s:c>
      <s:c r="D661" s="0" t="n">
        <s:v>1242</s:v>
      </s:c>
      <s:c r="F661" s="24">
        <s:f>'자료구성'!$B$2+TIME(INT($C$3/10000),INT(MOD($C$3,10000)/100),MOD($C$3,100))+(ROW()-ROW($C$3))/86400</s:f>
        <s:v>46247.45788194444</s:v>
      </s:c>
    </s:row>
    <s:row r="662">
      <s:c r="A662" s="0" t="n">
        <s:v>260813</s:v>
      </s:c>
      <s:c r="B662" s="0" t="inlineStr">
        <s:is>
          <s:t>이종훈</s:t>
        </s:is>
      </s:c>
      <s:c r="C662" s="0" t="n">
        <s:v>104823</s:v>
      </s:c>
      <s:c r="D662" s="0" t="n">
        <s:v>1248</s:v>
      </s:c>
      <s:c r="F662" s="24">
        <s:f>'자료구성'!$B$2+TIME(INT($C$3/10000),INT(MOD($C$3,10000)/100),MOD($C$3,100))+(ROW()-ROW($C$3))/86400</s:f>
        <s:v>46247.45789351852</s:v>
      </s:c>
    </s:row>
    <s:row r="663">
      <s:c r="A663" s="0" t="n">
        <s:v>260813</s:v>
      </s:c>
      <s:c r="B663" s="0" t="inlineStr">
        <s:is>
          <s:t>이종훈</s:t>
        </s:is>
      </s:c>
      <s:c r="C663" s="0" t="n">
        <s:v>104823</s:v>
      </s:c>
      <s:c r="D663" s="0" t="n">
        <s:v>1257</s:v>
      </s:c>
      <s:c r="F663" s="24">
        <s:f>'자료구성'!$B$2+TIME(INT($C$3/10000),INT(MOD($C$3,10000)/100),MOD($C$3,100))+(ROW()-ROW($C$3))/86400</s:f>
        <s:v>46247.45790509259</s:v>
      </s:c>
    </s:row>
    <s:row r="664">
      <s:c r="A664" s="0" t="n">
        <s:v>260813</s:v>
      </s:c>
      <s:c r="B664" s="0" t="inlineStr">
        <s:is>
          <s:t>이종훈</s:t>
        </s:is>
      </s:c>
      <s:c r="C664" s="0" t="n">
        <s:v>104823</s:v>
      </s:c>
      <s:c r="D664" s="0" t="n">
        <s:v>1277</s:v>
      </s:c>
      <s:c r="F664" s="24">
        <s:f>'자료구성'!$B$2+TIME(INT($C$3/10000),INT(MOD($C$3,10000)/100),MOD($C$3,100))+(ROW()-ROW($C$3))/86400</s:f>
        <s:v>46247.457916666666</s:v>
      </s:c>
    </s:row>
    <s:row r="665">
      <s:c r="A665" s="0" t="n">
        <s:v>260813</s:v>
      </s:c>
      <s:c r="B665" s="0" t="inlineStr">
        <s:is>
          <s:t>이종훈</s:t>
        </s:is>
      </s:c>
      <s:c r="C665" s="0" t="n">
        <s:v>104823</s:v>
      </s:c>
      <s:c r="D665" s="0" t="n">
        <s:v>1285</s:v>
      </s:c>
      <s:c r="F665" s="24">
        <s:f>'자료구성'!$B$2+TIME(INT($C$3/10000),INT(MOD($C$3,10000)/100),MOD($C$3,100))+(ROW()-ROW($C$3))/86400</s:f>
        <s:v>46247.45792824074</s:v>
      </s:c>
    </s:row>
    <s:row r="666">
      <s:c r="A666" s="0" t="n">
        <s:v>260813</s:v>
      </s:c>
      <s:c r="B666" s="0" t="inlineStr">
        <s:is>
          <s:t>이종훈</s:t>
        </s:is>
      </s:c>
      <s:c r="C666" s="0" t="n">
        <s:v>104823</s:v>
      </s:c>
      <s:c r="D666" s="0" t="n">
        <s:v>1299</s:v>
      </s:c>
      <s:c r="F666" s="24">
        <s:f>'자료구성'!$B$2+TIME(INT($C$3/10000),INT(MOD($C$3,10000)/100),MOD($C$3,100))+(ROW()-ROW($C$3))/86400</s:f>
        <s:v>46247.45793981481</s:v>
      </s:c>
    </s:row>
    <s:row r="667">
      <s:c r="A667" s="0" t="n">
        <s:v>260813</s:v>
      </s:c>
      <s:c r="B667" s="0" t="inlineStr">
        <s:is>
          <s:t>이종훈</s:t>
        </s:is>
      </s:c>
      <s:c r="C667" s="0" t="n">
        <s:v>104823</s:v>
      </s:c>
      <s:c r="D667" s="0" t="n">
        <s:v>1324</s:v>
      </s:c>
      <s:c r="F667" s="24">
        <s:f>'자료구성'!$B$2+TIME(INT($C$3/10000),INT(MOD($C$3,10000)/100),MOD($C$3,100))+(ROW()-ROW($C$3))/86400</s:f>
        <s:v>46247.45795138889</s:v>
      </s:c>
    </s:row>
    <s:row r="668">
      <s:c r="A668" s="0" t="n">
        <s:v>260813</s:v>
      </s:c>
      <s:c r="B668" s="0" t="inlineStr">
        <s:is>
          <s:t>이종훈</s:t>
        </s:is>
      </s:c>
      <s:c r="C668" s="0" t="n">
        <s:v>104823</s:v>
      </s:c>
      <s:c r="D668" s="0" t="n">
        <s:v>1331</s:v>
      </s:c>
      <s:c r="F668" s="24">
        <s:f>'자료구성'!$B$2+TIME(INT($C$3/10000),INT(MOD($C$3,10000)/100),MOD($C$3,100))+(ROW()-ROW($C$3))/86400</s:f>
        <s:v>46247.457962962966</s:v>
      </s:c>
    </s:row>
    <s:row r="669">
      <s:c r="A669" s="0" t="n">
        <s:v>260813</s:v>
      </s:c>
      <s:c r="B669" s="0" t="inlineStr">
        <s:is>
          <s:t>이종훈</s:t>
        </s:is>
      </s:c>
      <s:c r="C669" s="0" t="n">
        <s:v>104823</s:v>
      </s:c>
      <s:c r="D669" s="0" t="n">
        <s:v>1352</s:v>
      </s:c>
      <s:c r="F669" s="24">
        <s:f>'자료구성'!$B$2+TIME(INT($C$3/10000),INT(MOD($C$3,10000)/100),MOD($C$3,100))+(ROW()-ROW($C$3))/86400</s:f>
        <s:v>46247.457974537036</s:v>
      </s:c>
    </s:row>
    <s:row r="670">
      <s:c r="A670" s="0" t="n">
        <s:v>260813</s:v>
      </s:c>
      <s:c r="B670" s="0" t="inlineStr">
        <s:is>
          <s:t>이종훈</s:t>
        </s:is>
      </s:c>
      <s:c r="C670" s="0" t="n">
        <s:v>104823</s:v>
      </s:c>
      <s:c r="D670" s="0" t="n">
        <s:v>1374</s:v>
      </s:c>
      <s:c r="F670" s="24">
        <s:f>'자료구성'!$B$2+TIME(INT($C$3/10000),INT(MOD($C$3,10000)/100),MOD($C$3,100))+(ROW()-ROW($C$3))/86400</s:f>
        <s:v>46247.45798611111</s:v>
      </s:c>
    </s:row>
    <s:row r="671">
      <s:c r="A671" s="0" t="n">
        <s:v>260813</s:v>
      </s:c>
      <s:c r="B671" s="0" t="inlineStr">
        <s:is>
          <s:t>이종훈</s:t>
        </s:is>
      </s:c>
      <s:c r="C671" s="0" t="n">
        <s:v>104823</s:v>
      </s:c>
      <s:c r="D671" s="0" t="n">
        <s:v>1348</s:v>
      </s:c>
      <s:c r="F671" s="24">
        <s:f>'자료구성'!$B$2+TIME(INT($C$3/10000),INT(MOD($C$3,10000)/100),MOD($C$3,100))+(ROW()-ROW($C$3))/86400</s:f>
        <s:v>46247.45799768518</s:v>
      </s:c>
    </s:row>
    <s:row r="672">
      <s:c r="A672" s="0" t="n">
        <s:v>260813</s:v>
      </s:c>
      <s:c r="B672" s="0" t="inlineStr">
        <s:is>
          <s:t>이종훈</s:t>
        </s:is>
      </s:c>
      <s:c r="C672" s="0" t="n">
        <s:v>104823</s:v>
      </s:c>
      <s:c r="D672" s="0" t="n">
        <s:v>1303</s:v>
      </s:c>
      <s:c r="F672" s="24">
        <s:f>'자료구성'!$B$2+TIME(INT($C$3/10000),INT(MOD($C$3,10000)/100),MOD($C$3,100))+(ROW()-ROW($C$3))/86400</s:f>
        <s:v>46247.45800925926</s:v>
      </s:c>
    </s:row>
    <s:row r="673">
      <s:c r="A673" s="0" t="n">
        <s:v>260813</s:v>
      </s:c>
      <s:c r="B673" s="0" t="inlineStr">
        <s:is>
          <s:t>이종훈</s:t>
        </s:is>
      </s:c>
      <s:c r="C673" s="0" t="n">
        <s:v>104823</s:v>
      </s:c>
      <s:c r="D673" s="0" t="n">
        <s:v>1281</s:v>
      </s:c>
      <s:c r="F673" s="24">
        <s:f>'자료구성'!$B$2+TIME(INT($C$3/10000),INT(MOD($C$3,10000)/100),MOD($C$3,100))+(ROW()-ROW($C$3))/86400</s:f>
        <s:v>46247.458020833335</s:v>
      </s:c>
    </s:row>
    <s:row r="674">
      <s:c r="A674" s="0" t="n">
        <s:v>260813</s:v>
      </s:c>
      <s:c r="B674" s="0" t="inlineStr">
        <s:is>
          <s:t>이종훈</s:t>
        </s:is>
      </s:c>
      <s:c r="C674" s="0" t="n">
        <s:v>104823</s:v>
      </s:c>
      <s:c r="D674" s="0" t="n">
        <s:v>1261</s:v>
      </s:c>
      <s:c r="F674" s="24">
        <s:f>'자료구성'!$B$2+TIME(INT($C$3/10000),INT(MOD($C$3,10000)/100),MOD($C$3,100))+(ROW()-ROW($C$3))/86400</s:f>
        <s:v>46247.458032407405</s:v>
      </s:c>
    </s:row>
    <s:row r="675">
      <s:c r="A675" s="0" t="n">
        <s:v>260813</s:v>
      </s:c>
      <s:c r="B675" s="0" t="inlineStr">
        <s:is>
          <s:t>이종훈</s:t>
        </s:is>
      </s:c>
      <s:c r="C675" s="0" t="n">
        <s:v>104823</s:v>
      </s:c>
      <s:c r="D675" s="0" t="n">
        <s:v>1244</s:v>
      </s:c>
      <s:c r="F675" s="24">
        <s:f>'자료구성'!$B$2+TIME(INT($C$3/10000),INT(MOD($C$3,10000)/100),MOD($C$3,100))+(ROW()-ROW($C$3))/86400</s:f>
        <s:v>46247.45804398148</s:v>
      </s:c>
    </s:row>
    <s:row r="676">
      <s:c r="A676" s="0" t="n">
        <s:v>260813</s:v>
      </s:c>
      <s:c r="B676" s="0" t="inlineStr">
        <s:is>
          <s:t>이종훈</s:t>
        </s:is>
      </s:c>
      <s:c r="C676" s="0" t="n">
        <s:v>104823</s:v>
      </s:c>
      <s:c r="D676" s="0" t="n">
        <s:v>1255</s:v>
      </s:c>
      <s:c r="F676" s="24">
        <s:f>'자료구성'!$B$2+TIME(INT($C$3/10000),INT(MOD($C$3,10000)/100),MOD($C$3,100))+(ROW()-ROW($C$3))/86400</s:f>
        <s:v>46247.45805555556</s:v>
      </s:c>
    </s:row>
    <s:row r="677">
      <s:c r="A677" s="0" t="n">
        <s:v>260813</s:v>
      </s:c>
      <s:c r="B677" s="0" t="inlineStr">
        <s:is>
          <s:t>이종훈</s:t>
        </s:is>
      </s:c>
      <s:c r="C677" s="0" t="n">
        <s:v>104823</s:v>
      </s:c>
      <s:c r="D677" s="0" t="n">
        <s:v>1263</s:v>
      </s:c>
      <s:c r="F677" s="24">
        <s:f>'자료구성'!$B$2+TIME(INT($C$3/10000),INT(MOD($C$3,10000)/100),MOD($C$3,100))+(ROW()-ROW($C$3))/86400</s:f>
        <s:v>46247.45806712963</s:v>
      </s:c>
    </s:row>
    <s:row r="678">
      <s:c r="A678" s="0" t="n">
        <s:v>260813</s:v>
      </s:c>
      <s:c r="B678" s="0" t="inlineStr">
        <s:is>
          <s:t>이종훈</s:t>
        </s:is>
      </s:c>
      <s:c r="C678" s="0" t="n">
        <s:v>104823</s:v>
      </s:c>
      <s:c r="D678" s="0" t="n">
        <s:v>1263</s:v>
      </s:c>
      <s:c r="F678" s="24">
        <s:f>'자료구성'!$B$2+TIME(INT($C$3/10000),INT(MOD($C$3,10000)/100),MOD($C$3,100))+(ROW()-ROW($C$3))/86400</s:f>
        <s:v>46247.458078703705</s:v>
      </s:c>
    </s:row>
    <s:row r="679">
      <s:c r="A679" s="0" t="n">
        <s:v>260813</s:v>
      </s:c>
      <s:c r="B679" s="0" t="inlineStr">
        <s:is>
          <s:t>이종훈</s:t>
        </s:is>
      </s:c>
      <s:c r="C679" s="0" t="n">
        <s:v>104823</s:v>
      </s:c>
      <s:c r="D679" s="0" t="n">
        <s:v>1309</s:v>
      </s:c>
      <s:c r="F679" s="24">
        <s:f>'자료구성'!$B$2+TIME(INT($C$3/10000),INT(MOD($C$3,10000)/100),MOD($C$3,100))+(ROW()-ROW($C$3))/86400</s:f>
        <s:v>46247.458090277774</s:v>
      </s:c>
    </s:row>
    <s:row r="680">
      <s:c r="A680" s="0" t="n">
        <s:v>260813</s:v>
      </s:c>
      <s:c r="B680" s="0" t="inlineStr">
        <s:is>
          <s:t>이종훈</s:t>
        </s:is>
      </s:c>
      <s:c r="C680" s="0" t="n">
        <s:v>104823</s:v>
      </s:c>
      <s:c r="D680" s="0" t="n">
        <s:v>1316</s:v>
      </s:c>
      <s:c r="F680" s="24">
        <s:f>'자료구성'!$B$2+TIME(INT($C$3/10000),INT(MOD($C$3,10000)/100),MOD($C$3,100))+(ROW()-ROW($C$3))/86400</s:f>
        <s:v>46247.45810185185</s:v>
      </s:c>
    </s:row>
    <s:row r="681">
      <s:c r="A681" s="0" t="n">
        <s:v>260813</s:v>
      </s:c>
      <s:c r="B681" s="0" t="inlineStr">
        <s:is>
          <s:t>이종훈</s:t>
        </s:is>
      </s:c>
      <s:c r="C681" s="0" t="n">
        <s:v>104823</s:v>
      </s:c>
      <s:c r="D681" s="0" t="n">
        <s:v>1337</s:v>
      </s:c>
      <s:c r="F681" s="24">
        <s:f>'자료구성'!$B$2+TIME(INT($C$3/10000),INT(MOD($C$3,10000)/100),MOD($C$3,100))+(ROW()-ROW($C$3))/86400</s:f>
        <s:v>46247.45811342593</s:v>
      </s:c>
    </s:row>
    <s:row r="682">
      <s:c r="A682" s="0" t="n">
        <s:v>260813</s:v>
      </s:c>
      <s:c r="B682" s="0" t="inlineStr">
        <s:is>
          <s:t>이종훈</s:t>
        </s:is>
      </s:c>
      <s:c r="C682" s="0" t="n">
        <s:v>104823</s:v>
      </s:c>
      <s:c r="D682" s="0" t="n">
        <s:v>1393</s:v>
      </s:c>
      <s:c r="F682" s="24">
        <s:f>'자료구성'!$B$2+TIME(INT($C$3/10000),INT(MOD($C$3,10000)/100),MOD($C$3,100))+(ROW()-ROW($C$3))/86400</s:f>
        <s:v>46247.458125</s:v>
      </s:c>
    </s:row>
    <s:row r="683">
      <s:c r="A683" s="0" t="n">
        <s:v>260813</s:v>
      </s:c>
      <s:c r="B683" s="0" t="inlineStr">
        <s:is>
          <s:t>이종훈</s:t>
        </s:is>
      </s:c>
      <s:c r="C683" s="0" t="n">
        <s:v>104823</s:v>
      </s:c>
      <s:c r="D683" s="0" t="n">
        <s:v>1436</s:v>
      </s:c>
      <s:c r="F683" s="24">
        <s:f>'자료구성'!$B$2+TIME(INT($C$3/10000),INT(MOD($C$3,10000)/100),MOD($C$3,100))+(ROW()-ROW($C$3))/86400</s:f>
        <s:v>46247.458136574074</s:v>
      </s:c>
    </s:row>
    <s:row r="684">
      <s:c r="A684" s="0" t="n">
        <s:v>260813</s:v>
      </s:c>
      <s:c r="B684" s="0" t="inlineStr">
        <s:is>
          <s:t>이종훈</s:t>
        </s:is>
      </s:c>
      <s:c r="C684" s="0" t="n">
        <s:v>104823</s:v>
      </s:c>
      <s:c r="D684" s="0" t="n">
        <s:v>1445</s:v>
      </s:c>
      <s:c r="F684" s="24">
        <s:f>'자료구성'!$B$2+TIME(INT($C$3/10000),INT(MOD($C$3,10000)/100),MOD($C$3,100))+(ROW()-ROW($C$3))/86400</s:f>
        <s:v>46247.45814814815</s:v>
      </s:c>
    </s:row>
    <s:row r="685">
      <s:c r="A685" s="0" t="n">
        <s:v>260813</s:v>
      </s:c>
      <s:c r="B685" s="0" t="inlineStr">
        <s:is>
          <s:t>이종훈</s:t>
        </s:is>
      </s:c>
      <s:c r="C685" s="0" t="n">
        <s:v>104823</s:v>
      </s:c>
      <s:c r="D685" s="0" t="n">
        <s:v>1469</s:v>
      </s:c>
      <s:c r="F685" s="24">
        <s:f>'자료구성'!$B$2+TIME(INT($C$3/10000),INT(MOD($C$3,10000)/100),MOD($C$3,100))+(ROW()-ROW($C$3))/86400</s:f>
        <s:v>46247.45815972222</s:v>
      </s:c>
    </s:row>
    <s:row r="686">
      <s:c r="A686" s="0" t="n">
        <s:v>260813</s:v>
      </s:c>
      <s:c r="B686" s="0" t="inlineStr">
        <s:is>
          <s:t>이종훈</s:t>
        </s:is>
      </s:c>
      <s:c r="C686" s="0" t="n">
        <s:v>104823</s:v>
      </s:c>
      <s:c r="D686" s="0" t="n">
        <s:v>1449</s:v>
      </s:c>
      <s:c r="F686" s="24">
        <s:f>'자료구성'!$B$2+TIME(INT($C$3/10000),INT(MOD($C$3,10000)/100),MOD($C$3,100))+(ROW()-ROW($C$3))/86400</s:f>
        <s:v>46247.4581712963</s:v>
      </s:c>
    </s:row>
    <s:row r="687">
      <s:c r="A687" s="0" t="n">
        <s:v>260813</s:v>
      </s:c>
      <s:c r="B687" s="0" t="inlineStr">
        <s:is>
          <s:t>이종훈</s:t>
        </s:is>
      </s:c>
      <s:c r="C687" s="0" t="n">
        <s:v>104823</s:v>
      </s:c>
      <s:c r="D687" s="0" t="n">
        <s:v>1438</s:v>
      </s:c>
      <s:c r="F687" s="24">
        <s:f>'자료구성'!$B$2+TIME(INT($C$3/10000),INT(MOD($C$3,10000)/100),MOD($C$3,100))+(ROW()-ROW($C$3))/86400</s:f>
        <s:v>46247.458182870374</s:v>
      </s:c>
    </s:row>
    <s:row r="688">
      <s:c r="A688" s="0" t="n">
        <s:v>260813</s:v>
      </s:c>
      <s:c r="B688" s="0" t="inlineStr">
        <s:is>
          <s:t>이종훈</s:t>
        </s:is>
      </s:c>
      <s:c r="C688" s="0" t="n">
        <s:v>104823</s:v>
      </s:c>
      <s:c r="D688" s="0" t="n">
        <s:v>1399</s:v>
      </s:c>
      <s:c r="F688" s="24">
        <s:f>'자료구성'!$B$2+TIME(INT($C$3/10000),INT(MOD($C$3,10000)/100),MOD($C$3,100))+(ROW()-ROW($C$3))/86400</s:f>
        <s:v>46247.45819444444</s:v>
      </s:c>
    </s:row>
    <s:row r="689">
      <s:c r="A689" s="0" t="n">
        <s:v>260813</s:v>
      </s:c>
      <s:c r="B689" s="0" t="inlineStr">
        <s:is>
          <s:t>이종훈</s:t>
        </s:is>
      </s:c>
      <s:c r="C689" s="0" t="n">
        <s:v>104823</s:v>
      </s:c>
      <s:c r="D689" s="0" t="n">
        <s:v>1382</s:v>
      </s:c>
      <s:c r="F689" s="24">
        <s:f>'자료구성'!$B$2+TIME(INT($C$3/10000),INT(MOD($C$3,10000)/100),MOD($C$3,100))+(ROW()-ROW($C$3))/86400</s:f>
        <s:v>46247.45820601852</s:v>
      </s:c>
    </s:row>
    <s:row r="690">
      <s:c r="A690" s="0" t="n">
        <s:v>260813</s:v>
      </s:c>
      <s:c r="B690" s="0" t="inlineStr">
        <s:is>
          <s:t>이종훈</s:t>
        </s:is>
      </s:c>
      <s:c r="C690" s="0" t="n">
        <s:v>104823</s:v>
      </s:c>
      <s:c r="D690" s="0" t="n">
        <s:v>1395</s:v>
      </s:c>
      <s:c r="F690" s="24">
        <s:f>'자료구성'!$B$2+TIME(INT($C$3/10000),INT(MOD($C$3,10000)/100),MOD($C$3,100))+(ROW()-ROW($C$3))/86400</s:f>
        <s:v>46247.45821759259</s:v>
      </s:c>
    </s:row>
    <s:row r="691">
      <s:c r="A691" s="0" t="n">
        <s:v>260813</s:v>
      </s:c>
      <s:c r="B691" s="0" t="inlineStr">
        <s:is>
          <s:t>이종훈</s:t>
        </s:is>
      </s:c>
      <s:c r="C691" s="0" t="n">
        <s:v>104823</s:v>
      </s:c>
      <s:c r="D691" s="0" t="n">
        <s:v>1383</s:v>
      </s:c>
      <s:c r="F691" s="24">
        <s:f>'자료구성'!$B$2+TIME(INT($C$3/10000),INT(MOD($C$3,10000)/100),MOD($C$3,100))+(ROW()-ROW($C$3))/86400</s:f>
        <s:v>46247.45822916667</s:v>
      </s:c>
    </s:row>
    <s:row r="692">
      <s:c r="A692" s="0" t="n">
        <s:v>260813</s:v>
      </s:c>
      <s:c r="B692" s="0" t="inlineStr">
        <s:is>
          <s:t>이종훈</s:t>
        </s:is>
      </s:c>
      <s:c r="C692" s="0" t="n">
        <s:v>104823</s:v>
      </s:c>
      <s:c r="D692" s="0" t="n">
        <s:v>1341</s:v>
      </s:c>
      <s:c r="F692" s="24">
        <s:f>'자료구성'!$B$2+TIME(INT($C$3/10000),INT(MOD($C$3,10000)/100),MOD($C$3,100))+(ROW()-ROW($C$3))/86400</s:f>
        <s:v>46247.45824074074</s:v>
      </s:c>
    </s:row>
    <s:row r="693">
      <s:c r="A693" s="0" t="n">
        <s:v>260813</s:v>
      </s:c>
      <s:c r="B693" s="0" t="inlineStr">
        <s:is>
          <s:t>이종훈</s:t>
        </s:is>
      </s:c>
      <s:c r="C693" s="0" t="n">
        <s:v>104823</s:v>
      </s:c>
      <s:c r="D693" s="0" t="n">
        <s:v>1343</s:v>
      </s:c>
      <s:c r="F693" s="24">
        <s:f>'자료구성'!$B$2+TIME(INT($C$3/10000),INT(MOD($C$3,10000)/100),MOD($C$3,100))+(ROW()-ROW($C$3))/86400</s:f>
        <s:v>46247.45825231481</s:v>
      </s:c>
    </s:row>
    <s:row r="694">
      <s:c r="A694" s="0" t="n">
        <s:v>260813</s:v>
      </s:c>
      <s:c r="B694" s="0" t="inlineStr">
        <s:is>
          <s:t>이종훈</s:t>
        </s:is>
      </s:c>
      <s:c r="C694" s="0" t="n">
        <s:v>104823</s:v>
      </s:c>
      <s:c r="D694" s="0" t="n">
        <s:v>1333</s:v>
      </s:c>
      <s:c r="F694" s="24">
        <s:f>'자료구성'!$B$2+TIME(INT($C$3/10000),INT(MOD($C$3,10000)/100),MOD($C$3,100))+(ROW()-ROW($C$3))/86400</s:f>
        <s:v>46247.45826388889</s:v>
      </s:c>
    </s:row>
    <s:row r="695">
      <s:c r="A695" s="0" t="n">
        <s:v>260813</s:v>
      </s:c>
      <s:c r="B695" s="0" t="inlineStr">
        <s:is>
          <s:t>이종훈</s:t>
        </s:is>
      </s:c>
      <s:c r="C695" s="0" t="n">
        <s:v>104823</s:v>
      </s:c>
      <s:c r="D695" s="0" t="n">
        <s:v>1320</s:v>
      </s:c>
      <s:c r="F695" s="24">
        <s:f>'자료구성'!$B$2+TIME(INT($C$3/10000),INT(MOD($C$3,10000)/100),MOD($C$3,100))+(ROW()-ROW($C$3))/86400</s:f>
        <s:v>46247.45827546297</s:v>
      </s:c>
    </s:row>
    <s:row r="696">
      <s:c r="A696" s="0" t="n">
        <s:v>260813</s:v>
      </s:c>
      <s:c r="B696" s="0" t="inlineStr">
        <s:is>
          <s:t>이종훈</s:t>
        </s:is>
      </s:c>
      <s:c r="C696" s="0" t="n">
        <s:v>104823</s:v>
      </s:c>
      <s:c r="D696" s="0" t="n">
        <s:v>1330</s:v>
      </s:c>
      <s:c r="F696" s="24">
        <s:f>'자료구성'!$B$2+TIME(INT($C$3/10000),INT(MOD($C$3,10000)/100),MOD($C$3,100))+(ROW()-ROW($C$3))/86400</s:f>
        <s:v>46247.458287037036</s:v>
      </s:c>
    </s:row>
    <s:row r="697">
      <s:c r="A697" s="0" t="n">
        <s:v>260813</s:v>
      </s:c>
      <s:c r="B697" s="0" t="inlineStr">
        <s:is>
          <s:t>이종훈</s:t>
        </s:is>
      </s:c>
      <s:c r="C697" s="0" t="n">
        <s:v>104823</s:v>
      </s:c>
      <s:c r="D697" s="0" t="n">
        <s:v>1313</s:v>
      </s:c>
      <s:c r="F697" s="24">
        <s:f>'자료구성'!$B$2+TIME(INT($C$3/10000),INT(MOD($C$3,10000)/100),MOD($C$3,100))+(ROW()-ROW($C$3))/86400</s:f>
        <s:v>46247.45829861111</s:v>
      </s:c>
    </s:row>
    <s:row r="698">
      <s:c r="A698" s="0" t="n">
        <s:v>260813</s:v>
      </s:c>
      <s:c r="B698" s="0" t="inlineStr">
        <s:is>
          <s:t>이종훈</s:t>
        </s:is>
      </s:c>
      <s:c r="C698" s="0" t="n">
        <s:v>104823</s:v>
      </s:c>
      <s:c r="D698" s="0" t="n">
        <s:v>1344</s:v>
      </s:c>
      <s:c r="F698" s="24">
        <s:f>'자료구성'!$B$2+TIME(INT($C$3/10000),INT(MOD($C$3,10000)/100),MOD($C$3,100))+(ROW()-ROW($C$3))/86400</s:f>
        <s:v>46247.45831018518</s:v>
      </s:c>
    </s:row>
    <s:row r="699">
      <s:c r="A699" s="0" t="n">
        <s:v>260813</s:v>
      </s:c>
      <s:c r="B699" s="0" t="inlineStr">
        <s:is>
          <s:t>이종훈</s:t>
        </s:is>
      </s:c>
      <s:c r="C699" s="0" t="n">
        <s:v>104823</s:v>
      </s:c>
      <s:c r="D699" s="0" t="n">
        <s:v>1370</s:v>
      </s:c>
      <s:c r="F699" s="24">
        <s:f>'자료구성'!$B$2+TIME(INT($C$3/10000),INT(MOD($C$3,10000)/100),MOD($C$3,100))+(ROW()-ROW($C$3))/86400</s:f>
        <s:v>46247.45832175926</s:v>
      </s:c>
    </s:row>
    <s:row r="700">
      <s:c r="A700" s="0" t="n">
        <s:v>260813</s:v>
      </s:c>
      <s:c r="B700" s="0" t="inlineStr">
        <s:is>
          <s:t>이종훈</s:t>
        </s:is>
      </s:c>
      <s:c r="C700" s="0" t="n">
        <s:v>104823</s:v>
      </s:c>
      <s:c r="D700" s="0" t="n">
        <s:v>1376</s:v>
      </s:c>
      <s:c r="F700" s="24">
        <s:f>'자료구성'!$B$2+TIME(INT($C$3/10000),INT(MOD($C$3,10000)/100),MOD($C$3,100))+(ROW()-ROW($C$3))/86400</s:f>
        <s:v>46247.458333333336</s:v>
      </s:c>
    </s:row>
    <s:row r="701">
      <s:c r="A701" s="0" t="n">
        <s:v>260813</s:v>
      </s:c>
      <s:c r="B701" s="0" t="inlineStr">
        <s:is>
          <s:t>이종훈</s:t>
        </s:is>
      </s:c>
      <s:c r="C701" s="0" t="n">
        <s:v>104823</s:v>
      </s:c>
      <s:c r="D701" s="0" t="n">
        <s:v>1356</s:v>
      </s:c>
      <s:c r="F701" s="24">
        <s:f>'자료구성'!$B$2+TIME(INT($C$3/10000),INT(MOD($C$3,10000)/100),MOD($C$3,100))+(ROW()-ROW($C$3))/86400</s:f>
        <s:v>46247.458344907405</s:v>
      </s:c>
    </s:row>
    <s:row r="702">
      <s:c r="A702" s="0" t="n">
        <s:v>260813</s:v>
      </s:c>
      <s:c r="B702" s="0" t="inlineStr">
        <s:is>
          <s:t>이종훈</s:t>
        </s:is>
      </s:c>
      <s:c r="C702" s="0" t="n">
        <s:v>104823</s:v>
      </s:c>
      <s:c r="D702" s="0" t="n">
        <s:v>1343</s:v>
      </s:c>
      <s:c r="F702" s="24">
        <s:f>'자료구성'!$B$2+TIME(INT($C$3/10000),INT(MOD($C$3,10000)/100),MOD($C$3,100))+(ROW()-ROW($C$3))/86400</s:f>
        <s:v>46247.45835648148</s:v>
      </s:c>
    </s:row>
    <s:row r="703">
      <s:c r="A703" s="0" t="n">
        <s:v>260813</s:v>
      </s:c>
      <s:c r="B703" s="0" t="inlineStr">
        <s:is>
          <s:t>이종훈</s:t>
        </s:is>
      </s:c>
      <s:c r="C703" s="0" t="n">
        <s:v>104823</s:v>
      </s:c>
      <s:c r="D703" s="0" t="n">
        <s:v>1327</s:v>
      </s:c>
      <s:c r="F703" s="24">
        <s:f>'자료구성'!$B$2+TIME(INT($C$3/10000),INT(MOD($C$3,10000)/100),MOD($C$3,100))+(ROW()-ROW($C$3))/86400</s:f>
        <s:v>46247.45836805556</s:v>
      </s:c>
    </s:row>
    <s:row r="704">
      <s:c r="A704" s="0" t="n">
        <s:v>260813</s:v>
      </s:c>
      <s:c r="B704" s="0" t="inlineStr">
        <s:is>
          <s:t>이종훈</s:t>
        </s:is>
      </s:c>
      <s:c r="C704" s="0" t="n">
        <s:v>104823</s:v>
      </s:c>
      <s:c r="D704" s="0" t="n">
        <s:v>1323</s:v>
      </s:c>
      <s:c r="F704" s="24">
        <s:f>'자료구성'!$B$2+TIME(INT($C$3/10000),INT(MOD($C$3,10000)/100),MOD($C$3,100))+(ROW()-ROW($C$3))/86400</s:f>
        <s:v>46247.45837962963</s:v>
      </s:c>
    </s:row>
    <s:row r="705">
      <s:c r="A705" s="0" t="n">
        <s:v>260813</s:v>
      </s:c>
      <s:c r="B705" s="0" t="inlineStr">
        <s:is>
          <s:t>이종훈</s:t>
        </s:is>
      </s:c>
      <s:c r="C705" s="0" t="n">
        <s:v>104823</s:v>
      </s:c>
      <s:c r="D705" s="0" t="n">
        <s:v>1359</s:v>
      </s:c>
      <s:c r="F705" s="24">
        <s:f>'자료구성'!$B$2+TIME(INT($C$3/10000),INT(MOD($C$3,10000)/100),MOD($C$3,100))+(ROW()-ROW($C$3))/86400</s:f>
        <s:v>46247.458391203705</s:v>
      </s:c>
    </s:row>
    <s:row r="706">
      <s:c r="A706" s="0" t="n">
        <s:v>260813</s:v>
      </s:c>
      <s:c r="B706" s="0" t="inlineStr">
        <s:is>
          <s:t>이종훈</s:t>
        </s:is>
      </s:c>
      <s:c r="C706" s="0" t="n">
        <s:v>104823</s:v>
      </s:c>
      <s:c r="D706" s="0" t="n">
        <s:v>1355</s:v>
      </s:c>
      <s:c r="F706" s="24">
        <s:f>'자료구성'!$B$2+TIME(INT($C$3/10000),INT(MOD($C$3,10000)/100),MOD($C$3,100))+(ROW()-ROW($C$3))/86400</s:f>
        <s:v>46247.458402777775</s:v>
      </s:c>
    </s:row>
    <s:row r="707">
      <s:c r="A707" s="0" t="n">
        <s:v>260813</s:v>
      </s:c>
      <s:c r="B707" s="0" t="inlineStr">
        <s:is>
          <s:t>이종훈</s:t>
        </s:is>
      </s:c>
      <s:c r="C707" s="0" t="n">
        <s:v>104823</s:v>
      </s:c>
      <s:c r="D707" s="0" t="n">
        <s:v>1364</s:v>
      </s:c>
      <s:c r="F707" s="24">
        <s:f>'자료구성'!$B$2+TIME(INT($C$3/10000),INT(MOD($C$3,10000)/100),MOD($C$3,100))+(ROW()-ROW($C$3))/86400</s:f>
        <s:v>46247.45841435185</s:v>
      </s:c>
    </s:row>
    <s:row r="708">
      <s:c r="A708" s="0" t="n">
        <s:v>260813</s:v>
      </s:c>
      <s:c r="B708" s="0" t="inlineStr">
        <s:is>
          <s:t>이종훈</s:t>
        </s:is>
      </s:c>
      <s:c r="C708" s="0" t="n">
        <s:v>104823</s:v>
      </s:c>
      <s:c r="D708" s="0" t="n">
        <s:v>1350</s:v>
      </s:c>
      <s:c r="F708" s="24">
        <s:f>'자료구성'!$B$2+TIME(INT($C$3/10000),INT(MOD($C$3,10000)/100),MOD($C$3,100))+(ROW()-ROW($C$3))/86400</s:f>
        <s:v>46247.45842592593</s:v>
      </s:c>
    </s:row>
    <s:row r="709">
      <s:c r="A709" s="0" t="n">
        <s:v>260813</s:v>
      </s:c>
      <s:c r="B709" s="0" t="inlineStr">
        <s:is>
          <s:t>이종훈</s:t>
        </s:is>
      </s:c>
      <s:c r="C709" s="0" t="n">
        <s:v>104823</s:v>
      </s:c>
      <s:c r="D709" s="0" t="n">
        <s:v>1337</s:v>
      </s:c>
      <s:c r="F709" s="24">
        <s:f>'자료구성'!$B$2+TIME(INT($C$3/10000),INT(MOD($C$3,10000)/100),MOD($C$3,100))+(ROW()-ROW($C$3))/86400</s:f>
        <s:v>46247.4584375</s:v>
      </s:c>
    </s:row>
    <s:row r="710">
      <s:c r="A710" s="0" t="n">
        <s:v>260813</s:v>
      </s:c>
      <s:c r="B710" s="0" t="inlineStr">
        <s:is>
          <s:t>이종훈</s:t>
        </s:is>
      </s:c>
      <s:c r="C710" s="0" t="n">
        <s:v>104823</s:v>
      </s:c>
      <s:c r="D710" s="0" t="n">
        <s:v>1337</s:v>
      </s:c>
      <s:c r="F710" s="24">
        <s:f>'자료구성'!$B$2+TIME(INT($C$3/10000),INT(MOD($C$3,10000)/100),MOD($C$3,100))+(ROW()-ROW($C$3))/86400</s:f>
        <s:v>46247.458449074074</s:v>
      </s:c>
    </s:row>
    <s:row r="711">
      <s:c r="A711" s="0" t="n">
        <s:v>260813</s:v>
      </s:c>
      <s:c r="B711" s="0" t="inlineStr">
        <s:is>
          <s:t>이종훈</s:t>
        </s:is>
      </s:c>
      <s:c r="C711" s="0" t="n">
        <s:v>104823</s:v>
      </s:c>
      <s:c r="D711" s="0" t="n">
        <s:v>1350</s:v>
      </s:c>
      <s:c r="F711" s="24">
        <s:f>'자료구성'!$B$2+TIME(INT($C$3/10000),INT(MOD($C$3,10000)/100),MOD($C$3,100))+(ROW()-ROW($C$3))/86400</s:f>
        <s:v>46247.45846064815</s:v>
      </s:c>
    </s:row>
    <s:row r="712">
      <s:c r="A712" s="0" t="n">
        <s:v>260813</s:v>
      </s:c>
      <s:c r="B712" s="0" t="inlineStr">
        <s:is>
          <s:t>이종훈</s:t>
        </s:is>
      </s:c>
      <s:c r="C712" s="0" t="n">
        <s:v>104823</s:v>
      </s:c>
      <s:c r="D712" s="0" t="n">
        <s:v>1377</s:v>
      </s:c>
      <s:c r="F712" s="24">
        <s:f>'자료구성'!$B$2+TIME(INT($C$3/10000),INT(MOD($C$3,10000)/100),MOD($C$3,100))+(ROW()-ROW($C$3))/86400</s:f>
        <s:v>46247.45847222222</s:v>
      </s:c>
    </s:row>
    <s:row r="713">
      <s:c r="A713" s="0" t="n">
        <s:v>260813</s:v>
      </s:c>
      <s:c r="B713" s="0" t="inlineStr">
        <s:is>
          <s:t>이종훈</s:t>
        </s:is>
      </s:c>
      <s:c r="C713" s="0" t="n">
        <s:v>104823</s:v>
      </s:c>
      <s:c r="D713" s="0" t="n">
        <s:v>1365</s:v>
      </s:c>
      <s:c r="F713" s="24">
        <s:f>'자료구성'!$B$2+TIME(INT($C$3/10000),INT(MOD($C$3,10000)/100),MOD($C$3,100))+(ROW()-ROW($C$3))/86400</s:f>
        <s:v>46247.4584837963</s:v>
      </s:c>
    </s:row>
    <s:row r="714">
      <s:c r="A714" s="0" t="n">
        <s:v>260813</s:v>
      </s:c>
      <s:c r="B714" s="0" t="inlineStr">
        <s:is>
          <s:t>이종훈</s:t>
        </s:is>
      </s:c>
      <s:c r="C714" s="0" t="n">
        <s:v>104823</s:v>
      </s:c>
      <s:c r="D714" s="0" t="n">
        <s:v>1366</s:v>
      </s:c>
      <s:c r="F714" s="24">
        <s:f>'자료구성'!$B$2+TIME(INT($C$3/10000),INT(MOD($C$3,10000)/100),MOD($C$3,100))+(ROW()-ROW($C$3))/86400</s:f>
        <s:v>46247.45849537037</s:v>
      </s:c>
    </s:row>
    <s:row r="715">
      <s:c r="A715" s="0" t="n">
        <s:v>260813</s:v>
      </s:c>
      <s:c r="B715" s="0" t="inlineStr">
        <s:is>
          <s:t>이종훈</s:t>
        </s:is>
      </s:c>
      <s:c r="C715" s="0" t="n">
        <s:v>104823</s:v>
      </s:c>
      <s:c r="D715" s="0" t="n">
        <s:v>1369</s:v>
      </s:c>
      <s:c r="F715" s="24">
        <s:f>'자료구성'!$B$2+TIME(INT($C$3/10000),INT(MOD($C$3,10000)/100),MOD($C$3,100))+(ROW()-ROW($C$3))/86400</s:f>
        <s:v>46247.458506944444</s:v>
      </s:c>
    </s:row>
    <s:row r="716">
      <s:c r="A716" s="0" t="n">
        <s:v>260813</s:v>
      </s:c>
      <s:c r="B716" s="0" t="inlineStr">
        <s:is>
          <s:t>이종훈</s:t>
        </s:is>
      </s:c>
      <s:c r="C716" s="0" t="n">
        <s:v>104823</s:v>
      </s:c>
      <s:c r="D716" s="0" t="n">
        <s:v>1372</s:v>
      </s:c>
      <s:c r="F716" s="24">
        <s:f>'자료구성'!$B$2+TIME(INT($C$3/10000),INT(MOD($C$3,10000)/100),MOD($C$3,100))+(ROW()-ROW($C$3))/86400</s:f>
        <s:v>46247.45851851852</s:v>
      </s:c>
    </s:row>
    <s:row r="717">
      <s:c r="A717" s="0" t="n">
        <s:v>260813</s:v>
      </s:c>
      <s:c r="B717" s="0" t="inlineStr">
        <s:is>
          <s:t>이종훈</s:t>
        </s:is>
      </s:c>
      <s:c r="C717" s="0" t="n">
        <s:v>104823</s:v>
      </s:c>
      <s:c r="D717" s="0" t="n">
        <s:v>1357</s:v>
      </s:c>
      <s:c r="F717" s="24">
        <s:f>'자료구성'!$B$2+TIME(INT($C$3/10000),INT(MOD($C$3,10000)/100),MOD($C$3,100))+(ROW()-ROW($C$3))/86400</s:f>
        <s:v>46247.45853009259</s:v>
      </s:c>
    </s:row>
    <s:row r="718">
      <s:c r="A718" s="0" t="n">
        <s:v>260813</s:v>
      </s:c>
      <s:c r="B718" s="0" t="inlineStr">
        <s:is>
          <s:t>이종훈</s:t>
        </s:is>
      </s:c>
      <s:c r="C718" s="0" t="n">
        <s:v>104823</s:v>
      </s:c>
      <s:c r="D718" s="0" t="n">
        <s:v>1347</s:v>
      </s:c>
      <s:c r="F718" s="24">
        <s:f>'자료구성'!$B$2+TIME(INT($C$3/10000),INT(MOD($C$3,10000)/100),MOD($C$3,100))+(ROW()-ROW($C$3))/86400</s:f>
        <s:v>46247.45854166667</s:v>
      </s:c>
    </s:row>
    <s:row r="719">
      <s:c r="A719" s="0" t="n">
        <s:v>260813</s:v>
      </s:c>
      <s:c r="B719" s="0" t="inlineStr">
        <s:is>
          <s:t>이종훈</s:t>
        </s:is>
      </s:c>
      <s:c r="C719" s="0" t="n">
        <s:v>104823</s:v>
      </s:c>
      <s:c r="D719" s="0" t="n">
        <s:v>1344</s:v>
      </s:c>
      <s:c r="F719" s="24">
        <s:f>'자료구성'!$B$2+TIME(INT($C$3/10000),INT(MOD($C$3,10000)/100),MOD($C$3,100))+(ROW()-ROW($C$3))/86400</s:f>
        <s:v>46247.458553240744</s:v>
      </s:c>
    </s:row>
    <s:row r="720">
      <s:c r="A720" s="0" t="n">
        <s:v>260813</s:v>
      </s:c>
      <s:c r="B720" s="0" t="inlineStr">
        <s:is>
          <s:t>이종훈</s:t>
        </s:is>
      </s:c>
      <s:c r="C720" s="0" t="n">
        <s:v>104823</s:v>
      </s:c>
      <s:c r="D720" s="0" t="n">
        <s:v>1335</s:v>
      </s:c>
      <s:c r="F720" s="24">
        <s:f>'자료구성'!$B$2+TIME(INT($C$3/10000),INT(MOD($C$3,10000)/100),MOD($C$3,100))+(ROW()-ROW($C$3))/86400</s:f>
        <s:v>46247.45856481481</s:v>
      </s:c>
    </s:row>
    <s:row r="721">
      <s:c r="A721" s="0" t="n">
        <s:v>260813</s:v>
      </s:c>
      <s:c r="B721" s="0" t="inlineStr">
        <s:is>
          <s:t>이종훈</s:t>
        </s:is>
      </s:c>
      <s:c r="C721" s="0" t="n">
        <s:v>104823</s:v>
      </s:c>
      <s:c r="D721" s="0" t="n">
        <s:v>1328</s:v>
      </s:c>
      <s:c r="F721" s="24">
        <s:f>'자료구성'!$B$2+TIME(INT($C$3/10000),INT(MOD($C$3,10000)/100),MOD($C$3,100))+(ROW()-ROW($C$3))/86400</s:f>
        <s:v>46247.45857638889</s:v>
      </s:c>
    </s:row>
    <s:row r="722">
      <s:c r="A722" s="0" t="n">
        <s:v>260813</s:v>
      </s:c>
      <s:c r="B722" s="0" t="inlineStr">
        <s:is>
          <s:t>이종훈</s:t>
        </s:is>
      </s:c>
      <s:c r="C722" s="0" t="n">
        <s:v>104823</s:v>
      </s:c>
      <s:c r="D722" s="0" t="n">
        <s:v>1335</s:v>
      </s:c>
      <s:c r="F722" s="24">
        <s:f>'자료구성'!$B$2+TIME(INT($C$3/10000),INT(MOD($C$3,10000)/100),MOD($C$3,100))+(ROW()-ROW($C$3))/86400</s:f>
        <s:v>46247.45858796296</s:v>
      </s:c>
    </s:row>
    <s:row r="723">
      <s:c r="A723" s="0" t="n">
        <s:v>260813</s:v>
      </s:c>
      <s:c r="B723" s="0" t="inlineStr">
        <s:is>
          <s:t>이종훈</s:t>
        </s:is>
      </s:c>
      <s:c r="C723" s="0" t="n">
        <s:v>104823</s:v>
      </s:c>
      <s:c r="D723" s="0" t="n">
        <s:v>1347</s:v>
      </s:c>
      <s:c r="F723" s="24">
        <s:f>'자료구성'!$B$2+TIME(INT($C$3/10000),INT(MOD($C$3,10000)/100),MOD($C$3,100))+(ROW()-ROW($C$3))/86400</s:f>
        <s:v>46247.458599537036</s:v>
      </s:c>
    </s:row>
    <s:row r="724">
      <s:c r="A724" s="0" t="n">
        <s:v>260813</s:v>
      </s:c>
      <s:c r="B724" s="0" t="inlineStr">
        <s:is>
          <s:t>이종훈</s:t>
        </s:is>
      </s:c>
      <s:c r="C724" s="0" t="n">
        <s:v>104823</s:v>
      </s:c>
      <s:c r="D724" s="0" t="n">
        <s:v>1379</s:v>
      </s:c>
      <s:c r="F724" s="24">
        <s:f>'자료구성'!$B$2+TIME(INT($C$3/10000),INT(MOD($C$3,10000)/100),MOD($C$3,100))+(ROW()-ROW($C$3))/86400</s:f>
        <s:v>46247.45861111111</s:v>
      </s:c>
    </s:row>
    <s:row r="725">
      <s:c r="A725" s="0" t="n">
        <s:v>260813</s:v>
      </s:c>
      <s:c r="B725" s="0" t="inlineStr">
        <s:is>
          <s:t>이종훈</s:t>
        </s:is>
      </s:c>
      <s:c r="C725" s="0" t="n">
        <s:v>104823</s:v>
      </s:c>
      <s:c r="D725" s="0" t="n">
        <s:v>1388</s:v>
      </s:c>
      <s:c r="F725" s="24">
        <s:f>'자료구성'!$B$2+TIME(INT($C$3/10000),INT(MOD($C$3,10000)/100),MOD($C$3,100))+(ROW()-ROW($C$3))/86400</s:f>
        <s:v>46247.45862268518</s:v>
      </s:c>
    </s:row>
    <s:row r="726">
      <s:c r="A726" s="0" t="n">
        <s:v>260813</s:v>
      </s:c>
      <s:c r="B726" s="0" t="inlineStr">
        <s:is>
          <s:t>이종훈</s:t>
        </s:is>
      </s:c>
      <s:c r="C726" s="0" t="n">
        <s:v>104823</s:v>
      </s:c>
      <s:c r="D726" s="0" t="n">
        <s:v>1386</s:v>
      </s:c>
      <s:c r="F726" s="24">
        <s:f>'자료구성'!$B$2+TIME(INT($C$3/10000),INT(MOD($C$3,10000)/100),MOD($C$3,100))+(ROW()-ROW($C$3))/86400</s:f>
        <s:v>46247.45863425926</s:v>
      </s:c>
    </s:row>
    <s:row r="727">
      <s:c r="A727" s="0" t="n">
        <s:v>260813</s:v>
      </s:c>
      <s:c r="B727" s="0" t="inlineStr">
        <s:is>
          <s:t>이종훈</s:t>
        </s:is>
      </s:c>
      <s:c r="C727" s="0" t="n">
        <s:v>104823</s:v>
      </s:c>
      <s:c r="D727" s="0" t="n">
        <s:v>1401</s:v>
      </s:c>
      <s:c r="F727" s="24">
        <s:f>'자료구성'!$B$2+TIME(INT($C$3/10000),INT(MOD($C$3,10000)/100),MOD($C$3,100))+(ROW()-ROW($C$3))/86400</s:f>
        <s:v>46247.458645833336</s:v>
      </s:c>
    </s:row>
    <s:row r="728">
      <s:c r="A728" s="0" t="n">
        <s:v>260813</s:v>
      </s:c>
      <s:c r="B728" s="0" t="inlineStr">
        <s:is>
          <s:t>이종훈</s:t>
        </s:is>
      </s:c>
      <s:c r="C728" s="0" t="n">
        <s:v>104823</s:v>
      </s:c>
      <s:c r="D728" s="0" t="n">
        <s:v>1386</s:v>
      </s:c>
      <s:c r="F728" s="24">
        <s:f>'자료구성'!$B$2+TIME(INT($C$3/10000),INT(MOD($C$3,10000)/100),MOD($C$3,100))+(ROW()-ROW($C$3))/86400</s:f>
        <s:v>46247.458657407406</s:v>
      </s:c>
    </s:row>
    <s:row r="729">
      <s:c r="A729" s="0" t="n">
        <s:v>260813</s:v>
      </s:c>
      <s:c r="B729" s="0" t="inlineStr">
        <s:is>
          <s:t>이종훈</s:t>
        </s:is>
      </s:c>
      <s:c r="C729" s="0" t="n">
        <s:v>104823</s:v>
      </s:c>
      <s:c r="D729" s="0" t="n">
        <s:v>1378</s:v>
      </s:c>
      <s:c r="F729" s="24">
        <s:f>'자료구성'!$B$2+TIME(INT($C$3/10000),INT(MOD($C$3,10000)/100),MOD($C$3,100))+(ROW()-ROW($C$3))/86400</s:f>
        <s:v>46247.45866898148</s:v>
      </s:c>
    </s:row>
    <s:row r="730">
      <s:c r="A730" s="0" t="n">
        <s:v>260813</s:v>
      </s:c>
      <s:c r="B730" s="0" t="inlineStr">
        <s:is>
          <s:t>이종훈</s:t>
        </s:is>
      </s:c>
      <s:c r="C730" s="0" t="n">
        <s:v>104823</s:v>
      </s:c>
      <s:c r="D730" s="0" t="n">
        <s:v>1373</s:v>
      </s:c>
      <s:c r="F730" s="24">
        <s:f>'자료구성'!$B$2+TIME(INT($C$3/10000),INT(MOD($C$3,10000)/100),MOD($C$3,100))+(ROW()-ROW($C$3))/86400</s:f>
        <s:v>46247.45868055556</s:v>
      </s:c>
    </s:row>
    <s:row r="731">
      <s:c r="A731" s="0" t="n">
        <s:v>260813</s:v>
      </s:c>
      <s:c r="B731" s="0" t="inlineStr">
        <s:is>
          <s:t>이종훈</s:t>
        </s:is>
      </s:c>
      <s:c r="C731" s="0" t="n">
        <s:v>104823</s:v>
      </s:c>
      <s:c r="D731" s="0" t="n">
        <s:v>1377</s:v>
      </s:c>
      <s:c r="F731" s="24">
        <s:f>'자료구성'!$B$2+TIME(INT($C$3/10000),INT(MOD($C$3,10000)/100),MOD($C$3,100))+(ROW()-ROW($C$3))/86400</s:f>
        <s:v>46247.45869212963</s:v>
      </s:c>
    </s:row>
    <s:row r="732">
      <s:c r="A732" s="0" t="n">
        <s:v>260813</s:v>
      </s:c>
      <s:c r="B732" s="0" t="inlineStr">
        <s:is>
          <s:t>이종훈</s:t>
        </s:is>
      </s:c>
      <s:c r="C732" s="0" t="n">
        <s:v>104823</s:v>
      </s:c>
      <s:c r="D732" s="0" t="n">
        <s:v>1371</s:v>
      </s:c>
      <s:c r="F732" s="24">
        <s:f>'자료구성'!$B$2+TIME(INT($C$3/10000),INT(MOD($C$3,10000)/100),MOD($C$3,100))+(ROW()-ROW($C$3))/86400</s:f>
        <s:v>46247.458703703705</s:v>
      </s:c>
    </s:row>
    <s:row r="733">
      <s:c r="A733" s="0" t="n">
        <s:v>260813</s:v>
      </s:c>
      <s:c r="B733" s="0" t="inlineStr">
        <s:is>
          <s:t>이종훈</s:t>
        </s:is>
      </s:c>
      <s:c r="C733" s="0" t="n">
        <s:v>104823</s:v>
      </s:c>
      <s:c r="D733" s="0" t="n">
        <s:v>1364</s:v>
      </s:c>
      <s:c r="F733" s="24">
        <s:f>'자료구성'!$B$2+TIME(INT($C$3/10000),INT(MOD($C$3,10000)/100),MOD($C$3,100))+(ROW()-ROW($C$3))/86400</s:f>
        <s:v>46247.458715277775</s:v>
      </s:c>
    </s:row>
    <s:row r="734">
      <s:c r="A734" s="0" t="n">
        <s:v>260813</s:v>
      </s:c>
      <s:c r="B734" s="0" t="inlineStr">
        <s:is>
          <s:t>이종훈</s:t>
        </s:is>
      </s:c>
      <s:c r="C734" s="0" t="n">
        <s:v>104823</s:v>
      </s:c>
      <s:c r="D734" s="0" t="n">
        <s:v>1359</s:v>
      </s:c>
      <s:c r="F734" s="24">
        <s:f>'자료구성'!$B$2+TIME(INT($C$3/10000),INT(MOD($C$3,10000)/100),MOD($C$3,100))+(ROW()-ROW($C$3))/86400</s:f>
        <s:v>46247.45872685185</s:v>
      </s:c>
    </s:row>
    <s:row r="735">
      <s:c r="A735" s="0" t="n">
        <s:v>260813</s:v>
      </s:c>
      <s:c r="B735" s="0" t="inlineStr">
        <s:is>
          <s:t>이종훈</s:t>
        </s:is>
      </s:c>
      <s:c r="C735" s="0" t="n">
        <s:v>104823</s:v>
      </s:c>
      <s:c r="D735" s="0" t="n">
        <s:v>1370</s:v>
      </s:c>
      <s:c r="F735" s="24">
        <s:f>'자료구성'!$B$2+TIME(INT($C$3/10000),INT(MOD($C$3,10000)/100),MOD($C$3,100))+(ROW()-ROW($C$3))/86400</s:f>
        <s:v>46247.45873842593</s:v>
      </s:c>
    </s:row>
    <s:row r="736">
      <s:c r="A736" s="0" t="n">
        <s:v>260813</s:v>
      </s:c>
      <s:c r="B736" s="0" t="inlineStr">
        <s:is>
          <s:t>이종훈</s:t>
        </s:is>
      </s:c>
      <s:c r="C736" s="0" t="n">
        <s:v>104823</s:v>
      </s:c>
      <s:c r="D736" s="0" t="n">
        <s:v>1400</s:v>
      </s:c>
      <s:c r="F736" s="24">
        <s:f>'자료구성'!$B$2+TIME(INT($C$3/10000),INT(MOD($C$3,10000)/100),MOD($C$3,100))+(ROW()-ROW($C$3))/86400</s:f>
        <s:v>46247.45875</s:v>
      </s:c>
    </s:row>
    <s:row r="737">
      <s:c r="A737" s="0" t="n">
        <s:v>260813</s:v>
      </s:c>
      <s:c r="B737" s="0" t="inlineStr">
        <s:is>
          <s:t>이종훈</s:t>
        </s:is>
      </s:c>
      <s:c r="C737" s="0" t="n">
        <s:v>104823</s:v>
      </s:c>
      <s:c r="D737" s="0" t="n">
        <s:v>1414</s:v>
      </s:c>
      <s:c r="F737" s="24">
        <s:f>'자료구성'!$B$2+TIME(INT($C$3/10000),INT(MOD($C$3,10000)/100),MOD($C$3,100))+(ROW()-ROW($C$3))/86400</s:f>
        <s:v>46247.458761574075</s:v>
      </s:c>
    </s:row>
    <s:row r="738">
      <s:c r="A738" s="0" t="n">
        <s:v>260813</s:v>
      </s:c>
      <s:c r="B738" s="0" t="inlineStr">
        <s:is>
          <s:t>이종훈</s:t>
        </s:is>
      </s:c>
      <s:c r="C738" s="0" t="n">
        <s:v>104823</s:v>
      </s:c>
      <s:c r="D738" s="0" t="n">
        <s:v>1429</s:v>
      </s:c>
      <s:c r="F738" s="24">
        <s:f>'자료구성'!$B$2+TIME(INT($C$3/10000),INT(MOD($C$3,10000)/100),MOD($C$3,100))+(ROW()-ROW($C$3))/86400</s:f>
        <s:v>46247.45877314815</s:v>
      </s:c>
    </s:row>
    <s:row r="739">
      <s:c r="A739" s="0" t="n">
        <s:v>260813</s:v>
      </s:c>
      <s:c r="B739" s="0" t="inlineStr">
        <s:is>
          <s:t>이종훈</s:t>
        </s:is>
      </s:c>
      <s:c r="C739" s="0" t="n">
        <s:v>104823</s:v>
      </s:c>
      <s:c r="D739" s="0" t="n">
        <s:v>1427</s:v>
      </s:c>
      <s:c r="F739" s="24">
        <s:f>'자료구성'!$B$2+TIME(INT($C$3/10000),INT(MOD($C$3,10000)/100),MOD($C$3,100))+(ROW()-ROW($C$3))/86400</s:f>
        <s:v>46247.45878472222</s:v>
      </s:c>
    </s:row>
    <s:row r="740">
      <s:c r="A740" s="0" t="n">
        <s:v>260813</s:v>
      </s:c>
      <s:c r="B740" s="0" t="inlineStr">
        <s:is>
          <s:t>이종훈</s:t>
        </s:is>
      </s:c>
      <s:c r="C740" s="0" t="n">
        <s:v>104823</s:v>
      </s:c>
      <s:c r="D740" s="0" t="n">
        <s:v>1446</s:v>
      </s:c>
      <s:c r="F740" s="24">
        <s:f>'자료구성'!$B$2+TIME(INT($C$3/10000),INT(MOD($C$3,10000)/100),MOD($C$3,100))+(ROW()-ROW($C$3))/86400</s:f>
        <s:v>46247.4587962963</s:v>
      </s:c>
    </s:row>
    <s:row r="741">
      <s:c r="A741" s="0" t="n">
        <s:v>260813</s:v>
      </s:c>
      <s:c r="B741" s="0" t="inlineStr">
        <s:is>
          <s:t>이종훈</s:t>
        </s:is>
      </s:c>
      <s:c r="C741" s="0" t="n">
        <s:v>104823</s:v>
      </s:c>
      <s:c r="D741" s="0" t="n">
        <s:v>1480</s:v>
      </s:c>
      <s:c r="F741" s="24">
        <s:f>'자료구성'!$B$2+TIME(INT($C$3/10000),INT(MOD($C$3,10000)/100),MOD($C$3,100))+(ROW()-ROW($C$3))/86400</s:f>
        <s:v>46247.45880787037</s:v>
      </s:c>
    </s:row>
    <s:row r="742">
      <s:c r="A742" s="0" t="n">
        <s:v>260813</s:v>
      </s:c>
      <s:c r="B742" s="0" t="inlineStr">
        <s:is>
          <s:t>이종훈</s:t>
        </s:is>
      </s:c>
      <s:c r="C742" s="0" t="n">
        <s:v>104823</s:v>
      </s:c>
      <s:c r="D742" s="0" t="n">
        <s:v>1513</s:v>
      </s:c>
      <s:c r="F742" s="24">
        <s:f>'자료구성'!$B$2+TIME(INT($C$3/10000),INT(MOD($C$3,10000)/100),MOD($C$3,100))+(ROW()-ROW($C$3))/86400</s:f>
        <s:v>46247.458819444444</s:v>
      </s:c>
    </s:row>
    <s:row r="743">
      <s:c r="A743" s="0" t="n">
        <s:v>260813</s:v>
      </s:c>
      <s:c r="B743" s="0" t="inlineStr">
        <s:is>
          <s:t>이종훈</s:t>
        </s:is>
      </s:c>
      <s:c r="C743" s="0" t="n">
        <s:v>104823</s:v>
      </s:c>
      <s:c r="D743" s="0" t="n">
        <s:v>1543</s:v>
      </s:c>
      <s:c r="F743" s="24">
        <s:f>'자료구성'!$B$2+TIME(INT($C$3/10000),INT(MOD($C$3,10000)/100),MOD($C$3,100))+(ROW()-ROW($C$3))/86400</s:f>
        <s:v>46247.45883101852</s:v>
      </s:c>
    </s:row>
    <s:row r="744">
      <s:c r="A744" s="0" t="n">
        <s:v>260813</s:v>
      </s:c>
      <s:c r="B744" s="0" t="inlineStr">
        <s:is>
          <s:t>이종훈</s:t>
        </s:is>
      </s:c>
      <s:c r="C744" s="0" t="n">
        <s:v>104823</s:v>
      </s:c>
      <s:c r="D744" s="0" t="n">
        <s:v>1542</s:v>
      </s:c>
      <s:c r="F744" s="24">
        <s:f>'자료구성'!$B$2+TIME(INT($C$3/10000),INT(MOD($C$3,10000)/100),MOD($C$3,100))+(ROW()-ROW($C$3))/86400</s:f>
        <s:v>46247.45884259259</s:v>
      </s:c>
    </s:row>
    <s:row r="745">
      <s:c r="A745" s="0" t="n">
        <s:v>260813</s:v>
      </s:c>
      <s:c r="B745" s="0" t="inlineStr">
        <s:is>
          <s:t>이종훈</s:t>
        </s:is>
      </s:c>
      <s:c r="C745" s="0" t="n">
        <s:v>104823</s:v>
      </s:c>
      <s:c r="D745" s="0" t="n">
        <s:v>1547</s:v>
      </s:c>
      <s:c r="F745" s="24">
        <s:f>'자료구성'!$B$2+TIME(INT($C$3/10000),INT(MOD($C$3,10000)/100),MOD($C$3,100))+(ROW()-ROW($C$3))/86400</s:f>
        <s:v>46247.45885416667</s:v>
      </s:c>
    </s:row>
    <s:row r="746">
      <s:c r="A746" s="0" t="n">
        <s:v>260813</s:v>
      </s:c>
      <s:c r="B746" s="0" t="inlineStr">
        <s:is>
          <s:t>이종훈</s:t>
        </s:is>
      </s:c>
      <s:c r="C746" s="0" t="n">
        <s:v>104823</s:v>
      </s:c>
      <s:c r="D746" s="0" t="n">
        <s:v>1564</s:v>
      </s:c>
      <s:c r="F746" s="24">
        <s:f>'자료구성'!$B$2+TIME(INT($C$3/10000),INT(MOD($C$3,10000)/100),MOD($C$3,100))+(ROW()-ROW($C$3))/86400</s:f>
        <s:v>46247.458865740744</s:v>
      </s:c>
    </s:row>
    <s:row r="747">
      <s:c r="A747" s="0" t="n">
        <s:v>260813</s:v>
      </s:c>
      <s:c r="B747" s="0" t="inlineStr">
        <s:is>
          <s:t>이종훈</s:t>
        </s:is>
      </s:c>
      <s:c r="C747" s="0" t="n">
        <s:v>104823</s:v>
      </s:c>
      <s:c r="D747" s="0" t="n">
        <s:v>1562</s:v>
      </s:c>
      <s:c r="F747" s="24">
        <s:f>'자료구성'!$B$2+TIME(INT($C$3/10000),INT(MOD($C$3,10000)/100),MOD($C$3,100))+(ROW()-ROW($C$3))/86400</s:f>
        <s:v>46247.45887731481</s:v>
      </s:c>
    </s:row>
    <s:row r="748">
      <s:c r="A748" s="0" t="n">
        <s:v>260813</s:v>
      </s:c>
      <s:c r="B748" s="0" t="inlineStr">
        <s:is>
          <s:t>이종훈</s:t>
        </s:is>
      </s:c>
      <s:c r="C748" s="0" t="n">
        <s:v>104823</s:v>
      </s:c>
      <s:c r="D748" s="0" t="n">
        <s:v>1561</s:v>
      </s:c>
      <s:c r="F748" s="24">
        <s:f>'자료구성'!$B$2+TIME(INT($C$3/10000),INT(MOD($C$3,10000)/100),MOD($C$3,100))+(ROW()-ROW($C$3))/86400</s:f>
        <s:v>46247.45888888889</s:v>
      </s:c>
    </s:row>
    <s:row r="749">
      <s:c r="A749" s="0" t="n">
        <s:v>260813</s:v>
      </s:c>
      <s:c r="B749" s="0" t="inlineStr">
        <s:is>
          <s:t>이종훈</s:t>
        </s:is>
      </s:c>
      <s:c r="C749" s="0" t="n">
        <s:v>104823</s:v>
      </s:c>
      <s:c r="D749" s="0" t="n">
        <s:v>1569</s:v>
      </s:c>
      <s:c r="F749" s="24">
        <s:f>'자료구성'!$B$2+TIME(INT($C$3/10000),INT(MOD($C$3,10000)/100),MOD($C$3,100))+(ROW()-ROW($C$3))/86400</s:f>
        <s:v>46247.45890046296</s:v>
      </s:c>
    </s:row>
    <s:row r="750">
      <s:c r="A750" s="0" t="n">
        <s:v>260813</s:v>
      </s:c>
      <s:c r="B750" s="0" t="inlineStr">
        <s:is>
          <s:t>이종훈</s:t>
        </s:is>
      </s:c>
      <s:c r="C750" s="0" t="n">
        <s:v>104823</s:v>
      </s:c>
      <s:c r="D750" s="0" t="n">
        <s:v>1590</s:v>
      </s:c>
      <s:c r="F750" s="24">
        <s:f>'자료구성'!$B$2+TIME(INT($C$3/10000),INT(MOD($C$3,10000)/100),MOD($C$3,100))+(ROW()-ROW($C$3))/86400</s:f>
        <s:v>46247.45891203704</s:v>
      </s:c>
    </s:row>
    <s:row r="751">
      <s:c r="A751" s="0" t="n">
        <s:v>260813</s:v>
      </s:c>
      <s:c r="B751" s="0" t="inlineStr">
        <s:is>
          <s:t>이종훈</s:t>
        </s:is>
      </s:c>
      <s:c r="C751" s="0" t="n">
        <s:v>104823</s:v>
      </s:c>
      <s:c r="D751" s="0" t="n">
        <s:v>1563</s:v>
      </s:c>
      <s:c r="F751" s="24">
        <s:f>'자료구성'!$B$2+TIME(INT($C$3/10000),INT(MOD($C$3,10000)/100),MOD($C$3,100))+(ROW()-ROW($C$3))/86400</s:f>
        <s:v>46247.45892361111</s:v>
      </s:c>
    </s:row>
    <s:row r="752">
      <s:c r="A752" s="0" t="n">
        <s:v>260813</s:v>
      </s:c>
      <s:c r="B752" s="0" t="inlineStr">
        <s:is>
          <s:t>이종훈</s:t>
        </s:is>
      </s:c>
      <s:c r="C752" s="0" t="n">
        <s:v>104823</s:v>
      </s:c>
      <s:c r="D752" s="0" t="n">
        <s:v>1530</s:v>
      </s:c>
      <s:c r="F752" s="24">
        <s:f>'자료구성'!$B$2+TIME(INT($C$3/10000),INT(MOD($C$3,10000)/100),MOD($C$3,100))+(ROW()-ROW($C$3))/86400</s:f>
        <s:v>46247.45893518518</s:v>
      </s:c>
    </s:row>
    <s:row r="753">
      <s:c r="A753" s="0" t="n">
        <s:v>260813</s:v>
      </s:c>
      <s:c r="B753" s="0" t="inlineStr">
        <s:is>
          <s:t>이종훈</s:t>
        </s:is>
      </s:c>
      <s:c r="C753" s="0" t="n">
        <s:v>104823</s:v>
      </s:c>
      <s:c r="D753" s="0" t="n">
        <s:v>1501</s:v>
      </s:c>
      <s:c r="F753" s="24">
        <s:f>'자료구성'!$B$2+TIME(INT($C$3/10000),INT(MOD($C$3,10000)/100),MOD($C$3,100))+(ROW()-ROW($C$3))/86400</s:f>
        <s:v>46247.45894675926</s:v>
      </s:c>
    </s:row>
    <s:row r="754">
      <s:c r="A754" s="0" t="n">
        <s:v>260813</s:v>
      </s:c>
      <s:c r="B754" s="0" t="inlineStr">
        <s:is>
          <s:t>이종훈</s:t>
        </s:is>
      </s:c>
      <s:c r="C754" s="0" t="n">
        <s:v>104823</s:v>
      </s:c>
      <s:c r="D754" s="0" t="n">
        <s:v>1472</s:v>
      </s:c>
      <s:c r="F754" s="24">
        <s:f>'자료구성'!$B$2+TIME(INT($C$3/10000),INT(MOD($C$3,10000)/100),MOD($C$3,100))+(ROW()-ROW($C$3))/86400</s:f>
        <s:v>46247.458958333336</s:v>
      </s:c>
    </s:row>
    <s:row r="755">
      <s:c r="A755" s="0" t="n">
        <s:v>260813</s:v>
      </s:c>
      <s:c r="B755" s="0" t="inlineStr">
        <s:is>
          <s:t>이종훈</s:t>
        </s:is>
      </s:c>
      <s:c r="C755" s="0" t="n">
        <s:v>104823</s:v>
      </s:c>
      <s:c r="D755" s="0" t="n">
        <s:v>1444</s:v>
      </s:c>
      <s:c r="F755" s="24">
        <s:f>'자료구성'!$B$2+TIME(INT($C$3/10000),INT(MOD($C$3,10000)/100),MOD($C$3,100))+(ROW()-ROW($C$3))/86400</s:f>
        <s:v>46247.458969907406</s:v>
      </s:c>
    </s:row>
    <s:row r="756">
      <s:c r="A756" s="0" t="n">
        <s:v>260813</s:v>
      </s:c>
      <s:c r="B756" s="0" t="inlineStr">
        <s:is>
          <s:t>이종훈</s:t>
        </s:is>
      </s:c>
      <s:c r="C756" s="0" t="n">
        <s:v>104823</s:v>
      </s:c>
      <s:c r="D756" s="0" t="n">
        <s:v>1441</s:v>
      </s:c>
      <s:c r="F756" s="24">
        <s:f>'자료구성'!$B$2+TIME(INT($C$3/10000),INT(MOD($C$3,10000)/100),MOD($C$3,100))+(ROW()-ROW($C$3))/86400</s:f>
        <s:v>46247.45898148148</s:v>
      </s:c>
    </s:row>
    <s:row r="757">
      <s:c r="A757" s="0" t="n">
        <s:v>260813</s:v>
      </s:c>
      <s:c r="B757" s="0" t="inlineStr">
        <s:is>
          <s:t>이종훈</s:t>
        </s:is>
      </s:c>
      <s:c r="C757" s="0" t="n">
        <s:v>104823</s:v>
      </s:c>
      <s:c r="D757" s="0" t="n">
        <s:v>1434</s:v>
      </s:c>
      <s:c r="F757" s="24">
        <s:f>'자료구성'!$B$2+TIME(INT($C$3/10000),INT(MOD($C$3,10000)/100),MOD($C$3,100))+(ROW()-ROW($C$3))/86400</s:f>
        <s:v>46247.45899305555</s:v>
      </s:c>
    </s:row>
    <s:row r="758">
      <s:c r="A758" s="0" t="n">
        <s:v>260813</s:v>
      </s:c>
      <s:c r="B758" s="0" t="inlineStr">
        <s:is>
          <s:t>이종훈</s:t>
        </s:is>
      </s:c>
      <s:c r="C758" s="0" t="n">
        <s:v>104823</s:v>
      </s:c>
      <s:c r="D758" s="0" t="n">
        <s:v>1424</s:v>
      </s:c>
      <s:c r="F758" s="24">
        <s:f>'자료구성'!$B$2+TIME(INT($C$3/10000),INT(MOD($C$3,10000)/100),MOD($C$3,100))+(ROW()-ROW($C$3))/86400</s:f>
        <s:v>46247.45900462963</s:v>
      </s:c>
    </s:row>
    <s:row r="759">
      <s:c r="A759" s="0" t="n">
        <s:v>260813</s:v>
      </s:c>
      <s:c r="B759" s="0" t="inlineStr">
        <s:is>
          <s:t>이종훈</s:t>
        </s:is>
      </s:c>
      <s:c r="C759" s="0" t="n">
        <s:v>104823</s:v>
      </s:c>
      <s:c r="D759" s="0" t="n">
        <s:v>1411</s:v>
      </s:c>
      <s:c r="F759" s="24">
        <s:f>'자료구성'!$B$2+TIME(INT($C$3/10000),INT(MOD($C$3,10000)/100),MOD($C$3,100))+(ROW()-ROW($C$3))/86400</s:f>
        <s:v>46247.459016203706</s:v>
      </s:c>
    </s:row>
    <s:row r="760">
      <s:c r="A760" s="0" t="n">
        <s:v>260813</s:v>
      </s:c>
      <s:c r="B760" s="0" t="inlineStr">
        <s:is>
          <s:t>이종훈</s:t>
        </s:is>
      </s:c>
      <s:c r="C760" s="0" t="n">
        <s:v>104823</s:v>
      </s:c>
      <s:c r="D760" s="0" t="n">
        <s:v>1406</s:v>
      </s:c>
      <s:c r="F760" s="24">
        <s:f>'자료구성'!$B$2+TIME(INT($C$3/10000),INT(MOD($C$3,10000)/100),MOD($C$3,100))+(ROW()-ROW($C$3))/86400</s:f>
        <s:v>46247.459027777775</s:v>
      </s:c>
    </s:row>
    <s:row r="761">
      <s:c r="A761" s="0" t="n">
        <s:v>260813</s:v>
      </s:c>
      <s:c r="B761" s="0" t="inlineStr">
        <s:is>
          <s:t>이종훈</s:t>
        </s:is>
      </s:c>
      <s:c r="C761" s="0" t="n">
        <s:v>104823</s:v>
      </s:c>
      <s:c r="D761" s="0" t="n">
        <s:v>1420</s:v>
      </s:c>
      <s:c r="F761" s="24">
        <s:f>'자료구성'!$B$2+TIME(INT($C$3/10000),INT(MOD($C$3,10000)/100),MOD($C$3,100))+(ROW()-ROW($C$3))/86400</s:f>
        <s:v>46247.45903935185</s:v>
      </s:c>
    </s:row>
    <s:row r="762">
      <s:c r="A762" s="0" t="n">
        <s:v>260813</s:v>
      </s:c>
      <s:c r="B762" s="0" t="inlineStr">
        <s:is>
          <s:t>이종훈</s:t>
        </s:is>
      </s:c>
      <s:c r="C762" s="0" t="n">
        <s:v>104823</s:v>
      </s:c>
      <s:c r="D762" s="0" t="n">
        <s:v>1426</s:v>
      </s:c>
      <s:c r="F762" s="24">
        <s:f>'자료구성'!$B$2+TIME(INT($C$3/10000),INT(MOD($C$3,10000)/100),MOD($C$3,100))+(ROW()-ROW($C$3))/86400</s:f>
        <s:v>46247.45905092593</s:v>
      </s:c>
    </s:row>
    <s:row r="763">
      <s:c r="A763" s="0" t="n">
        <s:v>260813</s:v>
      </s:c>
      <s:c r="B763" s="0" t="inlineStr">
        <s:is>
          <s:t>이종훈</s:t>
        </s:is>
      </s:c>
      <s:c r="C763" s="0" t="n">
        <s:v>104823</s:v>
      </s:c>
      <s:c r="D763" s="0" t="n">
        <s:v>1435</s:v>
      </s:c>
      <s:c r="F763" s="24">
        <s:f>'자료구성'!$B$2+TIME(INT($C$3/10000),INT(MOD($C$3,10000)/100),MOD($C$3,100))+(ROW()-ROW($C$3))/86400</s:f>
        <s:v>46247.4590625</s:v>
      </s:c>
    </s:row>
    <s:row r="764">
      <s:c r="A764" s="0" t="n">
        <s:v>260813</s:v>
      </s:c>
      <s:c r="B764" s="0" t="inlineStr">
        <s:is>
          <s:t>이종훈</s:t>
        </s:is>
      </s:c>
      <s:c r="C764" s="0" t="n">
        <s:v>104823</s:v>
      </s:c>
      <s:c r="D764" s="0" t="n">
        <s:v>1455</s:v>
      </s:c>
      <s:c r="F764" s="24">
        <s:f>'자료구성'!$B$2+TIME(INT($C$3/10000),INT(MOD($C$3,10000)/100),MOD($C$3,100))+(ROW()-ROW($C$3))/86400</s:f>
        <s:v>46247.459074074075</s:v>
      </s:c>
    </s:row>
    <s:row r="765">
      <s:c r="A765" s="0" t="n">
        <s:v>260813</s:v>
      </s:c>
      <s:c r="B765" s="0" t="inlineStr">
        <s:is>
          <s:t>이종훈</s:t>
        </s:is>
      </s:c>
      <s:c r="C765" s="0" t="n">
        <s:v>104823</s:v>
      </s:c>
      <s:c r="D765" s="0" t="n">
        <s:v>1477</s:v>
      </s:c>
      <s:c r="F765" s="24">
        <s:f>'자료구성'!$B$2+TIME(INT($C$3/10000),INT(MOD($C$3,10000)/100),MOD($C$3,100))+(ROW()-ROW($C$3))/86400</s:f>
        <s:v>46247.459085648145</s:v>
      </s:c>
    </s:row>
    <s:row r="766">
      <s:c r="A766" s="0" t="n">
        <s:v>260813</s:v>
      </s:c>
      <s:c r="B766" s="0" t="inlineStr">
        <s:is>
          <s:t>이종훈</s:t>
        </s:is>
      </s:c>
      <s:c r="C766" s="0" t="n">
        <s:v>104823</s:v>
      </s:c>
      <s:c r="D766" s="0" t="n">
        <s:v>1463</s:v>
      </s:c>
      <s:c r="F766" s="24">
        <s:f>'자료구성'!$B$2+TIME(INT($C$3/10000),INT(MOD($C$3,10000)/100),MOD($C$3,100))+(ROW()-ROW($C$3))/86400</s:f>
        <s:v>46247.45909722222</s:v>
      </s:c>
    </s:row>
    <s:row r="767">
      <s:c r="A767" s="0" t="n">
        <s:v>260813</s:v>
      </s:c>
      <s:c r="B767" s="0" t="inlineStr">
        <s:is>
          <s:t>이종훈</s:t>
        </s:is>
      </s:c>
      <s:c r="C767" s="0" t="n">
        <s:v>104823</s:v>
      </s:c>
      <s:c r="D767" s="0" t="n">
        <s:v>1450</s:v>
      </s:c>
      <s:c r="F767" s="24">
        <s:f>'자료구성'!$B$2+TIME(INT($C$3/10000),INT(MOD($C$3,10000)/100),MOD($C$3,100))+(ROW()-ROW($C$3))/86400</s:f>
        <s:v>46247.4591087963</s:v>
      </s:c>
    </s:row>
    <s:row r="768">
      <s:c r="A768" s="0" t="n">
        <s:v>260813</s:v>
      </s:c>
      <s:c r="B768" s="0" t="inlineStr">
        <s:is>
          <s:t>이종훈</s:t>
        </s:is>
      </s:c>
      <s:c r="C768" s="0" t="n">
        <s:v>104823</s:v>
      </s:c>
      <s:c r="D768" s="0" t="n">
        <s:v>1443</s:v>
      </s:c>
      <s:c r="F768" s="24">
        <s:f>'자료구성'!$B$2+TIME(INT($C$3/10000),INT(MOD($C$3,10000)/100),MOD($C$3,100))+(ROW()-ROW($C$3))/86400</s:f>
        <s:v>46247.45912037037</s:v>
      </s:c>
    </s:row>
    <s:row r="769">
      <s:c r="A769" s="0" t="n">
        <s:v>260813</s:v>
      </s:c>
      <s:c r="B769" s="0" t="inlineStr">
        <s:is>
          <s:t>이종훈</s:t>
        </s:is>
      </s:c>
      <s:c r="C769" s="0" t="n">
        <s:v>104823</s:v>
      </s:c>
      <s:c r="D769" s="0" t="n">
        <s:v>1439</s:v>
      </s:c>
      <s:c r="F769" s="24">
        <s:f>'자료구성'!$B$2+TIME(INT($C$3/10000),INT(MOD($C$3,10000)/100),MOD($C$3,100))+(ROW()-ROW($C$3))/86400</s:f>
        <s:v>46247.459131944444</s:v>
      </s:c>
    </s:row>
    <s:row r="770">
      <s:c r="A770" s="0" t="n">
        <s:v>260813</s:v>
      </s:c>
      <s:c r="B770" s="0" t="inlineStr">
        <s:is>
          <s:t>이종훈</s:t>
        </s:is>
      </s:c>
      <s:c r="C770" s="0" t="n">
        <s:v>104823</s:v>
      </s:c>
      <s:c r="D770" s="0" t="n">
        <s:v>1441</s:v>
      </s:c>
      <s:c r="F770" s="24">
        <s:f>'자료구성'!$B$2+TIME(INT($C$3/10000),INT(MOD($C$3,10000)/100),MOD($C$3,100))+(ROW()-ROW($C$3))/86400</s:f>
        <s:v>46247.45914351852</s:v>
      </s:c>
    </s:row>
    <s:row r="771">
      <s:c r="A771" s="0" t="n">
        <s:v>260813</s:v>
      </s:c>
      <s:c r="B771" s="0" t="inlineStr">
        <s:is>
          <s:t>이종훈</s:t>
        </s:is>
      </s:c>
      <s:c r="C771" s="0" t="n">
        <s:v>104823</s:v>
      </s:c>
      <s:c r="D771" s="0" t="n">
        <s:v>1447</s:v>
      </s:c>
      <s:c r="F771" s="24">
        <s:f>'자료구성'!$B$2+TIME(INT($C$3/10000),INT(MOD($C$3,10000)/100),MOD($C$3,100))+(ROW()-ROW($C$3))/86400</s:f>
        <s:v>46247.45915509259</s:v>
      </s:c>
    </s:row>
    <s:row r="772">
      <s:c r="A772" s="0" t="n">
        <s:v>260813</s:v>
      </s:c>
      <s:c r="B772" s="0" t="inlineStr">
        <s:is>
          <s:t>이종훈</s:t>
        </s:is>
      </s:c>
      <s:c r="C772" s="0" t="n">
        <s:v>104823</s:v>
      </s:c>
      <s:c r="D772" s="0" t="n">
        <s:v>1413</s:v>
      </s:c>
      <s:c r="F772" s="24">
        <s:f>'자료구성'!$B$2+TIME(INT($C$3/10000),INT(MOD($C$3,10000)/100),MOD($C$3,100))+(ROW()-ROW($C$3))/86400</s:f>
        <s:v>46247.45916666667</s:v>
      </s:c>
    </s:row>
    <s:row r="773">
      <s:c r="A773" s="0" t="n">
        <s:v>260813</s:v>
      </s:c>
      <s:c r="B773" s="0" t="inlineStr">
        <s:is>
          <s:t>이종훈</s:t>
        </s:is>
      </s:c>
      <s:c r="C773" s="0" t="n">
        <s:v>104823</s:v>
      </s:c>
      <s:c r="D773" s="0" t="n">
        <s:v>1391</s:v>
      </s:c>
      <s:c r="F773" s="24">
        <s:f>'자료구성'!$B$2+TIME(INT($C$3/10000),INT(MOD($C$3,10000)/100),MOD($C$3,100))+(ROW()-ROW($C$3))/86400</s:f>
        <s:v>46247.459178240744</s:v>
      </s:c>
    </s:row>
    <s:row r="774">
      <s:c r="A774" s="0" t="n">
        <s:v>260813</s:v>
      </s:c>
      <s:c r="B774" s="0" t="inlineStr">
        <s:is>
          <s:t>이종훈</s:t>
        </s:is>
      </s:c>
      <s:c r="C774" s="0" t="n">
        <s:v>104823</s:v>
      </s:c>
      <s:c r="D774" s="0" t="n">
        <s:v>1367</s:v>
      </s:c>
      <s:c r="F774" s="24">
        <s:f>'자료구성'!$B$2+TIME(INT($C$3/10000),INT(MOD($C$3,10000)/100),MOD($C$3,100))+(ROW()-ROW($C$3))/86400</s:f>
        <s:v>46247.459189814814</s:v>
      </s:c>
    </s:row>
    <s:row r="775">
      <s:c r="A775" s="0" t="n">
        <s:v>260813</s:v>
      </s:c>
      <s:c r="B775" s="0" t="inlineStr">
        <s:is>
          <s:t>이종훈</s:t>
        </s:is>
      </s:c>
      <s:c r="C775" s="0" t="n">
        <s:v>104823</s:v>
      </s:c>
      <s:c r="D775" s="0" t="n">
        <s:v>1366</s:v>
      </s:c>
      <s:c r="F775" s="24">
        <s:f>'자료구성'!$B$2+TIME(INT($C$3/10000),INT(MOD($C$3,10000)/100),MOD($C$3,100))+(ROW()-ROW($C$3))/86400</s:f>
        <s:v>46247.45920138889</s:v>
      </s:c>
    </s:row>
    <s:row r="776">
      <s:c r="A776" s="0" t="n">
        <s:v>260813</s:v>
      </s:c>
      <s:c r="B776" s="0" t="inlineStr">
        <s:is>
          <s:t>이종훈</s:t>
        </s:is>
      </s:c>
      <s:c r="C776" s="0" t="n">
        <s:v>104823</s:v>
      </s:c>
      <s:c r="D776" s="0" t="n">
        <s:v>1411</s:v>
      </s:c>
      <s:c r="F776" s="24">
        <s:f>'자료구성'!$B$2+TIME(INT($C$3/10000),INT(MOD($C$3,10000)/100),MOD($C$3,100))+(ROW()-ROW($C$3))/86400</s:f>
        <s:v>46247.45921296296</s:v>
      </s:c>
    </s:row>
    <s:row r="777">
      <s:c r="A777" s="0" t="n">
        <s:v>260813</s:v>
      </s:c>
      <s:c r="B777" s="0" t="inlineStr">
        <s:is>
          <s:t>이종훈</s:t>
        </s:is>
      </s:c>
      <s:c r="C777" s="0" t="n">
        <s:v>104823</s:v>
      </s:c>
      <s:c r="D777" s="0" t="n">
        <s:v>1411</s:v>
      </s:c>
      <s:c r="F777" s="24">
        <s:f>'자료구성'!$B$2+TIME(INT($C$3/10000),INT(MOD($C$3,10000)/100),MOD($C$3,100))+(ROW()-ROW($C$3))/86400</s:f>
        <s:v>46247.45922453704</s:v>
      </s:c>
    </s:row>
    <s:row r="778">
      <s:c r="A778" s="0" t="n">
        <s:v>260813</s:v>
      </s:c>
      <s:c r="B778" s="0" t="inlineStr">
        <s:is>
          <s:t>이종훈</s:t>
        </s:is>
      </s:c>
      <s:c r="C778" s="0" t="n">
        <s:v>104823</s:v>
      </s:c>
      <s:c r="D778" s="0" t="n">
        <s:v>1429</s:v>
      </s:c>
      <s:c r="F778" s="24">
        <s:f>'자료구성'!$B$2+TIME(INT($C$3/10000),INT(MOD($C$3,10000)/100),MOD($C$3,100))+(ROW()-ROW($C$3))/86400</s:f>
        <s:v>46247.45923611111</s:v>
      </s:c>
    </s:row>
    <s:row r="779">
      <s:c r="A779" s="0" t="n">
        <s:v>260813</s:v>
      </s:c>
      <s:c r="B779" s="0" t="inlineStr">
        <s:is>
          <s:t>이종훈</s:t>
        </s:is>
      </s:c>
      <s:c r="C779" s="0" t="n">
        <s:v>104823</s:v>
      </s:c>
      <s:c r="D779" s="0" t="n">
        <s:v>1421</s:v>
      </s:c>
      <s:c r="F779" s="24">
        <s:f>'자료구성'!$B$2+TIME(INT($C$3/10000),INT(MOD($C$3,10000)/100),MOD($C$3,100))+(ROW()-ROW($C$3))/86400</s:f>
        <s:v>46247.45924768518</s:v>
      </s:c>
    </s:row>
    <s:row r="780">
      <s:c r="A780" s="0" t="n">
        <s:v>260813</s:v>
      </s:c>
      <s:c r="B780" s="0" t="inlineStr">
        <s:is>
          <s:t>이종훈</s:t>
        </s:is>
      </s:c>
      <s:c r="C780" s="0" t="n">
        <s:v>104823</s:v>
      </s:c>
      <s:c r="D780" s="0" t="n">
        <s:v>1415</s:v>
      </s:c>
      <s:c r="F780" s="24">
        <s:f>'자료구성'!$B$2+TIME(INT($C$3/10000),INT(MOD($C$3,10000)/100),MOD($C$3,100))+(ROW()-ROW($C$3))/86400</s:f>
        <s:v>46247.45925925926</s:v>
      </s:c>
    </s:row>
    <s:row r="781">
      <s:c r="A781" s="0" t="n">
        <s:v>260813</s:v>
      </s:c>
      <s:c r="B781" s="0" t="inlineStr">
        <s:is>
          <s:t>이종훈</s:t>
        </s:is>
      </s:c>
      <s:c r="C781" s="0" t="n">
        <s:v>104823</s:v>
      </s:c>
      <s:c r="D781" s="0" t="n">
        <s:v>1437</s:v>
      </s:c>
      <s:c r="F781" s="24">
        <s:f>'자료구성'!$B$2+TIME(INT($C$3/10000),INT(MOD($C$3,10000)/100),MOD($C$3,100))+(ROW()-ROW($C$3))/86400</s:f>
        <s:v>46247.45927083334</s:v>
      </s:c>
    </s:row>
    <s:row r="782">
      <s:c r="A782" s="0" t="n">
        <s:v>260813</s:v>
      </s:c>
      <s:c r="B782" s="0" t="inlineStr">
        <s:is>
          <s:t>이종훈</s:t>
        </s:is>
      </s:c>
      <s:c r="C782" s="0" t="n">
        <s:v>104823</s:v>
      </s:c>
      <s:c r="D782" s="0" t="n">
        <s:v>1453</s:v>
      </s:c>
      <s:c r="F782" s="24">
        <s:f>'자료구성'!$B$2+TIME(INT($C$3/10000),INT(MOD($C$3,10000)/100),MOD($C$3,100))+(ROW()-ROW($C$3))/86400</s:f>
        <s:v>46247.459282407406</s:v>
      </s:c>
    </s:row>
    <s:row r="783">
      <s:c r="A783" s="0" t="n">
        <s:v>260813</s:v>
      </s:c>
      <s:c r="B783" s="0" t="inlineStr">
        <s:is>
          <s:t>이종훈</s:t>
        </s:is>
      </s:c>
      <s:c r="C783" s="0" t="n">
        <s:v>104823</s:v>
      </s:c>
      <s:c r="D783" s="0" t="n">
        <s:v>1450</s:v>
      </s:c>
      <s:c r="F783" s="24">
        <s:f>'자료구성'!$B$2+TIME(INT($C$3/10000),INT(MOD($C$3,10000)/100),MOD($C$3,100))+(ROW()-ROW($C$3))/86400</s:f>
        <s:v>46247.45929398148</s:v>
      </s:c>
    </s:row>
    <s:row r="784">
      <s:c r="A784" s="0" t="n">
        <s:v>260813</s:v>
      </s:c>
      <s:c r="B784" s="0" t="inlineStr">
        <s:is>
          <s:t>이종훈</s:t>
        </s:is>
      </s:c>
      <s:c r="C784" s="0" t="n">
        <s:v>104823</s:v>
      </s:c>
      <s:c r="D784" s="0" t="n">
        <s:v>1464</s:v>
      </s:c>
      <s:c r="F784" s="24">
        <s:f>'자료구성'!$B$2+TIME(INT($C$3/10000),INT(MOD($C$3,10000)/100),MOD($C$3,100))+(ROW()-ROW($C$3))/86400</s:f>
        <s:v>46247.45930555555</s:v>
      </s:c>
    </s:row>
    <s:row r="785">
      <s:c r="A785" s="0" t="n">
        <s:v>260813</s:v>
      </s:c>
      <s:c r="B785" s="0" t="inlineStr">
        <s:is>
          <s:t>이종훈</s:t>
        </s:is>
      </s:c>
      <s:c r="C785" s="0" t="n">
        <s:v>104823</s:v>
      </s:c>
      <s:c r="D785" s="0" t="n">
        <s:v>1489</s:v>
      </s:c>
      <s:c r="F785" s="24">
        <s:f>'자료구성'!$B$2+TIME(INT($C$3/10000),INT(MOD($C$3,10000)/100),MOD($C$3,100))+(ROW()-ROW($C$3))/86400</s:f>
        <s:v>46247.45931712963</s:v>
      </s:c>
    </s:row>
    <s:row r="786">
      <s:c r="A786" s="0" t="n">
        <s:v>260813</s:v>
      </s:c>
      <s:c r="B786" s="0" t="inlineStr">
        <s:is>
          <s:t>이종훈</s:t>
        </s:is>
      </s:c>
      <s:c r="C786" s="0" t="n">
        <s:v>104823</s:v>
      </s:c>
      <s:c r="D786" s="0" t="n">
        <s:v>1504</s:v>
      </s:c>
      <s:c r="F786" s="24">
        <s:f>'자료구성'!$B$2+TIME(INT($C$3/10000),INT(MOD($C$3,10000)/100),MOD($C$3,100))+(ROW()-ROW($C$3))/86400</s:f>
        <s:v>46247.459328703706</s:v>
      </s:c>
    </s:row>
    <s:row r="787">
      <s:c r="A787" s="0" t="n">
        <s:v>260813</s:v>
      </s:c>
      <s:c r="B787" s="0" t="inlineStr">
        <s:is>
          <s:t>이종훈</s:t>
        </s:is>
      </s:c>
      <s:c r="C787" s="0" t="n">
        <s:v>104823</s:v>
      </s:c>
      <s:c r="D787" s="0" t="n">
        <s:v>1513</s:v>
      </s:c>
      <s:c r="F787" s="24">
        <s:f>'자료구성'!$B$2+TIME(INT($C$3/10000),INT(MOD($C$3,10000)/100),MOD($C$3,100))+(ROW()-ROW($C$3))/86400</s:f>
        <s:v>46247.459340277775</s:v>
      </s:c>
    </s:row>
    <s:row r="788">
      <s:c r="A788" s="0" t="n">
        <s:v>260813</s:v>
      </s:c>
      <s:c r="B788" s="0" t="inlineStr">
        <s:is>
          <s:t>이종훈</s:t>
        </s:is>
      </s:c>
      <s:c r="C788" s="0" t="n">
        <s:v>104823</s:v>
      </s:c>
      <s:c r="D788" s="0" t="n">
        <s:v>1511</s:v>
      </s:c>
      <s:c r="F788" s="24">
        <s:f>'자료구성'!$B$2+TIME(INT($C$3/10000),INT(MOD($C$3,10000)/100),MOD($C$3,100))+(ROW()-ROW($C$3))/86400</s:f>
        <s:v>46247.45935185185</s:v>
      </s:c>
    </s:row>
    <s:row r="789">
      <s:c r="A789" s="0" t="n">
        <s:v>260813</s:v>
      </s:c>
      <s:c r="B789" s="0" t="inlineStr">
        <s:is>
          <s:t>이종훈</s:t>
        </s:is>
      </s:c>
      <s:c r="C789" s="0" t="n">
        <s:v>104823</s:v>
      </s:c>
      <s:c r="D789" s="0" t="n">
        <s:v>1500</s:v>
      </s:c>
      <s:c r="F789" s="24">
        <s:f>'자료구성'!$B$2+TIME(INT($C$3/10000),INT(MOD($C$3,10000)/100),MOD($C$3,100))+(ROW()-ROW($C$3))/86400</s:f>
        <s:v>46247.45936342593</s:v>
      </s:c>
    </s:row>
    <s:row r="790">
      <s:c r="A790" s="0" t="n">
        <s:v>260813</s:v>
      </s:c>
      <s:c r="B790" s="0" t="inlineStr">
        <s:is>
          <s:t>이종훈</s:t>
        </s:is>
      </s:c>
      <s:c r="C790" s="0" t="n">
        <s:v>104823</s:v>
      </s:c>
      <s:c r="D790" s="0" t="n">
        <s:v>1479</s:v>
      </s:c>
      <s:c r="F790" s="24">
        <s:f>'자료구성'!$B$2+TIME(INT($C$3/10000),INT(MOD($C$3,10000)/100),MOD($C$3,100))+(ROW()-ROW($C$3))/86400</s:f>
        <s:v>46247.459375</s:v>
      </s:c>
    </s:row>
    <s:row r="791">
      <s:c r="A791" s="0" t="n">
        <s:v>260813</s:v>
      </s:c>
      <s:c r="B791" s="0" t="inlineStr">
        <s:is>
          <s:t>이종훈</s:t>
        </s:is>
      </s:c>
      <s:c r="C791" s="0" t="n">
        <s:v>104823</s:v>
      </s:c>
      <s:c r="D791" s="0" t="n">
        <s:v>1490</s:v>
      </s:c>
      <s:c r="F791" s="24">
        <s:f>'자료구성'!$B$2+TIME(INT($C$3/10000),INT(MOD($C$3,10000)/100),MOD($C$3,100))+(ROW()-ROW($C$3))/86400</s:f>
        <s:v>46247.459386574075</s:v>
      </s:c>
    </s:row>
    <s:row r="792">
      <s:c r="A792" s="0" t="n">
        <s:v>260813</s:v>
      </s:c>
      <s:c r="B792" s="0" t="inlineStr">
        <s:is>
          <s:t>이종훈</s:t>
        </s:is>
      </s:c>
      <s:c r="C792" s="0" t="n">
        <s:v>104823</s:v>
      </s:c>
      <s:c r="D792" s="0" t="n">
        <s:v>1463</s:v>
      </s:c>
      <s:c r="F792" s="24">
        <s:f>'자료구성'!$B$2+TIME(INT($C$3/10000),INT(MOD($C$3,10000)/100),MOD($C$3,100))+(ROW()-ROW($C$3))/86400</s:f>
        <s:v>46247.459398148145</s:v>
      </s:c>
    </s:row>
    <s:row r="793">
      <s:c r="A793" s="0" t="n">
        <s:v>260813</s:v>
      </s:c>
      <s:c r="B793" s="0" t="inlineStr">
        <s:is>
          <s:t>이종훈</s:t>
        </s:is>
      </s:c>
      <s:c r="C793" s="0" t="n">
        <s:v>104823</s:v>
      </s:c>
      <s:c r="D793" s="0" t="n">
        <s:v>1471</s:v>
      </s:c>
      <s:c r="F793" s="24">
        <s:f>'자료구성'!$B$2+TIME(INT($C$3/10000),INT(MOD($C$3,10000)/100),MOD($C$3,100))+(ROW()-ROW($C$3))/86400</s:f>
        <s:v>46247.45940972222</s:v>
      </s:c>
    </s:row>
    <s:row r="794">
      <s:c r="A794" s="0" t="n">
        <s:v>260813</s:v>
      </s:c>
      <s:c r="B794" s="0" t="inlineStr">
        <s:is>
          <s:t>이종훈</s:t>
        </s:is>
      </s:c>
      <s:c r="C794" s="0" t="n">
        <s:v>104823</s:v>
      </s:c>
      <s:c r="D794" s="0" t="n">
        <s:v>1476</s:v>
      </s:c>
      <s:c r="F794" s="24">
        <s:f>'자료구성'!$B$2+TIME(INT($C$3/10000),INT(MOD($C$3,10000)/100),MOD($C$3,100))+(ROW()-ROW($C$3))/86400</s:f>
        <s:v>46247.4594212963</s:v>
      </s:c>
    </s:row>
    <s:row r="795">
      <s:c r="A795" s="0" t="n">
        <s:v>260813</s:v>
      </s:c>
      <s:c r="B795" s="0" t="inlineStr">
        <s:is>
          <s:t>이종훈</s:t>
        </s:is>
      </s:c>
      <s:c r="C795" s="0" t="n">
        <s:v>104823</s:v>
      </s:c>
      <s:c r="D795" s="0" t="n">
        <s:v>1455</s:v>
      </s:c>
      <s:c r="F795" s="24">
        <s:f>'자료구성'!$B$2+TIME(INT($C$3/10000),INT(MOD($C$3,10000)/100),MOD($C$3,100))+(ROW()-ROW($C$3))/86400</s:f>
        <s:v>46247.45943287037</s:v>
      </s:c>
    </s:row>
    <s:row r="796">
      <s:c r="A796" s="0" t="n">
        <s:v>260813</s:v>
      </s:c>
      <s:c r="B796" s="0" t="inlineStr">
        <s:is>
          <s:t>이종훈</s:t>
        </s:is>
      </s:c>
      <s:c r="C796" s="0" t="n">
        <s:v>104823</s:v>
      </s:c>
      <s:c r="D796" s="0" t="n">
        <s:v>1464</s:v>
      </s:c>
      <s:c r="F796" s="24">
        <s:f>'자료구성'!$B$2+TIME(INT($C$3/10000),INT(MOD($C$3,10000)/100),MOD($C$3,100))+(ROW()-ROW($C$3))/86400</s:f>
        <s:v>46247.459444444445</s:v>
      </s:c>
    </s:row>
    <s:row r="797">
      <s:c r="A797" s="0" t="n">
        <s:v>260813</s:v>
      </s:c>
      <s:c r="B797" s="0" t="inlineStr">
        <s:is>
          <s:t>이종훈</s:t>
        </s:is>
      </s:c>
      <s:c r="C797" s="0" t="n">
        <s:v>104823</s:v>
      </s:c>
      <s:c r="D797" s="0" t="n">
        <s:v>1465</s:v>
      </s:c>
      <s:c r="F797" s="24">
        <s:f>'자료구성'!$B$2+TIME(INT($C$3/10000),INT(MOD($C$3,10000)/100),MOD($C$3,100))+(ROW()-ROW($C$3))/86400</s:f>
        <s:v>46247.45945601852</s:v>
      </s:c>
    </s:row>
    <s:row r="798">
      <s:c r="A798" s="0" t="n">
        <s:v>260813</s:v>
      </s:c>
      <s:c r="B798" s="0" t="inlineStr">
        <s:is>
          <s:t>이종훈</s:t>
        </s:is>
      </s:c>
      <s:c r="C798" s="0" t="n">
        <s:v>104823</s:v>
      </s:c>
      <s:c r="D798" s="0" t="n">
        <s:v>1459</s:v>
      </s:c>
      <s:c r="F798" s="24">
        <s:f>'자료구성'!$B$2+TIME(INT($C$3/10000),INT(MOD($C$3,10000)/100),MOD($C$3,100))+(ROW()-ROW($C$3))/86400</s:f>
        <s:v>46247.45946759259</s:v>
      </s:c>
    </s:row>
    <s:row r="799">
      <s:c r="A799" s="0" t="n">
        <s:v>260813</s:v>
      </s:c>
      <s:c r="B799" s="0" t="inlineStr">
        <s:is>
          <s:t>이종훈</s:t>
        </s:is>
      </s:c>
      <s:c r="C799" s="0" t="n">
        <s:v>104823</s:v>
      </s:c>
      <s:c r="D799" s="0" t="n">
        <s:v>1448</s:v>
      </s:c>
      <s:c r="F799" s="24">
        <s:f>'자료구성'!$B$2+TIME(INT($C$3/10000),INT(MOD($C$3,10000)/100),MOD($C$3,100))+(ROW()-ROW($C$3))/86400</s:f>
        <s:v>46247.45947916667</s:v>
      </s:c>
    </s:row>
    <s:row r="800">
      <s:c r="A800" s="0" t="n">
        <s:v>260813</s:v>
      </s:c>
      <s:c r="B800" s="0" t="inlineStr">
        <s:is>
          <s:t>이종훈</s:t>
        </s:is>
      </s:c>
      <s:c r="C800" s="0" t="n">
        <s:v>104823</s:v>
      </s:c>
      <s:c r="D800" s="0" t="n">
        <s:v>1447</s:v>
      </s:c>
      <s:c r="F800" s="24">
        <s:f>'자료구성'!$B$2+TIME(INT($C$3/10000),INT(MOD($C$3,10000)/100),MOD($C$3,100))+(ROW()-ROW($C$3))/86400</s:f>
        <s:v>46247.45949074074</s:v>
      </s:c>
    </s:row>
    <s:row r="801">
      <s:c r="A801" s="0" t="n">
        <s:v>260813</s:v>
      </s:c>
      <s:c r="B801" s="0" t="inlineStr">
        <s:is>
          <s:t>이종훈</s:t>
        </s:is>
      </s:c>
      <s:c r="C801" s="0" t="n">
        <s:v>104823</s:v>
      </s:c>
      <s:c r="D801" s="0" t="n">
        <s:v>1465</s:v>
      </s:c>
      <s:c r="F801" s="24">
        <s:f>'자료구성'!$B$2+TIME(INT($C$3/10000),INT(MOD($C$3,10000)/100),MOD($C$3,100))+(ROW()-ROW($C$3))/86400</s:f>
        <s:v>46247.459502314814</s:v>
      </s:c>
    </s:row>
    <s:row r="802">
      <s:c r="A802" s="0" t="n">
        <s:v>260813</s:v>
      </s:c>
      <s:c r="B802" s="0" t="inlineStr">
        <s:is>
          <s:t>이종훈</s:t>
        </s:is>
      </s:c>
      <s:c r="C802" s="0" t="n">
        <s:v>104823</s:v>
      </s:c>
      <s:c r="D802" s="0" t="n">
        <s:v>1477</s:v>
      </s:c>
      <s:c r="F802" s="24">
        <s:f>'자료구성'!$B$2+TIME(INT($C$3/10000),INT(MOD($C$3,10000)/100),MOD($C$3,100))+(ROW()-ROW($C$3))/86400</s:f>
        <s:v>46247.45951388889</s:v>
      </s:c>
    </s:row>
    <s:row r="803">
      <s:c r="A803" s="0" t="n">
        <s:v>260813</s:v>
      </s:c>
      <s:c r="B803" s="0" t="inlineStr">
        <s:is>
          <s:t>이종훈</s:t>
        </s:is>
      </s:c>
      <s:c r="C803" s="0" t="n">
        <s:v>104823</s:v>
      </s:c>
      <s:c r="D803" s="0" t="n">
        <s:v>1477</s:v>
      </s:c>
      <s:c r="F803" s="24">
        <s:f>'자료구성'!$B$2+TIME(INT($C$3/10000),INT(MOD($C$3,10000)/100),MOD($C$3,100))+(ROW()-ROW($C$3))/86400</s:f>
        <s:v>46247.45952546296</s:v>
      </s:c>
    </s:row>
    <s:row r="804">
      <s:c r="A804" s="0" t="n">
        <s:v>260813</s:v>
      </s:c>
      <s:c r="B804" s="0" t="inlineStr">
        <s:is>
          <s:t>이종훈</s:t>
        </s:is>
      </s:c>
      <s:c r="C804" s="0" t="n">
        <s:v>104823</s:v>
      </s:c>
      <s:c r="D804" s="0" t="n">
        <s:v>1470</s:v>
      </s:c>
      <s:c r="F804" s="24">
        <s:f>'자료구성'!$B$2+TIME(INT($C$3/10000),INT(MOD($C$3,10000)/100),MOD($C$3,100))+(ROW()-ROW($C$3))/86400</s:f>
        <s:v>46247.45953703704</s:v>
      </s:c>
    </s:row>
    <s:row r="805">
      <s:c r="A805" s="0" t="n">
        <s:v>260813</s:v>
      </s:c>
      <s:c r="B805" s="0" t="inlineStr">
        <s:is>
          <s:t>이종훈</s:t>
        </s:is>
      </s:c>
      <s:c r="C805" s="0" t="n">
        <s:v>104823</s:v>
      </s:c>
      <s:c r="D805" s="0" t="n">
        <s:v>1478</s:v>
      </s:c>
      <s:c r="F805" s="24">
        <s:f>'자료구성'!$B$2+TIME(INT($C$3/10000),INT(MOD($C$3,10000)/100),MOD($C$3,100))+(ROW()-ROW($C$3))/86400</s:f>
        <s:v>46247.459548611114</s:v>
      </s:c>
    </s:row>
    <s:row r="806">
      <s:c r="A806" s="0" t="n">
        <s:v>260813</s:v>
      </s:c>
      <s:c r="B806" s="0" t="inlineStr">
        <s:is>
          <s:t>이종훈</s:t>
        </s:is>
      </s:c>
      <s:c r="C806" s="0" t="n">
        <s:v>104823</s:v>
      </s:c>
      <s:c r="D806" s="0" t="n">
        <s:v>1495</s:v>
      </s:c>
      <s:c r="F806" s="24">
        <s:f>'자료구성'!$B$2+TIME(INT($C$3/10000),INT(MOD($C$3,10000)/100),MOD($C$3,100))+(ROW()-ROW($C$3))/86400</s:f>
        <s:v>46247.45956018518</s:v>
      </s:c>
    </s:row>
    <s:row r="807">
      <s:c r="A807" s="0" t="n">
        <s:v>260813</s:v>
      </s:c>
      <s:c r="B807" s="0" t="inlineStr">
        <s:is>
          <s:t>이종훈</s:t>
        </s:is>
      </s:c>
      <s:c r="C807" s="0" t="n">
        <s:v>104823</s:v>
      </s:c>
      <s:c r="D807" s="0" t="n">
        <s:v>1479</s:v>
      </s:c>
      <s:c r="F807" s="24">
        <s:f>'자료구성'!$B$2+TIME(INT($C$3/10000),INT(MOD($C$3,10000)/100),MOD($C$3,100))+(ROW()-ROW($C$3))/86400</s:f>
        <s:v>46247.45957175926</s:v>
      </s:c>
    </s:row>
    <s:row r="808">
      <s:c r="A808" s="0" t="n">
        <s:v>260813</s:v>
      </s:c>
      <s:c r="B808" s="0" t="inlineStr">
        <s:is>
          <s:t>이종훈</s:t>
        </s:is>
      </s:c>
      <s:c r="C808" s="0" t="n">
        <s:v>104823</s:v>
      </s:c>
      <s:c r="D808" s="0" t="n">
        <s:v>1451</s:v>
      </s:c>
      <s:c r="F808" s="24">
        <s:f>'자료구성'!$B$2+TIME(INT($C$3/10000),INT(MOD($C$3,10000)/100),MOD($C$3,100))+(ROW()-ROW($C$3))/86400</s:f>
        <s:v>46247.45958333334</s:v>
      </s:c>
    </s:row>
    <s:row r="809">
      <s:c r="A809" s="0" t="n">
        <s:v>260813</s:v>
      </s:c>
      <s:c r="B809" s="0" t="inlineStr">
        <s:is>
          <s:t>이종훈</s:t>
        </s:is>
      </s:c>
      <s:c r="C809" s="0" t="n">
        <s:v>104823</s:v>
      </s:c>
      <s:c r="D809" s="0" t="n">
        <s:v>1479</s:v>
      </s:c>
      <s:c r="F809" s="24">
        <s:f>'자료구성'!$B$2+TIME(INT($C$3/10000),INT(MOD($C$3,10000)/100),MOD($C$3,100))+(ROW()-ROW($C$3))/86400</s:f>
        <s:v>46247.45959490741</s:v>
      </s:c>
    </s:row>
    <s:row r="810">
      <s:c r="A810" s="0" t="n">
        <s:v>260813</s:v>
      </s:c>
      <s:c r="B810" s="0" t="inlineStr">
        <s:is>
          <s:t>이종훈</s:t>
        </s:is>
      </s:c>
      <s:c r="C810" s="0" t="n">
        <s:v>104823</s:v>
      </s:c>
      <s:c r="D810" s="0" t="n">
        <s:v>1491</s:v>
      </s:c>
      <s:c r="F810" s="24">
        <s:f>'자료구성'!$B$2+TIME(INT($C$3/10000),INT(MOD($C$3,10000)/100),MOD($C$3,100))+(ROW()-ROW($C$3))/86400</s:f>
        <s:v>46247.45960648148</s:v>
      </s:c>
    </s:row>
    <s:row r="811">
      <s:c r="A811" s="0" t="n">
        <s:v>260813</s:v>
      </s:c>
      <s:c r="B811" s="0" t="inlineStr">
        <s:is>
          <s:t>이종훈</s:t>
        </s:is>
      </s:c>
      <s:c r="C811" s="0" t="n">
        <s:v>104823</s:v>
      </s:c>
      <s:c r="D811" s="0" t="n">
        <s:v>1492</s:v>
      </s:c>
      <s:c r="F811" s="24">
        <s:f>'자료구성'!$B$2+TIME(INT($C$3/10000),INT(MOD($C$3,10000)/100),MOD($C$3,100))+(ROW()-ROW($C$3))/86400</s:f>
        <s:v>46247.45961805555</s:v>
      </s:c>
    </s:row>
    <s:row r="812">
      <s:c r="A812" s="0" t="n">
        <s:v>260813</s:v>
      </s:c>
      <s:c r="B812" s="0" t="inlineStr">
        <s:is>
          <s:t>이종훈</s:t>
        </s:is>
      </s:c>
      <s:c r="C812" s="0" t="n">
        <s:v>104823</s:v>
      </s:c>
      <s:c r="D812" s="0" t="n">
        <s:v>1501</s:v>
      </s:c>
      <s:c r="F812" s="24">
        <s:f>'자료구성'!$B$2+TIME(INT($C$3/10000),INT(MOD($C$3,10000)/100),MOD($C$3,100))+(ROW()-ROW($C$3))/86400</s:f>
        <s:v>46247.45962962963</s:v>
      </s:c>
    </s:row>
    <s:row r="813">
      <s:c r="A813" s="0" t="n">
        <s:v>260813</s:v>
      </s:c>
      <s:c r="B813" s="0" t="inlineStr">
        <s:is>
          <s:t>이종훈</s:t>
        </s:is>
      </s:c>
      <s:c r="C813" s="0" t="n">
        <s:v>104823</s:v>
      </s:c>
      <s:c r="D813" s="0" t="n">
        <s:v>1501</s:v>
      </s:c>
      <s:c r="F813" s="24">
        <s:f>'자료구성'!$B$2+TIME(INT($C$3/10000),INT(MOD($C$3,10000)/100),MOD($C$3,100))+(ROW()-ROW($C$3))/86400</s:f>
        <s:v>46247.459641203706</s:v>
      </s:c>
    </s:row>
    <s:row r="814">
      <s:c r="A814" s="0" t="n">
        <s:v>260813</s:v>
      </s:c>
      <s:c r="B814" s="0" t="inlineStr">
        <s:is>
          <s:t>이종훈</s:t>
        </s:is>
      </s:c>
      <s:c r="C814" s="0" t="n">
        <s:v>104823</s:v>
      </s:c>
      <s:c r="D814" s="0" t="n">
        <s:v>1483</s:v>
      </s:c>
      <s:c r="F814" s="24">
        <s:f>'자료구성'!$B$2+TIME(INT($C$3/10000),INT(MOD($C$3,10000)/100),MOD($C$3,100))+(ROW()-ROW($C$3))/86400</s:f>
        <s:v>46247.459652777776</s:v>
      </s:c>
    </s:row>
    <s:row r="815">
      <s:c r="A815" s="0" t="n">
        <s:v>260813</s:v>
      </s:c>
      <s:c r="B815" s="0" t="inlineStr">
        <s:is>
          <s:t>이종훈</s:t>
        </s:is>
      </s:c>
      <s:c r="C815" s="0" t="n">
        <s:v>104823</s:v>
      </s:c>
      <s:c r="D815" s="0" t="n">
        <s:v>1470</s:v>
      </s:c>
      <s:c r="F815" s="24">
        <s:f>'자료구성'!$B$2+TIME(INT($C$3/10000),INT(MOD($C$3,10000)/100),MOD($C$3,100))+(ROW()-ROW($C$3))/86400</s:f>
        <s:v>46247.45966435185</s:v>
      </s:c>
    </s:row>
    <s:row r="816">
      <s:c r="A816" s="0" t="n">
        <s:v>260813</s:v>
      </s:c>
      <s:c r="B816" s="0" t="inlineStr">
        <s:is>
          <s:t>이종훈</s:t>
        </s:is>
      </s:c>
      <s:c r="C816" s="0" t="n">
        <s:v>104823</s:v>
      </s:c>
      <s:c r="D816" s="0" t="n">
        <s:v>1462</s:v>
      </s:c>
      <s:c r="F816" s="24">
        <s:f>'자료구성'!$B$2+TIME(INT($C$3/10000),INT(MOD($C$3,10000)/100),MOD($C$3,100))+(ROW()-ROW($C$3))/86400</s:f>
        <s:v>46247.45967592593</s:v>
      </s:c>
    </s:row>
    <s:row r="817">
      <s:c r="A817" s="0" t="n">
        <s:v>260813</s:v>
      </s:c>
      <s:c r="B817" s="0" t="inlineStr">
        <s:is>
          <s:t>이종훈</s:t>
        </s:is>
      </s:c>
      <s:c r="C817" s="0" t="n">
        <s:v>104823</s:v>
      </s:c>
      <s:c r="D817" s="0" t="n">
        <s:v>1454</s:v>
      </s:c>
      <s:c r="F817" s="24">
        <s:f>'자료구성'!$B$2+TIME(INT($C$3/10000),INT(MOD($C$3,10000)/100),MOD($C$3,100))+(ROW()-ROW($C$3))/86400</s:f>
        <s:v>46247.4596875</s:v>
      </s:c>
    </s:row>
    <s:row r="818">
      <s:c r="A818" s="0" t="n">
        <s:v>260813</s:v>
      </s:c>
      <s:c r="B818" s="0" t="inlineStr">
        <s:is>
          <s:t>이종훈</s:t>
        </s:is>
      </s:c>
      <s:c r="C818" s="0" t="n">
        <s:v>104823</s:v>
      </s:c>
      <s:c r="D818" s="0" t="n">
        <s:v>1448</s:v>
      </s:c>
      <s:c r="F818" s="24">
        <s:f>'자료구성'!$B$2+TIME(INT($C$3/10000),INT(MOD($C$3,10000)/100),MOD($C$3,100))+(ROW()-ROW($C$3))/86400</s:f>
        <s:v>46247.459699074076</s:v>
      </s:c>
    </s:row>
    <s:row r="819">
      <s:c r="A819" s="0" t="n">
        <s:v>260813</s:v>
      </s:c>
      <s:c r="B819" s="0" t="inlineStr">
        <s:is>
          <s:t>이종훈</s:t>
        </s:is>
      </s:c>
      <s:c r="C819" s="0" t="n">
        <s:v>104823</s:v>
      </s:c>
      <s:c r="D819" s="0" t="n">
        <s:v>1426</s:v>
      </s:c>
      <s:c r="F819" s="24">
        <s:f>'자료구성'!$B$2+TIME(INT($C$3/10000),INT(MOD($C$3,10000)/100),MOD($C$3,100))+(ROW()-ROW($C$3))/86400</s:f>
        <s:v>46247.459710648145</s:v>
      </s:c>
    </s:row>
    <s:row r="820">
      <s:c r="A820" s="0" t="n">
        <s:v>260813</s:v>
      </s:c>
      <s:c r="B820" s="0" t="inlineStr">
        <s:is>
          <s:t>이종훈</s:t>
        </s:is>
      </s:c>
      <s:c r="C820" s="0" t="n">
        <s:v>104823</s:v>
      </s:c>
      <s:c r="D820" s="0" t="n">
        <s:v>1439</s:v>
      </s:c>
      <s:c r="F820" s="24">
        <s:f>'자료구성'!$B$2+TIME(INT($C$3/10000),INT(MOD($C$3,10000)/100),MOD($C$3,100))+(ROW()-ROW($C$3))/86400</s:f>
        <s:v>46247.45972222222</s:v>
      </s:c>
    </s:row>
    <s:row r="821">
      <s:c r="A821" s="0" t="n">
        <s:v>260813</s:v>
      </s:c>
      <s:c r="B821" s="0" t="inlineStr">
        <s:is>
          <s:t>이종훈</s:t>
        </s:is>
      </s:c>
      <s:c r="C821" s="0" t="n">
        <s:v>104823</s:v>
      </s:c>
      <s:c r="D821" s="0" t="n">
        <s:v>1465</s:v>
      </s:c>
      <s:c r="F821" s="24">
        <s:f>'자료구성'!$B$2+TIME(INT($C$3/10000),INT(MOD($C$3,10000)/100),MOD($C$3,100))+(ROW()-ROW($C$3))/86400</s:f>
        <s:v>46247.4597337963</s:v>
      </s:c>
    </s:row>
    <s:row r="822">
      <s:c r="A822" s="0" t="n">
        <s:v>260813</s:v>
      </s:c>
      <s:c r="B822" s="0" t="inlineStr">
        <s:is>
          <s:t>이종훈</s:t>
        </s:is>
      </s:c>
      <s:c r="C822" s="0" t="n">
        <s:v>104823</s:v>
      </s:c>
      <s:c r="D822" s="0" t="n">
        <s:v>1455</s:v>
      </s:c>
      <s:c r="F822" s="24">
        <s:f>'자료구성'!$B$2+TIME(INT($C$3/10000),INT(MOD($C$3,10000)/100),MOD($C$3,100))+(ROW()-ROW($C$3))/86400</s:f>
        <s:v>46247.45974537037</s:v>
      </s:c>
    </s:row>
    <s:row r="823">
      <s:c r="A823" s="0" t="n">
        <s:v>260813</s:v>
      </s:c>
      <s:c r="B823" s="0" t="inlineStr">
        <s:is>
          <s:t>이종훈</s:t>
        </s:is>
      </s:c>
      <s:c r="C823" s="0" t="n">
        <s:v>104823</s:v>
      </s:c>
      <s:c r="D823" s="0" t="n">
        <s:v>1450</s:v>
      </s:c>
      <s:c r="F823" s="24">
        <s:f>'자료구성'!$B$2+TIME(INT($C$3/10000),INT(MOD($C$3,10000)/100),MOD($C$3,100))+(ROW()-ROW($C$3))/86400</s:f>
        <s:v>46247.459756944445</s:v>
      </s:c>
    </s:row>
    <s:row r="824">
      <s:c r="A824" s="0" t="n">
        <s:v>260813</s:v>
      </s:c>
      <s:c r="B824" s="0" t="inlineStr">
        <s:is>
          <s:t>이종훈</s:t>
        </s:is>
      </s:c>
      <s:c r="C824" s="0" t="n">
        <s:v>104823</s:v>
      </s:c>
      <s:c r="D824" s="0" t="n">
        <s:v>1436</s:v>
      </s:c>
      <s:c r="F824" s="24">
        <s:f>'자료구성'!$B$2+TIME(INT($C$3/10000),INT(MOD($C$3,10000)/100),MOD($C$3,100))+(ROW()-ROW($C$3))/86400</s:f>
        <s:v>46247.45976851852</s:v>
      </s:c>
    </s:row>
    <s:row r="825">
      <s:c r="A825" s="0" t="n">
        <s:v>260813</s:v>
      </s:c>
      <s:c r="B825" s="0" t="inlineStr">
        <s:is>
          <s:t>이종훈</s:t>
        </s:is>
      </s:c>
      <s:c r="C825" s="0" t="n">
        <s:v>104823</s:v>
      </s:c>
      <s:c r="D825" s="0" t="n">
        <s:v>1431</s:v>
      </s:c>
      <s:c r="F825" s="24">
        <s:f>'자료구성'!$B$2+TIME(INT($C$3/10000),INT(MOD($C$3,10000)/100),MOD($C$3,100))+(ROW()-ROW($C$3))/86400</s:f>
        <s:v>46247.45978009259</s:v>
      </s:c>
    </s:row>
    <s:row r="826">
      <s:c r="A826" s="0" t="n">
        <s:v>260813</s:v>
      </s:c>
      <s:c r="B826" s="0" t="inlineStr">
        <s:is>
          <s:t>이종훈</s:t>
        </s:is>
      </s:c>
      <s:c r="C826" s="0" t="n">
        <s:v>104823</s:v>
      </s:c>
      <s:c r="D826" s="0" t="n">
        <s:v>1441</s:v>
      </s:c>
      <s:c r="F826" s="24">
        <s:f>'자료구성'!$B$2+TIME(INT($C$3/10000),INT(MOD($C$3,10000)/100),MOD($C$3,100))+(ROW()-ROW($C$3))/86400</s:f>
        <s:v>46247.45979166667</s:v>
      </s:c>
    </s:row>
    <s:row r="827">
      <s:c r="A827" s="0" t="n">
        <s:v>260813</s:v>
      </s:c>
      <s:c r="B827" s="0" t="inlineStr">
        <s:is>
          <s:t>이종훈</s:t>
        </s:is>
      </s:c>
      <s:c r="C827" s="0" t="n">
        <s:v>104823</s:v>
      </s:c>
      <s:c r="D827" s="0" t="n">
        <s:v>1452</s:v>
      </s:c>
      <s:c r="F827" s="24">
        <s:f>'자료구성'!$B$2+TIME(INT($C$3/10000),INT(MOD($C$3,10000)/100),MOD($C$3,100))+(ROW()-ROW($C$3))/86400</s:f>
        <s:v>46247.45980324074</s:v>
      </s:c>
    </s:row>
    <s:row r="828">
      <s:c r="A828" s="0" t="n">
        <s:v>260813</s:v>
      </s:c>
      <s:c r="B828" s="0" t="inlineStr">
        <s:is>
          <s:t>이종훈</s:t>
        </s:is>
      </s:c>
      <s:c r="C828" s="0" t="n">
        <s:v>104823</s:v>
      </s:c>
      <s:c r="D828" s="0" t="n">
        <s:v>1466</s:v>
      </s:c>
      <s:c r="F828" s="24">
        <s:f>'자료구성'!$B$2+TIME(INT($C$3/10000),INT(MOD($C$3,10000)/100),MOD($C$3,100))+(ROW()-ROW($C$3))/86400</s:f>
        <s:v>46247.459814814814</s:v>
      </s:c>
    </s:row>
    <s:row r="829">
      <s:c r="A829" s="0" t="n">
        <s:v>260813</s:v>
      </s:c>
      <s:c r="B829" s="0" t="inlineStr">
        <s:is>
          <s:t>이종훈</s:t>
        </s:is>
      </s:c>
      <s:c r="C829" s="0" t="n">
        <s:v>104823</s:v>
      </s:c>
      <s:c r="D829" s="0" t="n">
        <s:v>1473</s:v>
      </s:c>
      <s:c r="F829" s="24">
        <s:f>'자료구성'!$B$2+TIME(INT($C$3/10000),INT(MOD($C$3,10000)/100),MOD($C$3,100))+(ROW()-ROW($C$3))/86400</s:f>
        <s:v>46247.45982638889</s:v>
      </s:c>
    </s:row>
    <s:row r="830">
      <s:c r="A830" s="0" t="n">
        <s:v>260813</s:v>
      </s:c>
      <s:c r="B830" s="0" t="inlineStr">
        <s:is>
          <s:t>이종훈</s:t>
        </s:is>
      </s:c>
      <s:c r="C830" s="0" t="n">
        <s:v>104823</s:v>
      </s:c>
      <s:c r="D830" s="0" t="n">
        <s:v>1476</s:v>
      </s:c>
      <s:c r="F830" s="24">
        <s:f>'자료구성'!$B$2+TIME(INT($C$3/10000),INT(MOD($C$3,10000)/100),MOD($C$3,100))+(ROW()-ROW($C$3))/86400</s:f>
        <s:v>46247.45983796296</s:v>
      </s:c>
    </s:row>
    <s:row r="831">
      <s:c r="A831" s="0" t="n">
        <s:v>260813</s:v>
      </s:c>
      <s:c r="B831" s="0" t="inlineStr">
        <s:is>
          <s:t>이종훈</s:t>
        </s:is>
      </s:c>
      <s:c r="C831" s="0" t="n">
        <s:v>104823</s:v>
      </s:c>
      <s:c r="D831" s="0" t="n">
        <s:v>1485</s:v>
      </s:c>
      <s:c r="F831" s="24">
        <s:f>'자료구성'!$B$2+TIME(INT($C$3/10000),INT(MOD($C$3,10000)/100),MOD($C$3,100))+(ROW()-ROW($C$3))/86400</s:f>
        <s:v>46247.45984953704</s:v>
      </s:c>
    </s:row>
    <s:row r="832">
      <s:c r="A832" s="0" t="n">
        <s:v>260813</s:v>
      </s:c>
      <s:c r="B832" s="0" t="inlineStr">
        <s:is>
          <s:t>이종훈</s:t>
        </s:is>
      </s:c>
      <s:c r="C832" s="0" t="n">
        <s:v>104823</s:v>
      </s:c>
      <s:c r="D832" s="0" t="n">
        <s:v>1496</s:v>
      </s:c>
      <s:c r="F832" s="24">
        <s:f>'자료구성'!$B$2+TIME(INT($C$3/10000),INT(MOD($C$3,10000)/100),MOD($C$3,100))+(ROW()-ROW($C$3))/86400</s:f>
        <s:v>46247.459861111114</s:v>
      </s:c>
    </s:row>
    <s:row r="833">
      <s:c r="A833" s="0" t="n">
        <s:v>260813</s:v>
      </s:c>
      <s:c r="B833" s="0" t="inlineStr">
        <s:is>
          <s:t>이종훈</s:t>
        </s:is>
      </s:c>
      <s:c r="C833" s="0" t="n">
        <s:v>104823</s:v>
      </s:c>
      <s:c r="D833" s="0" t="n">
        <s:v>1491</s:v>
      </s:c>
      <s:c r="F833" s="24">
        <s:f>'자료구성'!$B$2+TIME(INT($C$3/10000),INT(MOD($C$3,10000)/100),MOD($C$3,100))+(ROW()-ROW($C$3))/86400</s:f>
        <s:v>46247.459872685184</s:v>
      </s:c>
    </s:row>
    <s:row r="834">
      <s:c r="A834" s="0" t="n">
        <s:v>260813</s:v>
      </s:c>
      <s:c r="B834" s="0" t="inlineStr">
        <s:is>
          <s:t>이종훈</s:t>
        </s:is>
      </s:c>
      <s:c r="C834" s="0" t="n">
        <s:v>104823</s:v>
      </s:c>
      <s:c r="D834" s="0" t="n">
        <s:v>1489</s:v>
      </s:c>
      <s:c r="F834" s="24">
        <s:f>'자료구성'!$B$2+TIME(INT($C$3/10000),INT(MOD($C$3,10000)/100),MOD($C$3,100))+(ROW()-ROW($C$3))/86400</s:f>
        <s:v>46247.45988425926</s:v>
      </s:c>
    </s:row>
    <s:row r="835">
      <s:c r="A835" s="0" t="n">
        <s:v>260813</s:v>
      </s:c>
      <s:c r="B835" s="0" t="inlineStr">
        <s:is>
          <s:t>이종훈</s:t>
        </s:is>
      </s:c>
      <s:c r="C835" s="0" t="n">
        <s:v>104823</s:v>
      </s:c>
      <s:c r="D835" s="0" t="n">
        <s:v>1488</s:v>
      </s:c>
      <s:c r="F835" s="24">
        <s:f>'자료구성'!$B$2+TIME(INT($C$3/10000),INT(MOD($C$3,10000)/100),MOD($C$3,100))+(ROW()-ROW($C$3))/86400</s:f>
        <s:v>46247.45989583333</s:v>
      </s:c>
    </s:row>
    <s:row r="836">
      <s:c r="A836" s="0" t="n">
        <s:v>260813</s:v>
      </s:c>
      <s:c r="B836" s="0" t="inlineStr">
        <s:is>
          <s:t>이종훈</s:t>
        </s:is>
      </s:c>
      <s:c r="C836" s="0" t="n">
        <s:v>104823</s:v>
      </s:c>
      <s:c r="D836" s="0" t="n">
        <s:v>1480</s:v>
      </s:c>
      <s:c r="F836" s="24">
        <s:f>'자료구성'!$B$2+TIME(INT($C$3/10000),INT(MOD($C$3,10000)/100),MOD($C$3,100))+(ROW()-ROW($C$3))/86400</s:f>
        <s:v>46247.45990740741</s:v>
      </s:c>
    </s:row>
    <s:row r="837">
      <s:c r="A837" s="0" t="n">
        <s:v>260813</s:v>
      </s:c>
      <s:c r="B837" s="0" t="inlineStr">
        <s:is>
          <s:t>이종훈</s:t>
        </s:is>
      </s:c>
      <s:c r="C837" s="0" t="n">
        <s:v>104823</s:v>
      </s:c>
      <s:c r="D837" s="0" t="n">
        <s:v>1477</s:v>
      </s:c>
      <s:c r="F837" s="24">
        <s:f>'자료구성'!$B$2+TIME(INT($C$3/10000),INT(MOD($C$3,10000)/100),MOD($C$3,100))+(ROW()-ROW($C$3))/86400</s:f>
        <s:v>46247.45991898148</s:v>
      </s:c>
    </s:row>
    <s:row r="838">
      <s:c r="A838" s="0" t="n">
        <s:v>260813</s:v>
      </s:c>
      <s:c r="B838" s="0" t="inlineStr">
        <s:is>
          <s:t>이종훈</s:t>
        </s:is>
      </s:c>
      <s:c r="C838" s="0" t="n">
        <s:v>104823</s:v>
      </s:c>
      <s:c r="D838" s="0" t="n">
        <s:v>1467</s:v>
      </s:c>
      <s:c r="F838" s="24">
        <s:f>'자료구성'!$B$2+TIME(INT($C$3/10000),INT(MOD($C$3,10000)/100),MOD($C$3,100))+(ROW()-ROW($C$3))/86400</s:f>
        <s:v>46247.45993055555</s:v>
      </s:c>
    </s:row>
    <s:row r="839">
      <s:c r="A839" s="0" t="n">
        <s:v>260813</s:v>
      </s:c>
      <s:c r="B839" s="0" t="inlineStr">
        <s:is>
          <s:t>이종훈</s:t>
        </s:is>
      </s:c>
      <s:c r="C839" s="0" t="n">
        <s:v>104823</s:v>
      </s:c>
      <s:c r="D839" s="0" t="n">
        <s:v>1487</s:v>
      </s:c>
      <s:c r="F839" s="24">
        <s:f>'자료구성'!$B$2+TIME(INT($C$3/10000),INT(MOD($C$3,10000)/100),MOD($C$3,100))+(ROW()-ROW($C$3))/86400</s:f>
        <s:v>46247.45994212963</s:v>
      </s:c>
    </s:row>
    <s:row r="840">
      <s:c r="A840" s="0" t="n">
        <s:v>260813</s:v>
      </s:c>
      <s:c r="B840" s="0" t="inlineStr">
        <s:is>
          <s:t>이종훈</s:t>
        </s:is>
      </s:c>
      <s:c r="C840" s="0" t="n">
        <s:v>104823</s:v>
      </s:c>
      <s:c r="D840" s="0" t="n">
        <s:v>1495</s:v>
      </s:c>
      <s:c r="F840" s="24">
        <s:f>'자료구성'!$B$2+TIME(INT($C$3/10000),INT(MOD($C$3,10000)/100),MOD($C$3,100))+(ROW()-ROW($C$3))/86400</s:f>
        <s:v>46247.45995370371</s:v>
      </s:c>
    </s:row>
    <s:row r="841">
      <s:c r="A841" s="0" t="n">
        <s:v>260813</s:v>
      </s:c>
      <s:c r="B841" s="0" t="inlineStr">
        <s:is>
          <s:t>이종훈</s:t>
        </s:is>
      </s:c>
      <s:c r="C841" s="0" t="n">
        <s:v>104823</s:v>
      </s:c>
      <s:c r="D841" s="0" t="n">
        <s:v>1513</s:v>
      </s:c>
      <s:c r="F841" s="24">
        <s:f>'자료구성'!$B$2+TIME(INT($C$3/10000),INT(MOD($C$3,10000)/100),MOD($C$3,100))+(ROW()-ROW($C$3))/86400</s:f>
        <s:v>46247.459965277776</s:v>
      </s:c>
    </s:row>
    <s:row r="842">
      <s:c r="A842" s="0" t="n">
        <s:v>260813</s:v>
      </s:c>
      <s:c r="B842" s="0" t="inlineStr">
        <s:is>
          <s:t>이종훈</s:t>
        </s:is>
      </s:c>
      <s:c r="C842" s="0" t="n">
        <s:v>104823</s:v>
      </s:c>
      <s:c r="D842" s="0" t="n">
        <s:v>1530</s:v>
      </s:c>
      <s:c r="F842" s="24">
        <s:f>'자료구성'!$B$2+TIME(INT($C$3/10000),INT(MOD($C$3,10000)/100),MOD($C$3,100))+(ROW()-ROW($C$3))/86400</s:f>
        <s:v>46247.45997685185</s:v>
      </s:c>
    </s:row>
    <s:row r="843">
      <s:c r="A843" s="0" t="n">
        <s:v>260813</s:v>
      </s:c>
      <s:c r="B843" s="0" t="inlineStr">
        <s:is>
          <s:t>이종훈</s:t>
        </s:is>
      </s:c>
      <s:c r="C843" s="0" t="n">
        <s:v>104823</s:v>
      </s:c>
      <s:c r="D843" s="0" t="n">
        <s:v>1546</s:v>
      </s:c>
      <s:c r="F843" s="24">
        <s:f>'자료구성'!$B$2+TIME(INT($C$3/10000),INT(MOD($C$3,10000)/100),MOD($C$3,100))+(ROW()-ROW($C$3))/86400</s:f>
        <s:v>46247.45998842592</s:v>
      </s:c>
    </s:row>
    <s:row r="844">
      <s:c r="A844" s="0" t="n">
        <s:v>260813</s:v>
      </s:c>
      <s:c r="B844" s="0" t="inlineStr">
        <s:is>
          <s:t>이종훈</s:t>
        </s:is>
      </s:c>
      <s:c r="C844" s="0" t="n">
        <s:v>104823</s:v>
      </s:c>
      <s:c r="D844" s="0" t="n">
        <s:v>1568</s:v>
      </s:c>
      <s:c r="F844" s="24">
        <s:f>'자료구성'!$B$2+TIME(INT($C$3/10000),INT(MOD($C$3,10000)/100),MOD($C$3,100))+(ROW()-ROW($C$3))/86400</s:f>
        <s:v>46247.46</s:v>
      </s:c>
    </s:row>
    <s:row r="845">
      <s:c r="A845" s="0" t="n">
        <s:v>260813</s:v>
      </s:c>
      <s:c r="B845" s="0" t="inlineStr">
        <s:is>
          <s:t>이종훈</s:t>
        </s:is>
      </s:c>
      <s:c r="C845" s="0" t="n">
        <s:v>104823</s:v>
      </s:c>
      <s:c r="D845" s="0" t="n">
        <s:v>1576</s:v>
      </s:c>
      <s:c r="F845" s="24">
        <s:f>'자료구성'!$B$2+TIME(INT($C$3/10000),INT(MOD($C$3,10000)/100),MOD($C$3,100))+(ROW()-ROW($C$3))/86400</s:f>
        <s:v>46247.460011574076</s:v>
      </s:c>
    </s:row>
    <s:row r="846">
      <s:c r="A846" s="0" t="n">
        <s:v>260813</s:v>
      </s:c>
      <s:c r="B846" s="0" t="inlineStr">
        <s:is>
          <s:t>이종훈</s:t>
        </s:is>
      </s:c>
      <s:c r="C846" s="0" t="n">
        <s:v>104823</s:v>
      </s:c>
      <s:c r="D846" s="0" t="n">
        <s:v>1594</s:v>
      </s:c>
      <s:c r="F846" s="24">
        <s:f>'자료구성'!$B$2+TIME(INT($C$3/10000),INT(MOD($C$3,10000)/100),MOD($C$3,100))+(ROW()-ROW($C$3))/86400</s:f>
        <s:v>46247.460023148145</s:v>
      </s:c>
    </s:row>
    <s:row r="847">
      <s:c r="A847" s="0" t="n">
        <s:v>260813</s:v>
      </s:c>
      <s:c r="B847" s="0" t="inlineStr">
        <s:is>
          <s:t>이종훈</s:t>
        </s:is>
      </s:c>
      <s:c r="C847" s="0" t="n">
        <s:v>104823</s:v>
      </s:c>
      <s:c r="D847" s="0" t="n">
        <s:v>1605</s:v>
      </s:c>
      <s:c r="F847" s="24">
        <s:f>'자료구성'!$B$2+TIME(INT($C$3/10000),INT(MOD($C$3,10000)/100),MOD($C$3,100))+(ROW()-ROW($C$3))/86400</s:f>
        <s:v>46247.46003472222</s:v>
      </s:c>
    </s:row>
    <s:row r="848">
      <s:c r="A848" s="0" t="n">
        <s:v>260813</s:v>
      </s:c>
      <s:c r="B848" s="0" t="inlineStr">
        <s:is>
          <s:t>이종훈</s:t>
        </s:is>
      </s:c>
      <s:c r="C848" s="0" t="n">
        <s:v>104823</s:v>
      </s:c>
      <s:c r="D848" s="0" t="n">
        <s:v>1608</s:v>
      </s:c>
      <s:c r="F848" s="24">
        <s:f>'자료구성'!$B$2+TIME(INT($C$3/10000),INT(MOD($C$3,10000)/100),MOD($C$3,100))+(ROW()-ROW($C$3))/86400</s:f>
        <s:v>46247.4600462963</s:v>
      </s:c>
    </s:row>
    <s:row r="849">
      <s:c r="A849" s="0" t="n">
        <s:v>260813</s:v>
      </s:c>
      <s:c r="B849" s="0" t="inlineStr">
        <s:is>
          <s:t>이종훈</s:t>
        </s:is>
      </s:c>
      <s:c r="C849" s="0" t="n">
        <s:v>104823</s:v>
      </s:c>
      <s:c r="D849" s="0" t="n">
        <s:v>1604</s:v>
      </s:c>
      <s:c r="F849" s="24">
        <s:f>'자료구성'!$B$2+TIME(INT($C$3/10000),INT(MOD($C$3,10000)/100),MOD($C$3,100))+(ROW()-ROW($C$3))/86400</s:f>
        <s:v>46247.46005787037</s:v>
      </s:c>
    </s:row>
    <s:row r="850">
      <s:c r="A850" s="0" t="n">
        <s:v>260813</s:v>
      </s:c>
      <s:c r="B850" s="0" t="inlineStr">
        <s:is>
          <s:t>이종훈</s:t>
        </s:is>
      </s:c>
      <s:c r="C850" s="0" t="n">
        <s:v>104823</s:v>
      </s:c>
      <s:c r="D850" s="0" t="n">
        <s:v>1589</s:v>
      </s:c>
      <s:c r="F850" s="24">
        <s:f>'자료구성'!$B$2+TIME(INT($C$3/10000),INT(MOD($C$3,10000)/100),MOD($C$3,100))+(ROW()-ROW($C$3))/86400</s:f>
        <s:v>46247.460069444445</s:v>
      </s:c>
    </s:row>
    <s:row r="851">
      <s:c r="A851" s="0" t="n">
        <s:v>260813</s:v>
      </s:c>
      <s:c r="B851" s="0" t="inlineStr">
        <s:is>
          <s:t>이종훈</s:t>
        </s:is>
      </s:c>
      <s:c r="C851" s="0" t="n">
        <s:v>104823</s:v>
      </s:c>
      <s:c r="D851" s="0" t="n">
        <s:v>1555</s:v>
      </s:c>
      <s:c r="F851" s="24">
        <s:f>'자료구성'!$B$2+TIME(INT($C$3/10000),INT(MOD($C$3,10000)/100),MOD($C$3,100))+(ROW()-ROW($C$3))/86400</s:f>
        <s:v>46247.46008101852</s:v>
      </s:c>
    </s:row>
    <s:row r="852">
      <s:c r="A852" s="0" t="n">
        <s:v>260813</s:v>
      </s:c>
      <s:c r="B852" s="0" t="inlineStr">
        <s:is>
          <s:t>이종훈</s:t>
        </s:is>
      </s:c>
      <s:c r="C852" s="0" t="n">
        <s:v>104823</s:v>
      </s:c>
      <s:c r="D852" s="0" t="n">
        <s:v>1536</s:v>
      </s:c>
      <s:c r="F852" s="24">
        <s:f>'자료구성'!$B$2+TIME(INT($C$3/10000),INT(MOD($C$3,10000)/100),MOD($C$3,100))+(ROW()-ROW($C$3))/86400</s:f>
        <s:v>46247.46009259259</s:v>
      </s:c>
    </s:row>
    <s:row r="853">
      <s:c r="A853" s="0" t="n">
        <s:v>260813</s:v>
      </s:c>
      <s:c r="B853" s="0" t="inlineStr">
        <s:is>
          <s:t>이종훈</s:t>
        </s:is>
      </s:c>
      <s:c r="C853" s="0" t="n">
        <s:v>104823</s:v>
      </s:c>
      <s:c r="D853" s="0" t="n">
        <s:v>1551</s:v>
      </s:c>
      <s:c r="F853" s="24">
        <s:f>'자료구성'!$B$2+TIME(INT($C$3/10000),INT(MOD($C$3,10000)/100),MOD($C$3,100))+(ROW()-ROW($C$3))/86400</s:f>
        <s:v>46247.46010416667</s:v>
      </s:c>
    </s:row>
    <s:row r="854">
      <s:c r="A854" s="0" t="n">
        <s:v>260813</s:v>
      </s:c>
      <s:c r="B854" s="0" t="inlineStr">
        <s:is>
          <s:t>이종훈</s:t>
        </s:is>
      </s:c>
      <s:c r="C854" s="0" t="n">
        <s:v>104823</s:v>
      </s:c>
      <s:c r="D854" s="0" t="n">
        <s:v>1562</s:v>
      </s:c>
      <s:c r="F854" s="24">
        <s:f>'자료구성'!$B$2+TIME(INT($C$3/10000),INT(MOD($C$3,10000)/100),MOD($C$3,100))+(ROW()-ROW($C$3))/86400</s:f>
        <s:v>46247.46011574074</s:v>
      </s:c>
    </s:row>
    <s:row r="855">
      <s:c r="A855" s="0" t="n">
        <s:v>260813</s:v>
      </s:c>
      <s:c r="B855" s="0" t="inlineStr">
        <s:is>
          <s:t>이종훈</s:t>
        </s:is>
      </s:c>
      <s:c r="C855" s="0" t="n">
        <s:v>104823</s:v>
      </s:c>
      <s:c r="D855" s="0" t="n">
        <s:v>1570</s:v>
      </s:c>
      <s:c r="F855" s="24">
        <s:f>'자료구성'!$B$2+TIME(INT($C$3/10000),INT(MOD($C$3,10000)/100),MOD($C$3,100))+(ROW()-ROW($C$3))/86400</s:f>
        <s:v>46247.460127314815</s:v>
      </s:c>
    </s:row>
    <s:row r="856">
      <s:c r="A856" s="0" t="n">
        <s:v>260813</s:v>
      </s:c>
      <s:c r="B856" s="0" t="inlineStr">
        <s:is>
          <s:t>이종훈</s:t>
        </s:is>
      </s:c>
      <s:c r="C856" s="0" t="n">
        <s:v>104823</s:v>
      </s:c>
      <s:c r="D856" s="0" t="n">
        <s:v>1593</s:v>
      </s:c>
      <s:c r="F856" s="24">
        <s:f>'자료구성'!$B$2+TIME(INT($C$3/10000),INT(MOD($C$3,10000)/100),MOD($C$3,100))+(ROW()-ROW($C$3))/86400</s:f>
        <s:v>46247.46013888889</s:v>
      </s:c>
    </s:row>
    <s:row r="857">
      <s:c r="A857" s="0" t="n">
        <s:v>260813</s:v>
      </s:c>
      <s:c r="B857" s="0" t="inlineStr">
        <s:is>
          <s:t>이종훈</s:t>
        </s:is>
      </s:c>
      <s:c r="C857" s="0" t="n">
        <s:v>104823</s:v>
      </s:c>
      <s:c r="D857" s="0" t="n">
        <s:v>1572</s:v>
      </s:c>
      <s:c r="F857" s="24">
        <s:f>'자료구성'!$B$2+TIME(INT($C$3/10000),INT(MOD($C$3,10000)/100),MOD($C$3,100))+(ROW()-ROW($C$3))/86400</s:f>
        <s:v>46247.46015046296</s:v>
      </s:c>
    </s:row>
    <s:row r="858">
      <s:c r="A858" s="0" t="n">
        <s:v>260813</s:v>
      </s:c>
      <s:c r="B858" s="0" t="inlineStr">
        <s:is>
          <s:t>이종훈</s:t>
        </s:is>
      </s:c>
      <s:c r="C858" s="0" t="n">
        <s:v>104823</s:v>
      </s:c>
      <s:c r="D858" s="0" t="n">
        <s:v>1559</s:v>
      </s:c>
      <s:c r="F858" s="24">
        <s:f>'자료구성'!$B$2+TIME(INT($C$3/10000),INT(MOD($C$3,10000)/100),MOD($C$3,100))+(ROW()-ROW($C$3))/86400</s:f>
        <s:v>46247.46016203704</s:v>
      </s:c>
    </s:row>
    <s:row r="859">
      <s:c r="A859" s="0" t="n">
        <s:v>260813</s:v>
      </s:c>
      <s:c r="B859" s="0" t="inlineStr">
        <s:is>
          <s:t>이종훈</s:t>
        </s:is>
      </s:c>
      <s:c r="C859" s="0" t="n">
        <s:v>104823</s:v>
      </s:c>
      <s:c r="D859" s="0" t="n">
        <s:v>1528</s:v>
      </s:c>
      <s:c r="F859" s="24">
        <s:f>'자료구성'!$B$2+TIME(INT($C$3/10000),INT(MOD($C$3,10000)/100),MOD($C$3,100))+(ROW()-ROW($C$3))/86400</s:f>
        <s:v>46247.460173611114</s:v>
      </s:c>
    </s:row>
    <s:row r="860">
      <s:c r="A860" s="0" t="n">
        <s:v>260813</s:v>
      </s:c>
      <s:c r="B860" s="0" t="inlineStr">
        <s:is>
          <s:t>이종훈</s:t>
        </s:is>
      </s:c>
      <s:c r="C860" s="0" t="n">
        <s:v>104823</s:v>
      </s:c>
      <s:c r="D860" s="0" t="n">
        <s:v>1508</s:v>
      </s:c>
      <s:c r="F860" s="24">
        <s:f>'자료구성'!$B$2+TIME(INT($C$3/10000),INT(MOD($C$3,10000)/100),MOD($C$3,100))+(ROW()-ROW($C$3))/86400</s:f>
        <s:v>46247.460185185184</s:v>
      </s:c>
    </s:row>
    <s:row r="861">
      <s:c r="A861" s="0" t="n">
        <s:v>260813</s:v>
      </s:c>
      <s:c r="B861" s="0" t="inlineStr">
        <s:is>
          <s:t>이종훈</s:t>
        </s:is>
      </s:c>
      <s:c r="C861" s="0" t="n">
        <s:v>104823</s:v>
      </s:c>
      <s:c r="D861" s="0" t="n">
        <s:v>1475</s:v>
      </s:c>
      <s:c r="F861" s="24">
        <s:f>'자료구성'!$B$2+TIME(INT($C$3/10000),INT(MOD($C$3,10000)/100),MOD($C$3,100))+(ROW()-ROW($C$3))/86400</s:f>
        <s:v>46247.46019675926</s:v>
      </s:c>
    </s:row>
    <s:row r="862">
      <s:c r="A862" s="0" t="n">
        <s:v>260813</s:v>
      </s:c>
      <s:c r="B862" s="0" t="inlineStr">
        <s:is>
          <s:t>이종훈</s:t>
        </s:is>
      </s:c>
      <s:c r="C862" s="0" t="n">
        <s:v>104823</s:v>
      </s:c>
      <s:c r="D862" s="0" t="n">
        <s:v>1460</s:v>
      </s:c>
      <s:c r="F862" s="24">
        <s:f>'자료구성'!$B$2+TIME(INT($C$3/10000),INT(MOD($C$3,10000)/100),MOD($C$3,100))+(ROW()-ROW($C$3))/86400</s:f>
        <s:v>46247.46020833333</s:v>
      </s:c>
    </s:row>
    <s:row r="863">
      <s:c r="A863" s="0" t="n">
        <s:v>260813</s:v>
      </s:c>
      <s:c r="B863" s="0" t="inlineStr">
        <s:is>
          <s:t>이종훈</s:t>
        </s:is>
      </s:c>
      <s:c r="C863" s="0" t="n">
        <s:v>104823</s:v>
      </s:c>
      <s:c r="D863" s="0" t="n">
        <s:v>1459</s:v>
      </s:c>
      <s:c r="F863" s="24">
        <s:f>'자료구성'!$B$2+TIME(INT($C$3/10000),INT(MOD($C$3,10000)/100),MOD($C$3,100))+(ROW()-ROW($C$3))/86400</s:f>
        <s:v>46247.46021990741</s:v>
      </s:c>
    </s:row>
    <s:row r="864">
      <s:c r="A864" s="0" t="n">
        <s:v>260813</s:v>
      </s:c>
      <s:c r="B864" s="0" t="inlineStr">
        <s:is>
          <s:t>이종훈</s:t>
        </s:is>
      </s:c>
      <s:c r="C864" s="0" t="n">
        <s:v>104823</s:v>
      </s:c>
      <s:c r="D864" s="0" t="n">
        <s:v>1449</s:v>
      </s:c>
      <s:c r="F864" s="24">
        <s:f>'자료구성'!$B$2+TIME(INT($C$3/10000),INT(MOD($C$3,10000)/100),MOD($C$3,100))+(ROW()-ROW($C$3))/86400</s:f>
        <s:v>46247.460231481484</s:v>
      </s:c>
    </s:row>
    <s:row r="865">
      <s:c r="A865" s="0" t="n">
        <s:v>260813</s:v>
      </s:c>
      <s:c r="B865" s="0" t="inlineStr">
        <s:is>
          <s:t>이종훈</s:t>
        </s:is>
      </s:c>
      <s:c r="C865" s="0" t="n">
        <s:v>104823</s:v>
      </s:c>
      <s:c r="D865" s="0" t="n">
        <s:v>1445</s:v>
      </s:c>
      <s:c r="F865" s="24">
        <s:f>'자료구성'!$B$2+TIME(INT($C$3/10000),INT(MOD($C$3,10000)/100),MOD($C$3,100))+(ROW()-ROW($C$3))/86400</s:f>
        <s:v>46247.46024305555</s:v>
      </s:c>
    </s:row>
    <s:row r="866">
      <s:c r="A866" s="0" t="n">
        <s:v>260813</s:v>
      </s:c>
      <s:c r="B866" s="0" t="inlineStr">
        <s:is>
          <s:t>이종훈</s:t>
        </s:is>
      </s:c>
      <s:c r="C866" s="0" t="n">
        <s:v>104823</s:v>
      </s:c>
      <s:c r="D866" s="0" t="n">
        <s:v>1443</s:v>
      </s:c>
      <s:c r="F866" s="24">
        <s:f>'자료구성'!$B$2+TIME(INT($C$3/10000),INT(MOD($C$3,10000)/100),MOD($C$3,100))+(ROW()-ROW($C$3))/86400</s:f>
        <s:v>46247.46025462963</s:v>
      </s:c>
    </s:row>
    <s:row r="867">
      <s:c r="A867" s="0" t="n">
        <s:v>260813</s:v>
      </s:c>
      <s:c r="B867" s="0" t="inlineStr">
        <s:is>
          <s:t>이종훈</s:t>
        </s:is>
      </s:c>
      <s:c r="C867" s="0" t="n">
        <s:v>104823</s:v>
      </s:c>
      <s:c r="D867" s="0" t="n">
        <s:v>1437</s:v>
      </s:c>
      <s:c r="F867" s="24">
        <s:f>'자료구성'!$B$2+TIME(INT($C$3/10000),INT(MOD($C$3,10000)/100),MOD($C$3,100))+(ROW()-ROW($C$3))/86400</s:f>
        <s:v>46247.46026620371</s:v>
      </s:c>
    </s:row>
    <s:row r="868">
      <s:c r="A868" s="0" t="n">
        <s:v>260813</s:v>
      </s:c>
      <s:c r="B868" s="0" t="inlineStr">
        <s:is>
          <s:t>이종훈</s:t>
        </s:is>
      </s:c>
      <s:c r="C868" s="0" t="n">
        <s:v>104823</s:v>
      </s:c>
      <s:c r="D868" s="0" t="n">
        <s:v>1428</s:v>
      </s:c>
      <s:c r="F868" s="24">
        <s:f>'자료구성'!$B$2+TIME(INT($C$3/10000),INT(MOD($C$3,10000)/100),MOD($C$3,100))+(ROW()-ROW($C$3))/86400</s:f>
        <s:v>46247.460277777776</s:v>
      </s:c>
    </s:row>
    <s:row r="869">
      <s:c r="A869" s="0" t="n">
        <s:v>260813</s:v>
      </s:c>
      <s:c r="B869" s="0" t="inlineStr">
        <s:is>
          <s:t>이종훈</s:t>
        </s:is>
      </s:c>
      <s:c r="C869" s="0" t="n">
        <s:v>104823</s:v>
      </s:c>
      <s:c r="D869" s="0" t="n">
        <s:v>1442</s:v>
      </s:c>
      <s:c r="F869" s="24">
        <s:f>'자료구성'!$B$2+TIME(INT($C$3/10000),INT(MOD($C$3,10000)/100),MOD($C$3,100))+(ROW()-ROW($C$3))/86400</s:f>
        <s:v>46247.46028935185</s:v>
      </s:c>
    </s:row>
    <s:row r="870">
      <s:c r="A870" s="0" t="n">
        <s:v>260813</s:v>
      </s:c>
      <s:c r="B870" s="0" t="inlineStr">
        <s:is>
          <s:t>이종훈</s:t>
        </s:is>
      </s:c>
      <s:c r="C870" s="0" t="n">
        <s:v>104823</s:v>
      </s:c>
      <s:c r="D870" s="0" t="n">
        <s:v>1437</s:v>
      </s:c>
      <s:c r="F870" s="24">
        <s:f>'자료구성'!$B$2+TIME(INT($C$3/10000),INT(MOD($C$3,10000)/100),MOD($C$3,100))+(ROW()-ROW($C$3))/86400</s:f>
        <s:v>46247.46030092592</s:v>
      </s:c>
    </s:row>
    <s:row r="871">
      <s:c r="A871" s="0" t="n">
        <s:v>260813</s:v>
      </s:c>
      <s:c r="B871" s="0" t="inlineStr">
        <s:is>
          <s:t>이종훈</s:t>
        </s:is>
      </s:c>
      <s:c r="C871" s="0" t="n">
        <s:v>104823</s:v>
      </s:c>
      <s:c r="D871" s="0" t="n">
        <s:v>1432</s:v>
      </s:c>
      <s:c r="F871" s="24">
        <s:f>'자료구성'!$B$2+TIME(INT($C$3/10000),INT(MOD($C$3,10000)/100),MOD($C$3,100))+(ROW()-ROW($C$3))/86400</s:f>
        <s:v>46247.4603125</s:v>
      </s:c>
    </s:row>
    <s:row r="872">
      <s:c r="A872" s="0" t="n">
        <s:v>260813</s:v>
      </s:c>
      <s:c r="B872" s="0" t="inlineStr">
        <s:is>
          <s:t>이종훈</s:t>
        </s:is>
      </s:c>
      <s:c r="C872" s="0" t="n">
        <s:v>104823</s:v>
      </s:c>
      <s:c r="D872" s="0" t="n">
        <s:v>1425</s:v>
      </s:c>
      <s:c r="F872" s="24">
        <s:f>'자료구성'!$B$2+TIME(INT($C$3/10000),INT(MOD($C$3,10000)/100),MOD($C$3,100))+(ROW()-ROW($C$3))/86400</s:f>
        <s:v>46247.460324074076</s:v>
      </s:c>
    </s:row>
    <s:row r="873">
      <s:c r="A873" s="0" t="n">
        <s:v>260813</s:v>
      </s:c>
      <s:c r="B873" s="0" t="inlineStr">
        <s:is>
          <s:t>이종훈</s:t>
        </s:is>
      </s:c>
      <s:c r="C873" s="0" t="n">
        <s:v>104823</s:v>
      </s:c>
      <s:c r="D873" s="0" t="n">
        <s:v>1437</s:v>
      </s:c>
      <s:c r="F873" s="24">
        <s:f>'자료구성'!$B$2+TIME(INT($C$3/10000),INT(MOD($C$3,10000)/100),MOD($C$3,100))+(ROW()-ROW($C$3))/86400</s:f>
        <s:v>46247.460335648146</s:v>
      </s:c>
    </s:row>
    <s:row r="874">
      <s:c r="A874" s="0" t="n">
        <s:v>260813</s:v>
      </s:c>
      <s:c r="B874" s="0" t="inlineStr">
        <s:is>
          <s:t>이종훈</s:t>
        </s:is>
      </s:c>
      <s:c r="C874" s="0" t="n">
        <s:v>104823</s:v>
      </s:c>
      <s:c r="D874" s="0" t="n">
        <s:v>1429</s:v>
      </s:c>
      <s:c r="F874" s="24">
        <s:f>'자료구성'!$B$2+TIME(INT($C$3/10000),INT(MOD($C$3,10000)/100),MOD($C$3,100))+(ROW()-ROW($C$3))/86400</s:f>
        <s:v>46247.46034722222</s:v>
      </s:c>
    </s:row>
    <s:row r="875">
      <s:c r="A875" s="0" t="n">
        <s:v>260813</s:v>
      </s:c>
      <s:c r="B875" s="0" t="inlineStr">
        <s:is>
          <s:t>이종훈</s:t>
        </s:is>
      </s:c>
      <s:c r="C875" s="0" t="n">
        <s:v>104823</s:v>
      </s:c>
      <s:c r="D875" s="0" t="n">
        <s:v>1427</s:v>
      </s:c>
      <s:c r="F875" s="24">
        <s:f>'자료구성'!$B$2+TIME(INT($C$3/10000),INT(MOD($C$3,10000)/100),MOD($C$3,100))+(ROW()-ROW($C$3))/86400</s:f>
        <s:v>46247.4603587963</s:v>
      </s:c>
    </s:row>
    <s:row r="876">
      <s:c r="A876" s="0" t="n">
        <s:v>260813</s:v>
      </s:c>
      <s:c r="B876" s="0" t="inlineStr">
        <s:is>
          <s:t>이종훈</s:t>
        </s:is>
      </s:c>
      <s:c r="C876" s="0" t="n">
        <s:v>104823</s:v>
      </s:c>
      <s:c r="D876" s="0" t="n">
        <s:v>1457</s:v>
      </s:c>
      <s:c r="F876" s="24">
        <s:f>'자료구성'!$B$2+TIME(INT($C$3/10000),INT(MOD($C$3,10000)/100),MOD($C$3,100))+(ROW()-ROW($C$3))/86400</s:f>
        <s:v>46247.46037037037</s:v>
      </s:c>
    </s:row>
    <s:row r="877">
      <s:c r="A877" s="0" t="n">
        <s:v>260813</s:v>
      </s:c>
      <s:c r="B877" s="0" t="inlineStr">
        <s:is>
          <s:t>이종훈</s:t>
        </s:is>
      </s:c>
      <s:c r="C877" s="0" t="n">
        <s:v>104823</s:v>
      </s:c>
      <s:c r="D877" s="0" t="n">
        <s:v>1489</s:v>
      </s:c>
      <s:c r="F877" s="24">
        <s:f>'자료구성'!$B$2+TIME(INT($C$3/10000),INT(MOD($C$3,10000)/100),MOD($C$3,100))+(ROW()-ROW($C$3))/86400</s:f>
        <s:v>46247.460381944446</s:v>
      </s:c>
    </s:row>
    <s:row r="878">
      <s:c r="A878" s="0" t="n">
        <s:v>260813</s:v>
      </s:c>
      <s:c r="B878" s="0" t="inlineStr">
        <s:is>
          <s:t>이종훈</s:t>
        </s:is>
      </s:c>
      <s:c r="C878" s="0" t="n">
        <s:v>104823</s:v>
      </s:c>
      <s:c r="D878" s="0" t="n">
        <s:v>1515</s:v>
      </s:c>
      <s:c r="F878" s="24">
        <s:f>'자료구성'!$B$2+TIME(INT($C$3/10000),INT(MOD($C$3,10000)/100),MOD($C$3,100))+(ROW()-ROW($C$3))/86400</s:f>
        <s:v>46247.460393518515</s:v>
      </s:c>
    </s:row>
    <s:row r="879">
      <s:c r="A879" s="0" t="n">
        <s:v>260813</s:v>
      </s:c>
      <s:c r="B879" s="0" t="inlineStr">
        <s:is>
          <s:t>이종훈</s:t>
        </s:is>
      </s:c>
      <s:c r="C879" s="0" t="n">
        <s:v>104823</s:v>
      </s:c>
      <s:c r="D879" s="0" t="n">
        <s:v>1538</s:v>
      </s:c>
      <s:c r="F879" s="24">
        <s:f>'자료구성'!$B$2+TIME(INT($C$3/10000),INT(MOD($C$3,10000)/100),MOD($C$3,100))+(ROW()-ROW($C$3))/86400</s:f>
        <s:v>46247.46040509259</s:v>
      </s:c>
    </s:row>
    <s:row r="880">
      <s:c r="A880" s="0" t="n">
        <s:v>260813</s:v>
      </s:c>
      <s:c r="B880" s="0" t="inlineStr">
        <s:is>
          <s:t>이종훈</s:t>
        </s:is>
      </s:c>
      <s:c r="C880" s="0" t="n">
        <s:v>104823</s:v>
      </s:c>
      <s:c r="D880" s="0" t="n">
        <s:v>1561</s:v>
      </s:c>
      <s:c r="F880" s="24">
        <s:f>'자료구성'!$B$2+TIME(INT($C$3/10000),INT(MOD($C$3,10000)/100),MOD($C$3,100))+(ROW()-ROW($C$3))/86400</s:f>
        <s:v>46247.46041666667</s:v>
      </s:c>
    </s:row>
    <s:row r="881">
      <s:c r="A881" s="0" t="n">
        <s:v>260813</s:v>
      </s:c>
      <s:c r="B881" s="0" t="inlineStr">
        <s:is>
          <s:t>이종훈</s:t>
        </s:is>
      </s:c>
      <s:c r="C881" s="0" t="n">
        <s:v>104823</s:v>
      </s:c>
      <s:c r="D881" s="0" t="n">
        <s:v>1600</s:v>
      </s:c>
      <s:c r="F881" s="24">
        <s:f>'자료구성'!$B$2+TIME(INT($C$3/10000),INT(MOD($C$3,10000)/100),MOD($C$3,100))+(ROW()-ROW($C$3))/86400</s:f>
        <s:v>46247.46042824074</s:v>
      </s:c>
    </s:row>
    <s:row r="882">
      <s:c r="A882" s="0" t="n">
        <s:v>260813</s:v>
      </s:c>
      <s:c r="B882" s="0" t="inlineStr">
        <s:is>
          <s:t>이종훈</s:t>
        </s:is>
      </s:c>
      <s:c r="C882" s="0" t="n">
        <s:v>104823</s:v>
      </s:c>
      <s:c r="D882" s="0" t="n">
        <s:v>1606</s:v>
      </s:c>
      <s:c r="F882" s="24">
        <s:f>'자료구성'!$B$2+TIME(INT($C$3/10000),INT(MOD($C$3,10000)/100),MOD($C$3,100))+(ROW()-ROW($C$3))/86400</s:f>
        <s:v>46247.460439814815</s:v>
      </s:c>
    </s:row>
    <s:row r="883">
      <s:c r="A883" s="0" t="n">
        <s:v>260813</s:v>
      </s:c>
      <s:c r="B883" s="0" t="inlineStr">
        <s:is>
          <s:t>이종훈</s:t>
        </s:is>
      </s:c>
      <s:c r="C883" s="0" t="n">
        <s:v>104823</s:v>
      </s:c>
      <s:c r="D883" s="0" t="n">
        <s:v>1615</s:v>
      </s:c>
      <s:c r="F883" s="24">
        <s:f>'자료구성'!$B$2+TIME(INT($C$3/10000),INT(MOD($C$3,10000)/100),MOD($C$3,100))+(ROW()-ROW($C$3))/86400</s:f>
        <s:v>46247.46045138889</s:v>
      </s:c>
    </s:row>
    <s:row r="884">
      <s:c r="A884" s="0" t="n">
        <s:v>260813</s:v>
      </s:c>
      <s:c r="B884" s="0" t="inlineStr">
        <s:is>
          <s:t>이종훈</s:t>
        </s:is>
      </s:c>
      <s:c r="C884" s="0" t="n">
        <s:v>104823</s:v>
      </s:c>
      <s:c r="D884" s="0" t="n">
        <s:v>1626</s:v>
      </s:c>
      <s:c r="F884" s="24">
        <s:f>'자료구성'!$B$2+TIME(INT($C$3/10000),INT(MOD($C$3,10000)/100),MOD($C$3,100))+(ROW()-ROW($C$3))/86400</s:f>
        <s:v>46247.46046296296</s:v>
      </s:c>
    </s:row>
    <s:row r="885">
      <s:c r="A885" s="0" t="n">
        <s:v>260813</s:v>
      </s:c>
      <s:c r="B885" s="0" t="inlineStr">
        <s:is>
          <s:t>이종훈</s:t>
        </s:is>
      </s:c>
      <s:c r="C885" s="0" t="n">
        <s:v>104823</s:v>
      </s:c>
      <s:c r="D885" s="0" t="n">
        <s:v>1636</s:v>
      </s:c>
      <s:c r="F885" s="24">
        <s:f>'자료구성'!$B$2+TIME(INT($C$3/10000),INT(MOD($C$3,10000)/100),MOD($C$3,100))+(ROW()-ROW($C$3))/86400</s:f>
        <s:v>46247.46047453704</s:v>
      </s:c>
    </s:row>
    <s:row r="886">
      <s:c r="A886" s="0" t="n">
        <s:v>260813</s:v>
      </s:c>
      <s:c r="B886" s="0" t="inlineStr">
        <s:is>
          <s:t>이종훈</s:t>
        </s:is>
      </s:c>
      <s:c r="C886" s="0" t="n">
        <s:v>104823</s:v>
      </s:c>
      <s:c r="D886" s="0" t="n">
        <s:v>1633</s:v>
      </s:c>
      <s:c r="F886" s="24">
        <s:f>'자료구성'!$B$2+TIME(INT($C$3/10000),INT(MOD($C$3,10000)/100),MOD($C$3,100))+(ROW()-ROW($C$3))/86400</s:f>
        <s:v>46247.460486111115</s:v>
      </s:c>
    </s:row>
    <s:row r="887">
      <s:c r="A887" s="0" t="n">
        <s:v>260813</s:v>
      </s:c>
      <s:c r="B887" s="0" t="inlineStr">
        <s:is>
          <s:t>이종훈</s:t>
        </s:is>
      </s:c>
      <s:c r="C887" s="0" t="n">
        <s:v>104823</s:v>
      </s:c>
      <s:c r="D887" s="0" t="n">
        <s:v>1623</s:v>
      </s:c>
      <s:c r="F887" s="24">
        <s:f>'자료구성'!$B$2+TIME(INT($C$3/10000),INT(MOD($C$3,10000)/100),MOD($C$3,100))+(ROW()-ROW($C$3))/86400</s:f>
        <s:v>46247.460497685184</s:v>
      </s:c>
    </s:row>
    <s:row r="888">
      <s:c r="A888" s="0" t="n">
        <s:v>260813</s:v>
      </s:c>
      <s:c r="B888" s="0" t="inlineStr">
        <s:is>
          <s:t>이종훈</s:t>
        </s:is>
      </s:c>
      <s:c r="C888" s="0" t="n">
        <s:v>104823</s:v>
      </s:c>
      <s:c r="D888" s="0" t="n">
        <s:v>1590</s:v>
      </s:c>
      <s:c r="F888" s="24">
        <s:f>'자료구성'!$B$2+TIME(INT($C$3/10000),INT(MOD($C$3,10000)/100),MOD($C$3,100))+(ROW()-ROW($C$3))/86400</s:f>
        <s:v>46247.46050925926</s:v>
      </s:c>
    </s:row>
    <s:row r="889">
      <s:c r="A889" s="0" t="n">
        <s:v>260813</s:v>
      </s:c>
      <s:c r="B889" s="0" t="inlineStr">
        <s:is>
          <s:t>이종훈</s:t>
        </s:is>
      </s:c>
      <s:c r="C889" s="0" t="n">
        <s:v>104823</s:v>
      </s:c>
      <s:c r="D889" s="0" t="n">
        <s:v>1581</s:v>
      </s:c>
      <s:c r="F889" s="24">
        <s:f>'자료구성'!$B$2+TIME(INT($C$3/10000),INT(MOD($C$3,10000)/100),MOD($C$3,100))+(ROW()-ROW($C$3))/86400</s:f>
        <s:v>46247.46052083333</s:v>
      </s:c>
    </s:row>
    <s:row r="890">
      <s:c r="A890" s="0" t="n">
        <s:v>260813</s:v>
      </s:c>
      <s:c r="B890" s="0" t="inlineStr">
        <s:is>
          <s:t>이종훈</s:t>
        </s:is>
      </s:c>
      <s:c r="C890" s="0" t="n">
        <s:v>104823</s:v>
      </s:c>
      <s:c r="D890" s="0" t="n">
        <s:v>1581</s:v>
      </s:c>
      <s:c r="F890" s="24">
        <s:f>'자료구성'!$B$2+TIME(INT($C$3/10000),INT(MOD($C$3,10000)/100),MOD($C$3,100))+(ROW()-ROW($C$3))/86400</s:f>
        <s:v>46247.46053240741</s:v>
      </s:c>
    </s:row>
    <s:row r="891">
      <s:c r="A891" s="0" t="n">
        <s:v>260813</s:v>
      </s:c>
      <s:c r="B891" s="0" t="inlineStr">
        <s:is>
          <s:t>이종훈</s:t>
        </s:is>
      </s:c>
      <s:c r="C891" s="0" t="n">
        <s:v>104823</s:v>
      </s:c>
      <s:c r="D891" s="0" t="n">
        <s:v>1581</s:v>
      </s:c>
      <s:c r="F891" s="24">
        <s:f>'자료구성'!$B$2+TIME(INT($C$3/10000),INT(MOD($C$3,10000)/100),MOD($C$3,100))+(ROW()-ROW($C$3))/86400</s:f>
        <s:v>46247.460543981484</s:v>
      </s:c>
    </s:row>
    <s:row r="892">
      <s:c r="A892" s="0" t="n">
        <s:v>260813</s:v>
      </s:c>
      <s:c r="B892" s="0" t="inlineStr">
        <s:is>
          <s:t>이종훈</s:t>
        </s:is>
      </s:c>
      <s:c r="C892" s="0" t="n">
        <s:v>104823</s:v>
      </s:c>
      <s:c r="D892" s="0" t="n">
        <s:v>1587</s:v>
      </s:c>
      <s:c r="F892" s="24">
        <s:f>'자료구성'!$B$2+TIME(INT($C$3/10000),INT(MOD($C$3,10000)/100),MOD($C$3,100))+(ROW()-ROW($C$3))/86400</s:f>
        <s:v>46247.46055555555</s:v>
      </s:c>
    </s:row>
    <s:row r="893">
      <s:c r="A893" s="0" t="n">
        <s:v>260813</s:v>
      </s:c>
      <s:c r="B893" s="0" t="inlineStr">
        <s:is>
          <s:t>이종훈</s:t>
        </s:is>
      </s:c>
      <s:c r="C893" s="0" t="n">
        <s:v>104823</s:v>
      </s:c>
      <s:c r="D893" s="0" t="n">
        <s:v>1570</s:v>
      </s:c>
      <s:c r="F893" s="24">
        <s:f>'자료구성'!$B$2+TIME(INT($C$3/10000),INT(MOD($C$3,10000)/100),MOD($C$3,100))+(ROW()-ROW($C$3))/86400</s:f>
        <s:v>46247.46056712963</s:v>
      </s:c>
    </s:row>
    <s:row r="894">
      <s:c r="A894" s="0" t="n">
        <s:v>260813</s:v>
      </s:c>
      <s:c r="B894" s="0" t="inlineStr">
        <s:is>
          <s:t>이종훈</s:t>
        </s:is>
      </s:c>
      <s:c r="C894" s="0" t="n">
        <s:v>104823</s:v>
      </s:c>
      <s:c r="D894" s="0" t="n">
        <s:v>1570</s:v>
      </s:c>
      <s:c r="F894" s="24">
        <s:f>'자료구성'!$B$2+TIME(INT($C$3/10000),INT(MOD($C$3,10000)/100),MOD($C$3,100))+(ROW()-ROW($C$3))/86400</s:f>
        <s:v>46247.46057870371</s:v>
      </s:c>
    </s:row>
    <s:row r="895">
      <s:c r="A895" s="0" t="n">
        <s:v>260813</s:v>
      </s:c>
      <s:c r="B895" s="0" t="inlineStr">
        <s:is>
          <s:t>이종훈</s:t>
        </s:is>
      </s:c>
      <s:c r="C895" s="0" t="n">
        <s:v>104823</s:v>
      </s:c>
      <s:c r="D895" s="0" t="n">
        <s:v>1566</s:v>
      </s:c>
      <s:c r="F895" s="24">
        <s:f>'자료구성'!$B$2+TIME(INT($C$3/10000),INT(MOD($C$3,10000)/100),MOD($C$3,100))+(ROW()-ROW($C$3))/86400</s:f>
        <s:v>46247.46059027778</s:v>
      </s:c>
    </s:row>
    <s:row r="896">
      <s:c r="A896" s="0" t="n">
        <s:v>260813</s:v>
      </s:c>
      <s:c r="B896" s="0" t="inlineStr">
        <s:is>
          <s:t>이종훈</s:t>
        </s:is>
      </s:c>
      <s:c r="C896" s="0" t="n">
        <s:v>104823</s:v>
      </s:c>
      <s:c r="D896" s="0" t="n">
        <s:v>1564</s:v>
      </s:c>
      <s:c r="F896" s="24">
        <s:f>'자료구성'!$B$2+TIME(INT($C$3/10000),INT(MOD($C$3,10000)/100),MOD($C$3,100))+(ROW()-ROW($C$3))/86400</s:f>
        <s:v>46247.46060185185</s:v>
      </s:c>
    </s:row>
    <s:row r="897">
      <s:c r="A897" s="0" t="n">
        <s:v>260813</s:v>
      </s:c>
      <s:c r="B897" s="0" t="inlineStr">
        <s:is>
          <s:t>이종훈</s:t>
        </s:is>
      </s:c>
      <s:c r="C897" s="0" t="n">
        <s:v>104823</s:v>
      </s:c>
      <s:c r="D897" s="0" t="n">
        <s:v>1573</s:v>
      </s:c>
      <s:c r="F897" s="24">
        <s:f>'자료구성'!$B$2+TIME(INT($C$3/10000),INT(MOD($C$3,10000)/100),MOD($C$3,100))+(ROW()-ROW($C$3))/86400</s:f>
        <s:v>46247.46061342592</s:v>
      </s:c>
    </s:row>
    <s:row r="898">
      <s:c r="A898" s="0" t="n">
        <s:v>260813</s:v>
      </s:c>
      <s:c r="B898" s="0" t="inlineStr">
        <s:is>
          <s:t>이종훈</s:t>
        </s:is>
      </s:c>
      <s:c r="C898" s="0" t="n">
        <s:v>104823</s:v>
      </s:c>
      <s:c r="D898" s="0" t="n">
        <s:v>1580</s:v>
      </s:c>
      <s:c r="F898" s="24">
        <s:f>'자료구성'!$B$2+TIME(INT($C$3/10000),INT(MOD($C$3,10000)/100),MOD($C$3,100))+(ROW()-ROW($C$3))/86400</s:f>
        <s:v>46247.460625</s:v>
      </s:c>
    </s:row>
    <s:row r="899">
      <s:c r="A899" s="0" t="n">
        <s:v>260813</s:v>
      </s:c>
      <s:c r="B899" s="0" t="inlineStr">
        <s:is>
          <s:t>이종훈</s:t>
        </s:is>
      </s:c>
      <s:c r="C899" s="0" t="n">
        <s:v>104823</s:v>
      </s:c>
      <s:c r="D899" s="0" t="n">
        <s:v>1604</s:v>
      </s:c>
      <s:c r="F899" s="24">
        <s:f>'자료구성'!$B$2+TIME(INT($C$3/10000),INT(MOD($C$3,10000)/100),MOD($C$3,100))+(ROW()-ROW($C$3))/86400</s:f>
        <s:v>46247.46063657408</s:v>
      </s:c>
    </s:row>
    <s:row r="900">
      <s:c r="A900" s="0" t="n">
        <s:v>260813</s:v>
      </s:c>
      <s:c r="B900" s="0" t="inlineStr">
        <s:is>
          <s:t>이종훈</s:t>
        </s:is>
      </s:c>
      <s:c r="C900" s="0" t="n">
        <s:v>104823</s:v>
      </s:c>
      <s:c r="D900" s="0" t="n">
        <s:v>1588</s:v>
      </s:c>
      <s:c r="F900" s="24">
        <s:f>'자료구성'!$B$2+TIME(INT($C$3/10000),INT(MOD($C$3,10000)/100),MOD($C$3,100))+(ROW()-ROW($C$3))/86400</s:f>
        <s:v>46247.460648148146</s:v>
      </s:c>
    </s:row>
    <s:row r="901">
      <s:c r="A901" s="0" t="n">
        <s:v>260813</s:v>
      </s:c>
      <s:c r="B901" s="0" t="inlineStr">
        <s:is>
          <s:t>이종훈</s:t>
        </s:is>
      </s:c>
      <s:c r="C901" s="0" t="n">
        <s:v>104823</s:v>
      </s:c>
      <s:c r="D901" s="0" t="n">
        <s:v>1616</s:v>
      </s:c>
      <s:c r="F901" s="24">
        <s:f>'자료구성'!$B$2+TIME(INT($C$3/10000),INT(MOD($C$3,10000)/100),MOD($C$3,100))+(ROW()-ROW($C$3))/86400</s:f>
        <s:v>46247.46065972222</s:v>
      </s:c>
    </s:row>
    <s:row r="902">
      <s:c r="A902" s="0" t="n">
        <s:v>260813</s:v>
      </s:c>
      <s:c r="B902" s="0" t="inlineStr">
        <s:is>
          <s:t>이종훈</s:t>
        </s:is>
      </s:c>
      <s:c r="C902" s="0" t="n">
        <s:v>104823</s:v>
      </s:c>
      <s:c r="D902" s="0" t="n">
        <s:v>1609</s:v>
      </s:c>
      <s:c r="F902" s="24">
        <s:f>'자료구성'!$B$2+TIME(INT($C$3/10000),INT(MOD($C$3,10000)/100),MOD($C$3,100))+(ROW()-ROW($C$3))/86400</s:f>
        <s:v>46247.4606712963</s:v>
      </s:c>
    </s:row>
  </s:sheetData>
  <s:mergeCells count="1">
    <s:mergeCell ref="A1:E1"/>
  </s:mergeCells>
  <s:pageMargins left="0.7" right="0.7" top="0.75" bottom="0.75" header="0.3" footer="0.3"/>
  <s:pageSetup orientation="portrait" paperSize="9"/>
  <s:legacyDrawing r:id="anysvml"/>
</s:worksheet>
</file>

<file path=xl/worksheets/sheet7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/>
  </s:sheetPr>
  <s:dimension ref="A1:F902"/>
  <s:sheetViews>
    <s:sheetView workbookViewId="0">
      <s:pane ySplit="2" topLeftCell="A3" activePane="bottomLeft" state="frozen"/>
      <s:selection pane="bottomLeft" activeCell="D902" sqref="D3:D902"/>
    </s:sheetView>
  </s:sheetViews>
  <s:sheetFormatPr baseColWidth="8" defaultRowHeight="16.5"/>
  <s:cols>
    <s:col width="25" customWidth="1" style="7" min="6" max="6"/>
  </s:cols>
  <s:sheetData>
    <s:row r="1">
      <s:c r="A1" s="4" t="inlineStr">
        <s:is>
          <s:t>소나무</s:t>
        </s:is>
      </s:c>
    </s:row>
    <s:row r="2" ht="17.25" customHeight="1" s="7" thickBot="1">
      <s:c r="A2" s="2" t="inlineStr">
        <s:is>
          <s:t>조사일자</s:t>
        </s:is>
      </s:c>
      <s:c r="B2" s="3" t="inlineStr">
        <s:is>
          <s:t>조사자명</s:t>
        </s:is>
      </s:c>
      <s:c r="C2" s="3" t="inlineStr">
        <s:is>
          <s:t>조사시작시간</s:t>
        </s:is>
      </s:c>
      <s:c r="D2" s="3" t="inlineStr">
        <s:is>
          <s:t>음이온발생량</s:t>
        </s:is>
      </s:c>
      <s:c r="E2" s="1" t="inlineStr">
        <s:is>
          <s:t>비고</s:t>
        </s:is>
      </s:c>
      <s:c r="F2" s="3" t="inlineStr">
        <s:is>
          <s:t>측정일시</s:t>
        </s:is>
      </s:c>
    </s:row>
    <s:row r="3">
      <s:c r="A3" s="0" t="n">
        <s:v>260813</s:v>
      </s:c>
      <s:c r="B3" s="0" t="inlineStr">
        <s:is>
          <s:t>이종훈</s:t>
        </s:is>
      </s:c>
      <s:c r="C3" s="0" t="n">
        <s:v>102022</s:v>
      </s:c>
      <s:c r="D3" s="0" t="n">
        <s:v>3410</s:v>
      </s:c>
      <s:c r="F3" s="24">
        <s:f>'자료구성'!$B$2+TIME(INT($C$3/10000),INT(MOD($C$3,10000)/100),MOD($C$3,100))+(ROW()-ROW($C$3))/86400</s:f>
        <s:v>46247.430810185186</s:v>
      </s:c>
    </s:row>
    <s:row r="4">
      <s:c r="A4" s="0" t="n">
        <s:v>260813</s:v>
      </s:c>
      <s:c r="B4" s="0" t="inlineStr">
        <s:is>
          <s:t>이종훈</s:t>
        </s:is>
      </s:c>
      <s:c r="C4" s="0" t="n">
        <s:v>102022</s:v>
      </s:c>
      <s:c r="D4" s="0" t="n">
        <s:v>3489</s:v>
      </s:c>
      <s:c r="F4" s="24">
        <s:f>'자료구성'!$B$2+TIME(INT($C$3/10000),INT(MOD($C$3,10000)/100),MOD($C$3,100))+(ROW()-ROW($C$3))/86400</s:f>
        <s:v>46247.43082175926</s:v>
      </s:c>
    </s:row>
    <s:row r="5">
      <s:c r="A5" s="0" t="n">
        <s:v>260813</s:v>
      </s:c>
      <s:c r="B5" s="0" t="inlineStr">
        <s:is>
          <s:t>이종훈</s:t>
        </s:is>
      </s:c>
      <s:c r="C5" s="0" t="n">
        <s:v>102022</s:v>
      </s:c>
      <s:c r="D5" s="0" t="n">
        <s:v>3527</s:v>
      </s:c>
      <s:c r="F5" s="24">
        <s:f>'자료구성'!$B$2+TIME(INT($C$3/10000),INT(MOD($C$3,10000)/100),MOD($C$3,100))+(ROW()-ROW($C$3))/86400</s:f>
        <s:v>46247.43083333333</s:v>
      </s:c>
    </s:row>
    <s:row r="6">
      <s:c r="A6" s="0" t="n">
        <s:v>260813</s:v>
      </s:c>
      <s:c r="B6" s="0" t="inlineStr">
        <s:is>
          <s:t>이종훈</s:t>
        </s:is>
      </s:c>
      <s:c r="C6" s="0" t="n">
        <s:v>102022</s:v>
      </s:c>
      <s:c r="D6" s="0" t="n">
        <s:v>3589</s:v>
      </s:c>
      <s:c r="F6" s="24">
        <s:f>'자료구성'!$B$2+TIME(INT($C$3/10000),INT(MOD($C$3,10000)/100),MOD($C$3,100))+(ROW()-ROW($C$3))/86400</s:f>
        <s:v>46247.43084490741</s:v>
      </s:c>
    </s:row>
    <s:row r="7">
      <s:c r="A7" s="0" t="n">
        <s:v>260813</s:v>
      </s:c>
      <s:c r="B7" s="0" t="inlineStr">
        <s:is>
          <s:t>이종훈</s:t>
        </s:is>
      </s:c>
      <s:c r="C7" s="0" t="n">
        <s:v>102022</s:v>
      </s:c>
      <s:c r="D7" s="0" t="n">
        <s:v>3639</s:v>
      </s:c>
      <s:c r="F7" s="24">
        <s:f>'자료구성'!$B$2+TIME(INT($C$3/10000),INT(MOD($C$3,10000)/100),MOD($C$3,100))+(ROW()-ROW($C$3))/86400</s:f>
        <s:v>46247.43085648148</s:v>
      </s:c>
    </s:row>
    <s:row r="8">
      <s:c r="A8" s="0" t="n">
        <s:v>260813</s:v>
      </s:c>
      <s:c r="B8" s="0" t="inlineStr">
        <s:is>
          <s:t>이종훈</s:t>
        </s:is>
      </s:c>
      <s:c r="C8" s="0" t="n">
        <s:v>102022</s:v>
      </s:c>
      <s:c r="D8" s="0" t="n">
        <s:v>3679</s:v>
      </s:c>
      <s:c r="F8" s="24">
        <s:f>'자료구성'!$B$2+TIME(INT($C$3/10000),INT(MOD($C$3,10000)/100),MOD($C$3,100))+(ROW()-ROW($C$3))/86400</s:f>
        <s:v>46247.430868055555</s:v>
      </s:c>
    </s:row>
    <s:row r="9">
      <s:c r="A9" s="0" t="n">
        <s:v>260813</s:v>
      </s:c>
      <s:c r="B9" s="0" t="inlineStr">
        <s:is>
          <s:t>이종훈</s:t>
        </s:is>
      </s:c>
      <s:c r="C9" s="0" t="n">
        <s:v>102022</s:v>
      </s:c>
      <s:c r="D9" s="0" t="n">
        <s:v>3705</s:v>
      </s:c>
      <s:c r="F9" s="24">
        <s:f>'자료구성'!$B$2+TIME(INT($C$3/10000),INT(MOD($C$3,10000)/100),MOD($C$3,100))+(ROW()-ROW($C$3))/86400</s:f>
        <s:v>46247.43087962963</s:v>
      </s:c>
    </s:row>
    <s:row r="10">
      <s:c r="A10" s="0" t="n">
        <s:v>260813</s:v>
      </s:c>
      <s:c r="B10" s="0" t="inlineStr">
        <s:is>
          <s:t>이종훈</s:t>
        </s:is>
      </s:c>
      <s:c r="C10" s="0" t="n">
        <s:v>102022</s:v>
      </s:c>
      <s:c r="D10" s="0" t="n">
        <s:v>3712</s:v>
      </s:c>
      <s:c r="F10" s="24">
        <s:f>'자료구성'!$B$2+TIME(INT($C$3/10000),INT(MOD($C$3,10000)/100),MOD($C$3,100))+(ROW()-ROW($C$3))/86400</s:f>
        <s:v>46247.4308912037</s:v>
      </s:c>
    </s:row>
    <s:row r="11">
      <s:c r="A11" s="0" t="n">
        <s:v>260813</s:v>
      </s:c>
      <s:c r="B11" s="0" t="inlineStr">
        <s:is>
          <s:t>이종훈</s:t>
        </s:is>
      </s:c>
      <s:c r="C11" s="0" t="n">
        <s:v>102022</s:v>
      </s:c>
      <s:c r="D11" s="0" t="n">
        <s:v>3680</s:v>
      </s:c>
      <s:c r="F11" s="24">
        <s:f>'자료구성'!$B$2+TIME(INT($C$3/10000),INT(MOD($C$3,10000)/100),MOD($C$3,100))+(ROW()-ROW($C$3))/86400</s:f>
        <s:v>46247.43090277778</s:v>
      </s:c>
    </s:row>
    <s:row r="12">
      <s:c r="A12" s="0" t="n">
        <s:v>260813</s:v>
      </s:c>
      <s:c r="B12" s="0" t="inlineStr">
        <s:is>
          <s:t>이종훈</s:t>
        </s:is>
      </s:c>
      <s:c r="C12" s="0" t="n">
        <s:v>102022</s:v>
      </s:c>
      <s:c r="D12" s="0" t="n">
        <s:v>3585</s:v>
      </s:c>
      <s:c r="F12" s="24">
        <s:f>'자료구성'!$B$2+TIME(INT($C$3/10000),INT(MOD($C$3,10000)/100),MOD($C$3,100))+(ROW()-ROW($C$3))/86400</s:f>
        <s:v>46247.430914351855</s:v>
      </s:c>
    </s:row>
    <s:row r="13">
      <s:c r="A13" s="0" t="n">
        <s:v>260813</s:v>
      </s:c>
      <s:c r="B13" s="0" t="inlineStr">
        <s:is>
          <s:t>이종훈</s:t>
        </s:is>
      </s:c>
      <s:c r="C13" s="0" t="n">
        <s:v>102022</s:v>
      </s:c>
      <s:c r="D13" s="0" t="n">
        <s:v>3518</s:v>
      </s:c>
      <s:c r="F13" s="24">
        <s:f>'자료구성'!$B$2+TIME(INT($C$3/10000),INT(MOD($C$3,10000)/100),MOD($C$3,100))+(ROW()-ROW($C$3))/86400</s:f>
        <s:v>46247.430925925924</s:v>
      </s:c>
    </s:row>
    <s:row r="14">
      <s:c r="A14" s="0" t="n">
        <s:v>260813</s:v>
      </s:c>
      <s:c r="B14" s="0" t="inlineStr">
        <s:is>
          <s:t>이종훈</s:t>
        </s:is>
      </s:c>
      <s:c r="C14" s="0" t="n">
        <s:v>102022</s:v>
      </s:c>
      <s:c r="D14" s="0" t="n">
        <s:v>3446</s:v>
      </s:c>
      <s:c r="F14" s="24">
        <s:f>'자료구성'!$B$2+TIME(INT($C$3/10000),INT(MOD($C$3,10000)/100),MOD($C$3,100))+(ROW()-ROW($C$3))/86400</s:f>
        <s:v>46247.4309375</s:v>
      </s:c>
    </s:row>
    <s:row r="15">
      <s:c r="A15" s="0" t="n">
        <s:v>260813</s:v>
      </s:c>
      <s:c r="B15" s="0" t="inlineStr">
        <s:is>
          <s:t>이종훈</s:t>
        </s:is>
      </s:c>
      <s:c r="C15" s="0" t="n">
        <s:v>102022</s:v>
      </s:c>
      <s:c r="D15" s="0" t="n">
        <s:v>3413</s:v>
      </s:c>
      <s:c r="F15" s="24">
        <s:f>'자료구성'!$B$2+TIME(INT($C$3/10000),INT(MOD($C$3,10000)/100),MOD($C$3,100))+(ROW()-ROW($C$3))/86400</s:f>
        <s:v>46247.43094907407</s:v>
      </s:c>
    </s:row>
    <s:row r="16">
      <s:c r="A16" s="0" t="n">
        <s:v>260813</s:v>
      </s:c>
      <s:c r="B16" s="0" t="inlineStr">
        <s:is>
          <s:t>이종훈</s:t>
        </s:is>
      </s:c>
      <s:c r="C16" s="0" t="n">
        <s:v>102022</s:v>
      </s:c>
      <s:c r="D16" s="0" t="n">
        <s:v>3456</s:v>
      </s:c>
      <s:c r="F16" s="24">
        <s:f>'자료구성'!$B$2+TIME(INT($C$3/10000),INT(MOD($C$3,10000)/100),MOD($C$3,100))+(ROW()-ROW($C$3))/86400</s:f>
        <s:v>46247.43096064815</s:v>
      </s:c>
    </s:row>
    <s:row r="17">
      <s:c r="A17" s="0" t="n">
        <s:v>260813</s:v>
      </s:c>
      <s:c r="B17" s="0" t="inlineStr">
        <s:is>
          <s:t>이종훈</s:t>
        </s:is>
      </s:c>
      <s:c r="C17" s="0" t="n">
        <s:v>102022</s:v>
      </s:c>
      <s:c r="D17" s="0" t="n">
        <s:v>3573</s:v>
      </s:c>
      <s:c r="F17" s="24">
        <s:f>'자료구성'!$B$2+TIME(INT($C$3/10000),INT(MOD($C$3,10000)/100),MOD($C$3,100))+(ROW()-ROW($C$3))/86400</s:f>
        <s:v>46247.430972222224</s:v>
      </s:c>
    </s:row>
    <s:row r="18">
      <s:c r="A18" s="0" t="n">
        <s:v>260813</s:v>
      </s:c>
      <s:c r="B18" s="0" t="inlineStr">
        <s:is>
          <s:t>이종훈</s:t>
        </s:is>
      </s:c>
      <s:c r="C18" s="0" t="n">
        <s:v>102022</s:v>
      </s:c>
      <s:c r="D18" s="0" t="n">
        <s:v>3676</s:v>
      </s:c>
      <s:c r="F18" s="24">
        <s:f>'자료구성'!$B$2+TIME(INT($C$3/10000),INT(MOD($C$3,10000)/100),MOD($C$3,100))+(ROW()-ROW($C$3))/86400</s:f>
        <s:v>46247.430983796294</s:v>
      </s:c>
    </s:row>
    <s:row r="19">
      <s:c r="A19" s="0" t="n">
        <s:v>260813</s:v>
      </s:c>
      <s:c r="B19" s="0" t="inlineStr">
        <s:is>
          <s:t>이종훈</s:t>
        </s:is>
      </s:c>
      <s:c r="C19" s="0" t="n">
        <s:v>102022</s:v>
      </s:c>
      <s:c r="D19" s="0" t="n">
        <s:v>3674</s:v>
      </s:c>
      <s:c r="F19" s="24">
        <s:f>'자료구성'!$B$2+TIME(INT($C$3/10000),INT(MOD($C$3,10000)/100),MOD($C$3,100))+(ROW()-ROW($C$3))/86400</s:f>
        <s:v>46247.43099537037</s:v>
      </s:c>
    </s:row>
    <s:row r="20">
      <s:c r="A20" s="0" t="n">
        <s:v>260813</s:v>
      </s:c>
      <s:c r="B20" s="0" t="inlineStr">
        <s:is>
          <s:t>이종훈</s:t>
        </s:is>
      </s:c>
      <s:c r="C20" s="0" t="n">
        <s:v>102022</s:v>
      </s:c>
      <s:c r="D20" s="0" t="n">
        <s:v>3684</s:v>
      </s:c>
      <s:c r="F20" s="24">
        <s:f>'자료구성'!$B$2+TIME(INT($C$3/10000),INT(MOD($C$3,10000)/100),MOD($C$3,100))+(ROW()-ROW($C$3))/86400</s:f>
        <s:v>46247.43100694445</s:v>
      </s:c>
    </s:row>
    <s:row r="21">
      <s:c r="A21" s="0" t="n">
        <s:v>260813</s:v>
      </s:c>
      <s:c r="B21" s="0" t="inlineStr">
        <s:is>
          <s:t>이종훈</s:t>
        </s:is>
      </s:c>
      <s:c r="C21" s="0" t="n">
        <s:v>102022</s:v>
      </s:c>
      <s:c r="D21" s="0" t="n">
        <s:v>3644</s:v>
      </s:c>
      <s:c r="F21" s="24">
        <s:f>'자료구성'!$B$2+TIME(INT($C$3/10000),INT(MOD($C$3,10000)/100),MOD($C$3,100))+(ROW()-ROW($C$3))/86400</s:f>
        <s:v>46247.43101851852</s:v>
      </s:c>
    </s:row>
    <s:row r="22">
      <s:c r="A22" s="0" t="n">
        <s:v>260813</s:v>
      </s:c>
      <s:c r="B22" s="0" t="inlineStr">
        <s:is>
          <s:t>이종훈</s:t>
        </s:is>
      </s:c>
      <s:c r="C22" s="0" t="n">
        <s:v>102022</s:v>
      </s:c>
      <s:c r="D22" s="0" t="n">
        <s:v>3608</s:v>
      </s:c>
      <s:c r="F22" s="24">
        <s:f>'자료구성'!$B$2+TIME(INT($C$3/10000),INT(MOD($C$3,10000)/100),MOD($C$3,100))+(ROW()-ROW($C$3))/86400</s:f>
        <s:v>46247.43103009259</s:v>
      </s:c>
    </s:row>
    <s:row r="23">
      <s:c r="A23" s="0" t="n">
        <s:v>260813</s:v>
      </s:c>
      <s:c r="B23" s="0" t="inlineStr">
        <s:is>
          <s:t>이종훈</s:t>
        </s:is>
      </s:c>
      <s:c r="C23" s="0" t="n">
        <s:v>102022</s:v>
      </s:c>
      <s:c r="D23" s="0" t="n">
        <s:v>3550</s:v>
      </s:c>
      <s:c r="F23" s="24">
        <s:f>'자료구성'!$B$2+TIME(INT($C$3/10000),INT(MOD($C$3,10000)/100),MOD($C$3,100))+(ROW()-ROW($C$3))/86400</s:f>
        <s:v>46247.43104166666</s:v>
      </s:c>
    </s:row>
    <s:row r="24">
      <s:c r="A24" s="0" t="n">
        <s:v>260813</s:v>
      </s:c>
      <s:c r="B24" s="0" t="inlineStr">
        <s:is>
          <s:t>이종훈</s:t>
        </s:is>
      </s:c>
      <s:c r="C24" s="0" t="n">
        <s:v>102022</s:v>
      </s:c>
      <s:c r="D24" s="0" t="n">
        <s:v>3510</s:v>
      </s:c>
      <s:c r="F24" s="24">
        <s:f>'자료구성'!$B$2+TIME(INT($C$3/10000),INT(MOD($C$3,10000)/100),MOD($C$3,100))+(ROW()-ROW($C$3))/86400</s:f>
        <s:v>46247.43105324074</s:v>
      </s:c>
    </s:row>
    <s:row r="25">
      <s:c r="A25" s="0" t="n">
        <s:v>260813</s:v>
      </s:c>
      <s:c r="B25" s="0" t="inlineStr">
        <s:is>
          <s:t>이종훈</s:t>
        </s:is>
      </s:c>
      <s:c r="C25" s="0" t="n">
        <s:v>102022</s:v>
      </s:c>
      <s:c r="D25" s="0" t="n">
        <s:v>3408</s:v>
      </s:c>
      <s:c r="F25" s="24">
        <s:f>'자료구성'!$B$2+TIME(INT($C$3/10000),INT(MOD($C$3,10000)/100),MOD($C$3,100))+(ROW()-ROW($C$3))/86400</s:f>
        <s:v>46247.43106481482</s:v>
      </s:c>
    </s:row>
    <s:row r="26">
      <s:c r="A26" s="0" t="n">
        <s:v>260813</s:v>
      </s:c>
      <s:c r="B26" s="0" t="inlineStr">
        <s:is>
          <s:t>이종훈</s:t>
        </s:is>
      </s:c>
      <s:c r="C26" s="0" t="n">
        <s:v>102022</s:v>
      </s:c>
      <s:c r="D26" s="0" t="n">
        <s:v>3385</s:v>
      </s:c>
      <s:c r="F26" s="24">
        <s:f>'자료구성'!$B$2+TIME(INT($C$3/10000),INT(MOD($C$3,10000)/100),MOD($C$3,100))+(ROW()-ROW($C$3))/86400</s:f>
        <s:v>46247.431076388886</s:v>
      </s:c>
    </s:row>
    <s:row r="27">
      <s:c r="A27" s="0" t="n">
        <s:v>260813</s:v>
      </s:c>
      <s:c r="B27" s="0" t="inlineStr">
        <s:is>
          <s:t>이종훈</s:t>
        </s:is>
      </s:c>
      <s:c r="C27" s="0" t="n">
        <s:v>102022</s:v>
      </s:c>
      <s:c r="D27" s="0" t="n">
        <s:v>3361</s:v>
      </s:c>
      <s:c r="F27" s="24">
        <s:f>'자료구성'!$B$2+TIME(INT($C$3/10000),INT(MOD($C$3,10000)/100),MOD($C$3,100))+(ROW()-ROW($C$3))/86400</s:f>
        <s:v>46247.43108796296</s:v>
      </s:c>
    </s:row>
    <s:row r="28">
      <s:c r="A28" s="0" t="n">
        <s:v>260813</s:v>
      </s:c>
      <s:c r="B28" s="0" t="inlineStr">
        <s:is>
          <s:t>이종훈</s:t>
        </s:is>
      </s:c>
      <s:c r="C28" s="0" t="n">
        <s:v>102022</s:v>
      </s:c>
      <s:c r="D28" s="0" t="n">
        <s:v>3284</s:v>
      </s:c>
      <s:c r="F28" s="24">
        <s:f>'자료구성'!$B$2+TIME(INT($C$3/10000),INT(MOD($C$3,10000)/100),MOD($C$3,100))+(ROW()-ROW($C$3))/86400</s:f>
        <s:v>46247.43109953704</s:v>
      </s:c>
    </s:row>
    <s:row r="29">
      <s:c r="A29" s="0" t="n">
        <s:v>260813</s:v>
      </s:c>
      <s:c r="B29" s="0" t="inlineStr">
        <s:is>
          <s:t>이종훈</s:t>
        </s:is>
      </s:c>
      <s:c r="C29" s="0" t="n">
        <s:v>102022</s:v>
      </s:c>
      <s:c r="D29" s="0" t="n">
        <s:v>3227</s:v>
      </s:c>
      <s:c r="F29" s="24">
        <s:f>'자료구성'!$B$2+TIME(INT($C$3/10000),INT(MOD($C$3,10000)/100),MOD($C$3,100))+(ROW()-ROW($C$3))/86400</s:f>
        <s:v>46247.43111111111</s:v>
      </s:c>
    </s:row>
    <s:row r="30">
      <s:c r="A30" s="0" t="n">
        <s:v>260813</s:v>
      </s:c>
      <s:c r="B30" s="0" t="inlineStr">
        <s:is>
          <s:t>이종훈</s:t>
        </s:is>
      </s:c>
      <s:c r="C30" s="0" t="n">
        <s:v>102022</s:v>
      </s:c>
      <s:c r="D30" s="0" t="n">
        <s:v>3157</s:v>
      </s:c>
      <s:c r="F30" s="24">
        <s:f>'자료구성'!$B$2+TIME(INT($C$3/10000),INT(MOD($C$3,10000)/100),MOD($C$3,100))+(ROW()-ROW($C$3))/86400</s:f>
        <s:v>46247.431122685186</s:v>
      </s:c>
    </s:row>
    <s:row r="31">
      <s:c r="A31" s="0" t="n">
        <s:v>260813</s:v>
      </s:c>
      <s:c r="B31" s="0" t="inlineStr">
        <s:is>
          <s:t>이종훈</s:t>
        </s:is>
      </s:c>
      <s:c r="C31" s="0" t="n">
        <s:v>102022</s:v>
      </s:c>
      <s:c r="D31" s="0" t="n">
        <s:v>3070</s:v>
      </s:c>
      <s:c r="F31" s="24">
        <s:f>'자료구성'!$B$2+TIME(INT($C$3/10000),INT(MOD($C$3,10000)/100),MOD($C$3,100))+(ROW()-ROW($C$3))/86400</s:f>
        <s:v>46247.43113425926</s:v>
      </s:c>
    </s:row>
    <s:row r="32">
      <s:c r="A32" s="0" t="n">
        <s:v>260813</s:v>
      </s:c>
      <s:c r="B32" s="0" t="inlineStr">
        <s:is>
          <s:t>이종훈</s:t>
        </s:is>
      </s:c>
      <s:c r="C32" s="0" t="n">
        <s:v>102022</s:v>
      </s:c>
      <s:c r="D32" s="0" t="n">
        <s:v>3032</s:v>
      </s:c>
      <s:c r="F32" s="24">
        <s:f>'자료구성'!$B$2+TIME(INT($C$3/10000),INT(MOD($C$3,10000)/100),MOD($C$3,100))+(ROW()-ROW($C$3))/86400</s:f>
        <s:v>46247.43114583333</s:v>
      </s:c>
    </s:row>
    <s:row r="33">
      <s:c r="A33" s="0" t="n">
        <s:v>260813</s:v>
      </s:c>
      <s:c r="B33" s="0" t="inlineStr">
        <s:is>
          <s:t>이종훈</s:t>
        </s:is>
      </s:c>
      <s:c r="C33" s="0" t="n">
        <s:v>102022</s:v>
      </s:c>
      <s:c r="D33" s="0" t="n">
        <s:v>2988</s:v>
      </s:c>
      <s:c r="F33" s="24">
        <s:f>'자료구성'!$B$2+TIME(INT($C$3/10000),INT(MOD($C$3,10000)/100),MOD($C$3,100))+(ROW()-ROW($C$3))/86400</s:f>
        <s:v>46247.43115740741</s:v>
      </s:c>
    </s:row>
    <s:row r="34">
      <s:c r="A34" s="0" t="n">
        <s:v>260813</s:v>
      </s:c>
      <s:c r="B34" s="0" t="inlineStr">
        <s:is>
          <s:t>이종훈</s:t>
        </s:is>
      </s:c>
      <s:c r="C34" s="0" t="n">
        <s:v>102022</s:v>
      </s:c>
      <s:c r="D34" s="0" t="n">
        <s:v>2962</s:v>
      </s:c>
      <s:c r="F34" s="24">
        <s:f>'자료구성'!$B$2+TIME(INT($C$3/10000),INT(MOD($C$3,10000)/100),MOD($C$3,100))+(ROW()-ROW($C$3))/86400</s:f>
        <s:v>46247.43116898148</s:v>
      </s:c>
    </s:row>
    <s:row r="35">
      <s:c r="A35" s="0" t="n">
        <s:v>260813</s:v>
      </s:c>
      <s:c r="B35" s="0" t="inlineStr">
        <s:is>
          <s:t>이종훈</s:t>
        </s:is>
      </s:c>
      <s:c r="C35" s="0" t="n">
        <s:v>102022</s:v>
      </s:c>
      <s:c r="D35" s="0" t="n">
        <s:v>2972</s:v>
      </s:c>
      <s:c r="F35" s="24">
        <s:f>'자료구성'!$B$2+TIME(INT($C$3/10000),INT(MOD($C$3,10000)/100),MOD($C$3,100))+(ROW()-ROW($C$3))/86400</s:f>
        <s:v>46247.431180555555</s:v>
      </s:c>
    </s:row>
    <s:row r="36">
      <s:c r="A36" s="0" t="n">
        <s:v>260813</s:v>
      </s:c>
      <s:c r="B36" s="0" t="inlineStr">
        <s:is>
          <s:t>이종훈</s:t>
        </s:is>
      </s:c>
      <s:c r="C36" s="0" t="n">
        <s:v>102022</s:v>
      </s:c>
      <s:c r="D36" s="0" t="n">
        <s:v>2951</s:v>
      </s:c>
      <s:c r="F36" s="24">
        <s:f>'자료구성'!$B$2+TIME(INT($C$3/10000),INT(MOD($C$3,10000)/100),MOD($C$3,100))+(ROW()-ROW($C$3))/86400</s:f>
        <s:v>46247.43119212963</s:v>
      </s:c>
    </s:row>
    <s:row r="37">
      <s:c r="A37" s="0" t="n">
        <s:v>260813</s:v>
      </s:c>
      <s:c r="B37" s="0" t="inlineStr">
        <s:is>
          <s:t>이종훈</s:t>
        </s:is>
      </s:c>
      <s:c r="C37" s="0" t="n">
        <s:v>102022</s:v>
      </s:c>
      <s:c r="D37" s="0" t="n">
        <s:v>2931</s:v>
      </s:c>
      <s:c r="F37" s="24">
        <s:f>'자료구성'!$B$2+TIME(INT($C$3/10000),INT(MOD($C$3,10000)/100),MOD($C$3,100))+(ROW()-ROW($C$3))/86400</s:f>
        <s:v>46247.4312037037</s:v>
      </s:c>
    </s:row>
    <s:row r="38">
      <s:c r="A38" s="0" t="n">
        <s:v>260813</s:v>
      </s:c>
      <s:c r="B38" s="0" t="inlineStr">
        <s:is>
          <s:t>이종훈</s:t>
        </s:is>
      </s:c>
      <s:c r="C38" s="0" t="n">
        <s:v>102022</s:v>
      </s:c>
      <s:c r="D38" s="0" t="n">
        <s:v>2919</s:v>
      </s:c>
      <s:c r="F38" s="24">
        <s:f>'자료구성'!$B$2+TIME(INT($C$3/10000),INT(MOD($C$3,10000)/100),MOD($C$3,100))+(ROW()-ROW($C$3))/86400</s:f>
        <s:v>46247.43121527778</s:v>
      </s:c>
    </s:row>
    <s:row r="39">
      <s:c r="A39" s="0" t="n">
        <s:v>260813</s:v>
      </s:c>
      <s:c r="B39" s="0" t="inlineStr">
        <s:is>
          <s:t>이종훈</s:t>
        </s:is>
      </s:c>
      <s:c r="C39" s="0" t="n">
        <s:v>102022</s:v>
      </s:c>
      <s:c r="D39" s="0" t="n">
        <s:v>2924</s:v>
      </s:c>
      <s:c r="F39" s="24">
        <s:f>'자료구성'!$B$2+TIME(INT($C$3/10000),INT(MOD($C$3,10000)/100),MOD($C$3,100))+(ROW()-ROW($C$3))/86400</s:f>
        <s:v>46247.431226851855</s:v>
      </s:c>
    </s:row>
    <s:row r="40">
      <s:c r="A40" s="0" t="n">
        <s:v>260813</s:v>
      </s:c>
      <s:c r="B40" s="0" t="inlineStr">
        <s:is>
          <s:t>이종훈</s:t>
        </s:is>
      </s:c>
      <s:c r="C40" s="0" t="n">
        <s:v>102022</s:v>
      </s:c>
      <s:c r="D40" s="0" t="n">
        <s:v>2947</s:v>
      </s:c>
      <s:c r="F40" s="24">
        <s:f>'자료구성'!$B$2+TIME(INT($C$3/10000),INT(MOD($C$3,10000)/100),MOD($C$3,100))+(ROW()-ROW($C$3))/86400</s:f>
        <s:v>46247.431238425925</s:v>
      </s:c>
    </s:row>
    <s:row r="41">
      <s:c r="A41" s="0" t="n">
        <s:v>260813</s:v>
      </s:c>
      <s:c r="B41" s="0" t="inlineStr">
        <s:is>
          <s:t>이종훈</s:t>
        </s:is>
      </s:c>
      <s:c r="C41" s="0" t="n">
        <s:v>102022</s:v>
      </s:c>
      <s:c r="D41" s="0" t="n">
        <s:v>2975</s:v>
      </s:c>
      <s:c r="F41" s="24">
        <s:f>'자료구성'!$B$2+TIME(INT($C$3/10000),INT(MOD($C$3,10000)/100),MOD($C$3,100))+(ROW()-ROW($C$3))/86400</s:f>
        <s:v>46247.43125</s:v>
      </s:c>
    </s:row>
    <s:row r="42">
      <s:c r="A42" s="0" t="n">
        <s:v>260813</s:v>
      </s:c>
      <s:c r="B42" s="0" t="inlineStr">
        <s:is>
          <s:t>이종훈</s:t>
        </s:is>
      </s:c>
      <s:c r="C42" s="0" t="n">
        <s:v>102022</s:v>
      </s:c>
      <s:c r="D42" s="0" t="n">
        <s:v>2987</s:v>
      </s:c>
      <s:c r="F42" s="24">
        <s:f>'자료구성'!$B$2+TIME(INT($C$3/10000),INT(MOD($C$3,10000)/100),MOD($C$3,100))+(ROW()-ROW($C$3))/86400</s:f>
        <s:v>46247.43126157407</s:v>
      </s:c>
    </s:row>
    <s:row r="43">
      <s:c r="A43" s="0" t="n">
        <s:v>260813</s:v>
      </s:c>
      <s:c r="B43" s="0" t="inlineStr">
        <s:is>
          <s:t>이종훈</s:t>
        </s:is>
      </s:c>
      <s:c r="C43" s="0" t="n">
        <s:v>102022</s:v>
      </s:c>
      <s:c r="D43" s="0" t="n">
        <s:v>3034</s:v>
      </s:c>
      <s:c r="F43" s="24">
        <s:f>'자료구성'!$B$2+TIME(INT($C$3/10000),INT(MOD($C$3,10000)/100),MOD($C$3,100))+(ROW()-ROW($C$3))/86400</s:f>
        <s:v>46247.43127314815</s:v>
      </s:c>
    </s:row>
    <s:row r="44">
      <s:c r="A44" s="0" t="n">
        <s:v>260813</s:v>
      </s:c>
      <s:c r="B44" s="0" t="inlineStr">
        <s:is>
          <s:t>이종훈</s:t>
        </s:is>
      </s:c>
      <s:c r="C44" s="0" t="n">
        <s:v>102022</s:v>
      </s:c>
      <s:c r="D44" s="0" t="n">
        <s:v>3093</s:v>
      </s:c>
      <s:c r="F44" s="24">
        <s:f>'자료구성'!$B$2+TIME(INT($C$3/10000),INT(MOD($C$3,10000)/100),MOD($C$3,100))+(ROW()-ROW($C$3))/86400</s:f>
        <s:v>46247.431284722225</s:v>
      </s:c>
    </s:row>
    <s:row r="45">
      <s:c r="A45" s="0" t="n">
        <s:v>260813</s:v>
      </s:c>
      <s:c r="B45" s="0" t="inlineStr">
        <s:is>
          <s:t>이종훈</s:t>
        </s:is>
      </s:c>
      <s:c r="C45" s="0" t="n">
        <s:v>102022</s:v>
      </s:c>
      <s:c r="D45" s="0" t="n">
        <s:v>3138</s:v>
      </s:c>
      <s:c r="F45" s="24">
        <s:f>'자료구성'!$B$2+TIME(INT($C$3/10000),INT(MOD($C$3,10000)/100),MOD($C$3,100))+(ROW()-ROW($C$3))/86400</s:f>
        <s:v>46247.431296296294</s:v>
      </s:c>
    </s:row>
    <s:row r="46">
      <s:c r="A46" s="0" t="n">
        <s:v>260813</s:v>
      </s:c>
      <s:c r="B46" s="0" t="inlineStr">
        <s:is>
          <s:t>이종훈</s:t>
        </s:is>
      </s:c>
      <s:c r="C46" s="0" t="n">
        <s:v>102022</s:v>
      </s:c>
      <s:c r="D46" s="0" t="n">
        <s:v>3174</s:v>
      </s:c>
      <s:c r="F46" s="24">
        <s:f>'자료구성'!$B$2+TIME(INT($C$3/10000),INT(MOD($C$3,10000)/100),MOD($C$3,100))+(ROW()-ROW($C$3))/86400</s:f>
        <s:v>46247.43130787037</s:v>
      </s:c>
    </s:row>
    <s:row r="47">
      <s:c r="A47" s="0" t="n">
        <s:v>260813</s:v>
      </s:c>
      <s:c r="B47" s="0" t="inlineStr">
        <s:is>
          <s:t>이종훈</s:t>
        </s:is>
      </s:c>
      <s:c r="C47" s="0" t="n">
        <s:v>102022</s:v>
      </s:c>
      <s:c r="D47" s="0" t="n">
        <s:v>3173</s:v>
      </s:c>
      <s:c r="F47" s="24">
        <s:f>'자료구성'!$B$2+TIME(INT($C$3/10000),INT(MOD($C$3,10000)/100),MOD($C$3,100))+(ROW()-ROW($C$3))/86400</s:f>
        <s:v>46247.43131944445</s:v>
      </s:c>
    </s:row>
    <s:row r="48">
      <s:c r="A48" s="0" t="n">
        <s:v>260813</s:v>
      </s:c>
      <s:c r="B48" s="0" t="inlineStr">
        <s:is>
          <s:t>이종훈</s:t>
        </s:is>
      </s:c>
      <s:c r="C48" s="0" t="n">
        <s:v>102022</s:v>
      </s:c>
      <s:c r="D48" s="0" t="n">
        <s:v>3173</s:v>
      </s:c>
      <s:c r="F48" s="24">
        <s:f>'자료구성'!$B$2+TIME(INT($C$3/10000),INT(MOD($C$3,10000)/100),MOD($C$3,100))+(ROW()-ROW($C$3))/86400</s:f>
        <s:v>46247.43133101852</s:v>
      </s:c>
    </s:row>
    <s:row r="49">
      <s:c r="A49" s="0" t="n">
        <s:v>260813</s:v>
      </s:c>
      <s:c r="B49" s="0" t="inlineStr">
        <s:is>
          <s:t>이종훈</s:t>
        </s:is>
      </s:c>
      <s:c r="C49" s="0" t="n">
        <s:v>102022</s:v>
      </s:c>
      <s:c r="D49" s="0" t="n">
        <s:v>3163</s:v>
      </s:c>
      <s:c r="F49" s="24">
        <s:f>'자료구성'!$B$2+TIME(INT($C$3/10000),INT(MOD($C$3,10000)/100),MOD($C$3,100))+(ROW()-ROW($C$3))/86400</s:f>
        <s:v>46247.431342592594</s:v>
      </s:c>
    </s:row>
    <s:row r="50">
      <s:c r="A50" s="0" t="n">
        <s:v>260813</s:v>
      </s:c>
      <s:c r="B50" s="0" t="inlineStr">
        <s:is>
          <s:t>이종훈</s:t>
        </s:is>
      </s:c>
      <s:c r="C50" s="0" t="n">
        <s:v>102022</s:v>
      </s:c>
      <s:c r="D50" s="0" t="n">
        <s:v>3139</s:v>
      </s:c>
      <s:c r="F50" s="24">
        <s:f>'자료구성'!$B$2+TIME(INT($C$3/10000),INT(MOD($C$3,10000)/100),MOD($C$3,100))+(ROW()-ROW($C$3))/86400</s:f>
        <s:v>46247.43135416666</s:v>
      </s:c>
    </s:row>
    <s:row r="51">
      <s:c r="A51" s="0" t="n">
        <s:v>260813</s:v>
      </s:c>
      <s:c r="B51" s="0" t="inlineStr">
        <s:is>
          <s:t>이종훈</s:t>
        </s:is>
      </s:c>
      <s:c r="C51" s="0" t="n">
        <s:v>102022</s:v>
      </s:c>
      <s:c r="D51" s="0" t="n">
        <s:v>3120</s:v>
      </s:c>
      <s:c r="F51" s="24">
        <s:f>'자료구성'!$B$2+TIME(INT($C$3/10000),INT(MOD($C$3,10000)/100),MOD($C$3,100))+(ROW()-ROW($C$3))/86400</s:f>
        <s:v>46247.43136574074</s:v>
      </s:c>
    </s:row>
    <s:row r="52">
      <s:c r="A52" s="0" t="n">
        <s:v>260813</s:v>
      </s:c>
      <s:c r="B52" s="0" t="inlineStr">
        <s:is>
          <s:t>이종훈</s:t>
        </s:is>
      </s:c>
      <s:c r="C52" s="0" t="n">
        <s:v>102022</s:v>
      </s:c>
      <s:c r="D52" s="0" t="n">
        <s:v>3065</s:v>
      </s:c>
      <s:c r="F52" s="24">
        <s:f>'자료구성'!$B$2+TIME(INT($C$3/10000),INT(MOD($C$3,10000)/100),MOD($C$3,100))+(ROW()-ROW($C$3))/86400</s:f>
        <s:v>46247.43137731482</s:v>
      </s:c>
    </s:row>
    <s:row r="53">
      <s:c r="A53" s="0" t="n">
        <s:v>260813</s:v>
      </s:c>
      <s:c r="B53" s="0" t="inlineStr">
        <s:is>
          <s:t>이종훈</s:t>
        </s:is>
      </s:c>
      <s:c r="C53" s="0" t="n">
        <s:v>102022</s:v>
      </s:c>
      <s:c r="D53" s="0" t="n">
        <s:v>3041</s:v>
      </s:c>
      <s:c r="F53" s="24">
        <s:f>'자료구성'!$B$2+TIME(INT($C$3/10000),INT(MOD($C$3,10000)/100),MOD($C$3,100))+(ROW()-ROW($C$3))/86400</s:f>
        <s:v>46247.43138888889</s:v>
      </s:c>
    </s:row>
    <s:row r="54">
      <s:c r="A54" s="0" t="n">
        <s:v>260813</s:v>
      </s:c>
      <s:c r="B54" s="0" t="inlineStr">
        <s:is>
          <s:t>이종훈</s:t>
        </s:is>
      </s:c>
      <s:c r="C54" s="0" t="n">
        <s:v>102022</s:v>
      </s:c>
      <s:c r="D54" s="0" t="n">
        <s:v>2997</s:v>
      </s:c>
      <s:c r="F54" s="24">
        <s:f>'자료구성'!$B$2+TIME(INT($C$3/10000),INT(MOD($C$3,10000)/100),MOD($C$3,100))+(ROW()-ROW($C$3))/86400</s:f>
        <s:v>46247.43140046296</s:v>
      </s:c>
    </s:row>
    <s:row r="55">
      <s:c r="A55" s="0" t="n">
        <s:v>260813</s:v>
      </s:c>
      <s:c r="B55" s="0" t="inlineStr">
        <s:is>
          <s:t>이종훈</s:t>
        </s:is>
      </s:c>
      <s:c r="C55" s="0" t="n">
        <s:v>102022</s:v>
      </s:c>
      <s:c r="D55" s="0" t="n">
        <s:v>2968</s:v>
      </s:c>
      <s:c r="F55" s="24">
        <s:f>'자료구성'!$B$2+TIME(INT($C$3/10000),INT(MOD($C$3,10000)/100),MOD($C$3,100))+(ROW()-ROW($C$3))/86400</s:f>
        <s:v>46247.43141203704</s:v>
      </s:c>
    </s:row>
    <s:row r="56">
      <s:c r="A56" s="0" t="n">
        <s:v>260813</s:v>
      </s:c>
      <s:c r="B56" s="0" t="inlineStr">
        <s:is>
          <s:t>이종훈</s:t>
        </s:is>
      </s:c>
      <s:c r="C56" s="0" t="n">
        <s:v>102022</s:v>
      </s:c>
      <s:c r="D56" s="0" t="n">
        <s:v>2986</s:v>
      </s:c>
      <s:c r="F56" s="24">
        <s:f>'자료구성'!$B$2+TIME(INT($C$3/10000),INT(MOD($C$3,10000)/100),MOD($C$3,100))+(ROW()-ROW($C$3))/86400</s:f>
        <s:v>46247.43142361111</s:v>
      </s:c>
    </s:row>
    <s:row r="57">
      <s:c r="A57" s="0" t="n">
        <s:v>260813</s:v>
      </s:c>
      <s:c r="B57" s="0" t="inlineStr">
        <s:is>
          <s:t>이종훈</s:t>
        </s:is>
      </s:c>
      <s:c r="C57" s="0" t="n">
        <s:v>102022</s:v>
      </s:c>
      <s:c r="D57" s="0" t="n">
        <s:v>3045</s:v>
      </s:c>
      <s:c r="F57" s="24">
        <s:f>'자료구성'!$B$2+TIME(INT($C$3/10000),INT(MOD($C$3,10000)/100),MOD($C$3,100))+(ROW()-ROW($C$3))/86400</s:f>
        <s:v>46247.431435185186</s:v>
      </s:c>
    </s:row>
    <s:row r="58">
      <s:c r="A58" s="0" t="n">
        <s:v>260813</s:v>
      </s:c>
      <s:c r="B58" s="0" t="inlineStr">
        <s:is>
          <s:t>이종훈</s:t>
        </s:is>
      </s:c>
      <s:c r="C58" s="0" t="n">
        <s:v>102022</s:v>
      </s:c>
      <s:c r="D58" s="0" t="n">
        <s:v>3084</s:v>
      </s:c>
      <s:c r="F58" s="24">
        <s:f>'자료구성'!$B$2+TIME(INT($C$3/10000),INT(MOD($C$3,10000)/100),MOD($C$3,100))+(ROW()-ROW($C$3))/86400</s:f>
        <s:v>46247.431446759256</s:v>
      </s:c>
    </s:row>
    <s:row r="59">
      <s:c r="A59" s="0" t="n">
        <s:v>260813</s:v>
      </s:c>
      <s:c r="B59" s="0" t="inlineStr">
        <s:is>
          <s:t>이종훈</s:t>
        </s:is>
      </s:c>
      <s:c r="C59" s="0" t="n">
        <s:v>102022</s:v>
      </s:c>
      <s:c r="D59" s="0" t="n">
        <s:v>3171</s:v>
      </s:c>
      <s:c r="F59" s="24">
        <s:f>'자료구성'!$B$2+TIME(INT($C$3/10000),INT(MOD($C$3,10000)/100),MOD($C$3,100))+(ROW()-ROW($C$3))/86400</s:f>
        <s:v>46247.43145833333</s:v>
      </s:c>
    </s:row>
    <s:row r="60">
      <s:c r="A60" s="0" t="n">
        <s:v>260813</s:v>
      </s:c>
      <s:c r="B60" s="0" t="inlineStr">
        <s:is>
          <s:t>이종훈</s:t>
        </s:is>
      </s:c>
      <s:c r="C60" s="0" t="n">
        <s:v>102022</s:v>
      </s:c>
      <s:c r="D60" s="0" t="n">
        <s:v>3266</s:v>
      </s:c>
      <s:c r="F60" s="24">
        <s:f>'자료구성'!$B$2+TIME(INT($C$3/10000),INT(MOD($C$3,10000)/100),MOD($C$3,100))+(ROW()-ROW($C$3))/86400</s:f>
        <s:v>46247.43146990741</s:v>
      </s:c>
    </s:row>
    <s:row r="61">
      <s:c r="A61" s="0" t="n">
        <s:v>260813</s:v>
      </s:c>
      <s:c r="B61" s="0" t="inlineStr">
        <s:is>
          <s:t>이종훈</s:t>
        </s:is>
      </s:c>
      <s:c r="C61" s="0" t="n">
        <s:v>102022</s:v>
      </s:c>
      <s:c r="D61" s="0" t="n">
        <s:v>3408</s:v>
      </s:c>
      <s:c r="F61" s="24">
        <s:f>'자료구성'!$B$2+TIME(INT($C$3/10000),INT(MOD($C$3,10000)/100),MOD($C$3,100))+(ROW()-ROW($C$3))/86400</s:f>
        <s:v>46247.43148148148</s:v>
      </s:c>
    </s:row>
    <s:row r="62">
      <s:c r="A62" s="0" t="n">
        <s:v>260813</s:v>
      </s:c>
      <s:c r="B62" s="0" t="inlineStr">
        <s:is>
          <s:t>이종훈</s:t>
        </s:is>
      </s:c>
      <s:c r="C62" s="0" t="n">
        <s:v>102022</s:v>
      </s:c>
      <s:c r="D62" s="0" t="n">
        <s:v>3479</s:v>
      </s:c>
      <s:c r="F62" s="24">
        <s:f>'자료구성'!$B$2+TIME(INT($C$3/10000),INT(MOD($C$3,10000)/100),MOD($C$3,100))+(ROW()-ROW($C$3))/86400</s:f>
        <s:v>46247.431493055556</s:v>
      </s:c>
    </s:row>
    <s:row r="63">
      <s:c r="A63" s="0" t="n">
        <s:v>260813</s:v>
      </s:c>
      <s:c r="B63" s="0" t="inlineStr">
        <s:is>
          <s:t>이종훈</s:t>
        </s:is>
      </s:c>
      <s:c r="C63" s="0" t="n">
        <s:v>102022</s:v>
      </s:c>
      <s:c r="D63" s="0" t="n">
        <s:v>3537</s:v>
      </s:c>
      <s:c r="F63" s="24">
        <s:f>'자료구성'!$B$2+TIME(INT($C$3/10000),INT(MOD($C$3,10000)/100),MOD($C$3,100))+(ROW()-ROW($C$3))/86400</s:f>
        <s:v>46247.43150462963</s:v>
      </s:c>
    </s:row>
    <s:row r="64">
      <s:c r="A64" s="0" t="n">
        <s:v>260813</s:v>
      </s:c>
      <s:c r="B64" s="0" t="inlineStr">
        <s:is>
          <s:t>이종훈</s:t>
        </s:is>
      </s:c>
      <s:c r="C64" s="0" t="n">
        <s:v>102022</s:v>
      </s:c>
      <s:c r="D64" s="0" t="n">
        <s:v>3607</s:v>
      </s:c>
      <s:c r="F64" s="24">
        <s:f>'자료구성'!$B$2+TIME(INT($C$3/10000),INT(MOD($C$3,10000)/100),MOD($C$3,100))+(ROW()-ROW($C$3))/86400</s:f>
        <s:v>46247.4315162037</s:v>
      </s:c>
    </s:row>
    <s:row r="65">
      <s:c r="A65" s="0" t="n">
        <s:v>260813</s:v>
      </s:c>
      <s:c r="B65" s="0" t="inlineStr">
        <s:is>
          <s:t>이종훈</s:t>
        </s:is>
      </s:c>
      <s:c r="C65" s="0" t="n">
        <s:v>102022</s:v>
      </s:c>
      <s:c r="D65" s="0" t="n">
        <s:v>3685</s:v>
      </s:c>
      <s:c r="F65" s="24">
        <s:f>'자료구성'!$B$2+TIME(INT($C$3/10000),INT(MOD($C$3,10000)/100),MOD($C$3,100))+(ROW()-ROW($C$3))/86400</s:f>
        <s:v>46247.43152777778</s:v>
      </s:c>
    </s:row>
    <s:row r="66">
      <s:c r="A66" s="0" t="n">
        <s:v>260813</s:v>
      </s:c>
      <s:c r="B66" s="0" t="inlineStr">
        <s:is>
          <s:t>이종훈</s:t>
        </s:is>
      </s:c>
      <s:c r="C66" s="0" t="n">
        <s:v>102022</s:v>
      </s:c>
      <s:c r="D66" s="0" t="n">
        <s:v>3694</s:v>
      </s:c>
      <s:c r="F66" s="24">
        <s:f>'자료구성'!$B$2+TIME(INT($C$3/10000),INT(MOD($C$3,10000)/100),MOD($C$3,100))+(ROW()-ROW($C$3))/86400</s:f>
        <s:v>46247.431539351855</s:v>
      </s:c>
    </s:row>
    <s:row r="67">
      <s:c r="A67" s="0" t="n">
        <s:v>260813</s:v>
      </s:c>
      <s:c r="B67" s="0" t="inlineStr">
        <s:is>
          <s:t>이종훈</s:t>
        </s:is>
      </s:c>
      <s:c r="C67" s="0" t="n">
        <s:v>102022</s:v>
      </s:c>
      <s:c r="D67" s="0" t="n">
        <s:v>3723</s:v>
      </s:c>
      <s:c r="F67" s="24">
        <s:f>'자료구성'!$B$2+TIME(INT($C$3/10000),INT(MOD($C$3,10000)/100),MOD($C$3,100))+(ROW()-ROW($C$3))/86400</s:f>
        <s:v>46247.431550925925</s:v>
      </s:c>
    </s:row>
    <s:row r="68">
      <s:c r="A68" s="0" t="n">
        <s:v>260813</s:v>
      </s:c>
      <s:c r="B68" s="0" t="inlineStr">
        <s:is>
          <s:t>이종훈</s:t>
        </s:is>
      </s:c>
      <s:c r="C68" s="0" t="n">
        <s:v>102022</s:v>
      </s:c>
      <s:c r="D68" s="0" t="n">
        <s:v>3772</s:v>
      </s:c>
      <s:c r="F68" s="24">
        <s:f>'자료구성'!$B$2+TIME(INT($C$3/10000),INT(MOD($C$3,10000)/100),MOD($C$3,100))+(ROW()-ROW($C$3))/86400</s:f>
        <s:v>46247.4315625</s:v>
      </s:c>
    </s:row>
    <s:row r="69">
      <s:c r="A69" s="0" t="n">
        <s:v>260813</s:v>
      </s:c>
      <s:c r="B69" s="0" t="inlineStr">
        <s:is>
          <s:t>이종훈</s:t>
        </s:is>
      </s:c>
      <s:c r="C69" s="0" t="n">
        <s:v>102022</s:v>
      </s:c>
      <s:c r="D69" s="0" t="n">
        <s:v>3865</s:v>
      </s:c>
      <s:c r="F69" s="24">
        <s:f>'자료구성'!$B$2+TIME(INT($C$3/10000),INT(MOD($C$3,10000)/100),MOD($C$3,100))+(ROW()-ROW($C$3))/86400</s:f>
        <s:v>46247.43157407407</s:v>
      </s:c>
    </s:row>
    <s:row r="70">
      <s:c r="A70" s="0" t="n">
        <s:v>260813</s:v>
      </s:c>
      <s:c r="B70" s="0" t="inlineStr">
        <s:is>
          <s:t>이종훈</s:t>
        </s:is>
      </s:c>
      <s:c r="C70" s="0" t="n">
        <s:v>102022</s:v>
      </s:c>
      <s:c r="D70" s="0" t="n">
        <s:v>3891</s:v>
      </s:c>
      <s:c r="F70" s="24">
        <s:f>'자료구성'!$B$2+TIME(INT($C$3/10000),INT(MOD($C$3,10000)/100),MOD($C$3,100))+(ROW()-ROW($C$3))/86400</s:f>
        <s:v>46247.43158564815</s:v>
      </s:c>
    </s:row>
    <s:row r="71">
      <s:c r="A71" s="0" t="n">
        <s:v>260813</s:v>
      </s:c>
      <s:c r="B71" s="0" t="inlineStr">
        <s:is>
          <s:t>이종훈</s:t>
        </s:is>
      </s:c>
      <s:c r="C71" s="0" t="n">
        <s:v>102022</s:v>
      </s:c>
      <s:c r="D71" s="0" t="n">
        <s:v>3845</s:v>
      </s:c>
      <s:c r="F71" s="24">
        <s:f>'자료구성'!$B$2+TIME(INT($C$3/10000),INT(MOD($C$3,10000)/100),MOD($C$3,100))+(ROW()-ROW($C$3))/86400</s:f>
        <s:v>46247.431597222225</s:v>
      </s:c>
    </s:row>
    <s:row r="72">
      <s:c r="A72" s="0" t="n">
        <s:v>260813</s:v>
      </s:c>
      <s:c r="B72" s="0" t="inlineStr">
        <s:is>
          <s:t>이종훈</s:t>
        </s:is>
      </s:c>
      <s:c r="C72" s="0" t="n">
        <s:v>102022</s:v>
      </s:c>
      <s:c r="D72" s="0" t="n">
        <s:v>3790</s:v>
      </s:c>
      <s:c r="F72" s="24">
        <s:f>'자료구성'!$B$2+TIME(INT($C$3/10000),INT(MOD($C$3,10000)/100),MOD($C$3,100))+(ROW()-ROW($C$3))/86400</s:f>
        <s:v>46247.431608796294</s:v>
      </s:c>
    </s:row>
    <s:row r="73">
      <s:c r="A73" s="0" t="n">
        <s:v>260813</s:v>
      </s:c>
      <s:c r="B73" s="0" t="inlineStr">
        <s:is>
          <s:t>이종훈</s:t>
        </s:is>
      </s:c>
      <s:c r="C73" s="0" t="n">
        <s:v>102022</s:v>
      </s:c>
      <s:c r="D73" s="0" t="n">
        <s:v>3646</s:v>
      </s:c>
      <s:c r="F73" s="24">
        <s:f>'자료구성'!$B$2+TIME(INT($C$3/10000),INT(MOD($C$3,10000)/100),MOD($C$3,100))+(ROW()-ROW($C$3))/86400</s:f>
        <s:v>46247.43162037037</s:v>
      </s:c>
    </s:row>
    <s:row r="74">
      <s:c r="A74" s="0" t="n">
        <s:v>260813</s:v>
      </s:c>
      <s:c r="B74" s="0" t="inlineStr">
        <s:is>
          <s:t>이종훈</s:t>
        </s:is>
      </s:c>
      <s:c r="C74" s="0" t="n">
        <s:v>102022</s:v>
      </s:c>
      <s:c r="D74" s="0" t="n">
        <s:v>3486</s:v>
      </s:c>
      <s:c r="F74" s="24">
        <s:f>'자료구성'!$B$2+TIME(INT($C$3/10000),INT(MOD($C$3,10000)/100),MOD($C$3,100))+(ROW()-ROW($C$3))/86400</s:f>
        <s:v>46247.43163194445</s:v>
      </s:c>
    </s:row>
    <s:row r="75">
      <s:c r="A75" s="0" t="n">
        <s:v>260813</s:v>
      </s:c>
      <s:c r="B75" s="0" t="inlineStr">
        <s:is>
          <s:t>이종훈</s:t>
        </s:is>
      </s:c>
      <s:c r="C75" s="0" t="n">
        <s:v>102022</s:v>
      </s:c>
      <s:c r="D75" s="0" t="n">
        <s:v>3393</s:v>
      </s:c>
      <s:c r="F75" s="24">
        <s:f>'자료구성'!$B$2+TIME(INT($C$3/10000),INT(MOD($C$3,10000)/100),MOD($C$3,100))+(ROW()-ROW($C$3))/86400</s:f>
        <s:v>46247.43164351852</s:v>
      </s:c>
    </s:row>
    <s:row r="76">
      <s:c r="A76" s="0" t="n">
        <s:v>260813</s:v>
      </s:c>
      <s:c r="B76" s="0" t="inlineStr">
        <s:is>
          <s:t>이종훈</s:t>
        </s:is>
      </s:c>
      <s:c r="C76" s="0" t="n">
        <s:v>102022</s:v>
      </s:c>
      <s:c r="D76" s="0" t="n">
        <s:v>3349</s:v>
      </s:c>
      <s:c r="F76" s="24">
        <s:f>'자료구성'!$B$2+TIME(INT($C$3/10000),INT(MOD($C$3,10000)/100),MOD($C$3,100))+(ROW()-ROW($C$3))/86400</s:f>
        <s:v>46247.431655092594</s:v>
      </s:c>
    </s:row>
    <s:row r="77">
      <s:c r="A77" s="0" t="n">
        <s:v>260813</s:v>
      </s:c>
      <s:c r="B77" s="0" t="inlineStr">
        <s:is>
          <s:t>이종훈</s:t>
        </s:is>
      </s:c>
      <s:c r="C77" s="0" t="n">
        <s:v>102022</s:v>
      </s:c>
      <s:c r="D77" s="0" t="n">
        <s:v>3364</s:v>
      </s:c>
      <s:c r="F77" s="24">
        <s:f>'자료구성'!$B$2+TIME(INT($C$3/10000),INT(MOD($C$3,10000)/100),MOD($C$3,100))+(ROW()-ROW($C$3))/86400</s:f>
        <s:v>46247.431666666664</s:v>
      </s:c>
    </s:row>
    <s:row r="78">
      <s:c r="A78" s="0" t="n">
        <s:v>260813</s:v>
      </s:c>
      <s:c r="B78" s="0" t="inlineStr">
        <s:is>
          <s:t>이종훈</s:t>
        </s:is>
      </s:c>
      <s:c r="C78" s="0" t="n">
        <s:v>102022</s:v>
      </s:c>
      <s:c r="D78" s="0" t="n">
        <s:v>3325</s:v>
      </s:c>
      <s:c r="F78" s="24">
        <s:f>'자료구성'!$B$2+TIME(INT($C$3/10000),INT(MOD($C$3,10000)/100),MOD($C$3,100))+(ROW()-ROW($C$3))/86400</s:f>
        <s:v>46247.43167824074</s:v>
      </s:c>
    </s:row>
    <s:row r="79">
      <s:c r="A79" s="0" t="n">
        <s:v>260813</s:v>
      </s:c>
      <s:c r="B79" s="0" t="inlineStr">
        <s:is>
          <s:t>이종훈</s:t>
        </s:is>
      </s:c>
      <s:c r="C79" s="0" t="n">
        <s:v>102022</s:v>
      </s:c>
      <s:c r="D79" s="0" t="n">
        <s:v>3261</s:v>
      </s:c>
      <s:c r="F79" s="24">
        <s:f>'자료구성'!$B$2+TIME(INT($C$3/10000),INT(MOD($C$3,10000)/100),MOD($C$3,100))+(ROW()-ROW($C$3))/86400</s:f>
        <s:v>46247.43168981482</s:v>
      </s:c>
    </s:row>
    <s:row r="80">
      <s:c r="A80" s="0" t="n">
        <s:v>260813</s:v>
      </s:c>
      <s:c r="B80" s="0" t="inlineStr">
        <s:is>
          <s:t>이종훈</s:t>
        </s:is>
      </s:c>
      <s:c r="C80" s="0" t="n">
        <s:v>102022</s:v>
      </s:c>
      <s:c r="D80" s="0" t="n">
        <s:v>3250</s:v>
      </s:c>
      <s:c r="F80" s="24">
        <s:f>'자료구성'!$B$2+TIME(INT($C$3/10000),INT(MOD($C$3,10000)/100),MOD($C$3,100))+(ROW()-ROW($C$3))/86400</s:f>
        <s:v>46247.43170138889</s:v>
      </s:c>
    </s:row>
    <s:row r="81">
      <s:c r="A81" s="0" t="n">
        <s:v>260813</s:v>
      </s:c>
      <s:c r="B81" s="0" t="inlineStr">
        <s:is>
          <s:t>이종훈</s:t>
        </s:is>
      </s:c>
      <s:c r="C81" s="0" t="n">
        <s:v>102022</s:v>
      </s:c>
      <s:c r="D81" s="0" t="n">
        <s:v>3252</s:v>
      </s:c>
      <s:c r="F81" s="24">
        <s:f>'자료구성'!$B$2+TIME(INT($C$3/10000),INT(MOD($C$3,10000)/100),MOD($C$3,100))+(ROW()-ROW($C$3))/86400</s:f>
        <s:v>46247.43171296296</s:v>
      </s:c>
    </s:row>
    <s:row r="82">
      <s:c r="A82" s="0" t="n">
        <s:v>260813</s:v>
      </s:c>
      <s:c r="B82" s="0" t="inlineStr">
        <s:is>
          <s:t>이종훈</s:t>
        </s:is>
      </s:c>
      <s:c r="C82" s="0" t="n">
        <s:v>102022</s:v>
      </s:c>
      <s:c r="D82" s="0" t="n">
        <s:v>3220</s:v>
      </s:c>
      <s:c r="F82" s="24">
        <s:f>'자료구성'!$B$2+TIME(INT($C$3/10000),INT(MOD($C$3,10000)/100),MOD($C$3,100))+(ROW()-ROW($C$3))/86400</s:f>
        <s:v>46247.43172453704</s:v>
      </s:c>
    </s:row>
    <s:row r="83">
      <s:c r="A83" s="0" t="n">
        <s:v>260813</s:v>
      </s:c>
      <s:c r="B83" s="0" t="inlineStr">
        <s:is>
          <s:t>이종훈</s:t>
        </s:is>
      </s:c>
      <s:c r="C83" s="0" t="n">
        <s:v>102022</s:v>
      </s:c>
      <s:c r="D83" s="0" t="n">
        <s:v>3139</s:v>
      </s:c>
      <s:c r="F83" s="24">
        <s:f>'자료구성'!$B$2+TIME(INT($C$3/10000),INT(MOD($C$3,10000)/100),MOD($C$3,100))+(ROW()-ROW($C$3))/86400</s:f>
        <s:v>46247.43173611111</s:v>
      </s:c>
    </s:row>
    <s:row r="84">
      <s:c r="A84" s="0" t="n">
        <s:v>260813</s:v>
      </s:c>
      <s:c r="B84" s="0" t="inlineStr">
        <s:is>
          <s:t>이종훈</s:t>
        </s:is>
      </s:c>
      <s:c r="C84" s="0" t="n">
        <s:v>102022</s:v>
      </s:c>
      <s:c r="D84" s="0" t="n">
        <s:v>3086</s:v>
      </s:c>
      <s:c r="F84" s="24">
        <s:f>'자료구성'!$B$2+TIME(INT($C$3/10000),INT(MOD($C$3,10000)/100),MOD($C$3,100))+(ROW()-ROW($C$3))/86400</s:f>
        <s:v>46247.43174768519</s:v>
      </s:c>
    </s:row>
    <s:row r="85">
      <s:c r="A85" s="0" t="n">
        <s:v>260813</s:v>
      </s:c>
      <s:c r="B85" s="0" t="inlineStr">
        <s:is>
          <s:t>이종훈</s:t>
        </s:is>
      </s:c>
      <s:c r="C85" s="0" t="n">
        <s:v>102022</s:v>
      </s:c>
      <s:c r="D85" s="0" t="n">
        <s:v>3053</s:v>
      </s:c>
      <s:c r="F85" s="24">
        <s:f>'자료구성'!$B$2+TIME(INT($C$3/10000),INT(MOD($C$3,10000)/100),MOD($C$3,100))+(ROW()-ROW($C$3))/86400</s:f>
        <s:v>46247.431759259256</s:v>
      </s:c>
    </s:row>
    <s:row r="86">
      <s:c r="A86" s="0" t="n">
        <s:v>260813</s:v>
      </s:c>
      <s:c r="B86" s="0" t="inlineStr">
        <s:is>
          <s:t>이종훈</s:t>
        </s:is>
      </s:c>
      <s:c r="C86" s="0" t="n">
        <s:v>102022</s:v>
      </s:c>
      <s:c r="D86" s="0" t="n">
        <s:v>3054</s:v>
      </s:c>
      <s:c r="F86" s="24">
        <s:f>'자료구성'!$B$2+TIME(INT($C$3/10000),INT(MOD($C$3,10000)/100),MOD($C$3,100))+(ROW()-ROW($C$3))/86400</s:f>
        <s:v>46247.43177083333</s:v>
      </s:c>
    </s:row>
    <s:row r="87">
      <s:c r="A87" s="0" t="n">
        <s:v>260813</s:v>
      </s:c>
      <s:c r="B87" s="0" t="inlineStr">
        <s:is>
          <s:t>이종훈</s:t>
        </s:is>
      </s:c>
      <s:c r="C87" s="0" t="n">
        <s:v>102022</s:v>
      </s:c>
      <s:c r="D87" s="0" t="n">
        <s:v>3058</s:v>
      </s:c>
      <s:c r="F87" s="24">
        <s:f>'자료구성'!$B$2+TIME(INT($C$3/10000),INT(MOD($C$3,10000)/100),MOD($C$3,100))+(ROW()-ROW($C$3))/86400</s:f>
        <s:v>46247.43178240741</s:v>
      </s:c>
    </s:row>
    <s:row r="88">
      <s:c r="A88" s="0" t="n">
        <s:v>260813</s:v>
      </s:c>
      <s:c r="B88" s="0" t="inlineStr">
        <s:is>
          <s:t>이종훈</s:t>
        </s:is>
      </s:c>
      <s:c r="C88" s="0" t="n">
        <s:v>102022</s:v>
      </s:c>
      <s:c r="D88" s="0" t="n">
        <s:v>3071</s:v>
      </s:c>
      <s:c r="F88" s="24">
        <s:f>'자료구성'!$B$2+TIME(INT($C$3/10000),INT(MOD($C$3,10000)/100),MOD($C$3,100))+(ROW()-ROW($C$3))/86400</s:f>
        <s:v>46247.43179398148</s:v>
      </s:c>
    </s:row>
    <s:row r="89">
      <s:c r="A89" s="0" t="n">
        <s:v>260813</s:v>
      </s:c>
      <s:c r="B89" s="0" t="inlineStr">
        <s:is>
          <s:t>이종훈</s:t>
        </s:is>
      </s:c>
      <s:c r="C89" s="0" t="n">
        <s:v>102022</s:v>
      </s:c>
      <s:c r="D89" s="0" t="n">
        <s:v>3160</s:v>
      </s:c>
      <s:c r="F89" s="24">
        <s:f>'자료구성'!$B$2+TIME(INT($C$3/10000),INT(MOD($C$3,10000)/100),MOD($C$3,100))+(ROW()-ROW($C$3))/86400</s:f>
        <s:v>46247.431805555556</s:v>
      </s:c>
    </s:row>
    <s:row r="90">
      <s:c r="A90" s="0" t="n">
        <s:v>260813</s:v>
      </s:c>
      <s:c r="B90" s="0" t="inlineStr">
        <s:is>
          <s:t>이종훈</s:t>
        </s:is>
      </s:c>
      <s:c r="C90" s="0" t="n">
        <s:v>102022</s:v>
      </s:c>
      <s:c r="D90" s="0" t="n">
        <s:v>3295</s:v>
      </s:c>
      <s:c r="F90" s="24">
        <s:f>'자료구성'!$B$2+TIME(INT($C$3/10000),INT(MOD($C$3,10000)/100),MOD($C$3,100))+(ROW()-ROW($C$3))/86400</s:f>
        <s:v>46247.43181712963</s:v>
      </s:c>
    </s:row>
    <s:row r="91">
      <s:c r="A91" s="0" t="n">
        <s:v>260813</s:v>
      </s:c>
      <s:c r="B91" s="0" t="inlineStr">
        <s:is>
          <s:t>이종훈</s:t>
        </s:is>
      </s:c>
      <s:c r="C91" s="0" t="n">
        <s:v>102022</s:v>
      </s:c>
      <s:c r="D91" s="0" t="n">
        <s:v>3435</s:v>
      </s:c>
      <s:c r="F91" s="24">
        <s:f>'자료구성'!$B$2+TIME(INT($C$3/10000),INT(MOD($C$3,10000)/100),MOD($C$3,100))+(ROW()-ROW($C$3))/86400</s:f>
        <s:v>46247.4318287037</s:v>
      </s:c>
    </s:row>
    <s:row r="92">
      <s:c r="A92" s="0" t="n">
        <s:v>260813</s:v>
      </s:c>
      <s:c r="B92" s="0" t="inlineStr">
        <s:is>
          <s:t>이종훈</s:t>
        </s:is>
      </s:c>
      <s:c r="C92" s="0" t="n">
        <s:v>102022</s:v>
      </s:c>
      <s:c r="D92" s="0" t="n">
        <s:v>3564</s:v>
      </s:c>
      <s:c r="F92" s="24">
        <s:f>'자료구성'!$B$2+TIME(INT($C$3/10000),INT(MOD($C$3,10000)/100),MOD($C$3,100))+(ROW()-ROW($C$3))/86400</s:f>
        <s:v>46247.43184027778</s:v>
      </s:c>
    </s:row>
    <s:row r="93">
      <s:c r="A93" s="0" t="n">
        <s:v>260813</s:v>
      </s:c>
      <s:c r="B93" s="0" t="inlineStr">
        <s:is>
          <s:t>이종훈</s:t>
        </s:is>
      </s:c>
      <s:c r="C93" s="0" t="n">
        <s:v>102022</s:v>
      </s:c>
      <s:c r="D93" s="0" t="n">
        <s:v>3691</s:v>
      </s:c>
      <s:c r="F93" s="24">
        <s:f>'자료구성'!$B$2+TIME(INT($C$3/10000),INT(MOD($C$3,10000)/100),MOD($C$3,100))+(ROW()-ROW($C$3))/86400</s:f>
        <s:v>46247.43185185185</s:v>
      </s:c>
    </s:row>
    <s:row r="94">
      <s:c r="A94" s="0" t="n">
        <s:v>260813</s:v>
      </s:c>
      <s:c r="B94" s="0" t="inlineStr">
        <s:is>
          <s:t>이종훈</s:t>
        </s:is>
      </s:c>
      <s:c r="C94" s="0" t="n">
        <s:v>102022</s:v>
      </s:c>
      <s:c r="D94" s="0" t="n">
        <s:v>3848</s:v>
      </s:c>
      <s:c r="F94" s="24">
        <s:f>'자료구성'!$B$2+TIME(INT($C$3/10000),INT(MOD($C$3,10000)/100),MOD($C$3,100))+(ROW()-ROW($C$3))/86400</s:f>
        <s:v>46247.431863425925</s:v>
      </s:c>
    </s:row>
    <s:row r="95">
      <s:c r="A95" s="0" t="n">
        <s:v>260813</s:v>
      </s:c>
      <s:c r="B95" s="0" t="inlineStr">
        <s:is>
          <s:t>이종훈</s:t>
        </s:is>
      </s:c>
      <s:c r="C95" s="0" t="n">
        <s:v>102022</s:v>
      </s:c>
      <s:c r="D95" s="0" t="n">
        <s:v>3960</s:v>
      </s:c>
      <s:c r="F95" s="24">
        <s:f>'자료구성'!$B$2+TIME(INT($C$3/10000),INT(MOD($C$3,10000)/100),MOD($C$3,100))+(ROW()-ROW($C$3))/86400</s:f>
        <s:v>46247.431875</s:v>
      </s:c>
    </s:row>
    <s:row r="96">
      <s:c r="A96" s="0" t="n">
        <s:v>260813</s:v>
      </s:c>
      <s:c r="B96" s="0" t="inlineStr">
        <s:is>
          <s:t>이종훈</s:t>
        </s:is>
      </s:c>
      <s:c r="C96" s="0" t="n">
        <s:v>102022</s:v>
      </s:c>
      <s:c r="D96" s="0" t="n">
        <s:v>4057</s:v>
      </s:c>
      <s:c r="F96" s="24">
        <s:f>'자료구성'!$B$2+TIME(INT($C$3/10000),INT(MOD($C$3,10000)/100),MOD($C$3,100))+(ROW()-ROW($C$3))/86400</s:f>
        <s:v>46247.43188657407</s:v>
      </s:c>
    </s:row>
    <s:row r="97">
      <s:c r="A97" s="0" t="n">
        <s:v>260813</s:v>
      </s:c>
      <s:c r="B97" s="0" t="inlineStr">
        <s:is>
          <s:t>이종훈</s:t>
        </s:is>
      </s:c>
      <s:c r="C97" s="0" t="n">
        <s:v>102022</s:v>
      </s:c>
      <s:c r="D97" s="0" t="n">
        <s:v>4144</s:v>
      </s:c>
      <s:c r="F97" s="24">
        <s:f>'자료구성'!$B$2+TIME(INT($C$3/10000),INT(MOD($C$3,10000)/100),MOD($C$3,100))+(ROW()-ROW($C$3))/86400</s:f>
        <s:v>46247.43189814815</s:v>
      </s:c>
    </s:row>
    <s:row r="98">
      <s:c r="A98" s="0" t="n">
        <s:v>260813</s:v>
      </s:c>
      <s:c r="B98" s="0" t="inlineStr">
        <s:is>
          <s:t>이종훈</s:t>
        </s:is>
      </s:c>
      <s:c r="C98" s="0" t="n">
        <s:v>102022</s:v>
      </s:c>
      <s:c r="D98" s="0" t="n">
        <s:v>4201</s:v>
      </s:c>
      <s:c r="F98" s="24">
        <s:f>'자료구성'!$B$2+TIME(INT($C$3/10000),INT(MOD($C$3,10000)/100),MOD($C$3,100))+(ROW()-ROW($C$3))/86400</s:f>
        <s:v>46247.431909722225</s:v>
      </s:c>
    </s:row>
    <s:row r="99">
      <s:c r="A99" s="0" t="n">
        <s:v>260813</s:v>
      </s:c>
      <s:c r="B99" s="0" t="inlineStr">
        <s:is>
          <s:t>이종훈</s:t>
        </s:is>
      </s:c>
      <s:c r="C99" s="0" t="n">
        <s:v>102022</s:v>
      </s:c>
      <s:c r="D99" s="0" t="n">
        <s:v>4226</s:v>
      </s:c>
      <s:c r="F99" s="24">
        <s:f>'자료구성'!$B$2+TIME(INT($C$3/10000),INT(MOD($C$3,10000)/100),MOD($C$3,100))+(ROW()-ROW($C$3))/86400</s:f>
        <s:v>46247.431921296295</s:v>
      </s:c>
    </s:row>
    <s:row r="100">
      <s:c r="A100" s="0" t="n">
        <s:v>260813</s:v>
      </s:c>
      <s:c r="B100" s="0" t="inlineStr">
        <s:is>
          <s:t>이종훈</s:t>
        </s:is>
      </s:c>
      <s:c r="C100" s="0" t="n">
        <s:v>102022</s:v>
      </s:c>
      <s:c r="D100" s="0" t="n">
        <s:v>4291</s:v>
      </s:c>
      <s:c r="F100" s="24">
        <s:f>'자료구성'!$B$2+TIME(INT($C$3/10000),INT(MOD($C$3,10000)/100),MOD($C$3,100))+(ROW()-ROW($C$3))/86400</s:f>
        <s:v>46247.43193287037</s:v>
      </s:c>
    </s:row>
    <s:row r="101">
      <s:c r="A101" s="0" t="n">
        <s:v>260813</s:v>
      </s:c>
      <s:c r="B101" s="0" t="inlineStr">
        <s:is>
          <s:t>이종훈</s:t>
        </s:is>
      </s:c>
      <s:c r="C101" s="0" t="n">
        <s:v>102022</s:v>
      </s:c>
      <s:c r="D101" s="0" t="n">
        <s:v>4314</s:v>
      </s:c>
      <s:c r="F101" s="24">
        <s:f>'자료구성'!$B$2+TIME(INT($C$3/10000),INT(MOD($C$3,10000)/100),MOD($C$3,100))+(ROW()-ROW($C$3))/86400</s:f>
        <s:v>46247.43194444444</s:v>
      </s:c>
    </s:row>
    <s:row r="102">
      <s:c r="A102" s="0" t="n">
        <s:v>260813</s:v>
      </s:c>
      <s:c r="B102" s="0" t="inlineStr">
        <s:is>
          <s:t>이종훈</s:t>
        </s:is>
      </s:c>
      <s:c r="C102" s="0" t="n">
        <s:v>102022</s:v>
      </s:c>
      <s:c r="D102" s="0" t="n">
        <s:v>4486</s:v>
      </s:c>
      <s:c r="F102" s="24">
        <s:f>'자료구성'!$B$2+TIME(INT($C$3/10000),INT(MOD($C$3,10000)/100),MOD($C$3,100))+(ROW()-ROW($C$3))/86400</s:f>
        <s:v>46247.43195601852</s:v>
      </s:c>
    </s:row>
    <s:row r="103">
      <s:c r="A103" s="0" t="n">
        <s:v>260813</s:v>
      </s:c>
      <s:c r="B103" s="0" t="inlineStr">
        <s:is>
          <s:t>이종훈</s:t>
        </s:is>
      </s:c>
      <s:c r="C103" s="0" t="n">
        <s:v>102022</s:v>
      </s:c>
      <s:c r="D103" s="0" t="n">
        <s:v>4527</s:v>
      </s:c>
      <s:c r="F103" s="24">
        <s:f>'자료구성'!$B$2+TIME(INT($C$3/10000),INT(MOD($C$3,10000)/100),MOD($C$3,100))+(ROW()-ROW($C$3))/86400</s:f>
        <s:v>46247.431967592594</s:v>
      </s:c>
    </s:row>
    <s:row r="104">
      <s:c r="A104" s="0" t="n">
        <s:v>260813</s:v>
      </s:c>
      <s:c r="B104" s="0" t="inlineStr">
        <s:is>
          <s:t>이종훈</s:t>
        </s:is>
      </s:c>
      <s:c r="C104" s="0" t="n">
        <s:v>102022</s:v>
      </s:c>
      <s:c r="D104" s="0" t="n">
        <s:v>4562</s:v>
      </s:c>
      <s:c r="F104" s="24">
        <s:f>'자료구성'!$B$2+TIME(INT($C$3/10000),INT(MOD($C$3,10000)/100),MOD($C$3,100))+(ROW()-ROW($C$3))/86400</s:f>
        <s:v>46247.431979166664</s:v>
      </s:c>
    </s:row>
    <s:row r="105">
      <s:c r="A105" s="0" t="n">
        <s:v>260813</s:v>
      </s:c>
      <s:c r="B105" s="0" t="inlineStr">
        <s:is>
          <s:t>이종훈</s:t>
        </s:is>
      </s:c>
      <s:c r="C105" s="0" t="n">
        <s:v>102022</s:v>
      </s:c>
      <s:c r="D105" s="0" t="n">
        <s:v>4580</s:v>
      </s:c>
      <s:c r="F105" s="24">
        <s:f>'자료구성'!$B$2+TIME(INT($C$3/10000),INT(MOD($C$3,10000)/100),MOD($C$3,100))+(ROW()-ROW($C$3))/86400</s:f>
        <s:v>46247.43199074074</s:v>
      </s:c>
    </s:row>
    <s:row r="106">
      <s:c r="A106" s="0" t="n">
        <s:v>260813</s:v>
      </s:c>
      <s:c r="B106" s="0" t="inlineStr">
        <s:is>
          <s:t>이종훈</s:t>
        </s:is>
      </s:c>
      <s:c r="C106" s="0" t="n">
        <s:v>102022</s:v>
      </s:c>
      <s:c r="D106" s="0" t="n">
        <s:v>4592</s:v>
      </s:c>
      <s:c r="F106" s="24">
        <s:f>'자료구성'!$B$2+TIME(INT($C$3/10000),INT(MOD($C$3,10000)/100),MOD($C$3,100))+(ROW()-ROW($C$3))/86400</s:f>
        <s:v>46247.43200231482</s:v>
      </s:c>
    </s:row>
    <s:row r="107">
      <s:c r="A107" s="0" t="n">
        <s:v>260813</s:v>
      </s:c>
      <s:c r="B107" s="0" t="inlineStr">
        <s:is>
          <s:t>이종훈</s:t>
        </s:is>
      </s:c>
      <s:c r="C107" s="0" t="n">
        <s:v>102022</s:v>
      </s:c>
      <s:c r="D107" s="0" t="n">
        <s:v>4588</s:v>
      </s:c>
      <s:c r="F107" s="24">
        <s:f>'자료구성'!$B$2+TIME(INT($C$3/10000),INT(MOD($C$3,10000)/100),MOD($C$3,100))+(ROW()-ROW($C$3))/86400</s:f>
        <s:v>46247.43201388889</s:v>
      </s:c>
    </s:row>
    <s:row r="108">
      <s:c r="A108" s="0" t="n">
        <s:v>260813</s:v>
      </s:c>
      <s:c r="B108" s="0" t="inlineStr">
        <s:is>
          <s:t>이종훈</s:t>
        </s:is>
      </s:c>
      <s:c r="C108" s="0" t="n">
        <s:v>102022</s:v>
      </s:c>
      <s:c r="D108" s="0" t="n">
        <s:v>4584</s:v>
      </s:c>
      <s:c r="F108" s="24">
        <s:f>'자료구성'!$B$2+TIME(INT($C$3/10000),INT(MOD($C$3,10000)/100),MOD($C$3,100))+(ROW()-ROW($C$3))/86400</s:f>
        <s:v>46247.432025462964</s:v>
      </s:c>
    </s:row>
    <s:row r="109">
      <s:c r="A109" s="0" t="n">
        <s:v>260813</s:v>
      </s:c>
      <s:c r="B109" s="0" t="inlineStr">
        <s:is>
          <s:t>이종훈</s:t>
        </s:is>
      </s:c>
      <s:c r="C109" s="0" t="n">
        <s:v>102022</s:v>
      </s:c>
      <s:c r="D109" s="0" t="n">
        <s:v>4655</s:v>
      </s:c>
      <s:c r="F109" s="24">
        <s:f>'자료구성'!$B$2+TIME(INT($C$3/10000),INT(MOD($C$3,10000)/100),MOD($C$3,100))+(ROW()-ROW($C$3))/86400</s:f>
        <s:v>46247.43203703704</s:v>
      </s:c>
    </s:row>
    <s:row r="110">
      <s:c r="A110" s="0" t="n">
        <s:v>260813</s:v>
      </s:c>
      <s:c r="B110" s="0" t="inlineStr">
        <s:is>
          <s:t>이종훈</s:t>
        </s:is>
      </s:c>
      <s:c r="C110" s="0" t="n">
        <s:v>102022</s:v>
      </s:c>
      <s:c r="D110" s="0" t="n">
        <s:v>4755</s:v>
      </s:c>
      <s:c r="F110" s="24">
        <s:f>'자료구성'!$B$2+TIME(INT($C$3/10000),INT(MOD($C$3,10000)/100),MOD($C$3,100))+(ROW()-ROW($C$3))/86400</s:f>
        <s:v>46247.43204861111</s:v>
      </s:c>
    </s:row>
    <s:row r="111">
      <s:c r="A111" s="0" t="n">
        <s:v>260813</s:v>
      </s:c>
      <s:c r="B111" s="0" t="inlineStr">
        <s:is>
          <s:t>이종훈</s:t>
        </s:is>
      </s:c>
      <s:c r="C111" s="0" t="n">
        <s:v>102022</s:v>
      </s:c>
      <s:c r="D111" s="0" t="n">
        <s:v>4791</s:v>
      </s:c>
      <s:c r="F111" s="24">
        <s:f>'자료구성'!$B$2+TIME(INT($C$3/10000),INT(MOD($C$3,10000)/100),MOD($C$3,100))+(ROW()-ROW($C$3))/86400</s:f>
        <s:v>46247.43206018519</s:v>
      </s:c>
    </s:row>
    <s:row r="112">
      <s:c r="A112" s="0" t="n">
        <s:v>260813</s:v>
      </s:c>
      <s:c r="B112" s="0" t="inlineStr">
        <s:is>
          <s:t>이종훈</s:t>
        </s:is>
      </s:c>
      <s:c r="C112" s="0" t="n">
        <s:v>102022</s:v>
      </s:c>
      <s:c r="D112" s="0" t="n">
        <s:v>4747</s:v>
      </s:c>
      <s:c r="F112" s="24">
        <s:f>'자료구성'!$B$2+TIME(INT($C$3/10000),INT(MOD($C$3,10000)/100),MOD($C$3,100))+(ROW()-ROW($C$3))/86400</s:f>
        <s:v>46247.432071759256</s:v>
      </s:c>
    </s:row>
    <s:row r="113">
      <s:c r="A113" s="0" t="n">
        <s:v>260813</s:v>
      </s:c>
      <s:c r="B113" s="0" t="inlineStr">
        <s:is>
          <s:t>이종훈</s:t>
        </s:is>
      </s:c>
      <s:c r="C113" s="0" t="n">
        <s:v>102022</s:v>
      </s:c>
      <s:c r="D113" s="0" t="n">
        <s:v>4693</s:v>
      </s:c>
      <s:c r="F113" s="24">
        <s:f>'자료구성'!$B$2+TIME(INT($C$3/10000),INT(MOD($C$3,10000)/100),MOD($C$3,100))+(ROW()-ROW($C$3))/86400</s:f>
        <s:v>46247.43208333333</s:v>
      </s:c>
    </s:row>
    <s:row r="114">
      <s:c r="A114" s="0" t="n">
        <s:v>260813</s:v>
      </s:c>
      <s:c r="B114" s="0" t="inlineStr">
        <s:is>
          <s:t>이종훈</s:t>
        </s:is>
      </s:c>
      <s:c r="C114" s="0" t="n">
        <s:v>102022</s:v>
      </s:c>
      <s:c r="D114" s="0" t="n">
        <s:v>4715</s:v>
      </s:c>
      <s:c r="F114" s="24">
        <s:f>'자료구성'!$B$2+TIME(INT($C$3/10000),INT(MOD($C$3,10000)/100),MOD($C$3,100))+(ROW()-ROW($C$3))/86400</s:f>
        <s:v>46247.43209490741</s:v>
      </s:c>
    </s:row>
    <s:row r="115">
      <s:c r="A115" s="0" t="n">
        <s:v>260813</s:v>
      </s:c>
      <s:c r="B115" s="0" t="inlineStr">
        <s:is>
          <s:t>이종훈</s:t>
        </s:is>
      </s:c>
      <s:c r="C115" s="0" t="n">
        <s:v>102022</s:v>
      </s:c>
      <s:c r="D115" s="0" t="n">
        <s:v>4766</s:v>
      </s:c>
      <s:c r="F115" s="24">
        <s:f>'자료구성'!$B$2+TIME(INT($C$3/10000),INT(MOD($C$3,10000)/100),MOD($C$3,100))+(ROW()-ROW($C$3))/86400</s:f>
        <s:v>46247.43210648148</s:v>
      </s:c>
    </s:row>
    <s:row r="116">
      <s:c r="A116" s="0" t="n">
        <s:v>260813</s:v>
      </s:c>
      <s:c r="B116" s="0" t="inlineStr">
        <s:is>
          <s:t>이종훈</s:t>
        </s:is>
      </s:c>
      <s:c r="C116" s="0" t="n">
        <s:v>102022</s:v>
      </s:c>
      <s:c r="D116" s="0" t="n">
        <s:v>4880</s:v>
      </s:c>
      <s:c r="F116" s="24">
        <s:f>'자료구성'!$B$2+TIME(INT($C$3/10000),INT(MOD($C$3,10000)/100),MOD($C$3,100))+(ROW()-ROW($C$3))/86400</s:f>
        <s:v>46247.432118055556</s:v>
      </s:c>
    </s:row>
    <s:row r="117">
      <s:c r="A117" s="0" t="n">
        <s:v>260813</s:v>
      </s:c>
      <s:c r="B117" s="0" t="inlineStr">
        <s:is>
          <s:t>이종훈</s:t>
        </s:is>
      </s:c>
      <s:c r="C117" s="0" t="n">
        <s:v>102022</s:v>
      </s:c>
      <s:c r="D117" s="0" t="n">
        <s:v>4956</s:v>
      </s:c>
      <s:c r="F117" s="24">
        <s:f>'자료구성'!$B$2+TIME(INT($C$3/10000),INT(MOD($C$3,10000)/100),MOD($C$3,100))+(ROW()-ROW($C$3))/86400</s:f>
        <s:v>46247.43212962963</s:v>
      </s:c>
    </s:row>
    <s:row r="118">
      <s:c r="A118" s="0" t="n">
        <s:v>260813</s:v>
      </s:c>
      <s:c r="B118" s="0" t="inlineStr">
        <s:is>
          <s:t>이종훈</s:t>
        </s:is>
      </s:c>
      <s:c r="C118" s="0" t="n">
        <s:v>102022</s:v>
      </s:c>
      <s:c r="D118" s="0" t="n">
        <s:v>4992</s:v>
      </s:c>
      <s:c r="F118" s="24">
        <s:f>'자료구성'!$B$2+TIME(INT($C$3/10000),INT(MOD($C$3,10000)/100),MOD($C$3,100))+(ROW()-ROW($C$3))/86400</s:f>
        <s:v>46247.4321412037</s:v>
      </s:c>
    </s:row>
    <s:row r="119">
      <s:c r="A119" s="0" t="n">
        <s:v>260813</s:v>
      </s:c>
      <s:c r="B119" s="0" t="inlineStr">
        <s:is>
          <s:t>이종훈</s:t>
        </s:is>
      </s:c>
      <s:c r="C119" s="0" t="n">
        <s:v>102022</s:v>
      </s:c>
      <s:c r="D119" s="0" t="n">
        <s:v>5003</s:v>
      </s:c>
      <s:c r="F119" s="24">
        <s:f>'자료구성'!$B$2+TIME(INT($C$3/10000),INT(MOD($C$3,10000)/100),MOD($C$3,100))+(ROW()-ROW($C$3))/86400</s:f>
        <s:v>46247.43215277778</s:v>
      </s:c>
    </s:row>
    <s:row r="120">
      <s:c r="A120" s="0" t="n">
        <s:v>260813</s:v>
      </s:c>
      <s:c r="B120" s="0" t="inlineStr">
        <s:is>
          <s:t>이종훈</s:t>
        </s:is>
      </s:c>
      <s:c r="C120" s="0" t="n">
        <s:v>102022</s:v>
      </s:c>
      <s:c r="D120" s="0" t="n">
        <s:v>4999</s:v>
      </s:c>
      <s:c r="F120" s="24">
        <s:f>'자료구성'!$B$2+TIME(INT($C$3/10000),INT(MOD($C$3,10000)/100),MOD($C$3,100))+(ROW()-ROW($C$3))/86400</s:f>
        <s:v>46247.43216435185</s:v>
      </s:c>
    </s:row>
    <s:row r="121">
      <s:c r="A121" s="0" t="n">
        <s:v>260813</s:v>
      </s:c>
      <s:c r="B121" s="0" t="inlineStr">
        <s:is>
          <s:t>이종훈</s:t>
        </s:is>
      </s:c>
      <s:c r="C121" s="0" t="n">
        <s:v>102022</s:v>
      </s:c>
      <s:c r="D121" s="0" t="n">
        <s:v>4972</s:v>
      </s:c>
      <s:c r="F121" s="24">
        <s:f>'자료구성'!$B$2+TIME(INT($C$3/10000),INT(MOD($C$3,10000)/100),MOD($C$3,100))+(ROW()-ROW($C$3))/86400</s:f>
        <s:v>46247.432175925926</s:v>
      </s:c>
    </s:row>
    <s:row r="122">
      <s:c r="A122" s="0" t="n">
        <s:v>260813</s:v>
      </s:c>
      <s:c r="B122" s="0" t="inlineStr">
        <s:is>
          <s:t>이종훈</s:t>
        </s:is>
      </s:c>
      <s:c r="C122" s="0" t="n">
        <s:v>102022</s:v>
      </s:c>
      <s:c r="D122" s="0" t="n">
        <s:v>4915</s:v>
      </s:c>
      <s:c r="F122" s="24">
        <s:f>'자료구성'!$B$2+TIME(INT($C$3/10000),INT(MOD($C$3,10000)/100),MOD($C$3,100))+(ROW()-ROW($C$3))/86400</s:f>
        <s:v>46247.4321875</s:v>
      </s:c>
    </s:row>
    <s:row r="123">
      <s:c r="A123" s="0" t="n">
        <s:v>260813</s:v>
      </s:c>
      <s:c r="B123" s="0" t="inlineStr">
        <s:is>
          <s:t>이종훈</s:t>
        </s:is>
      </s:c>
      <s:c r="C123" s="0" t="n">
        <s:v>102022</s:v>
      </s:c>
      <s:c r="D123" s="0" t="n">
        <s:v>4830</s:v>
      </s:c>
      <s:c r="F123" s="24">
        <s:f>'자료구성'!$B$2+TIME(INT($C$3/10000),INT(MOD($C$3,10000)/100),MOD($C$3,100))+(ROW()-ROW($C$3))/86400</s:f>
        <s:v>46247.43219907407</s:v>
      </s:c>
    </s:row>
    <s:row r="124">
      <s:c r="A124" s="0" t="n">
        <s:v>260813</s:v>
      </s:c>
      <s:c r="B124" s="0" t="inlineStr">
        <s:is>
          <s:t>이종훈</s:t>
        </s:is>
      </s:c>
      <s:c r="C124" s="0" t="n">
        <s:v>102022</s:v>
      </s:c>
      <s:c r="D124" s="0" t="n">
        <s:v>4712</s:v>
      </s:c>
      <s:c r="F124" s="24">
        <s:f>'자료구성'!$B$2+TIME(INT($C$3/10000),INT(MOD($C$3,10000)/100),MOD($C$3,100))+(ROW()-ROW($C$3))/86400</s:f>
        <s:v>46247.43221064815</s:v>
      </s:c>
    </s:row>
    <s:row r="125">
      <s:c r="A125" s="0" t="n">
        <s:v>260813</s:v>
      </s:c>
      <s:c r="B125" s="0" t="inlineStr">
        <s:is>
          <s:t>이종훈</s:t>
        </s:is>
      </s:c>
      <s:c r="C125" s="0" t="n">
        <s:v>102022</s:v>
      </s:c>
      <s:c r="D125" s="0" t="n">
        <s:v>4537</s:v>
      </s:c>
      <s:c r="F125" s="24">
        <s:f>'자료구성'!$B$2+TIME(INT($C$3/10000),INT(MOD($C$3,10000)/100),MOD($C$3,100))+(ROW()-ROW($C$3))/86400</s:f>
        <s:v>46247.432222222225</s:v>
      </s:c>
    </s:row>
    <s:row r="126">
      <s:c r="A126" s="0" t="n">
        <s:v>260813</s:v>
      </s:c>
      <s:c r="B126" s="0" t="inlineStr">
        <s:is>
          <s:t>이종훈</s:t>
        </s:is>
      </s:c>
      <s:c r="C126" s="0" t="n">
        <s:v>102022</s:v>
      </s:c>
      <s:c r="D126" s="0" t="n">
        <s:v>4387</s:v>
      </s:c>
      <s:c r="F126" s="24">
        <s:f>'자료구성'!$B$2+TIME(INT($C$3/10000),INT(MOD($C$3,10000)/100),MOD($C$3,100))+(ROW()-ROW($C$3))/86400</s:f>
        <s:v>46247.432233796295</s:v>
      </s:c>
    </s:row>
    <s:row r="127">
      <s:c r="A127" s="0" t="n">
        <s:v>260813</s:v>
      </s:c>
      <s:c r="B127" s="0" t="inlineStr">
        <s:is>
          <s:t>이종훈</s:t>
        </s:is>
      </s:c>
      <s:c r="C127" s="0" t="n">
        <s:v>102022</s:v>
      </s:c>
      <s:c r="D127" s="0" t="n">
        <s:v>4221</s:v>
      </s:c>
      <s:c r="F127" s="24">
        <s:f>'자료구성'!$B$2+TIME(INT($C$3/10000),INT(MOD($C$3,10000)/100),MOD($C$3,100))+(ROW()-ROW($C$3))/86400</s:f>
        <s:v>46247.43224537037</s:v>
      </s:c>
    </s:row>
    <s:row r="128">
      <s:c r="A128" s="0" t="n">
        <s:v>260813</s:v>
      </s:c>
      <s:c r="B128" s="0" t="inlineStr">
        <s:is>
          <s:t>이종훈</s:t>
        </s:is>
      </s:c>
      <s:c r="C128" s="0" t="n">
        <s:v>102022</s:v>
      </s:c>
      <s:c r="D128" s="0" t="n">
        <s:v>4094</s:v>
      </s:c>
      <s:c r="F128" s="24">
        <s:f>'자료구성'!$B$2+TIME(INT($C$3/10000),INT(MOD($C$3,10000)/100),MOD($C$3,100))+(ROW()-ROW($C$3))/86400</s:f>
        <s:v>46247.43225694444</s:v>
      </s:c>
    </s:row>
    <s:row r="129">
      <s:c r="A129" s="0" t="n">
        <s:v>260813</s:v>
      </s:c>
      <s:c r="B129" s="0" t="inlineStr">
        <s:is>
          <s:t>이종훈</s:t>
        </s:is>
      </s:c>
      <s:c r="C129" s="0" t="n">
        <s:v>102022</s:v>
      </s:c>
      <s:c r="D129" s="0" t="n">
        <s:v>4020</s:v>
      </s:c>
      <s:c r="F129" s="24">
        <s:f>'자료구성'!$B$2+TIME(INT($C$3/10000),INT(MOD($C$3,10000)/100),MOD($C$3,100))+(ROW()-ROW($C$3))/86400</s:f>
        <s:v>46247.43226851852</s:v>
      </s:c>
    </s:row>
    <s:row r="130">
      <s:c r="A130" s="0" t="n">
        <s:v>260813</s:v>
      </s:c>
      <s:c r="B130" s="0" t="inlineStr">
        <s:is>
          <s:t>이종훈</s:t>
        </s:is>
      </s:c>
      <s:c r="C130" s="0" t="n">
        <s:v>102022</s:v>
      </s:c>
      <s:c r="D130" s="0" t="n">
        <s:v>4007</s:v>
      </s:c>
      <s:c r="F130" s="24">
        <s:f>'자료구성'!$B$2+TIME(INT($C$3/10000),INT(MOD($C$3,10000)/100),MOD($C$3,100))+(ROW()-ROW($C$3))/86400</s:f>
        <s:v>46247.432280092595</s:v>
      </s:c>
    </s:row>
    <s:row r="131">
      <s:c r="A131" s="0" t="n">
        <s:v>260813</s:v>
      </s:c>
      <s:c r="B131" s="0" t="inlineStr">
        <s:is>
          <s:t>이종훈</s:t>
        </s:is>
      </s:c>
      <s:c r="C131" s="0" t="n">
        <s:v>102022</s:v>
      </s:c>
      <s:c r="D131" s="0" t="n">
        <s:v>4001</s:v>
      </s:c>
      <s:c r="F131" s="24">
        <s:f>'자료구성'!$B$2+TIME(INT($C$3/10000),INT(MOD($C$3,10000)/100),MOD($C$3,100))+(ROW()-ROW($C$3))/86400</s:f>
        <s:v>46247.432291666664</s:v>
      </s:c>
    </s:row>
    <s:row r="132">
      <s:c r="A132" s="0" t="n">
        <s:v>260813</s:v>
      </s:c>
      <s:c r="B132" s="0" t="inlineStr">
        <s:is>
          <s:t>이종훈</s:t>
        </s:is>
      </s:c>
      <s:c r="C132" s="0" t="n">
        <s:v>102022</s:v>
      </s:c>
      <s:c r="D132" s="0" t="n">
        <s:v>4015</s:v>
      </s:c>
      <s:c r="F132" s="24">
        <s:f>'자료구성'!$B$2+TIME(INT($C$3/10000),INT(MOD($C$3,10000)/100),MOD($C$3,100))+(ROW()-ROW($C$3))/86400</s:f>
        <s:v>46247.43230324074</s:v>
      </s:c>
    </s:row>
    <s:row r="133">
      <s:c r="A133" s="0" t="n">
        <s:v>260813</s:v>
      </s:c>
      <s:c r="B133" s="0" t="inlineStr">
        <s:is>
          <s:t>이종훈</s:t>
        </s:is>
      </s:c>
      <s:c r="C133" s="0" t="n">
        <s:v>102022</s:v>
      </s:c>
      <s:c r="D133" s="0" t="n">
        <s:v>4029</s:v>
      </s:c>
      <s:c r="F133" s="24">
        <s:f>'자료구성'!$B$2+TIME(INT($C$3/10000),INT(MOD($C$3,10000)/100),MOD($C$3,100))+(ROW()-ROW($C$3))/86400</s:f>
        <s:v>46247.43231481482</s:v>
      </s:c>
    </s:row>
    <s:row r="134">
      <s:c r="A134" s="0" t="n">
        <s:v>260813</s:v>
      </s:c>
      <s:c r="B134" s="0" t="inlineStr">
        <s:is>
          <s:t>이종훈</s:t>
        </s:is>
      </s:c>
      <s:c r="C134" s="0" t="n">
        <s:v>102022</s:v>
      </s:c>
      <s:c r="D134" s="0" t="n">
        <s:v>4024</s:v>
      </s:c>
      <s:c r="F134" s="24">
        <s:f>'자료구성'!$B$2+TIME(INT($C$3/10000),INT(MOD($C$3,10000)/100),MOD($C$3,100))+(ROW()-ROW($C$3))/86400</s:f>
        <s:v>46247.43232638889</s:v>
      </s:c>
    </s:row>
    <s:row r="135">
      <s:c r="A135" s="0" t="n">
        <s:v>260813</s:v>
      </s:c>
      <s:c r="B135" s="0" t="inlineStr">
        <s:is>
          <s:t>이종훈</s:t>
        </s:is>
      </s:c>
      <s:c r="C135" s="0" t="n">
        <s:v>102022</s:v>
      </s:c>
      <s:c r="D135" s="0" t="n">
        <s:v>4058</s:v>
      </s:c>
      <s:c r="F135" s="24">
        <s:f>'자료구성'!$B$2+TIME(INT($C$3/10000),INT(MOD($C$3,10000)/100),MOD($C$3,100))+(ROW()-ROW($C$3))/86400</s:f>
        <s:v>46247.432337962964</s:v>
      </s:c>
    </s:row>
    <s:row r="136">
      <s:c r="A136" s="0" t="n">
        <s:v>260813</s:v>
      </s:c>
      <s:c r="B136" s="0" t="inlineStr">
        <s:is>
          <s:t>이종훈</s:t>
        </s:is>
      </s:c>
      <s:c r="C136" s="0" t="n">
        <s:v>102022</s:v>
      </s:c>
      <s:c r="D136" s="0" t="n">
        <s:v>4092</s:v>
      </s:c>
      <s:c r="F136" s="24">
        <s:f>'자료구성'!$B$2+TIME(INT($C$3/10000),INT(MOD($C$3,10000)/100),MOD($C$3,100))+(ROW()-ROW($C$3))/86400</s:f>
        <s:v>46247.43234953703</s:v>
      </s:c>
    </s:row>
    <s:row r="137">
      <s:c r="A137" s="0" t="n">
        <s:v>260813</s:v>
      </s:c>
      <s:c r="B137" s="0" t="inlineStr">
        <s:is>
          <s:t>이종훈</s:t>
        </s:is>
      </s:c>
      <s:c r="C137" s="0" t="n">
        <s:v>102022</s:v>
      </s:c>
      <s:c r="D137" s="0" t="n">
        <s:v>4090</s:v>
      </s:c>
      <s:c r="F137" s="24">
        <s:f>'자료구성'!$B$2+TIME(INT($C$3/10000),INT(MOD($C$3,10000)/100),MOD($C$3,100))+(ROW()-ROW($C$3))/86400</s:f>
        <s:v>46247.43236111111</s:v>
      </s:c>
    </s:row>
    <s:row r="138">
      <s:c r="A138" s="0" t="n">
        <s:v>260813</s:v>
      </s:c>
      <s:c r="B138" s="0" t="inlineStr">
        <s:is>
          <s:t>이종훈</s:t>
        </s:is>
      </s:c>
      <s:c r="C138" s="0" t="n">
        <s:v>102022</s:v>
      </s:c>
      <s:c r="D138" s="0" t="n">
        <s:v>4137</s:v>
      </s:c>
      <s:c r="F138" s="24">
        <s:f>'자료구성'!$B$2+TIME(INT($C$3/10000),INT(MOD($C$3,10000)/100),MOD($C$3,100))+(ROW()-ROW($C$3))/86400</s:f>
        <s:v>46247.43237268519</s:v>
      </s:c>
    </s:row>
    <s:row r="139">
      <s:c r="A139" s="0" t="n">
        <s:v>260813</s:v>
      </s:c>
      <s:c r="B139" s="0" t="inlineStr">
        <s:is>
          <s:t>이종훈</s:t>
        </s:is>
      </s:c>
      <s:c r="C139" s="0" t="n">
        <s:v>102022</s:v>
      </s:c>
      <s:c r="D139" s="0" t="n">
        <s:v>4125</s:v>
      </s:c>
      <s:c r="F139" s="24">
        <s:f>'자료구성'!$B$2+TIME(INT($C$3/10000),INT(MOD($C$3,10000)/100),MOD($C$3,100))+(ROW()-ROW($C$3))/86400</s:f>
        <s:v>46247.43238425926</s:v>
      </s:c>
    </s:row>
    <s:row r="140">
      <s:c r="A140" s="0" t="n">
        <s:v>260813</s:v>
      </s:c>
      <s:c r="B140" s="0" t="inlineStr">
        <s:is>
          <s:t>이종훈</s:t>
        </s:is>
      </s:c>
      <s:c r="C140" s="0" t="n">
        <s:v>102022</s:v>
      </s:c>
      <s:c r="D140" s="0" t="n">
        <s:v>3939</s:v>
      </s:c>
      <s:c r="F140" s="24">
        <s:f>'자료구성'!$B$2+TIME(INT($C$3/10000),INT(MOD($C$3,10000)/100),MOD($C$3,100))+(ROW()-ROW($C$3))/86400</s:f>
        <s:v>46247.43239583333</s:v>
      </s:c>
    </s:row>
    <s:row r="141">
      <s:c r="A141" s="0" t="n">
        <s:v>260813</s:v>
      </s:c>
      <s:c r="B141" s="0" t="inlineStr">
        <s:is>
          <s:t>이종훈</s:t>
        </s:is>
      </s:c>
      <s:c r="C141" s="0" t="n">
        <s:v>102022</s:v>
      </s:c>
      <s:c r="D141" s="0" t="n">
        <s:v>3742</s:v>
      </s:c>
      <s:c r="F141" s="24">
        <s:f>'자료구성'!$B$2+TIME(INT($C$3/10000),INT(MOD($C$3,10000)/100),MOD($C$3,100))+(ROW()-ROW($C$3))/86400</s:f>
        <s:v>46247.43240740741</s:v>
      </s:c>
    </s:row>
    <s:row r="142">
      <s:c r="A142" s="0" t="n">
        <s:v>260813</s:v>
      </s:c>
      <s:c r="B142" s="0" t="inlineStr">
        <s:is>
          <s:t>이종훈</s:t>
        </s:is>
      </s:c>
      <s:c r="C142" s="0" t="n">
        <s:v>102022</s:v>
      </s:c>
      <s:c r="D142" s="0" t="n">
        <s:v>3569</s:v>
      </s:c>
      <s:c r="F142" s="24">
        <s:f>'자료구성'!$B$2+TIME(INT($C$3/10000),INT(MOD($C$3,10000)/100),MOD($C$3,100))+(ROW()-ROW($C$3))/86400</s:f>
        <s:v>46247.43241898148</s:v>
      </s:c>
    </s:row>
    <s:row r="143">
      <s:c r="A143" s="0" t="n">
        <s:v>260813</s:v>
      </s:c>
      <s:c r="B143" s="0" t="inlineStr">
        <s:is>
          <s:t>이종훈</s:t>
        </s:is>
      </s:c>
      <s:c r="C143" s="0" t="n">
        <s:v>102022</s:v>
      </s:c>
      <s:c r="D143" s="0" t="n">
        <s:v>3394</s:v>
      </s:c>
      <s:c r="F143" s="24">
        <s:f>'자료구성'!$B$2+TIME(INT($C$3/10000),INT(MOD($C$3,10000)/100),MOD($C$3,100))+(ROW()-ROW($C$3))/86400</s:f>
        <s:v>46247.43243055556</s:v>
      </s:c>
    </s:row>
    <s:row r="144">
      <s:c r="A144" s="0" t="n">
        <s:v>260813</s:v>
      </s:c>
      <s:c r="B144" s="0" t="inlineStr">
        <s:is>
          <s:t>이종훈</s:t>
        </s:is>
      </s:c>
      <s:c r="C144" s="0" t="n">
        <s:v>102022</s:v>
      </s:c>
      <s:c r="D144" s="0" t="n">
        <s:v>3303</s:v>
      </s:c>
      <s:c r="F144" s="24">
        <s:f>'자료구성'!$B$2+TIME(INT($C$3/10000),INT(MOD($C$3,10000)/100),MOD($C$3,100))+(ROW()-ROW($C$3))/86400</s:f>
        <s:v>46247.432442129626</s:v>
      </s:c>
    </s:row>
    <s:row r="145">
      <s:c r="A145" s="0" t="n">
        <s:v>260813</s:v>
      </s:c>
      <s:c r="B145" s="0" t="inlineStr">
        <s:is>
          <s:t>이종훈</s:t>
        </s:is>
      </s:c>
      <s:c r="C145" s="0" t="n">
        <s:v>102022</s:v>
      </s:c>
      <s:c r="D145" s="0" t="n">
        <s:v>3218</s:v>
      </s:c>
      <s:c r="F145" s="24">
        <s:f>'자료구성'!$B$2+TIME(INT($C$3/10000),INT(MOD($C$3,10000)/100),MOD($C$3,100))+(ROW()-ROW($C$3))/86400</s:f>
        <s:v>46247.4324537037</s:v>
      </s:c>
    </s:row>
    <s:row r="146">
      <s:c r="A146" s="0" t="n">
        <s:v>260813</s:v>
      </s:c>
      <s:c r="B146" s="0" t="inlineStr">
        <s:is>
          <s:t>이종훈</s:t>
        </s:is>
      </s:c>
      <s:c r="C146" s="0" t="n">
        <s:v>102022</s:v>
      </s:c>
      <s:c r="D146" s="0" t="n">
        <s:v>3173</s:v>
      </s:c>
      <s:c r="F146" s="24">
        <s:f>'자료구성'!$B$2+TIME(INT($C$3/10000),INT(MOD($C$3,10000)/100),MOD($C$3,100))+(ROW()-ROW($C$3))/86400</s:f>
        <s:v>46247.43246527778</s:v>
      </s:c>
    </s:row>
    <s:row r="147">
      <s:c r="A147" s="0" t="n">
        <s:v>260813</s:v>
      </s:c>
      <s:c r="B147" s="0" t="inlineStr">
        <s:is>
          <s:t>이종훈</s:t>
        </s:is>
      </s:c>
      <s:c r="C147" s="0" t="n">
        <s:v>102022</s:v>
      </s:c>
      <s:c r="D147" s="0" t="n">
        <s:v>3134</s:v>
      </s:c>
      <s:c r="F147" s="24">
        <s:f>'자료구성'!$B$2+TIME(INT($C$3/10000),INT(MOD($C$3,10000)/100),MOD($C$3,100))+(ROW()-ROW($C$3))/86400</s:f>
        <s:v>46247.43247685185</s:v>
      </s:c>
    </s:row>
    <s:row r="148">
      <s:c r="A148" s="0" t="n">
        <s:v>260813</s:v>
      </s:c>
      <s:c r="B148" s="0" t="inlineStr">
        <s:is>
          <s:t>이종훈</s:t>
        </s:is>
      </s:c>
      <s:c r="C148" s="0" t="n">
        <s:v>102022</s:v>
      </s:c>
      <s:c r="D148" s="0" t="n">
        <s:v>3046</s:v>
      </s:c>
      <s:c r="F148" s="24">
        <s:f>'자료구성'!$B$2+TIME(INT($C$3/10000),INT(MOD($C$3,10000)/100),MOD($C$3,100))+(ROW()-ROW($C$3))/86400</s:f>
        <s:v>46247.432488425926</s:v>
      </s:c>
    </s:row>
    <s:row r="149">
      <s:c r="A149" s="0" t="n">
        <s:v>260813</s:v>
      </s:c>
      <s:c r="B149" s="0" t="inlineStr">
        <s:is>
          <s:t>이종훈</s:t>
        </s:is>
      </s:c>
      <s:c r="C149" s="0" t="n">
        <s:v>102022</s:v>
      </s:c>
      <s:c r="D149" s="0" t="n">
        <s:v>3010</s:v>
      </s:c>
      <s:c r="F149" s="24">
        <s:f>'자료구성'!$B$2+TIME(INT($C$3/10000),INT(MOD($C$3,10000)/100),MOD($C$3,100))+(ROW()-ROW($C$3))/86400</s:f>
        <s:v>46247.4325</s:v>
      </s:c>
    </s:row>
    <s:row r="150">
      <s:c r="A150" s="0" t="n">
        <s:v>260813</s:v>
      </s:c>
      <s:c r="B150" s="0" t="inlineStr">
        <s:is>
          <s:t>이종훈</s:t>
        </s:is>
      </s:c>
      <s:c r="C150" s="0" t="n">
        <s:v>102022</s:v>
      </s:c>
      <s:c r="D150" s="0" t="n">
        <s:v>2982</s:v>
      </s:c>
      <s:c r="F150" s="24">
        <s:f>'자료구성'!$B$2+TIME(INT($C$3/10000),INT(MOD($C$3,10000)/100),MOD($C$3,100))+(ROW()-ROW($C$3))/86400</s:f>
        <s:v>46247.43251157407</s:v>
      </s:c>
    </s:row>
    <s:row r="151">
      <s:c r="A151" s="0" t="n">
        <s:v>260813</s:v>
      </s:c>
      <s:c r="B151" s="0" t="inlineStr">
        <s:is>
          <s:t>이종훈</s:t>
        </s:is>
      </s:c>
      <s:c r="C151" s="0" t="n">
        <s:v>102022</s:v>
      </s:c>
      <s:c r="D151" s="0" t="n">
        <s:v>2972</s:v>
      </s:c>
      <s:c r="F151" s="24">
        <s:f>'자료구성'!$B$2+TIME(INT($C$3/10000),INT(MOD($C$3,10000)/100),MOD($C$3,100))+(ROW()-ROW($C$3))/86400</s:f>
        <s:v>46247.43252314815</s:v>
      </s:c>
    </s:row>
    <s:row r="152">
      <s:c r="A152" s="0" t="n">
        <s:v>260813</s:v>
      </s:c>
      <s:c r="B152" s="0" t="inlineStr">
        <s:is>
          <s:t>이종훈</s:t>
        </s:is>
      </s:c>
      <s:c r="C152" s="0" t="n">
        <s:v>102022</s:v>
      </s:c>
      <s:c r="D152" s="0" t="n">
        <s:v>2978</s:v>
      </s:c>
      <s:c r="F152" s="24">
        <s:f>'자료구성'!$B$2+TIME(INT($C$3/10000),INT(MOD($C$3,10000)/100),MOD($C$3,100))+(ROW()-ROW($C$3))/86400</s:f>
        <s:v>46247.432534722226</s:v>
      </s:c>
    </s:row>
    <s:row r="153">
      <s:c r="A153" s="0" t="n">
        <s:v>260813</s:v>
      </s:c>
      <s:c r="B153" s="0" t="inlineStr">
        <s:is>
          <s:t>이종훈</s:t>
        </s:is>
      </s:c>
      <s:c r="C153" s="0" t="n">
        <s:v>102022</s:v>
      </s:c>
      <s:c r="D153" s="0" t="n">
        <s:v>2940</s:v>
      </s:c>
      <s:c r="F153" s="24">
        <s:f>'자료구성'!$B$2+TIME(INT($C$3/10000),INT(MOD($C$3,10000)/100),MOD($C$3,100))+(ROW()-ROW($C$3))/86400</s:f>
        <s:v>46247.432546296295</s:v>
      </s:c>
    </s:row>
    <s:row r="154">
      <s:c r="A154" s="0" t="n">
        <s:v>260813</s:v>
      </s:c>
      <s:c r="B154" s="0" t="inlineStr">
        <s:is>
          <s:t>이종훈</s:t>
        </s:is>
      </s:c>
      <s:c r="C154" s="0" t="n">
        <s:v>102022</s:v>
      </s:c>
      <s:c r="D154" s="0" t="n">
        <s:v>2902</s:v>
      </s:c>
      <s:c r="F154" s="24">
        <s:f>'자료구성'!$B$2+TIME(INT($C$3/10000),INT(MOD($C$3,10000)/100),MOD($C$3,100))+(ROW()-ROW($C$3))/86400</s:f>
        <s:v>46247.43255787037</s:v>
      </s:c>
    </s:row>
    <s:row r="155">
      <s:c r="A155" s="0" t="n">
        <s:v>260813</s:v>
      </s:c>
      <s:c r="B155" s="0" t="inlineStr">
        <s:is>
          <s:t>이종훈</s:t>
        </s:is>
      </s:c>
      <s:c r="C155" s="0" t="n">
        <s:v>102022</s:v>
      </s:c>
      <s:c r="D155" s="0" t="n">
        <s:v>2846</s:v>
      </s:c>
      <s:c r="F155" s="24">
        <s:f>'자료구성'!$B$2+TIME(INT($C$3/10000),INT(MOD($C$3,10000)/100),MOD($C$3,100))+(ROW()-ROW($C$3))/86400</s:f>
        <s:v>46247.43256944444</s:v>
      </s:c>
    </s:row>
    <s:row r="156">
      <s:c r="A156" s="0" t="n">
        <s:v>260813</s:v>
      </s:c>
      <s:c r="B156" s="0" t="inlineStr">
        <s:is>
          <s:t>이종훈</s:t>
        </s:is>
      </s:c>
      <s:c r="C156" s="0" t="n">
        <s:v>102022</s:v>
      </s:c>
      <s:c r="D156" s="0" t="n">
        <s:v>2859</s:v>
      </s:c>
      <s:c r="F156" s="24">
        <s:f>'자료구성'!$B$2+TIME(INT($C$3/10000),INT(MOD($C$3,10000)/100),MOD($C$3,100))+(ROW()-ROW($C$3))/86400</s:f>
        <s:v>46247.43258101852</s:v>
      </s:c>
    </s:row>
    <s:row r="157">
      <s:c r="A157" s="0" t="n">
        <s:v>260813</s:v>
      </s:c>
      <s:c r="B157" s="0" t="inlineStr">
        <s:is>
          <s:t>이종훈</s:t>
        </s:is>
      </s:c>
      <s:c r="C157" s="0" t="n">
        <s:v>102022</s:v>
      </s:c>
      <s:c r="D157" s="0" t="n">
        <s:v>2856</s:v>
      </s:c>
      <s:c r="F157" s="24">
        <s:f>'자료구성'!$B$2+TIME(INT($C$3/10000),INT(MOD($C$3,10000)/100),MOD($C$3,100))+(ROW()-ROW($C$3))/86400</s:f>
        <s:v>46247.432592592595</s:v>
      </s:c>
    </s:row>
    <s:row r="158">
      <s:c r="A158" s="0" t="n">
        <s:v>260813</s:v>
      </s:c>
      <s:c r="B158" s="0" t="inlineStr">
        <s:is>
          <s:t>이종훈</s:t>
        </s:is>
      </s:c>
      <s:c r="C158" s="0" t="n">
        <s:v>102022</s:v>
      </s:c>
      <s:c r="D158" s="0" t="n">
        <s:v>2864</s:v>
      </s:c>
      <s:c r="F158" s="24">
        <s:f>'자료구성'!$B$2+TIME(INT($C$3/10000),INT(MOD($C$3,10000)/100),MOD($C$3,100))+(ROW()-ROW($C$3))/86400</s:f>
        <s:v>46247.432604166665</s:v>
      </s:c>
    </s:row>
    <s:row r="159">
      <s:c r="A159" s="0" t="n">
        <s:v>260813</s:v>
      </s:c>
      <s:c r="B159" s="0" t="inlineStr">
        <s:is>
          <s:t>이종훈</s:t>
        </s:is>
      </s:c>
      <s:c r="C159" s="0" t="n">
        <s:v>102022</s:v>
      </s:c>
      <s:c r="D159" s="0" t="n">
        <s:v>2901</s:v>
      </s:c>
      <s:c r="F159" s="24">
        <s:f>'자료구성'!$B$2+TIME(INT($C$3/10000),INT(MOD($C$3,10000)/100),MOD($C$3,100))+(ROW()-ROW($C$3))/86400</s:f>
        <s:v>46247.43261574074</s:v>
      </s:c>
    </s:row>
    <s:row r="160">
      <s:c r="A160" s="0" t="n">
        <s:v>260813</s:v>
      </s:c>
      <s:c r="B160" s="0" t="inlineStr">
        <s:is>
          <s:t>이종훈</s:t>
        </s:is>
      </s:c>
      <s:c r="C160" s="0" t="n">
        <s:v>102022</s:v>
      </s:c>
      <s:c r="D160" s="0" t="n">
        <s:v>2858</s:v>
      </s:c>
      <s:c r="F160" s="24">
        <s:f>'자료구성'!$B$2+TIME(INT($C$3/10000),INT(MOD($C$3,10000)/100),MOD($C$3,100))+(ROW()-ROW($C$3))/86400</s:f>
        <s:v>46247.43262731482</s:v>
      </s:c>
    </s:row>
    <s:row r="161">
      <s:c r="A161" s="0" t="n">
        <s:v>260813</s:v>
      </s:c>
      <s:c r="B161" s="0" t="inlineStr">
        <s:is>
          <s:t>이종훈</s:t>
        </s:is>
      </s:c>
      <s:c r="C161" s="0" t="n">
        <s:v>102022</s:v>
      </s:c>
      <s:c r="D161" s="0" t="n">
        <s:v>2871</s:v>
      </s:c>
      <s:c r="F161" s="24">
        <s:f>'자료구성'!$B$2+TIME(INT($C$3/10000),INT(MOD($C$3,10000)/100),MOD($C$3,100))+(ROW()-ROW($C$3))/86400</s:f>
        <s:v>46247.43263888889</s:v>
      </s:c>
    </s:row>
    <s:row r="162">
      <s:c r="A162" s="0" t="n">
        <s:v>260813</s:v>
      </s:c>
      <s:c r="B162" s="0" t="inlineStr">
        <s:is>
          <s:t>이종훈</s:t>
        </s:is>
      </s:c>
      <s:c r="C162" s="0" t="n">
        <s:v>102022</s:v>
      </s:c>
      <s:c r="D162" s="0" t="n">
        <s:v>2968</s:v>
      </s:c>
      <s:c r="F162" s="24">
        <s:f>'자료구성'!$B$2+TIME(INT($C$3/10000),INT(MOD($C$3,10000)/100),MOD($C$3,100))+(ROW()-ROW($C$3))/86400</s:f>
        <s:v>46247.432650462964</s:v>
      </s:c>
    </s:row>
    <s:row r="163">
      <s:c r="A163" s="0" t="n">
        <s:v>260813</s:v>
      </s:c>
      <s:c r="B163" s="0" t="inlineStr">
        <s:is>
          <s:t>이종훈</s:t>
        </s:is>
      </s:c>
      <s:c r="C163" s="0" t="n">
        <s:v>102022</s:v>
      </s:c>
      <s:c r="D163" s="0" t="n">
        <s:v>3071</s:v>
      </s:c>
      <s:c r="F163" s="24">
        <s:f>'자료구성'!$B$2+TIME(INT($C$3/10000),INT(MOD($C$3,10000)/100),MOD($C$3,100))+(ROW()-ROW($C$3))/86400</s:f>
        <s:v>46247.432662037034</s:v>
      </s:c>
    </s:row>
    <s:row r="164">
      <s:c r="A164" s="0" t="n">
        <s:v>260813</s:v>
      </s:c>
      <s:c r="B164" s="0" t="inlineStr">
        <s:is>
          <s:t>이종훈</s:t>
        </s:is>
      </s:c>
      <s:c r="C164" s="0" t="n">
        <s:v>102022</s:v>
      </s:c>
      <s:c r="D164" s="0" t="n">
        <s:v>3114</s:v>
      </s:c>
      <s:c r="F164" s="24">
        <s:f>'자료구성'!$B$2+TIME(INT($C$3/10000),INT(MOD($C$3,10000)/100),MOD($C$3,100))+(ROW()-ROW($C$3))/86400</s:f>
        <s:v>46247.43267361111</s:v>
      </s:c>
    </s:row>
    <s:row r="165">
      <s:c r="A165" s="0" t="n">
        <s:v>260813</s:v>
      </s:c>
      <s:c r="B165" s="0" t="inlineStr">
        <s:is>
          <s:t>이종훈</s:t>
        </s:is>
      </s:c>
      <s:c r="C165" s="0" t="n">
        <s:v>102022</s:v>
      </s:c>
      <s:c r="D165" s="0" t="n">
        <s:v>3128</s:v>
      </s:c>
      <s:c r="F165" s="24">
        <s:f>'자료구성'!$B$2+TIME(INT($C$3/10000),INT(MOD($C$3,10000)/100),MOD($C$3,100))+(ROW()-ROW($C$3))/86400</s:f>
        <s:v>46247.43268518519</s:v>
      </s:c>
    </s:row>
    <s:row r="166">
      <s:c r="A166" s="0" t="n">
        <s:v>260813</s:v>
      </s:c>
      <s:c r="B166" s="0" t="inlineStr">
        <s:is>
          <s:t>이종훈</s:t>
        </s:is>
      </s:c>
      <s:c r="C166" s="0" t="n">
        <s:v>102022</s:v>
      </s:c>
      <s:c r="D166" s="0" t="n">
        <s:v>3128</s:v>
      </s:c>
      <s:c r="F166" s="24">
        <s:f>'자료구성'!$B$2+TIME(INT($C$3/10000),INT(MOD($C$3,10000)/100),MOD($C$3,100))+(ROW()-ROW($C$3))/86400</s:f>
        <s:v>46247.43269675926</s:v>
      </s:c>
    </s:row>
    <s:row r="167">
      <s:c r="A167" s="0" t="n">
        <s:v>260813</s:v>
      </s:c>
      <s:c r="B167" s="0" t="inlineStr">
        <s:is>
          <s:t>이종훈</s:t>
        </s:is>
      </s:c>
      <s:c r="C167" s="0" t="n">
        <s:v>102022</s:v>
      </s:c>
      <s:c r="D167" s="0" t="n">
        <s:v>3126</s:v>
      </s:c>
      <s:c r="F167" s="24">
        <s:f>'자료구성'!$B$2+TIME(INT($C$3/10000),INT(MOD($C$3,10000)/100),MOD($C$3,100))+(ROW()-ROW($C$3))/86400</s:f>
        <s:v>46247.432708333334</s:v>
      </s:c>
    </s:row>
    <s:row r="168">
      <s:c r="A168" s="0" t="n">
        <s:v>260813</s:v>
      </s:c>
      <s:c r="B168" s="0" t="inlineStr">
        <s:is>
          <s:t>이종훈</s:t>
        </s:is>
      </s:c>
      <s:c r="C168" s="0" t="n">
        <s:v>102022</s:v>
      </s:c>
      <s:c r="D168" s="0" t="n">
        <s:v>3140</s:v>
      </s:c>
      <s:c r="F168" s="24">
        <s:f>'자료구성'!$B$2+TIME(INT($C$3/10000),INT(MOD($C$3,10000)/100),MOD($C$3,100))+(ROW()-ROW($C$3))/86400</s:f>
        <s:v>46247.43271990741</s:v>
      </s:c>
    </s:row>
    <s:row r="169">
      <s:c r="A169" s="0" t="n">
        <s:v>260813</s:v>
      </s:c>
      <s:c r="B169" s="0" t="inlineStr">
        <s:is>
          <s:t>이종훈</s:t>
        </s:is>
      </s:c>
      <s:c r="C169" s="0" t="n">
        <s:v>102022</s:v>
      </s:c>
      <s:c r="D169" s="0" t="n">
        <s:v>3128</s:v>
      </s:c>
      <s:c r="F169" s="24">
        <s:f>'자료구성'!$B$2+TIME(INT($C$3/10000),INT(MOD($C$3,10000)/100),MOD($C$3,100))+(ROW()-ROW($C$3))/86400</s:f>
        <s:v>46247.43273148148</s:v>
      </s:c>
    </s:row>
    <s:row r="170">
      <s:c r="A170" s="0" t="n">
        <s:v>260813</s:v>
      </s:c>
      <s:c r="B170" s="0" t="inlineStr">
        <s:is>
          <s:t>이종훈</s:t>
        </s:is>
      </s:c>
      <s:c r="C170" s="0" t="n">
        <s:v>102022</s:v>
      </s:c>
      <s:c r="D170" s="0" t="n">
        <s:v>3133</s:v>
      </s:c>
      <s:c r="F170" s="24">
        <s:f>'자료구성'!$B$2+TIME(INT($C$3/10000),INT(MOD($C$3,10000)/100),MOD($C$3,100))+(ROW()-ROW($C$3))/86400</s:f>
        <s:v>46247.43274305556</s:v>
      </s:c>
    </s:row>
    <s:row r="171">
      <s:c r="A171" s="0" t="n">
        <s:v>260813</s:v>
      </s:c>
      <s:c r="B171" s="0" t="inlineStr">
        <s:is>
          <s:t>이종훈</s:t>
        </s:is>
      </s:c>
      <s:c r="C171" s="0" t="n">
        <s:v>102022</s:v>
      </s:c>
      <s:c r="D171" s="0" t="n">
        <s:v>3132</s:v>
      </s:c>
      <s:c r="F171" s="24">
        <s:f>'자료구성'!$B$2+TIME(INT($C$3/10000),INT(MOD($C$3,10000)/100),MOD($C$3,100))+(ROW()-ROW($C$3))/86400</s:f>
        <s:v>46247.432754629626</s:v>
      </s:c>
    </s:row>
    <s:row r="172">
      <s:c r="A172" s="0" t="n">
        <s:v>260813</s:v>
      </s:c>
      <s:c r="B172" s="0" t="inlineStr">
        <s:is>
          <s:t>이종훈</s:t>
        </s:is>
      </s:c>
      <s:c r="C172" s="0" t="n">
        <s:v>102022</s:v>
      </s:c>
      <s:c r="D172" s="0" t="n">
        <s:v>3157</s:v>
      </s:c>
      <s:c r="F172" s="24">
        <s:f>'자료구성'!$B$2+TIME(INT($C$3/10000),INT(MOD($C$3,10000)/100),MOD($C$3,100))+(ROW()-ROW($C$3))/86400</s:f>
        <s:v>46247.4327662037</s:v>
      </s:c>
    </s:row>
    <s:row r="173">
      <s:c r="A173" s="0" t="n">
        <s:v>260813</s:v>
      </s:c>
      <s:c r="B173" s="0" t="inlineStr">
        <s:is>
          <s:t>이종훈</s:t>
        </s:is>
      </s:c>
      <s:c r="C173" s="0" t="n">
        <s:v>102022</s:v>
      </s:c>
      <s:c r="D173" s="0" t="n">
        <s:v>3212</s:v>
      </s:c>
      <s:c r="F173" s="24">
        <s:f>'자료구성'!$B$2+TIME(INT($C$3/10000),INT(MOD($C$3,10000)/100),MOD($C$3,100))+(ROW()-ROW($C$3))/86400</s:f>
        <s:v>46247.43277777778</s:v>
      </s:c>
    </s:row>
    <s:row r="174">
      <s:c r="A174" s="0" t="n">
        <s:v>260813</s:v>
      </s:c>
      <s:c r="B174" s="0" t="inlineStr">
        <s:is>
          <s:t>이종훈</s:t>
        </s:is>
      </s:c>
      <s:c r="C174" s="0" t="n">
        <s:v>102022</s:v>
      </s:c>
      <s:c r="D174" s="0" t="n">
        <s:v>3268</s:v>
      </s:c>
      <s:c r="F174" s="24">
        <s:f>'자료구성'!$B$2+TIME(INT($C$3/10000),INT(MOD($C$3,10000)/100),MOD($C$3,100))+(ROW()-ROW($C$3))/86400</s:f>
        <s:v>46247.43278935185</s:v>
      </s:c>
    </s:row>
    <s:row r="175">
      <s:c r="A175" s="0" t="n">
        <s:v>260813</s:v>
      </s:c>
      <s:c r="B175" s="0" t="inlineStr">
        <s:is>
          <s:t>이종훈</s:t>
        </s:is>
      </s:c>
      <s:c r="C175" s="0" t="n">
        <s:v>102022</s:v>
      </s:c>
      <s:c r="D175" s="0" t="n">
        <s:v>3276</s:v>
      </s:c>
      <s:c r="F175" s="24">
        <s:f>'자료구성'!$B$2+TIME(INT($C$3/10000),INT(MOD($C$3,10000)/100),MOD($C$3,100))+(ROW()-ROW($C$3))/86400</s:f>
        <s:v>46247.432800925926</s:v>
      </s:c>
    </s:row>
    <s:row r="176">
      <s:c r="A176" s="0" t="n">
        <s:v>260813</s:v>
      </s:c>
      <s:c r="B176" s="0" t="inlineStr">
        <s:is>
          <s:t>이종훈</s:t>
        </s:is>
      </s:c>
      <s:c r="C176" s="0" t="n">
        <s:v>102022</s:v>
      </s:c>
      <s:c r="D176" s="0" t="n">
        <s:v>3272</s:v>
      </s:c>
      <s:c r="F176" s="24">
        <s:f>'자료구성'!$B$2+TIME(INT($C$3/10000),INT(MOD($C$3,10000)/100),MOD($C$3,100))+(ROW()-ROW($C$3))/86400</s:f>
        <s:v>46247.4328125</s:v>
      </s:c>
    </s:row>
    <s:row r="177">
      <s:c r="A177" s="0" t="n">
        <s:v>260813</s:v>
      </s:c>
      <s:c r="B177" s="0" t="inlineStr">
        <s:is>
          <s:t>이종훈</s:t>
        </s:is>
      </s:c>
      <s:c r="C177" s="0" t="n">
        <s:v>102022</s:v>
      </s:c>
      <s:c r="D177" s="0" t="n">
        <s:v>3255</s:v>
      </s:c>
      <s:c r="F177" s="24">
        <s:f>'자료구성'!$B$2+TIME(INT($C$3/10000),INT(MOD($C$3,10000)/100),MOD($C$3,100))+(ROW()-ROW($C$3))/86400</s:f>
        <s:v>46247.43282407407</s:v>
      </s:c>
    </s:row>
    <s:row r="178">
      <s:c r="A178" s="0" t="n">
        <s:v>260813</s:v>
      </s:c>
      <s:c r="B178" s="0" t="inlineStr">
        <s:is>
          <s:t>이종훈</s:t>
        </s:is>
      </s:c>
      <s:c r="C178" s="0" t="n">
        <s:v>102022</s:v>
      </s:c>
      <s:c r="D178" s="0" t="n">
        <s:v>3279</s:v>
      </s:c>
      <s:c r="F178" s="24">
        <s:f>'자료구성'!$B$2+TIME(INT($C$3/10000),INT(MOD($C$3,10000)/100),MOD($C$3,100))+(ROW()-ROW($C$3))/86400</s:f>
        <s:v>46247.43283564815</s:v>
      </s:c>
    </s:row>
    <s:row r="179">
      <s:c r="A179" s="0" t="n">
        <s:v>260813</s:v>
      </s:c>
      <s:c r="B179" s="0" t="inlineStr">
        <s:is>
          <s:t>이종훈</s:t>
        </s:is>
      </s:c>
      <s:c r="C179" s="0" t="n">
        <s:v>102022</s:v>
      </s:c>
      <s:c r="D179" s="0" t="n">
        <s:v>3268</s:v>
      </s:c>
      <s:c r="F179" s="24">
        <s:f>'자료구성'!$B$2+TIME(INT($C$3/10000),INT(MOD($C$3,10000)/100),MOD($C$3,100))+(ROW()-ROW($C$3))/86400</s:f>
        <s:v>46247.43284722222</s:v>
      </s:c>
    </s:row>
    <s:row r="180">
      <s:c r="A180" s="0" t="n">
        <s:v>260813</s:v>
      </s:c>
      <s:c r="B180" s="0" t="inlineStr">
        <s:is>
          <s:t>이종훈</s:t>
        </s:is>
      </s:c>
      <s:c r="C180" s="0" t="n">
        <s:v>102022</s:v>
      </s:c>
      <s:c r="D180" s="0" t="n">
        <s:v>3224</s:v>
      </s:c>
      <s:c r="F180" s="24">
        <s:f>'자료구성'!$B$2+TIME(INT($C$3/10000),INT(MOD($C$3,10000)/100),MOD($C$3,100))+(ROW()-ROW($C$3))/86400</s:f>
        <s:v>46247.432858796295</s:v>
      </s:c>
    </s:row>
    <s:row r="181">
      <s:c r="A181" s="0" t="n">
        <s:v>260813</s:v>
      </s:c>
      <s:c r="B181" s="0" t="inlineStr">
        <s:is>
          <s:t>이종훈</s:t>
        </s:is>
      </s:c>
      <s:c r="C181" s="0" t="n">
        <s:v>102022</s:v>
      </s:c>
      <s:c r="D181" s="0" t="n">
        <s:v>3223</s:v>
      </s:c>
      <s:c r="F181" s="24">
        <s:f>'자료구성'!$B$2+TIME(INT($C$3/10000),INT(MOD($C$3,10000)/100),MOD($C$3,100))+(ROW()-ROW($C$3))/86400</s:f>
        <s:v>46247.43287037037</s:v>
      </s:c>
    </s:row>
    <s:row r="182">
      <s:c r="A182" s="0" t="n">
        <s:v>260813</s:v>
      </s:c>
      <s:c r="B182" s="0" t="inlineStr">
        <s:is>
          <s:t>이종훈</s:t>
        </s:is>
      </s:c>
      <s:c r="C182" s="0" t="n">
        <s:v>102022</s:v>
      </s:c>
      <s:c r="D182" s="0" t="n">
        <s:v>3249</s:v>
      </s:c>
      <s:c r="F182" s="24">
        <s:f>'자료구성'!$B$2+TIME(INT($C$3/10000),INT(MOD($C$3,10000)/100),MOD($C$3,100))+(ROW()-ROW($C$3))/86400</s:f>
        <s:v>46247.43288194444</s:v>
      </s:c>
    </s:row>
    <s:row r="183">
      <s:c r="A183" s="0" t="n">
        <s:v>260813</s:v>
      </s:c>
      <s:c r="B183" s="0" t="inlineStr">
        <s:is>
          <s:t>이종훈</s:t>
        </s:is>
      </s:c>
      <s:c r="C183" s="0" t="n">
        <s:v>102022</s:v>
      </s:c>
      <s:c r="D183" s="0" t="n">
        <s:v>3223</s:v>
      </s:c>
      <s:c r="F183" s="24">
        <s:f>'자료구성'!$B$2+TIME(INT($C$3/10000),INT(MOD($C$3,10000)/100),MOD($C$3,100))+(ROW()-ROW($C$3))/86400</s:f>
        <s:v>46247.43289351852</s:v>
      </s:c>
    </s:row>
    <s:row r="184">
      <s:c r="A184" s="0" t="n">
        <s:v>260813</s:v>
      </s:c>
      <s:c r="B184" s="0" t="inlineStr">
        <s:is>
          <s:t>이종훈</s:t>
        </s:is>
      </s:c>
      <s:c r="C184" s="0" t="n">
        <s:v>102022</s:v>
      </s:c>
      <s:c r="D184" s="0" t="n">
        <s:v>3211</s:v>
      </s:c>
      <s:c r="F184" s="24">
        <s:f>'자료구성'!$B$2+TIME(INT($C$3/10000),INT(MOD($C$3,10000)/100),MOD($C$3,100))+(ROW()-ROW($C$3))/86400</s:f>
        <s:v>46247.432905092595</s:v>
      </s:c>
    </s:row>
    <s:row r="185">
      <s:c r="A185" s="0" t="n">
        <s:v>260813</s:v>
      </s:c>
      <s:c r="B185" s="0" t="inlineStr">
        <s:is>
          <s:t>이종훈</s:t>
        </s:is>
      </s:c>
      <s:c r="C185" s="0" t="n">
        <s:v>102022</s:v>
      </s:c>
      <s:c r="D185" s="0" t="n">
        <s:v>3194</s:v>
      </s:c>
      <s:c r="F185" s="24">
        <s:f>'자료구성'!$B$2+TIME(INT($C$3/10000),INT(MOD($C$3,10000)/100),MOD($C$3,100))+(ROW()-ROW($C$3))/86400</s:f>
        <s:v>46247.432916666665</s:v>
      </s:c>
    </s:row>
    <s:row r="186">
      <s:c r="A186" s="0" t="n">
        <s:v>260813</s:v>
      </s:c>
      <s:c r="B186" s="0" t="inlineStr">
        <s:is>
          <s:t>이종훈</s:t>
        </s:is>
      </s:c>
      <s:c r="C186" s="0" t="n">
        <s:v>102022</s:v>
      </s:c>
      <s:c r="D186" s="0" t="n">
        <s:v>3193</s:v>
      </s:c>
      <s:c r="F186" s="24">
        <s:f>'자료구성'!$B$2+TIME(INT($C$3/10000),INT(MOD($C$3,10000)/100),MOD($C$3,100))+(ROW()-ROW($C$3))/86400</s:f>
        <s:v>46247.43292824074</s:v>
      </s:c>
    </s:row>
    <s:row r="187">
      <s:c r="A187" s="0" t="n">
        <s:v>260813</s:v>
      </s:c>
      <s:c r="B187" s="0" t="inlineStr">
        <s:is>
          <s:t>이종훈</s:t>
        </s:is>
      </s:c>
      <s:c r="C187" s="0" t="n">
        <s:v>102022</s:v>
      </s:c>
      <s:c r="D187" s="0" t="n">
        <s:v>3186</s:v>
      </s:c>
      <s:c r="F187" s="24">
        <s:f>'자료구성'!$B$2+TIME(INT($C$3/10000),INT(MOD($C$3,10000)/100),MOD($C$3,100))+(ROW()-ROW($C$3))/86400</s:f>
        <s:v>46247.43293981482</s:v>
      </s:c>
    </s:row>
    <s:row r="188">
      <s:c r="A188" s="0" t="n">
        <s:v>260813</s:v>
      </s:c>
      <s:c r="B188" s="0" t="inlineStr">
        <s:is>
          <s:t>이종훈</s:t>
        </s:is>
      </s:c>
      <s:c r="C188" s="0" t="n">
        <s:v>102022</s:v>
      </s:c>
      <s:c r="D188" s="0" t="n">
        <s:v>3170</s:v>
      </s:c>
      <s:c r="F188" s="24">
        <s:f>'자료구성'!$B$2+TIME(INT($C$3/10000),INT(MOD($C$3,10000)/100),MOD($C$3,100))+(ROW()-ROW($C$3))/86400</s:f>
        <s:v>46247.43295138889</s:v>
      </s:c>
    </s:row>
    <s:row r="189">
      <s:c r="A189" s="0" t="n">
        <s:v>260813</s:v>
      </s:c>
      <s:c r="B189" s="0" t="inlineStr">
        <s:is>
          <s:t>이종훈</s:t>
        </s:is>
      </s:c>
      <s:c r="C189" s="0" t="n">
        <s:v>102022</s:v>
      </s:c>
      <s:c r="D189" s="0" t="n">
        <s:v>3165</s:v>
      </s:c>
      <s:c r="F189" s="24">
        <s:f>'자료구성'!$B$2+TIME(INT($C$3/10000),INT(MOD($C$3,10000)/100),MOD($C$3,100))+(ROW()-ROW($C$3))/86400</s:f>
        <s:v>46247.432962962965</s:v>
      </s:c>
    </s:row>
    <s:row r="190">
      <s:c r="A190" s="0" t="n">
        <s:v>260813</s:v>
      </s:c>
      <s:c r="B190" s="0" t="inlineStr">
        <s:is>
          <s:t>이종훈</s:t>
        </s:is>
      </s:c>
      <s:c r="C190" s="0" t="n">
        <s:v>102022</s:v>
      </s:c>
      <s:c r="D190" s="0" t="n">
        <s:v>3129</s:v>
      </s:c>
      <s:c r="F190" s="24">
        <s:f>'자료구성'!$B$2+TIME(INT($C$3/10000),INT(MOD($C$3,10000)/100),MOD($C$3,100))+(ROW()-ROW($C$3))/86400</s:f>
        <s:v>46247.432974537034</s:v>
      </s:c>
    </s:row>
    <s:row r="191">
      <s:c r="A191" s="0" t="n">
        <s:v>260813</s:v>
      </s:c>
      <s:c r="B191" s="0" t="inlineStr">
        <s:is>
          <s:t>이종훈</s:t>
        </s:is>
      </s:c>
      <s:c r="C191" s="0" t="n">
        <s:v>102022</s:v>
      </s:c>
      <s:c r="D191" s="0" t="n">
        <s:v>3172</s:v>
      </s:c>
      <s:c r="F191" s="24">
        <s:f>'자료구성'!$B$2+TIME(INT($C$3/10000),INT(MOD($C$3,10000)/100),MOD($C$3,100))+(ROW()-ROW($C$3))/86400</s:f>
        <s:v>46247.43298611111</s:v>
      </s:c>
    </s:row>
    <s:row r="192">
      <s:c r="A192" s="0" t="n">
        <s:v>260813</s:v>
      </s:c>
      <s:c r="B192" s="0" t="inlineStr">
        <s:is>
          <s:t>이종훈</s:t>
        </s:is>
      </s:c>
      <s:c r="C192" s="0" t="n">
        <s:v>102022</s:v>
      </s:c>
      <s:c r="D192" s="0" t="n">
        <s:v>3251</s:v>
      </s:c>
      <s:c r="F192" s="24">
        <s:f>'자료구성'!$B$2+TIME(INT($C$3/10000),INT(MOD($C$3,10000)/100),MOD($C$3,100))+(ROW()-ROW($C$3))/86400</s:f>
        <s:v>46247.43299768519</s:v>
      </s:c>
    </s:row>
    <s:row r="193">
      <s:c r="A193" s="0" t="n">
        <s:v>260813</s:v>
      </s:c>
      <s:c r="B193" s="0" t="inlineStr">
        <s:is>
          <s:t>이종훈</s:t>
        </s:is>
      </s:c>
      <s:c r="C193" s="0" t="n">
        <s:v>102022</s:v>
      </s:c>
      <s:c r="D193" s="0" t="n">
        <s:v>3286</s:v>
      </s:c>
      <s:c r="F193" s="24">
        <s:f>'자료구성'!$B$2+TIME(INT($C$3/10000),INT(MOD($C$3,10000)/100),MOD($C$3,100))+(ROW()-ROW($C$3))/86400</s:f>
        <s:v>46247.43300925926</s:v>
      </s:c>
    </s:row>
    <s:row r="194">
      <s:c r="A194" s="0" t="n">
        <s:v>260813</s:v>
      </s:c>
      <s:c r="B194" s="0" t="inlineStr">
        <s:is>
          <s:t>이종훈</s:t>
        </s:is>
      </s:c>
      <s:c r="C194" s="0" t="n">
        <s:v>102022</s:v>
      </s:c>
      <s:c r="D194" s="0" t="n">
        <s:v>3385</s:v>
      </s:c>
      <s:c r="F194" s="24">
        <s:f>'자료구성'!$B$2+TIME(INT($C$3/10000),INT(MOD($C$3,10000)/100),MOD($C$3,100))+(ROW()-ROW($C$3))/86400</s:f>
        <s:v>46247.433020833334</s:v>
      </s:c>
    </s:row>
    <s:row r="195">
      <s:c r="A195" s="0" t="n">
        <s:v>260813</s:v>
      </s:c>
      <s:c r="B195" s="0" t="inlineStr">
        <s:is>
          <s:t>이종훈</s:t>
        </s:is>
      </s:c>
      <s:c r="C195" s="0" t="n">
        <s:v>102022</s:v>
      </s:c>
      <s:c r="D195" s="0" t="n">
        <s:v>3375</s:v>
      </s:c>
      <s:c r="F195" s="24">
        <s:f>'자료구성'!$B$2+TIME(INT($C$3/10000),INT(MOD($C$3,10000)/100),MOD($C$3,100))+(ROW()-ROW($C$3))/86400</s:f>
        <s:v>46247.43303240741</s:v>
      </s:c>
    </s:row>
    <s:row r="196">
      <s:c r="A196" s="0" t="n">
        <s:v>260813</s:v>
      </s:c>
      <s:c r="B196" s="0" t="inlineStr">
        <s:is>
          <s:t>이종훈</s:t>
        </s:is>
      </s:c>
      <s:c r="C196" s="0" t="n">
        <s:v>102022</s:v>
      </s:c>
      <s:c r="D196" s="0" t="n">
        <s:v>3322</s:v>
      </s:c>
      <s:c r="F196" s="24">
        <s:f>'자료구성'!$B$2+TIME(INT($C$3/10000),INT(MOD($C$3,10000)/100),MOD($C$3,100))+(ROW()-ROW($C$3))/86400</s:f>
        <s:v>46247.43304398148</s:v>
      </s:c>
    </s:row>
    <s:row r="197">
      <s:c r="A197" s="0" t="n">
        <s:v>260813</s:v>
      </s:c>
      <s:c r="B197" s="0" t="inlineStr">
        <s:is>
          <s:t>이종훈</s:t>
        </s:is>
      </s:c>
      <s:c r="C197" s="0" t="n">
        <s:v>102022</s:v>
      </s:c>
      <s:c r="D197" s="0" t="n">
        <s:v>3286</s:v>
      </s:c>
      <s:c r="F197" s="24">
        <s:f>'자료구성'!$B$2+TIME(INT($C$3/10000),INT(MOD($C$3,10000)/100),MOD($C$3,100))+(ROW()-ROW($C$3))/86400</s:f>
        <s:v>46247.43305555556</s:v>
      </s:c>
    </s:row>
    <s:row r="198">
      <s:c r="A198" s="0" t="n">
        <s:v>260813</s:v>
      </s:c>
      <s:c r="B198" s="0" t="inlineStr">
        <s:is>
          <s:t>이종훈</s:t>
        </s:is>
      </s:c>
      <s:c r="C198" s="0" t="n">
        <s:v>102022</s:v>
      </s:c>
      <s:c r="D198" s="0" t="n">
        <s:v>3271</s:v>
      </s:c>
      <s:c r="F198" s="24">
        <s:f>'자료구성'!$B$2+TIME(INT($C$3/10000),INT(MOD($C$3,10000)/100),MOD($C$3,100))+(ROW()-ROW($C$3))/86400</s:f>
        <s:v>46247.43306712963</s:v>
      </s:c>
    </s:row>
    <s:row r="199">
      <s:c r="A199" s="0" t="n">
        <s:v>260813</s:v>
      </s:c>
      <s:c r="B199" s="0" t="inlineStr">
        <s:is>
          <s:t>이종훈</s:t>
        </s:is>
      </s:c>
      <s:c r="C199" s="0" t="n">
        <s:v>102022</s:v>
      </s:c>
      <s:c r="D199" s="0" t="n">
        <s:v>3281</s:v>
      </s:c>
      <s:c r="F199" s="24">
        <s:f>'자료구성'!$B$2+TIME(INT($C$3/10000),INT(MOD($C$3,10000)/100),MOD($C$3,100))+(ROW()-ROW($C$3))/86400</s:f>
        <s:v>46247.4330787037</s:v>
      </s:c>
    </s:row>
    <s:row r="200">
      <s:c r="A200" s="0" t="n">
        <s:v>260813</s:v>
      </s:c>
      <s:c r="B200" s="0" t="inlineStr">
        <s:is>
          <s:t>이종훈</s:t>
        </s:is>
      </s:c>
      <s:c r="C200" s="0" t="n">
        <s:v>102022</s:v>
      </s:c>
      <s:c r="D200" s="0" t="n">
        <s:v>3283</s:v>
      </s:c>
      <s:c r="F200" s="24">
        <s:f>'자료구성'!$B$2+TIME(INT($C$3/10000),INT(MOD($C$3,10000)/100),MOD($C$3,100))+(ROW()-ROW($C$3))/86400</s:f>
        <s:v>46247.43309027778</s:v>
      </s:c>
    </s:row>
    <s:row r="201">
      <s:c r="A201" s="0" t="n">
        <s:v>260813</s:v>
      </s:c>
      <s:c r="B201" s="0" t="inlineStr">
        <s:is>
          <s:t>이종훈</s:t>
        </s:is>
      </s:c>
      <s:c r="C201" s="0" t="n">
        <s:v>102022</s:v>
      </s:c>
      <s:c r="D201" s="0" t="n">
        <s:v>3283</s:v>
      </s:c>
      <s:c r="F201" s="24">
        <s:f>'자료구성'!$B$2+TIME(INT($C$3/10000),INT(MOD($C$3,10000)/100),MOD($C$3,100))+(ROW()-ROW($C$3))/86400</s:f>
        <s:v>46247.43310185185</s:v>
      </s:c>
    </s:row>
    <s:row r="202">
      <s:c r="A202" s="0" t="n">
        <s:v>260813</s:v>
      </s:c>
      <s:c r="B202" s="0" t="inlineStr">
        <s:is>
          <s:t>이종훈</s:t>
        </s:is>
      </s:c>
      <s:c r="C202" s="0" t="n">
        <s:v>102022</s:v>
      </s:c>
      <s:c r="D202" s="0" t="n">
        <s:v>3291</s:v>
      </s:c>
      <s:c r="F202" s="24">
        <s:f>'자료구성'!$B$2+TIME(INT($C$3/10000),INT(MOD($C$3,10000)/100),MOD($C$3,100))+(ROW()-ROW($C$3))/86400</s:f>
        <s:v>46247.43311342593</s:v>
      </s:c>
    </s:row>
    <s:row r="203">
      <s:c r="A203" s="0" t="n">
        <s:v>260813</s:v>
      </s:c>
      <s:c r="B203" s="0" t="inlineStr">
        <s:is>
          <s:t>이종훈</s:t>
        </s:is>
      </s:c>
      <s:c r="C203" s="0" t="n">
        <s:v>102022</s:v>
      </s:c>
      <s:c r="D203" s="0" t="n">
        <s:v>3306</s:v>
      </s:c>
      <s:c r="F203" s="24">
        <s:f>'자료구성'!$B$2+TIME(INT($C$3/10000),INT(MOD($C$3,10000)/100),MOD($C$3,100))+(ROW()-ROW($C$3))/86400</s:f>
        <s:v>46247.433125</s:v>
      </s:c>
    </s:row>
    <s:row r="204">
      <s:c r="A204" s="0" t="n">
        <s:v>260813</s:v>
      </s:c>
      <s:c r="B204" s="0" t="inlineStr">
        <s:is>
          <s:t>이종훈</s:t>
        </s:is>
      </s:c>
      <s:c r="C204" s="0" t="n">
        <s:v>102022</s:v>
      </s:c>
      <s:c r="D204" s="0" t="n">
        <s:v>3399</s:v>
      </s:c>
      <s:c r="F204" s="24">
        <s:f>'자료구성'!$B$2+TIME(INT($C$3/10000),INT(MOD($C$3,10000)/100),MOD($C$3,100))+(ROW()-ROW($C$3))/86400</s:f>
        <s:v>46247.43313657407</s:v>
      </s:c>
    </s:row>
    <s:row r="205">
      <s:c r="A205" s="0" t="n">
        <s:v>260813</s:v>
      </s:c>
      <s:c r="B205" s="0" t="inlineStr">
        <s:is>
          <s:t>이종훈</s:t>
        </s:is>
      </s:c>
      <s:c r="C205" s="0" t="n">
        <s:v>102022</s:v>
      </s:c>
      <s:c r="D205" s="0" t="n">
        <s:v>3430</s:v>
      </s:c>
      <s:c r="F205" s="24">
        <s:f>'자료구성'!$B$2+TIME(INT($C$3/10000),INT(MOD($C$3,10000)/100),MOD($C$3,100))+(ROW()-ROW($C$3))/86400</s:f>
        <s:v>46247.43314814815</s:v>
      </s:c>
    </s:row>
    <s:row r="206">
      <s:c r="A206" s="0" t="n">
        <s:v>260813</s:v>
      </s:c>
      <s:c r="B206" s="0" t="inlineStr">
        <s:is>
          <s:t>이종훈</s:t>
        </s:is>
      </s:c>
      <s:c r="C206" s="0" t="n">
        <s:v>102022</s:v>
      </s:c>
      <s:c r="D206" s="0" t="n">
        <s:v>3399</s:v>
      </s:c>
      <s:c r="F206" s="24">
        <s:f>'자료구성'!$B$2+TIME(INT($C$3/10000),INT(MOD($C$3,10000)/100),MOD($C$3,100))+(ROW()-ROW($C$3))/86400</s:f>
        <s:v>46247.43315972222</s:v>
      </s:c>
    </s:row>
    <s:row r="207">
      <s:c r="A207" s="0" t="n">
        <s:v>260813</s:v>
      </s:c>
      <s:c r="B207" s="0" t="inlineStr">
        <s:is>
          <s:t>이종훈</s:t>
        </s:is>
      </s:c>
      <s:c r="C207" s="0" t="n">
        <s:v>102022</s:v>
      </s:c>
      <s:c r="D207" s="0" t="n">
        <s:v>3324</s:v>
      </s:c>
      <s:c r="F207" s="24">
        <s:f>'자료구성'!$B$2+TIME(INT($C$3/10000),INT(MOD($C$3,10000)/100),MOD($C$3,100))+(ROW()-ROW($C$3))/86400</s:f>
        <s:v>46247.433171296296</s:v>
      </s:c>
    </s:row>
    <s:row r="208">
      <s:c r="A208" s="0" t="n">
        <s:v>260813</s:v>
      </s:c>
      <s:c r="B208" s="0" t="inlineStr">
        <s:is>
          <s:t>이종훈</s:t>
        </s:is>
      </s:c>
      <s:c r="C208" s="0" t="n">
        <s:v>102022</s:v>
      </s:c>
      <s:c r="D208" s="0" t="n">
        <s:v>3208</s:v>
      </s:c>
      <s:c r="F208" s="24">
        <s:f>'자료구성'!$B$2+TIME(INT($C$3/10000),INT(MOD($C$3,10000)/100),MOD($C$3,100))+(ROW()-ROW($C$3))/86400</s:f>
        <s:v>46247.43318287037</s:v>
      </s:c>
    </s:row>
    <s:row r="209">
      <s:c r="A209" s="0" t="n">
        <s:v>260813</s:v>
      </s:c>
      <s:c r="B209" s="0" t="inlineStr">
        <s:is>
          <s:t>이종훈</s:t>
        </s:is>
      </s:c>
      <s:c r="C209" s="0" t="n">
        <s:v>102022</s:v>
      </s:c>
      <s:c r="D209" s="0" t="n">
        <s:v>3163</s:v>
      </s:c>
      <s:c r="F209" s="24">
        <s:f>'자료구성'!$B$2+TIME(INT($C$3/10000),INT(MOD($C$3,10000)/100),MOD($C$3,100))+(ROW()-ROW($C$3))/86400</s:f>
        <s:v>46247.43319444444</s:v>
      </s:c>
    </s:row>
    <s:row r="210">
      <s:c r="A210" s="0" t="n">
        <s:v>260813</s:v>
      </s:c>
      <s:c r="B210" s="0" t="inlineStr">
        <s:is>
          <s:t>이종훈</s:t>
        </s:is>
      </s:c>
      <s:c r="C210" s="0" t="n">
        <s:v>102022</s:v>
      </s:c>
      <s:c r="D210" s="0" t="n">
        <s:v>3184</s:v>
      </s:c>
      <s:c r="F210" s="24">
        <s:f>'자료구성'!$B$2+TIME(INT($C$3/10000),INT(MOD($C$3,10000)/100),MOD($C$3,100))+(ROW()-ROW($C$3))/86400</s:f>
        <s:v>46247.43320601852</s:v>
      </s:c>
    </s:row>
    <s:row r="211">
      <s:c r="A211" s="0" t="n">
        <s:v>260813</s:v>
      </s:c>
      <s:c r="B211" s="0" t="inlineStr">
        <s:is>
          <s:t>이종훈</s:t>
        </s:is>
      </s:c>
      <s:c r="C211" s="0" t="n">
        <s:v>102022</s:v>
      </s:c>
      <s:c r="D211" s="0" t="n">
        <s:v>3160</s:v>
      </s:c>
      <s:c r="F211" s="24">
        <s:f>'자료구성'!$B$2+TIME(INT($C$3/10000),INT(MOD($C$3,10000)/100),MOD($C$3,100))+(ROW()-ROW($C$3))/86400</s:f>
        <s:v>46247.433217592596</s:v>
      </s:c>
    </s:row>
    <s:row r="212">
      <s:c r="A212" s="0" t="n">
        <s:v>260813</s:v>
      </s:c>
      <s:c r="B212" s="0" t="inlineStr">
        <s:is>
          <s:t>이종훈</s:t>
        </s:is>
      </s:c>
      <s:c r="C212" s="0" t="n">
        <s:v>102022</s:v>
      </s:c>
      <s:c r="D212" s="0" t="n">
        <s:v>3061</s:v>
      </s:c>
      <s:c r="F212" s="24">
        <s:f>'자료구성'!$B$2+TIME(INT($C$3/10000),INT(MOD($C$3,10000)/100),MOD($C$3,100))+(ROW()-ROW($C$3))/86400</s:f>
        <s:v>46247.433229166665</s:v>
      </s:c>
    </s:row>
    <s:row r="213">
      <s:c r="A213" s="0" t="n">
        <s:v>260813</s:v>
      </s:c>
      <s:c r="B213" s="0" t="inlineStr">
        <s:is>
          <s:t>이종훈</s:t>
        </s:is>
      </s:c>
      <s:c r="C213" s="0" t="n">
        <s:v>102022</s:v>
      </s:c>
      <s:c r="D213" s="0" t="n">
        <s:v>3084</s:v>
      </s:c>
      <s:c r="F213" s="24">
        <s:f>'자료구성'!$B$2+TIME(INT($C$3/10000),INT(MOD($C$3,10000)/100),MOD($C$3,100))+(ROW()-ROW($C$3))/86400</s:f>
        <s:v>46247.43324074074</s:v>
      </s:c>
    </s:row>
    <s:row r="214">
      <s:c r="A214" s="0" t="n">
        <s:v>260813</s:v>
      </s:c>
      <s:c r="B214" s="0" t="inlineStr">
        <s:is>
          <s:t>이종훈</s:t>
        </s:is>
      </s:c>
      <s:c r="C214" s="0" t="n">
        <s:v>102022</s:v>
      </s:c>
      <s:c r="D214" s="0" t="n">
        <s:v>3183</s:v>
      </s:c>
      <s:c r="F214" s="24">
        <s:f>'자료구성'!$B$2+TIME(INT($C$3/10000),INT(MOD($C$3,10000)/100),MOD($C$3,100))+(ROW()-ROW($C$3))/86400</s:f>
        <s:v>46247.43325231481</s:v>
      </s:c>
    </s:row>
    <s:row r="215">
      <s:c r="A215" s="0" t="n">
        <s:v>260813</s:v>
      </s:c>
      <s:c r="B215" s="0" t="inlineStr">
        <s:is>
          <s:t>이종훈</s:t>
        </s:is>
      </s:c>
      <s:c r="C215" s="0" t="n">
        <s:v>102022</s:v>
      </s:c>
      <s:c r="D215" s="0" t="n">
        <s:v>3464</s:v>
      </s:c>
      <s:c r="F215" s="24">
        <s:f>'자료구성'!$B$2+TIME(INT($C$3/10000),INT(MOD($C$3,10000)/100),MOD($C$3,100))+(ROW()-ROW($C$3))/86400</s:f>
        <s:v>46247.43326388889</s:v>
      </s:c>
    </s:row>
    <s:row r="216">
      <s:c r="A216" s="0" t="n">
        <s:v>260813</s:v>
      </s:c>
      <s:c r="B216" s="0" t="inlineStr">
        <s:is>
          <s:t>이종훈</s:t>
        </s:is>
      </s:c>
      <s:c r="C216" s="0" t="n">
        <s:v>102022</s:v>
      </s:c>
      <s:c r="D216" s="0" t="n">
        <s:v>3721</s:v>
      </s:c>
      <s:c r="F216" s="24">
        <s:f>'자료구성'!$B$2+TIME(INT($C$3/10000),INT(MOD($C$3,10000)/100),MOD($C$3,100))+(ROW()-ROW($C$3))/86400</s:f>
        <s:v>46247.433275462965</s:v>
      </s:c>
    </s:row>
    <s:row r="217">
      <s:c r="A217" s="0" t="n">
        <s:v>260813</s:v>
      </s:c>
      <s:c r="B217" s="0" t="inlineStr">
        <s:is>
          <s:t>이종훈</s:t>
        </s:is>
      </s:c>
      <s:c r="C217" s="0" t="n">
        <s:v>102022</s:v>
      </s:c>
      <s:c r="D217" s="0" t="n">
        <s:v>4015</s:v>
      </s:c>
      <s:c r="F217" s="24">
        <s:f>'자료구성'!$B$2+TIME(INT($C$3/10000),INT(MOD($C$3,10000)/100),MOD($C$3,100))+(ROW()-ROW($C$3))/86400</s:f>
        <s:v>46247.433287037034</s:v>
      </s:c>
    </s:row>
    <s:row r="218">
      <s:c r="A218" s="0" t="n">
        <s:v>260813</s:v>
      </s:c>
      <s:c r="B218" s="0" t="inlineStr">
        <s:is>
          <s:t>이종훈</s:t>
        </s:is>
      </s:c>
      <s:c r="C218" s="0" t="n">
        <s:v>102022</s:v>
      </s:c>
      <s:c r="D218" s="0" t="n">
        <s:v>4320</s:v>
      </s:c>
      <s:c r="F218" s="24">
        <s:f>'자료구성'!$B$2+TIME(INT($C$3/10000),INT(MOD($C$3,10000)/100),MOD($C$3,100))+(ROW()-ROW($C$3))/86400</s:f>
        <s:v>46247.43329861111</s:v>
      </s:c>
    </s:row>
    <s:row r="219">
      <s:c r="A219" s="0" t="n">
        <s:v>260813</s:v>
      </s:c>
      <s:c r="B219" s="0" t="inlineStr">
        <s:is>
          <s:t>이종훈</s:t>
        </s:is>
      </s:c>
      <s:c r="C219" s="0" t="n">
        <s:v>102022</s:v>
      </s:c>
      <s:c r="D219" s="0" t="n">
        <s:v>4607</s:v>
      </s:c>
      <s:c r="F219" s="24">
        <s:f>'자료구성'!$B$2+TIME(INT($C$3/10000),INT(MOD($C$3,10000)/100),MOD($C$3,100))+(ROW()-ROW($C$3))/86400</s:f>
        <s:v>46247.43331018519</s:v>
      </s:c>
    </s:row>
    <s:row r="220">
      <s:c r="A220" s="0" t="n">
        <s:v>260813</s:v>
      </s:c>
      <s:c r="B220" s="0" t="inlineStr">
        <s:is>
          <s:t>이종훈</s:t>
        </s:is>
      </s:c>
      <s:c r="C220" s="0" t="n">
        <s:v>102022</s:v>
      </s:c>
      <s:c r="D220" s="0" t="n">
        <s:v>4829</s:v>
      </s:c>
      <s:c r="F220" s="24">
        <s:f>'자료구성'!$B$2+TIME(INT($C$3/10000),INT(MOD($C$3,10000)/100),MOD($C$3,100))+(ROW()-ROW($C$3))/86400</s:f>
        <s:v>46247.43332175926</s:v>
      </s:c>
    </s:row>
    <s:row r="221">
      <s:c r="A221" s="0" t="n">
        <s:v>260813</s:v>
      </s:c>
      <s:c r="B221" s="0" t="inlineStr">
        <s:is>
          <s:t>이종훈</s:t>
        </s:is>
      </s:c>
      <s:c r="C221" s="0" t="n">
        <s:v>102022</s:v>
      </s:c>
      <s:c r="D221" s="0" t="n">
        <s:v>4811</s:v>
      </s:c>
      <s:c r="F221" s="24">
        <s:f>'자료구성'!$B$2+TIME(INT($C$3/10000),INT(MOD($C$3,10000)/100),MOD($C$3,100))+(ROW()-ROW($C$3))/86400</s:f>
        <s:v>46247.433333333334</s:v>
      </s:c>
    </s:row>
    <s:row r="222">
      <s:c r="A222" s="0" t="n">
        <s:v>260813</s:v>
      </s:c>
      <s:c r="B222" s="0" t="inlineStr">
        <s:is>
          <s:t>이종훈</s:t>
        </s:is>
      </s:c>
      <s:c r="C222" s="0" t="n">
        <s:v>102022</s:v>
      </s:c>
      <s:c r="D222" s="0" t="n">
        <s:v>4789</s:v>
      </s:c>
      <s:c r="F222" s="24">
        <s:f>'자료구성'!$B$2+TIME(INT($C$3/10000),INT(MOD($C$3,10000)/100),MOD($C$3,100))+(ROW()-ROW($C$3))/86400</s:f>
        <s:v>46247.433344907404</s:v>
      </s:c>
    </s:row>
    <s:row r="223">
      <s:c r="A223" s="0" t="n">
        <s:v>260813</s:v>
      </s:c>
      <s:c r="B223" s="0" t="inlineStr">
        <s:is>
          <s:t>이종훈</s:t>
        </s:is>
      </s:c>
      <s:c r="C223" s="0" t="n">
        <s:v>102022</s:v>
      </s:c>
      <s:c r="D223" s="0" t="n">
        <s:v>4565</s:v>
      </s:c>
      <s:c r="F223" s="24">
        <s:f>'자료구성'!$B$2+TIME(INT($C$3/10000),INT(MOD($C$3,10000)/100),MOD($C$3,100))+(ROW()-ROW($C$3))/86400</s:f>
        <s:v>46247.43335648148</s:v>
      </s:c>
    </s:row>
    <s:row r="224">
      <s:c r="A224" s="0" t="n">
        <s:v>260813</s:v>
      </s:c>
      <s:c r="B224" s="0" t="inlineStr">
        <s:is>
          <s:t>이종훈</s:t>
        </s:is>
      </s:c>
      <s:c r="C224" s="0" t="n">
        <s:v>102022</s:v>
      </s:c>
      <s:c r="D224" s="0" t="n">
        <s:v>4425</s:v>
      </s:c>
      <s:c r="F224" s="24">
        <s:f>'자료구성'!$B$2+TIME(INT($C$3/10000),INT(MOD($C$3,10000)/100),MOD($C$3,100))+(ROW()-ROW($C$3))/86400</s:f>
        <s:v>46247.43336805556</s:v>
      </s:c>
    </s:row>
    <s:row r="225">
      <s:c r="A225" s="0" t="n">
        <s:v>260813</s:v>
      </s:c>
      <s:c r="B225" s="0" t="inlineStr">
        <s:is>
          <s:t>이종훈</s:t>
        </s:is>
      </s:c>
      <s:c r="C225" s="0" t="n">
        <s:v>102022</s:v>
      </s:c>
      <s:c r="D225" s="0" t="n">
        <s:v>4581</s:v>
      </s:c>
      <s:c r="F225" s="24">
        <s:f>'자료구성'!$B$2+TIME(INT($C$3/10000),INT(MOD($C$3,10000)/100),MOD($C$3,100))+(ROW()-ROW($C$3))/86400</s:f>
        <s:v>46247.43337962963</s:v>
      </s:c>
    </s:row>
    <s:row r="226">
      <s:c r="A226" s="0" t="n">
        <s:v>260813</s:v>
      </s:c>
      <s:c r="B226" s="0" t="inlineStr">
        <s:is>
          <s:t>이종훈</s:t>
        </s:is>
      </s:c>
      <s:c r="C226" s="0" t="n">
        <s:v>102022</s:v>
      </s:c>
      <s:c r="D226" s="0" t="n">
        <s:v>4592</s:v>
      </s:c>
      <s:c r="F226" s="24">
        <s:f>'자료구성'!$B$2+TIME(INT($C$3/10000),INT(MOD($C$3,10000)/100),MOD($C$3,100))+(ROW()-ROW($C$3))/86400</s:f>
        <s:v>46247.433391203704</s:v>
      </s:c>
    </s:row>
    <s:row r="227">
      <s:c r="A227" s="0" t="n">
        <s:v>260813</s:v>
      </s:c>
      <s:c r="B227" s="0" t="inlineStr">
        <s:is>
          <s:t>이종훈</s:t>
        </s:is>
      </s:c>
      <s:c r="C227" s="0" t="n">
        <s:v>102022</s:v>
      </s:c>
      <s:c r="D227" s="0" t="n">
        <s:v>4724</s:v>
      </s:c>
      <s:c r="F227" s="24">
        <s:f>'자료구성'!$B$2+TIME(INT($C$3/10000),INT(MOD($C$3,10000)/100),MOD($C$3,100))+(ROW()-ROW($C$3))/86400</s:f>
        <s:v>46247.43340277778</s:v>
      </s:c>
    </s:row>
    <s:row r="228">
      <s:c r="A228" s="0" t="n">
        <s:v>260813</s:v>
      </s:c>
      <s:c r="B228" s="0" t="inlineStr">
        <s:is>
          <s:t>이종훈</s:t>
        </s:is>
      </s:c>
      <s:c r="C228" s="0" t="n">
        <s:v>102022</s:v>
      </s:c>
      <s:c r="D228" s="0" t="n">
        <s:v>4674</s:v>
      </s:c>
      <s:c r="F228" s="24">
        <s:f>'자료구성'!$B$2+TIME(INT($C$3/10000),INT(MOD($C$3,10000)/100),MOD($C$3,100))+(ROW()-ROW($C$3))/86400</s:f>
        <s:v>46247.43341435185</s:v>
      </s:c>
    </s:row>
    <s:row r="229">
      <s:c r="A229" s="0" t="n">
        <s:v>260813</s:v>
      </s:c>
      <s:c r="B229" s="0" t="inlineStr">
        <s:is>
          <s:t>이종훈</s:t>
        </s:is>
      </s:c>
      <s:c r="C229" s="0" t="n">
        <s:v>102022</s:v>
      </s:c>
      <s:c r="D229" s="0" t="n">
        <s:v>4541</s:v>
      </s:c>
      <s:c r="F229" s="24">
        <s:f>'자료구성'!$B$2+TIME(INT($C$3/10000),INT(MOD($C$3,10000)/100),MOD($C$3,100))+(ROW()-ROW($C$3))/86400</s:f>
        <s:v>46247.43342592593</s:v>
      </s:c>
    </s:row>
    <s:row r="230">
      <s:c r="A230" s="0" t="n">
        <s:v>260813</s:v>
      </s:c>
      <s:c r="B230" s="0" t="inlineStr">
        <s:is>
          <s:t>이종훈</s:t>
        </s:is>
      </s:c>
      <s:c r="C230" s="0" t="n">
        <s:v>102022</s:v>
      </s:c>
      <s:c r="D230" s="0" t="n">
        <s:v>4487</s:v>
      </s:c>
      <s:c r="F230" s="24">
        <s:f>'자료구성'!$B$2+TIME(INT($C$3/10000),INT(MOD($C$3,10000)/100),MOD($C$3,100))+(ROW()-ROW($C$3))/86400</s:f>
        <s:v>46247.4334375</s:v>
      </s:c>
    </s:row>
    <s:row r="231">
      <s:c r="A231" s="0" t="n">
        <s:v>260813</s:v>
      </s:c>
      <s:c r="B231" s="0" t="inlineStr">
        <s:is>
          <s:t>이종훈</s:t>
        </s:is>
      </s:c>
      <s:c r="C231" s="0" t="n">
        <s:v>102022</s:v>
      </s:c>
      <s:c r="D231" s="0" t="n">
        <s:v>4321</s:v>
      </s:c>
      <s:c r="F231" s="24">
        <s:f>'자료구성'!$B$2+TIME(INT($C$3/10000),INT(MOD($C$3,10000)/100),MOD($C$3,100))+(ROW()-ROW($C$3))/86400</s:f>
        <s:v>46247.43344907407</s:v>
      </s:c>
    </s:row>
    <s:row r="232">
      <s:c r="A232" s="0" t="n">
        <s:v>260813</s:v>
      </s:c>
      <s:c r="B232" s="0" t="inlineStr">
        <s:is>
          <s:t>이종훈</s:t>
        </s:is>
      </s:c>
      <s:c r="C232" s="0" t="n">
        <s:v>102022</s:v>
      </s:c>
      <s:c r="D232" s="0" t="n">
        <s:v>4156</s:v>
      </s:c>
      <s:c r="F232" s="24">
        <s:f>'자료구성'!$B$2+TIME(INT($C$3/10000),INT(MOD($C$3,10000)/100),MOD($C$3,100))+(ROW()-ROW($C$3))/86400</s:f>
        <s:v>46247.43346064815</s:v>
      </s:c>
    </s:row>
    <s:row r="233">
      <s:c r="A233" s="0" t="n">
        <s:v>260813</s:v>
      </s:c>
      <s:c r="B233" s="0" t="inlineStr">
        <s:is>
          <s:t>이종훈</s:t>
        </s:is>
      </s:c>
      <s:c r="C233" s="0" t="n">
        <s:v>102022</s:v>
      </s:c>
      <s:c r="D233" s="0" t="n">
        <s:v>4245</s:v>
      </s:c>
      <s:c r="F233" s="24">
        <s:f>'자료구성'!$B$2+TIME(INT($C$3/10000),INT(MOD($C$3,10000)/100),MOD($C$3,100))+(ROW()-ROW($C$3))/86400</s:f>
        <s:v>46247.43347222222</s:v>
      </s:c>
    </s:row>
    <s:row r="234">
      <s:c r="A234" s="0" t="n">
        <s:v>260813</s:v>
      </s:c>
      <s:c r="B234" s="0" t="inlineStr">
        <s:is>
          <s:t>이종훈</s:t>
        </s:is>
      </s:c>
      <s:c r="C234" s="0" t="n">
        <s:v>102022</s:v>
      </s:c>
      <s:c r="D234" s="0" t="n">
        <s:v>4329</s:v>
      </s:c>
      <s:c r="F234" s="24">
        <s:f>'자료구성'!$B$2+TIME(INT($C$3/10000),INT(MOD($C$3,10000)/100),MOD($C$3,100))+(ROW()-ROW($C$3))/86400</s:f>
        <s:v>46247.433483796296</s:v>
      </s:c>
    </s:row>
    <s:row r="235">
      <s:c r="A235" s="0" t="n">
        <s:v>260813</s:v>
      </s:c>
      <s:c r="B235" s="0" t="inlineStr">
        <s:is>
          <s:t>이종훈</s:t>
        </s:is>
      </s:c>
      <s:c r="C235" s="0" t="n">
        <s:v>102022</s:v>
      </s:c>
      <s:c r="D235" s="0" t="n">
        <s:v>4360</s:v>
      </s:c>
      <s:c r="F235" s="24">
        <s:f>'자료구성'!$B$2+TIME(INT($C$3/10000),INT(MOD($C$3,10000)/100),MOD($C$3,100))+(ROW()-ROW($C$3))/86400</s:f>
        <s:v>46247.43349537037</s:v>
      </s:c>
    </s:row>
    <s:row r="236">
      <s:c r="A236" s="0" t="n">
        <s:v>260813</s:v>
      </s:c>
      <s:c r="B236" s="0" t="inlineStr">
        <s:is>
          <s:t>이종훈</s:t>
        </s:is>
      </s:c>
      <s:c r="C236" s="0" t="n">
        <s:v>102022</s:v>
      </s:c>
      <s:c r="D236" s="0" t="n">
        <s:v>4340</s:v>
      </s:c>
      <s:c r="F236" s="24">
        <s:f>'자료구성'!$B$2+TIME(INT($C$3/10000),INT(MOD($C$3,10000)/100),MOD($C$3,100))+(ROW()-ROW($C$3))/86400</s:f>
        <s:v>46247.43350694444</s:v>
      </s:c>
    </s:row>
    <s:row r="237">
      <s:c r="A237" s="0" t="n">
        <s:v>260813</s:v>
      </s:c>
      <s:c r="B237" s="0" t="inlineStr">
        <s:is>
          <s:t>이종훈</s:t>
        </s:is>
      </s:c>
      <s:c r="C237" s="0" t="n">
        <s:v>102022</s:v>
      </s:c>
      <s:c r="D237" s="0" t="n">
        <s:v>4300</s:v>
      </s:c>
      <s:c r="F237" s="24">
        <s:f>'자료구성'!$B$2+TIME(INT($C$3/10000),INT(MOD($C$3,10000)/100),MOD($C$3,100))+(ROW()-ROW($C$3))/86400</s:f>
        <s:v>46247.43351851852</s:v>
      </s:c>
    </s:row>
    <s:row r="238">
      <s:c r="A238" s="0" t="n">
        <s:v>260813</s:v>
      </s:c>
      <s:c r="B238" s="0" t="inlineStr">
        <s:is>
          <s:t>이종훈</s:t>
        </s:is>
      </s:c>
      <s:c r="C238" s="0" t="n">
        <s:v>102022</s:v>
      </s:c>
      <s:c r="D238" s="0" t="n">
        <s:v>4247</s:v>
      </s:c>
      <s:c r="F238" s="24">
        <s:f>'자료구성'!$B$2+TIME(INT($C$3/10000),INT(MOD($C$3,10000)/100),MOD($C$3,100))+(ROW()-ROW($C$3))/86400</s:f>
        <s:v>46247.433530092596</s:v>
      </s:c>
    </s:row>
    <s:row r="239">
      <s:c r="A239" s="0" t="n">
        <s:v>260813</s:v>
      </s:c>
      <s:c r="B239" s="0" t="inlineStr">
        <s:is>
          <s:t>이종훈</s:t>
        </s:is>
      </s:c>
      <s:c r="C239" s="0" t="n">
        <s:v>102022</s:v>
      </s:c>
      <s:c r="D239" s="0" t="n">
        <s:v>4195</s:v>
      </s:c>
      <s:c r="F239" s="24">
        <s:f>'자료구성'!$B$2+TIME(INT($C$3/10000),INT(MOD($C$3,10000)/100),MOD($C$3,100))+(ROW()-ROW($C$3))/86400</s:f>
        <s:v>46247.433541666665</s:v>
      </s:c>
    </s:row>
    <s:row r="240">
      <s:c r="A240" s="0" t="n">
        <s:v>260813</s:v>
      </s:c>
      <s:c r="B240" s="0" t="inlineStr">
        <s:is>
          <s:t>이종훈</s:t>
        </s:is>
      </s:c>
      <s:c r="C240" s="0" t="n">
        <s:v>102022</s:v>
      </s:c>
      <s:c r="D240" s="0" t="n">
        <s:v>4175</s:v>
      </s:c>
      <s:c r="F240" s="24">
        <s:f>'자료구성'!$B$2+TIME(INT($C$3/10000),INT(MOD($C$3,10000)/100),MOD($C$3,100))+(ROW()-ROW($C$3))/86400</s:f>
        <s:v>46247.43355324074</s:v>
      </s:c>
    </s:row>
    <s:row r="241">
      <s:c r="A241" s="0" t="n">
        <s:v>260813</s:v>
      </s:c>
      <s:c r="B241" s="0" t="inlineStr">
        <s:is>
          <s:t>이종훈</s:t>
        </s:is>
      </s:c>
      <s:c r="C241" s="0" t="n">
        <s:v>102022</s:v>
      </s:c>
      <s:c r="D241" s="0" t="n">
        <s:v>4142</s:v>
      </s:c>
      <s:c r="F241" s="24">
        <s:f>'자료구성'!$B$2+TIME(INT($C$3/10000),INT(MOD($C$3,10000)/100),MOD($C$3,100))+(ROW()-ROW($C$3))/86400</s:f>
        <s:v>46247.43356481481</s:v>
      </s:c>
    </s:row>
    <s:row r="242">
      <s:c r="A242" s="0" t="n">
        <s:v>260813</s:v>
      </s:c>
      <s:c r="B242" s="0" t="inlineStr">
        <s:is>
          <s:t>이종훈</s:t>
        </s:is>
      </s:c>
      <s:c r="C242" s="0" t="n">
        <s:v>102022</s:v>
      </s:c>
      <s:c r="D242" s="0" t="n">
        <s:v>4104</s:v>
      </s:c>
      <s:c r="F242" s="24">
        <s:f>'자료구성'!$B$2+TIME(INT($C$3/10000),INT(MOD($C$3,10000)/100),MOD($C$3,100))+(ROW()-ROW($C$3))/86400</s:f>
        <s:v>46247.43357638889</s:v>
      </s:c>
    </s:row>
    <s:row r="243">
      <s:c r="A243" s="0" t="n">
        <s:v>260813</s:v>
      </s:c>
      <s:c r="B243" s="0" t="inlineStr">
        <s:is>
          <s:t>이종훈</s:t>
        </s:is>
      </s:c>
      <s:c r="C243" s="0" t="n">
        <s:v>102022</s:v>
      </s:c>
      <s:c r="D243" s="0" t="n">
        <s:v>4025</s:v>
      </s:c>
      <s:c r="F243" s="24">
        <s:f>'자료구성'!$B$2+TIME(INT($C$3/10000),INT(MOD($C$3,10000)/100),MOD($C$3,100))+(ROW()-ROW($C$3))/86400</s:f>
        <s:v>46247.433587962965</s:v>
      </s:c>
    </s:row>
    <s:row r="244">
      <s:c r="A244" s="0" t="n">
        <s:v>260813</s:v>
      </s:c>
      <s:c r="B244" s="0" t="inlineStr">
        <s:is>
          <s:t>이종훈</s:t>
        </s:is>
      </s:c>
      <s:c r="C244" s="0" t="n">
        <s:v>102022</s:v>
      </s:c>
      <s:c r="D244" s="0" t="n">
        <s:v>3970</s:v>
      </s:c>
      <s:c r="F244" s="24">
        <s:f>'자료구성'!$B$2+TIME(INT($C$3/10000),INT(MOD($C$3,10000)/100),MOD($C$3,100))+(ROW()-ROW($C$3))/86400</s:f>
        <s:v>46247.433599537035</s:v>
      </s:c>
    </s:row>
    <s:row r="245">
      <s:c r="A245" s="0" t="n">
        <s:v>260813</s:v>
      </s:c>
      <s:c r="B245" s="0" t="inlineStr">
        <s:is>
          <s:t>이종훈</s:t>
        </s:is>
      </s:c>
      <s:c r="C245" s="0" t="n">
        <s:v>102022</s:v>
      </s:c>
      <s:c r="D245" s="0" t="n">
        <s:v>3990</s:v>
      </s:c>
      <s:c r="F245" s="24">
        <s:f>'자료구성'!$B$2+TIME(INT($C$3/10000),INT(MOD($C$3,10000)/100),MOD($C$3,100))+(ROW()-ROW($C$3))/86400</s:f>
        <s:v>46247.43361111111</s:v>
      </s:c>
    </s:row>
    <s:row r="246">
      <s:c r="A246" s="0" t="n">
        <s:v>260813</s:v>
      </s:c>
      <s:c r="B246" s="0" t="inlineStr">
        <s:is>
          <s:t>이종훈</s:t>
        </s:is>
      </s:c>
      <s:c r="C246" s="0" t="n">
        <s:v>102022</s:v>
      </s:c>
      <s:c r="D246" s="0" t="n">
        <s:v>3994</s:v>
      </s:c>
      <s:c r="F246" s="24">
        <s:f>'자료구성'!$B$2+TIME(INT($C$3/10000),INT(MOD($C$3,10000)/100),MOD($C$3,100))+(ROW()-ROW($C$3))/86400</s:f>
        <s:v>46247.43362268519</s:v>
      </s:c>
    </s:row>
    <s:row r="247">
      <s:c r="A247" s="0" t="n">
        <s:v>260813</s:v>
      </s:c>
      <s:c r="B247" s="0" t="inlineStr">
        <s:is>
          <s:t>이종훈</s:t>
        </s:is>
      </s:c>
      <s:c r="C247" s="0" t="n">
        <s:v>102022</s:v>
      </s:c>
      <s:c r="D247" s="0" t="n">
        <s:v>4028</s:v>
      </s:c>
      <s:c r="F247" s="24">
        <s:f>'자료구성'!$B$2+TIME(INT($C$3/10000),INT(MOD($C$3,10000)/100),MOD($C$3,100))+(ROW()-ROW($C$3))/86400</s:f>
        <s:v>46247.43363425926</s:v>
      </s:c>
    </s:row>
    <s:row r="248">
      <s:c r="A248" s="0" t="n">
        <s:v>260813</s:v>
      </s:c>
      <s:c r="B248" s="0" t="inlineStr">
        <s:is>
          <s:t>이종훈</s:t>
        </s:is>
      </s:c>
      <s:c r="C248" s="0" t="n">
        <s:v>102022</s:v>
      </s:c>
      <s:c r="D248" s="0" t="n">
        <s:v>4035</s:v>
      </s:c>
      <s:c r="F248" s="24">
        <s:f>'자료구성'!$B$2+TIME(INT($C$3/10000),INT(MOD($C$3,10000)/100),MOD($C$3,100))+(ROW()-ROW($C$3))/86400</s:f>
        <s:v>46247.433645833335</s:v>
      </s:c>
    </s:row>
    <s:row r="249">
      <s:c r="A249" s="0" t="n">
        <s:v>260813</s:v>
      </s:c>
      <s:c r="B249" s="0" t="inlineStr">
        <s:is>
          <s:t>이종훈</s:t>
        </s:is>
      </s:c>
      <s:c r="C249" s="0" t="n">
        <s:v>102022</s:v>
      </s:c>
      <s:c r="D249" s="0" t="n">
        <s:v>4036</s:v>
      </s:c>
      <s:c r="F249" s="24">
        <s:f>'자료구성'!$B$2+TIME(INT($C$3/10000),INT(MOD($C$3,10000)/100),MOD($C$3,100))+(ROW()-ROW($C$3))/86400</s:f>
        <s:v>46247.433657407404</s:v>
      </s:c>
    </s:row>
    <s:row r="250">
      <s:c r="A250" s="0" t="n">
        <s:v>260813</s:v>
      </s:c>
      <s:c r="B250" s="0" t="inlineStr">
        <s:is>
          <s:t>이종훈</s:t>
        </s:is>
      </s:c>
      <s:c r="C250" s="0" t="n">
        <s:v>102022</s:v>
      </s:c>
      <s:c r="D250" s="0" t="n">
        <s:v>4029</s:v>
      </s:c>
      <s:c r="F250" s="24">
        <s:f>'자료구성'!$B$2+TIME(INT($C$3/10000),INT(MOD($C$3,10000)/100),MOD($C$3,100))+(ROW()-ROW($C$3))/86400</s:f>
        <s:v>46247.43366898148</s:v>
      </s:c>
    </s:row>
    <s:row r="251">
      <s:c r="A251" s="0" t="n">
        <s:v>260813</s:v>
      </s:c>
      <s:c r="B251" s="0" t="inlineStr">
        <s:is>
          <s:t>이종훈</s:t>
        </s:is>
      </s:c>
      <s:c r="C251" s="0" t="n">
        <s:v>102022</s:v>
      </s:c>
      <s:c r="D251" s="0" t="n">
        <s:v>4008</s:v>
      </s:c>
      <s:c r="F251" s="24">
        <s:f>'자료구성'!$B$2+TIME(INT($C$3/10000),INT(MOD($C$3,10000)/100),MOD($C$3,100))+(ROW()-ROW($C$3))/86400</s:f>
        <s:v>46247.43368055556</s:v>
      </s:c>
    </s:row>
    <s:row r="252">
      <s:c r="A252" s="0" t="n">
        <s:v>260813</s:v>
      </s:c>
      <s:c r="B252" s="0" t="inlineStr">
        <s:is>
          <s:t>이종훈</s:t>
        </s:is>
      </s:c>
      <s:c r="C252" s="0" t="n">
        <s:v>102022</s:v>
      </s:c>
      <s:c r="D252" s="0" t="n">
        <s:v>3898</s:v>
      </s:c>
      <s:c r="F252" s="24">
        <s:f>'자료구성'!$B$2+TIME(INT($C$3/10000),INT(MOD($C$3,10000)/100),MOD($C$3,100))+(ROW()-ROW($C$3))/86400</s:f>
        <s:v>46247.43369212963</s:v>
      </s:c>
    </s:row>
    <s:row r="253">
      <s:c r="A253" s="0" t="n">
        <s:v>260813</s:v>
      </s:c>
      <s:c r="B253" s="0" t="inlineStr">
        <s:is>
          <s:t>이종훈</s:t>
        </s:is>
      </s:c>
      <s:c r="C253" s="0" t="n">
        <s:v>102022</s:v>
      </s:c>
      <s:c r="D253" s="0" t="n">
        <s:v>3769</s:v>
      </s:c>
      <s:c r="F253" s="24">
        <s:f>'자료구성'!$B$2+TIME(INT($C$3/10000),INT(MOD($C$3,10000)/100),MOD($C$3,100))+(ROW()-ROW($C$3))/86400</s:f>
        <s:v>46247.433703703704</s:v>
      </s:c>
    </s:row>
    <s:row r="254">
      <s:c r="A254" s="0" t="n">
        <s:v>260813</s:v>
      </s:c>
      <s:c r="B254" s="0" t="inlineStr">
        <s:is>
          <s:t>이종훈</s:t>
        </s:is>
      </s:c>
      <s:c r="C254" s="0" t="n">
        <s:v>102022</s:v>
      </s:c>
      <s:c r="D254" s="0" t="n">
        <s:v>3709</s:v>
      </s:c>
      <s:c r="F254" s="24">
        <s:f>'자료구성'!$B$2+TIME(INT($C$3/10000),INT(MOD($C$3,10000)/100),MOD($C$3,100))+(ROW()-ROW($C$3))/86400</s:f>
        <s:v>46247.43371527778</s:v>
      </s:c>
    </s:row>
    <s:row r="255">
      <s:c r="A255" s="0" t="n">
        <s:v>260813</s:v>
      </s:c>
      <s:c r="B255" s="0" t="inlineStr">
        <s:is>
          <s:t>이종훈</s:t>
        </s:is>
      </s:c>
      <s:c r="C255" s="0" t="n">
        <s:v>102022</s:v>
      </s:c>
      <s:c r="D255" s="0" t="n">
        <s:v>3681</s:v>
      </s:c>
      <s:c r="F255" s="24">
        <s:f>'자료구성'!$B$2+TIME(INT($C$3/10000),INT(MOD($C$3,10000)/100),MOD($C$3,100))+(ROW()-ROW($C$3))/86400</s:f>
        <s:v>46247.43372685185</s:v>
      </s:c>
    </s:row>
    <s:row r="256">
      <s:c r="A256" s="0" t="n">
        <s:v>260813</s:v>
      </s:c>
      <s:c r="B256" s="0" t="inlineStr">
        <s:is>
          <s:t>이종훈</s:t>
        </s:is>
      </s:c>
      <s:c r="C256" s="0" t="n">
        <s:v>102022</s:v>
      </s:c>
      <s:c r="D256" s="0" t="n">
        <s:v>3677</s:v>
      </s:c>
      <s:c r="F256" s="24">
        <s:f>'자료구성'!$B$2+TIME(INT($C$3/10000),INT(MOD($C$3,10000)/100),MOD($C$3,100))+(ROW()-ROW($C$3))/86400</s:f>
        <s:v>46247.43373842593</s:v>
      </s:c>
    </s:row>
    <s:row r="257">
      <s:c r="A257" s="0" t="n">
        <s:v>260813</s:v>
      </s:c>
      <s:c r="B257" s="0" t="inlineStr">
        <s:is>
          <s:t>이종훈</s:t>
        </s:is>
      </s:c>
      <s:c r="C257" s="0" t="n">
        <s:v>102022</s:v>
      </s:c>
      <s:c r="D257" s="0" t="n">
        <s:v>3884</s:v>
      </s:c>
      <s:c r="F257" s="24">
        <s:f>'자료구성'!$B$2+TIME(INT($C$3/10000),INT(MOD($C$3,10000)/100),MOD($C$3,100))+(ROW()-ROW($C$3))/86400</s:f>
        <s:v>46247.43375</s:v>
      </s:c>
    </s:row>
    <s:row r="258">
      <s:c r="A258" s="0" t="n">
        <s:v>260813</s:v>
      </s:c>
      <s:c r="B258" s="0" t="inlineStr">
        <s:is>
          <s:t>이종훈</s:t>
        </s:is>
      </s:c>
      <s:c r="C258" s="0" t="n">
        <s:v>102022</s:v>
      </s:c>
      <s:c r="D258" s="0" t="n">
        <s:v>4032</s:v>
      </s:c>
      <s:c r="F258" s="24">
        <s:f>'자료구성'!$B$2+TIME(INT($C$3/10000),INT(MOD($C$3,10000)/100),MOD($C$3,100))+(ROW()-ROW($C$3))/86400</s:f>
        <s:v>46247.43376157407</s:v>
      </s:c>
    </s:row>
    <s:row r="259">
      <s:c r="A259" s="0" t="n">
        <s:v>260813</s:v>
      </s:c>
      <s:c r="B259" s="0" t="inlineStr">
        <s:is>
          <s:t>이종훈</s:t>
        </s:is>
      </s:c>
      <s:c r="C259" s="0" t="n">
        <s:v>102022</s:v>
      </s:c>
      <s:c r="D259" s="0" t="n">
        <s:v>3989</s:v>
      </s:c>
      <s:c r="F259" s="24">
        <s:f>'자료구성'!$B$2+TIME(INT($C$3/10000),INT(MOD($C$3,10000)/100),MOD($C$3,100))+(ROW()-ROW($C$3))/86400</s:f>
        <s:v>46247.43377314815</s:v>
      </s:c>
    </s:row>
    <s:row r="260">
      <s:c r="A260" s="0" t="n">
        <s:v>260813</s:v>
      </s:c>
      <s:c r="B260" s="0" t="inlineStr">
        <s:is>
          <s:t>이종훈</s:t>
        </s:is>
      </s:c>
      <s:c r="C260" s="0" t="n">
        <s:v>102022</s:v>
      </s:c>
      <s:c r="D260" s="0" t="n">
        <s:v>4052</s:v>
      </s:c>
      <s:c r="F260" s="24">
        <s:f>'자료구성'!$B$2+TIME(INT($C$3/10000),INT(MOD($C$3,10000)/100),MOD($C$3,100))+(ROW()-ROW($C$3))/86400</s:f>
        <s:v>46247.43378472222</s:v>
      </s:c>
    </s:row>
    <s:row r="261">
      <s:c r="A261" s="0" t="n">
        <s:v>260813</s:v>
      </s:c>
      <s:c r="B261" s="0" t="inlineStr">
        <s:is>
          <s:t>이종훈</s:t>
        </s:is>
      </s:c>
      <s:c r="C261" s="0" t="n">
        <s:v>102022</s:v>
      </s:c>
      <s:c r="D261" s="0" t="n">
        <s:v>4065</s:v>
      </s:c>
      <s:c r="F261" s="24">
        <s:f>'자료구성'!$B$2+TIME(INT($C$3/10000),INT(MOD($C$3,10000)/100),MOD($C$3,100))+(ROW()-ROW($C$3))/86400</s:f>
        <s:v>46247.433796296296</s:v>
      </s:c>
    </s:row>
    <s:row r="262">
      <s:c r="A262" s="0" t="n">
        <s:v>260813</s:v>
      </s:c>
      <s:c r="B262" s="0" t="inlineStr">
        <s:is>
          <s:t>이종훈</s:t>
        </s:is>
      </s:c>
      <s:c r="C262" s="0" t="n">
        <s:v>102022</s:v>
      </s:c>
      <s:c r="D262" s="0" t="n">
        <s:v>4202</s:v>
      </s:c>
      <s:c r="F262" s="24">
        <s:f>'자료구성'!$B$2+TIME(INT($C$3/10000),INT(MOD($C$3,10000)/100),MOD($C$3,100))+(ROW()-ROW($C$3))/86400</s:f>
        <s:v>46247.43380787037</s:v>
      </s:c>
    </s:row>
    <s:row r="263">
      <s:c r="A263" s="0" t="n">
        <s:v>260813</s:v>
      </s:c>
      <s:c r="B263" s="0" t="inlineStr">
        <s:is>
          <s:t>이종훈</s:t>
        </s:is>
      </s:c>
      <s:c r="C263" s="0" t="n">
        <s:v>102022</s:v>
      </s:c>
      <s:c r="D263" s="0" t="n">
        <s:v>4209</s:v>
      </s:c>
      <s:c r="F263" s="24">
        <s:f>'자료구성'!$B$2+TIME(INT($C$3/10000),INT(MOD($C$3,10000)/100),MOD($C$3,100))+(ROW()-ROW($C$3))/86400</s:f>
        <s:v>46247.43381944444</s:v>
      </s:c>
    </s:row>
    <s:row r="264">
      <s:c r="A264" s="0" t="n">
        <s:v>260813</s:v>
      </s:c>
      <s:c r="B264" s="0" t="inlineStr">
        <s:is>
          <s:t>이종훈</s:t>
        </s:is>
      </s:c>
      <s:c r="C264" s="0" t="n">
        <s:v>102022</s:v>
      </s:c>
      <s:c r="D264" s="0" t="n">
        <s:v>4186</s:v>
      </s:c>
      <s:c r="F264" s="24">
        <s:f>'자료구성'!$B$2+TIME(INT($C$3/10000),INT(MOD($C$3,10000)/100),MOD($C$3,100))+(ROW()-ROW($C$3))/86400</s:f>
        <s:v>46247.43383101852</s:v>
      </s:c>
    </s:row>
    <s:row r="265">
      <s:c r="A265" s="0" t="n">
        <s:v>260813</s:v>
      </s:c>
      <s:c r="B265" s="0" t="inlineStr">
        <s:is>
          <s:t>이종훈</s:t>
        </s:is>
      </s:c>
      <s:c r="C265" s="0" t="n">
        <s:v>102022</s:v>
      </s:c>
      <s:c r="D265" s="0" t="n">
        <s:v>4172</s:v>
      </s:c>
      <s:c r="F265" s="24">
        <s:f>'자료구성'!$B$2+TIME(INT($C$3/10000),INT(MOD($C$3,10000)/100),MOD($C$3,100))+(ROW()-ROW($C$3))/86400</s:f>
        <s:v>46247.433842592596</s:v>
      </s:c>
    </s:row>
    <s:row r="266">
      <s:c r="A266" s="0" t="n">
        <s:v>260813</s:v>
      </s:c>
      <s:c r="B266" s="0" t="inlineStr">
        <s:is>
          <s:t>이종훈</s:t>
        </s:is>
      </s:c>
      <s:c r="C266" s="0" t="n">
        <s:v>102022</s:v>
      </s:c>
      <s:c r="D266" s="0" t="n">
        <s:v>4240</s:v>
      </s:c>
      <s:c r="F266" s="24">
        <s:f>'자료구성'!$B$2+TIME(INT($C$3/10000),INT(MOD($C$3,10000)/100),MOD($C$3,100))+(ROW()-ROW($C$3))/86400</s:f>
        <s:v>46247.433854166666</s:v>
      </s:c>
    </s:row>
    <s:row r="267">
      <s:c r="A267" s="0" t="n">
        <s:v>260813</s:v>
      </s:c>
      <s:c r="B267" s="0" t="inlineStr">
        <s:is>
          <s:t>이종훈</s:t>
        </s:is>
      </s:c>
      <s:c r="C267" s="0" t="n">
        <s:v>102022</s:v>
      </s:c>
      <s:c r="D267" s="0" t="n">
        <s:v>4299</s:v>
      </s:c>
      <s:c r="F267" s="24">
        <s:f>'자료구성'!$B$2+TIME(INT($C$3/10000),INT(MOD($C$3,10000)/100),MOD($C$3,100))+(ROW()-ROW($C$3))/86400</s:f>
        <s:v>46247.43386574074</s:v>
      </s:c>
    </s:row>
    <s:row r="268">
      <s:c r="A268" s="0" t="n">
        <s:v>260813</s:v>
      </s:c>
      <s:c r="B268" s="0" t="inlineStr">
        <s:is>
          <s:t>이종훈</s:t>
        </s:is>
      </s:c>
      <s:c r="C268" s="0" t="n">
        <s:v>102022</s:v>
      </s:c>
      <s:c r="D268" s="0" t="n">
        <s:v>4418</s:v>
      </s:c>
      <s:c r="F268" s="24">
        <s:f>'자료구성'!$B$2+TIME(INT($C$3/10000),INT(MOD($C$3,10000)/100),MOD($C$3,100))+(ROW()-ROW($C$3))/86400</s:f>
        <s:v>46247.43387731481</s:v>
      </s:c>
    </s:row>
    <s:row r="269">
      <s:c r="A269" s="0" t="n">
        <s:v>260813</s:v>
      </s:c>
      <s:c r="B269" s="0" t="inlineStr">
        <s:is>
          <s:t>이종훈</s:t>
        </s:is>
      </s:c>
      <s:c r="C269" s="0" t="n">
        <s:v>102022</s:v>
      </s:c>
      <s:c r="D269" s="0" t="n">
        <s:v>4486</s:v>
      </s:c>
      <s:c r="F269" s="24">
        <s:f>'자료구성'!$B$2+TIME(INT($C$3/10000),INT(MOD($C$3,10000)/100),MOD($C$3,100))+(ROW()-ROW($C$3))/86400</s:f>
        <s:v>46247.43388888889</s:v>
      </s:c>
    </s:row>
    <s:row r="270">
      <s:c r="A270" s="0" t="n">
        <s:v>260813</s:v>
      </s:c>
      <s:c r="B270" s="0" t="inlineStr">
        <s:is>
          <s:t>이종훈</s:t>
        </s:is>
      </s:c>
      <s:c r="C270" s="0" t="n">
        <s:v>102022</s:v>
      </s:c>
      <s:c r="D270" s="0" t="n">
        <s:v>4522</s:v>
      </s:c>
      <s:c r="F270" s="24">
        <s:f>'자료구성'!$B$2+TIME(INT($C$3/10000),INT(MOD($C$3,10000)/100),MOD($C$3,100))+(ROW()-ROW($C$3))/86400</s:f>
        <s:v>46247.433900462966</s:v>
      </s:c>
    </s:row>
    <s:row r="271">
      <s:c r="A271" s="0" t="n">
        <s:v>260813</s:v>
      </s:c>
      <s:c r="B271" s="0" t="inlineStr">
        <s:is>
          <s:t>이종훈</s:t>
        </s:is>
      </s:c>
      <s:c r="C271" s="0" t="n">
        <s:v>102022</s:v>
      </s:c>
      <s:c r="D271" s="0" t="n">
        <s:v>4571</s:v>
      </s:c>
      <s:c r="F271" s="24">
        <s:f>'자료구성'!$B$2+TIME(INT($C$3/10000),INT(MOD($C$3,10000)/100),MOD($C$3,100))+(ROW()-ROW($C$3))/86400</s:f>
        <s:v>46247.433912037035</s:v>
      </s:c>
    </s:row>
    <s:row r="272">
      <s:c r="A272" s="0" t="n">
        <s:v>260813</s:v>
      </s:c>
      <s:c r="B272" s="0" t="inlineStr">
        <s:is>
          <s:t>이종훈</s:t>
        </s:is>
      </s:c>
      <s:c r="C272" s="0" t="n">
        <s:v>102022</s:v>
      </s:c>
      <s:c r="D272" s="0" t="n">
        <s:v>4626</s:v>
      </s:c>
      <s:c r="F272" s="24">
        <s:f>'자료구성'!$B$2+TIME(INT($C$3/10000),INT(MOD($C$3,10000)/100),MOD($C$3,100))+(ROW()-ROW($C$3))/86400</s:f>
        <s:v>46247.43392361111</s:v>
      </s:c>
    </s:row>
    <s:row r="273">
      <s:c r="A273" s="0" t="n">
        <s:v>260813</s:v>
      </s:c>
      <s:c r="B273" s="0" t="inlineStr">
        <s:is>
          <s:t>이종훈</s:t>
        </s:is>
      </s:c>
      <s:c r="C273" s="0" t="n">
        <s:v>102022</s:v>
      </s:c>
      <s:c r="D273" s="0" t="n">
        <s:v>4683</s:v>
      </s:c>
      <s:c r="F273" s="24">
        <s:f>'자료구성'!$B$2+TIME(INT($C$3/10000),INT(MOD($C$3,10000)/100),MOD($C$3,100))+(ROW()-ROW($C$3))/86400</s:f>
        <s:v>46247.43393518519</s:v>
      </s:c>
    </s:row>
    <s:row r="274">
      <s:c r="A274" s="0" t="n">
        <s:v>260813</s:v>
      </s:c>
      <s:c r="B274" s="0" t="inlineStr">
        <s:is>
          <s:t>이종훈</s:t>
        </s:is>
      </s:c>
      <s:c r="C274" s="0" t="n">
        <s:v>102022</s:v>
      </s:c>
      <s:c r="D274" s="0" t="n">
        <s:v>4685</s:v>
      </s:c>
      <s:c r="F274" s="24">
        <s:f>'자료구성'!$B$2+TIME(INT($C$3/10000),INT(MOD($C$3,10000)/100),MOD($C$3,100))+(ROW()-ROW($C$3))/86400</s:f>
        <s:v>46247.43394675926</s:v>
      </s:c>
    </s:row>
    <s:row r="275">
      <s:c r="A275" s="0" t="n">
        <s:v>260813</s:v>
      </s:c>
      <s:c r="B275" s="0" t="inlineStr">
        <s:is>
          <s:t>이종훈</s:t>
        </s:is>
      </s:c>
      <s:c r="C275" s="0" t="n">
        <s:v>102022</s:v>
      </s:c>
      <s:c r="D275" s="0" t="n">
        <s:v>4751</s:v>
      </s:c>
      <s:c r="F275" s="24">
        <s:f>'자료구성'!$B$2+TIME(INT($C$3/10000),INT(MOD($C$3,10000)/100),MOD($C$3,100))+(ROW()-ROW($C$3))/86400</s:f>
        <s:v>46247.433958333335</s:v>
      </s:c>
    </s:row>
    <s:row r="276">
      <s:c r="A276" s="0" t="n">
        <s:v>260813</s:v>
      </s:c>
      <s:c r="B276" s="0" t="inlineStr">
        <s:is>
          <s:t>이종훈</s:t>
        </s:is>
      </s:c>
      <s:c r="C276" s="0" t="n">
        <s:v>102022</s:v>
      </s:c>
      <s:c r="D276" s="0" t="n">
        <s:v>4789</s:v>
      </s:c>
      <s:c r="F276" s="24">
        <s:f>'자료구성'!$B$2+TIME(INT($C$3/10000),INT(MOD($C$3,10000)/100),MOD($C$3,100))+(ROW()-ROW($C$3))/86400</s:f>
        <s:v>46247.433969907404</s:v>
      </s:c>
    </s:row>
    <s:row r="277">
      <s:c r="A277" s="0" t="n">
        <s:v>260813</s:v>
      </s:c>
      <s:c r="B277" s="0" t="inlineStr">
        <s:is>
          <s:t>이종훈</s:t>
        </s:is>
      </s:c>
      <s:c r="C277" s="0" t="n">
        <s:v>102022</s:v>
      </s:c>
      <s:c r="D277" s="0" t="n">
        <s:v>4774</s:v>
      </s:c>
      <s:c r="F277" s="24">
        <s:f>'자료구성'!$B$2+TIME(INT($C$3/10000),INT(MOD($C$3,10000)/100),MOD($C$3,100))+(ROW()-ROW($C$3))/86400</s:f>
        <s:v>46247.43398148148</s:v>
      </s:c>
    </s:row>
    <s:row r="278">
      <s:c r="A278" s="0" t="n">
        <s:v>260813</s:v>
      </s:c>
      <s:c r="B278" s="0" t="inlineStr">
        <s:is>
          <s:t>이종훈</s:t>
        </s:is>
      </s:c>
      <s:c r="C278" s="0" t="n">
        <s:v>102022</s:v>
      </s:c>
      <s:c r="D278" s="0" t="n">
        <s:v>4944</s:v>
      </s:c>
      <s:c r="F278" s="24">
        <s:f>'자료구성'!$B$2+TIME(INT($C$3/10000),INT(MOD($C$3,10000)/100),MOD($C$3,100))+(ROW()-ROW($C$3))/86400</s:f>
        <s:v>46247.43399305556</s:v>
      </s:c>
    </s:row>
    <s:row r="279">
      <s:c r="A279" s="0" t="n">
        <s:v>260813</s:v>
      </s:c>
      <s:c r="B279" s="0" t="inlineStr">
        <s:is>
          <s:t>이종훈</s:t>
        </s:is>
      </s:c>
      <s:c r="C279" s="0" t="n">
        <s:v>102022</s:v>
      </s:c>
      <s:c r="D279" s="0" t="n">
        <s:v>5126</s:v>
      </s:c>
      <s:c r="F279" s="24">
        <s:f>'자료구성'!$B$2+TIME(INT($C$3/10000),INT(MOD($C$3,10000)/100),MOD($C$3,100))+(ROW()-ROW($C$3))/86400</s:f>
        <s:v>46247.43400462963</s:v>
      </s:c>
    </s:row>
    <s:row r="280">
      <s:c r="A280" s="0" t="n">
        <s:v>260813</s:v>
      </s:c>
      <s:c r="B280" s="0" t="inlineStr">
        <s:is>
          <s:t>이종훈</s:t>
        </s:is>
      </s:c>
      <s:c r="C280" s="0" t="n">
        <s:v>102022</s:v>
      </s:c>
      <s:c r="D280" s="0" t="n">
        <s:v>5250</s:v>
      </s:c>
      <s:c r="F280" s="24">
        <s:f>'자료구성'!$B$2+TIME(INT($C$3/10000),INT(MOD($C$3,10000)/100),MOD($C$3,100))+(ROW()-ROW($C$3))/86400</s:f>
        <s:v>46247.434016203704</s:v>
      </s:c>
    </s:row>
    <s:row r="281">
      <s:c r="A281" s="0" t="n">
        <s:v>260813</s:v>
      </s:c>
      <s:c r="B281" s="0" t="inlineStr">
        <s:is>
          <s:t>이종훈</s:t>
        </s:is>
      </s:c>
      <s:c r="C281" s="0" t="n">
        <s:v>102022</s:v>
      </s:c>
      <s:c r="D281" s="0" t="n">
        <s:v>5385</s:v>
      </s:c>
      <s:c r="F281" s="24">
        <s:f>'자료구성'!$B$2+TIME(INT($C$3/10000),INT(MOD($C$3,10000)/100),MOD($C$3,100))+(ROW()-ROW($C$3))/86400</s:f>
        <s:v>46247.43402777778</s:v>
      </s:c>
    </s:row>
    <s:row r="282">
      <s:c r="A282" s="0" t="n">
        <s:v>260813</s:v>
      </s:c>
      <s:c r="B282" s="0" t="inlineStr">
        <s:is>
          <s:t>이종훈</s:t>
        </s:is>
      </s:c>
      <s:c r="C282" s="0" t="n">
        <s:v>102022</s:v>
      </s:c>
      <s:c r="D282" s="0" t="n">
        <s:v>5462</s:v>
      </s:c>
      <s:c r="F282" s="24">
        <s:f>'자료구성'!$B$2+TIME(INT($C$3/10000),INT(MOD($C$3,10000)/100),MOD($C$3,100))+(ROW()-ROW($C$3))/86400</s:f>
        <s:v>46247.43403935185</s:v>
      </s:c>
    </s:row>
    <s:row r="283">
      <s:c r="A283" s="0" t="n">
        <s:v>260813</s:v>
      </s:c>
      <s:c r="B283" s="0" t="inlineStr">
        <s:is>
          <s:t>이종훈</s:t>
        </s:is>
      </s:c>
      <s:c r="C283" s="0" t="n">
        <s:v>102022</s:v>
      </s:c>
      <s:c r="D283" s="0" t="n">
        <s:v>5450</s:v>
      </s:c>
      <s:c r="F283" s="24">
        <s:f>'자료구성'!$B$2+TIME(INT($C$3/10000),INT(MOD($C$3,10000)/100),MOD($C$3,100))+(ROW()-ROW($C$3))/86400</s:f>
        <s:v>46247.43405092593</s:v>
      </s:c>
    </s:row>
    <s:row r="284">
      <s:c r="A284" s="0" t="n">
        <s:v>260813</s:v>
      </s:c>
      <s:c r="B284" s="0" t="inlineStr">
        <s:is>
          <s:t>이종훈</s:t>
        </s:is>
      </s:c>
      <s:c r="C284" s="0" t="n">
        <s:v>102022</s:v>
      </s:c>
      <s:c r="D284" s="0" t="n">
        <s:v>5472</s:v>
      </s:c>
      <s:c r="F284" s="24">
        <s:f>'자료구성'!$B$2+TIME(INT($C$3/10000),INT(MOD($C$3,10000)/100),MOD($C$3,100))+(ROW()-ROW($C$3))/86400</s:f>
        <s:v>46247.4340625</s:v>
      </s:c>
    </s:row>
    <s:row r="285">
      <s:c r="A285" s="0" t="n">
        <s:v>260813</s:v>
      </s:c>
      <s:c r="B285" s="0" t="inlineStr">
        <s:is>
          <s:t>이종훈</s:t>
        </s:is>
      </s:c>
      <s:c r="C285" s="0" t="n">
        <s:v>102022</s:v>
      </s:c>
      <s:c r="D285" s="0" t="n">
        <s:v>5524</s:v>
      </s:c>
      <s:c r="F285" s="24">
        <s:f>'자료구성'!$B$2+TIME(INT($C$3/10000),INT(MOD($C$3,10000)/100),MOD($C$3,100))+(ROW()-ROW($C$3))/86400</s:f>
        <s:v>46247.43407407407</s:v>
      </s:c>
    </s:row>
    <s:row r="286">
      <s:c r="A286" s="0" t="n">
        <s:v>260813</s:v>
      </s:c>
      <s:c r="B286" s="0" t="inlineStr">
        <s:is>
          <s:t>이종훈</s:t>
        </s:is>
      </s:c>
      <s:c r="C286" s="0" t="n">
        <s:v>102022</s:v>
      </s:c>
      <s:c r="D286" s="0" t="n">
        <s:v>5471</s:v>
      </s:c>
      <s:c r="F286" s="24">
        <s:f>'자료구성'!$B$2+TIME(INT($C$3/10000),INT(MOD($C$3,10000)/100),MOD($C$3,100))+(ROW()-ROW($C$3))/86400</s:f>
        <s:v>46247.43408564815</s:v>
      </s:c>
    </s:row>
    <s:row r="287">
      <s:c r="A287" s="0" t="n">
        <s:v>260813</s:v>
      </s:c>
      <s:c r="B287" s="0" t="inlineStr">
        <s:is>
          <s:t>이종훈</s:t>
        </s:is>
      </s:c>
      <s:c r="C287" s="0" t="n">
        <s:v>102022</s:v>
      </s:c>
      <s:c r="D287" s="0" t="n">
        <s:v>5450</s:v>
      </s:c>
      <s:c r="F287" s="24">
        <s:f>'자료구성'!$B$2+TIME(INT($C$3/10000),INT(MOD($C$3,10000)/100),MOD($C$3,100))+(ROW()-ROW($C$3))/86400</s:f>
        <s:v>46247.43409722222</s:v>
      </s:c>
    </s:row>
    <s:row r="288">
      <s:c r="A288" s="0" t="n">
        <s:v>260813</s:v>
      </s:c>
      <s:c r="B288" s="0" t="inlineStr">
        <s:is>
          <s:t>이종훈</s:t>
        </s:is>
      </s:c>
      <s:c r="C288" s="0" t="n">
        <s:v>102022</s:v>
      </s:c>
      <s:c r="D288" s="0" t="n">
        <s:v>5394</s:v>
      </s:c>
      <s:c r="F288" s="24">
        <s:f>'자료구성'!$B$2+TIME(INT($C$3/10000),INT(MOD($C$3,10000)/100),MOD($C$3,100))+(ROW()-ROW($C$3))/86400</s:f>
        <s:v>46247.4341087963</s:v>
      </s:c>
    </s:row>
    <s:row r="289">
      <s:c r="A289" s="0" t="n">
        <s:v>260813</s:v>
      </s:c>
      <s:c r="B289" s="0" t="inlineStr">
        <s:is>
          <s:t>이종훈</s:t>
        </s:is>
      </s:c>
      <s:c r="C289" s="0" t="n">
        <s:v>102022</s:v>
      </s:c>
      <s:c r="D289" s="0" t="n">
        <s:v>5321</s:v>
      </s:c>
      <s:c r="F289" s="24">
        <s:f>'자료구성'!$B$2+TIME(INT($C$3/10000),INT(MOD($C$3,10000)/100),MOD($C$3,100))+(ROW()-ROW($C$3))/86400</s:f>
        <s:v>46247.43412037037</s:v>
      </s:c>
    </s:row>
    <s:row r="290">
      <s:c r="A290" s="0" t="n">
        <s:v>260813</s:v>
      </s:c>
      <s:c r="B290" s="0" t="inlineStr">
        <s:is>
          <s:t>이종훈</s:t>
        </s:is>
      </s:c>
      <s:c r="C290" s="0" t="n">
        <s:v>102022</s:v>
      </s:c>
      <s:c r="D290" s="0" t="n">
        <s:v>5300</s:v>
      </s:c>
      <s:c r="F290" s="24">
        <s:f>'자료구성'!$B$2+TIME(INT($C$3/10000),INT(MOD($C$3,10000)/100),MOD($C$3,100))+(ROW()-ROW($C$3))/86400</s:f>
        <s:v>46247.43413194444</s:v>
      </s:c>
    </s:row>
    <s:row r="291">
      <s:c r="A291" s="0" t="n">
        <s:v>260813</s:v>
      </s:c>
      <s:c r="B291" s="0" t="inlineStr">
        <s:is>
          <s:t>이종훈</s:t>
        </s:is>
      </s:c>
      <s:c r="C291" s="0" t="n">
        <s:v>102022</s:v>
      </s:c>
      <s:c r="D291" s="0" t="n">
        <s:v>5330</s:v>
      </s:c>
      <s:c r="F291" s="24">
        <s:f>'자료구성'!$B$2+TIME(INT($C$3/10000),INT(MOD($C$3,10000)/100),MOD($C$3,100))+(ROW()-ROW($C$3))/86400</s:f>
        <s:v>46247.43414351852</s:v>
      </s:c>
    </s:row>
    <s:row r="292">
      <s:c r="A292" s="0" t="n">
        <s:v>260813</s:v>
      </s:c>
      <s:c r="B292" s="0" t="inlineStr">
        <s:is>
          <s:t>이종훈</s:t>
        </s:is>
      </s:c>
      <s:c r="C292" s="0" t="n">
        <s:v>102022</s:v>
      </s:c>
      <s:c r="D292" s="0" t="n">
        <s:v>5332</s:v>
      </s:c>
      <s:c r="F292" s="24">
        <s:f>'자료구성'!$B$2+TIME(INT($C$3/10000),INT(MOD($C$3,10000)/100),MOD($C$3,100))+(ROW()-ROW($C$3))/86400</s:f>
        <s:v>46247.43415509259</s:v>
      </s:c>
    </s:row>
    <s:row r="293">
      <s:c r="A293" s="0" t="n">
        <s:v>260813</s:v>
      </s:c>
      <s:c r="B293" s="0" t="inlineStr">
        <s:is>
          <s:t>이종훈</s:t>
        </s:is>
      </s:c>
      <s:c r="C293" s="0" t="n">
        <s:v>102022</s:v>
      </s:c>
      <s:c r="D293" s="0" t="n">
        <s:v>5262</s:v>
      </s:c>
      <s:c r="F293" s="24">
        <s:f>'자료구성'!$B$2+TIME(INT($C$3/10000),INT(MOD($C$3,10000)/100),MOD($C$3,100))+(ROW()-ROW($C$3))/86400</s:f>
        <s:v>46247.434166666666</s:v>
      </s:c>
    </s:row>
    <s:row r="294">
      <s:c r="A294" s="0" t="n">
        <s:v>260813</s:v>
      </s:c>
      <s:c r="B294" s="0" t="inlineStr">
        <s:is>
          <s:t>이종훈</s:t>
        </s:is>
      </s:c>
      <s:c r="C294" s="0" t="n">
        <s:v>102022</s:v>
      </s:c>
      <s:c r="D294" s="0" t="n">
        <s:v>5276</s:v>
      </s:c>
      <s:c r="F294" s="24">
        <s:f>'자료구성'!$B$2+TIME(INT($C$3/10000),INT(MOD($C$3,10000)/100),MOD($C$3,100))+(ROW()-ROW($C$3))/86400</s:f>
        <s:v>46247.43417824074</s:v>
      </s:c>
    </s:row>
    <s:row r="295">
      <s:c r="A295" s="0" t="n">
        <s:v>260813</s:v>
      </s:c>
      <s:c r="B295" s="0" t="inlineStr">
        <s:is>
          <s:t>이종훈</s:t>
        </s:is>
      </s:c>
      <s:c r="C295" s="0" t="n">
        <s:v>102022</s:v>
      </s:c>
      <s:c r="D295" s="0" t="n">
        <s:v>5246</s:v>
      </s:c>
      <s:c r="F295" s="24">
        <s:f>'자료구성'!$B$2+TIME(INT($C$3/10000),INT(MOD($C$3,10000)/100),MOD($C$3,100))+(ROW()-ROW($C$3))/86400</s:f>
        <s:v>46247.43418981481</s:v>
      </s:c>
    </s:row>
    <s:row r="296">
      <s:c r="A296" s="0" t="n">
        <s:v>260813</s:v>
      </s:c>
      <s:c r="B296" s="0" t="inlineStr">
        <s:is>
          <s:t>이종훈</s:t>
        </s:is>
      </s:c>
      <s:c r="C296" s="0" t="n">
        <s:v>102022</s:v>
      </s:c>
      <s:c r="D296" s="0" t="n">
        <s:v>5120</s:v>
      </s:c>
      <s:c r="F296" s="24">
        <s:f>'자료구성'!$B$2+TIME(INT($C$3/10000),INT(MOD($C$3,10000)/100),MOD($C$3,100))+(ROW()-ROW($C$3))/86400</s:f>
        <s:v>46247.43420138889</s:v>
      </s:c>
    </s:row>
    <s:row r="297">
      <s:c r="A297" s="0" t="n">
        <s:v>260813</s:v>
      </s:c>
      <s:c r="B297" s="0" t="inlineStr">
        <s:is>
          <s:t>이종훈</s:t>
        </s:is>
      </s:c>
      <s:c r="C297" s="0" t="n">
        <s:v>102022</s:v>
      </s:c>
      <s:c r="D297" s="0" t="n">
        <s:v>5008</s:v>
      </s:c>
      <s:c r="F297" s="24">
        <s:f>'자료구성'!$B$2+TIME(INT($C$3/10000),INT(MOD($C$3,10000)/100),MOD($C$3,100))+(ROW()-ROW($C$3))/86400</s:f>
        <s:v>46247.434212962966</s:v>
      </s:c>
    </s:row>
    <s:row r="298">
      <s:c r="A298" s="0" t="n">
        <s:v>260813</s:v>
      </s:c>
      <s:c r="B298" s="0" t="inlineStr">
        <s:is>
          <s:t>이종훈</s:t>
        </s:is>
      </s:c>
      <s:c r="C298" s="0" t="n">
        <s:v>102022</s:v>
      </s:c>
      <s:c r="D298" s="0" t="n">
        <s:v>4903</s:v>
      </s:c>
      <s:c r="F298" s="24">
        <s:f>'자료구성'!$B$2+TIME(INT($C$3/10000),INT(MOD($C$3,10000)/100),MOD($C$3,100))+(ROW()-ROW($C$3))/86400</s:f>
        <s:v>46247.434224537035</s:v>
      </s:c>
    </s:row>
    <s:row r="299">
      <s:c r="A299" s="0" t="n">
        <s:v>260813</s:v>
      </s:c>
      <s:c r="B299" s="0" t="inlineStr">
        <s:is>
          <s:t>이종훈</s:t>
        </s:is>
      </s:c>
      <s:c r="C299" s="0" t="n">
        <s:v>102022</s:v>
      </s:c>
      <s:c r="D299" s="0" t="n">
        <s:v>4827</s:v>
      </s:c>
      <s:c r="F299" s="24">
        <s:f>'자료구성'!$B$2+TIME(INT($C$3/10000),INT(MOD($C$3,10000)/100),MOD($C$3,100))+(ROW()-ROW($C$3))/86400</s:f>
        <s:v>46247.43423611111</s:v>
      </s:c>
    </s:row>
    <s:row r="300">
      <s:c r="A300" s="0" t="n">
        <s:v>260813</s:v>
      </s:c>
      <s:c r="B300" s="0" t="inlineStr">
        <s:is>
          <s:t>이종훈</s:t>
        </s:is>
      </s:c>
      <s:c r="C300" s="0" t="n">
        <s:v>102022</s:v>
      </s:c>
      <s:c r="D300" s="0" t="n">
        <s:v>4693</s:v>
      </s:c>
      <s:c r="F300" s="24">
        <s:f>'자료구성'!$B$2+TIME(INT($C$3/10000),INT(MOD($C$3,10000)/100),MOD($C$3,100))+(ROW()-ROW($C$3))/86400</s:f>
        <s:v>46247.43424768518</s:v>
      </s:c>
    </s:row>
    <s:row r="301">
      <s:c r="A301" s="0" t="n">
        <s:v>260813</s:v>
      </s:c>
      <s:c r="B301" s="0" t="inlineStr">
        <s:is>
          <s:t>이종훈</s:t>
        </s:is>
      </s:c>
      <s:c r="C301" s="0" t="n">
        <s:v>102022</s:v>
      </s:c>
      <s:c r="D301" s="0" t="n">
        <s:v>4625</s:v>
      </s:c>
      <s:c r="F301" s="24">
        <s:f>'자료구성'!$B$2+TIME(INT($C$3/10000),INT(MOD($C$3,10000)/100),MOD($C$3,100))+(ROW()-ROW($C$3))/86400</s:f>
        <s:v>46247.43425925926</s:v>
      </s:c>
    </s:row>
    <s:row r="302">
      <s:c r="A302" s="0" t="n">
        <s:v>260813</s:v>
      </s:c>
      <s:c r="B302" s="0" t="inlineStr">
        <s:is>
          <s:t>이종훈</s:t>
        </s:is>
      </s:c>
      <s:c r="C302" s="0" t="n">
        <s:v>102022</s:v>
      </s:c>
      <s:c r="D302" s="0" t="n">
        <s:v>4582</s:v>
      </s:c>
      <s:c r="F302" s="24">
        <s:f>'자료구성'!$B$2+TIME(INT($C$3/10000),INT(MOD($C$3,10000)/100),MOD($C$3,100))+(ROW()-ROW($C$3))/86400</s:f>
        <s:v>46247.434270833335</s:v>
      </s:c>
    </s:row>
    <s:row r="303">
      <s:c r="A303" s="0" t="n">
        <s:v>260813</s:v>
      </s:c>
      <s:c r="B303" s="0" t="inlineStr">
        <s:is>
          <s:t>이종훈</s:t>
        </s:is>
      </s:c>
      <s:c r="C303" s="0" t="n">
        <s:v>102022</s:v>
      </s:c>
      <s:c r="D303" s="0" t="n">
        <s:v>4487</s:v>
      </s:c>
      <s:c r="F303" s="24">
        <s:f>'자료구성'!$B$2+TIME(INT($C$3/10000),INT(MOD($C$3,10000)/100),MOD($C$3,100))+(ROW()-ROW($C$3))/86400</s:f>
        <s:v>46247.434282407405</s:v>
      </s:c>
    </s:row>
    <s:row r="304">
      <s:c r="A304" s="0" t="n">
        <s:v>260813</s:v>
      </s:c>
      <s:c r="B304" s="0" t="inlineStr">
        <s:is>
          <s:t>이종훈</s:t>
        </s:is>
      </s:c>
      <s:c r="C304" s="0" t="n">
        <s:v>102022</s:v>
      </s:c>
      <s:c r="D304" s="0" t="n">
        <s:v>4426</s:v>
      </s:c>
      <s:c r="F304" s="24">
        <s:f>'자료구성'!$B$2+TIME(INT($C$3/10000),INT(MOD($C$3,10000)/100),MOD($C$3,100))+(ROW()-ROW($C$3))/86400</s:f>
        <s:v>46247.43429398148</s:v>
      </s:c>
    </s:row>
    <s:row r="305">
      <s:c r="A305" s="0" t="n">
        <s:v>260813</s:v>
      </s:c>
      <s:c r="B305" s="0" t="inlineStr">
        <s:is>
          <s:t>이종훈</s:t>
        </s:is>
      </s:c>
      <s:c r="C305" s="0" t="n">
        <s:v>102022</s:v>
      </s:c>
      <s:c r="D305" s="0" t="n">
        <s:v>4394</s:v>
      </s:c>
      <s:c r="F305" s="24">
        <s:f>'자료구성'!$B$2+TIME(INT($C$3/10000),INT(MOD($C$3,10000)/100),MOD($C$3,100))+(ROW()-ROW($C$3))/86400</s:f>
        <s:v>46247.43430555556</s:v>
      </s:c>
    </s:row>
    <s:row r="306">
      <s:c r="A306" s="0" t="n">
        <s:v>260813</s:v>
      </s:c>
      <s:c r="B306" s="0" t="inlineStr">
        <s:is>
          <s:t>이종훈</s:t>
        </s:is>
      </s:c>
      <s:c r="C306" s="0" t="n">
        <s:v>102022</s:v>
      </s:c>
      <s:c r="D306" s="0" t="n">
        <s:v>4380</s:v>
      </s:c>
      <s:c r="F306" s="24">
        <s:f>'자료구성'!$B$2+TIME(INT($C$3/10000),INT(MOD($C$3,10000)/100),MOD($C$3,100))+(ROW()-ROW($C$3))/86400</s:f>
        <s:v>46247.43431712963</s:v>
      </s:c>
    </s:row>
    <s:row r="307">
      <s:c r="A307" s="0" t="n">
        <s:v>260813</s:v>
      </s:c>
      <s:c r="B307" s="0" t="inlineStr">
        <s:is>
          <s:t>이종훈</s:t>
        </s:is>
      </s:c>
      <s:c r="C307" s="0" t="n">
        <s:v>102022</s:v>
      </s:c>
      <s:c r="D307" s="0" t="n">
        <s:v>4326</s:v>
      </s:c>
      <s:c r="F307" s="24">
        <s:f>'자료구성'!$B$2+TIME(INT($C$3/10000),INT(MOD($C$3,10000)/100),MOD($C$3,100))+(ROW()-ROW($C$3))/86400</s:f>
        <s:v>46247.434328703705</s:v>
      </s:c>
    </s:row>
    <s:row r="308">
      <s:c r="A308" s="0" t="n">
        <s:v>260813</s:v>
      </s:c>
      <s:c r="B308" s="0" t="inlineStr">
        <s:is>
          <s:t>이종훈</s:t>
        </s:is>
      </s:c>
      <s:c r="C308" s="0" t="n">
        <s:v>102022</s:v>
      </s:c>
      <s:c r="D308" s="0" t="n">
        <s:v>4299</s:v>
      </s:c>
      <s:c r="F308" s="24">
        <s:f>'자료구성'!$B$2+TIME(INT($C$3/10000),INT(MOD($C$3,10000)/100),MOD($C$3,100))+(ROW()-ROW($C$3))/86400</s:f>
        <s:v>46247.43434027778</s:v>
      </s:c>
    </s:row>
    <s:row r="309">
      <s:c r="A309" s="0" t="n">
        <s:v>260813</s:v>
      </s:c>
      <s:c r="B309" s="0" t="inlineStr">
        <s:is>
          <s:t>이종훈</s:t>
        </s:is>
      </s:c>
      <s:c r="C309" s="0" t="n">
        <s:v>102022</s:v>
      </s:c>
      <s:c r="D309" s="0" t="n">
        <s:v>4313</s:v>
      </s:c>
      <s:c r="F309" s="24">
        <s:f>'자료구성'!$B$2+TIME(INT($C$3/10000),INT(MOD($C$3,10000)/100),MOD($C$3,100))+(ROW()-ROW($C$3))/86400</s:f>
        <s:v>46247.43435185185</s:v>
      </s:c>
    </s:row>
    <s:row r="310">
      <s:c r="A310" s="0" t="n">
        <s:v>260813</s:v>
      </s:c>
      <s:c r="B310" s="0" t="inlineStr">
        <s:is>
          <s:t>이종훈</s:t>
        </s:is>
      </s:c>
      <s:c r="C310" s="0" t="n">
        <s:v>102022</s:v>
      </s:c>
      <s:c r="D310" s="0" t="n">
        <s:v>4241</s:v>
      </s:c>
      <s:c r="F310" s="24">
        <s:f>'자료구성'!$B$2+TIME(INT($C$3/10000),INT(MOD($C$3,10000)/100),MOD($C$3,100))+(ROW()-ROW($C$3))/86400</s:f>
        <s:v>46247.43436342593</s:v>
      </s:c>
    </s:row>
    <s:row r="311">
      <s:c r="A311" s="0" t="n">
        <s:v>260813</s:v>
      </s:c>
      <s:c r="B311" s="0" t="inlineStr">
        <s:is>
          <s:t>이종훈</s:t>
        </s:is>
      </s:c>
      <s:c r="C311" s="0" t="n">
        <s:v>102022</s:v>
      </s:c>
      <s:c r="D311" s="0" t="n">
        <s:v>4251</s:v>
      </s:c>
      <s:c r="F311" s="24">
        <s:f>'자료구성'!$B$2+TIME(INT($C$3/10000),INT(MOD($C$3,10000)/100),MOD($C$3,100))+(ROW()-ROW($C$3))/86400</s:f>
        <s:v>46247.434375</s:v>
      </s:c>
    </s:row>
    <s:row r="312">
      <s:c r="A312" s="0" t="n">
        <s:v>260813</s:v>
      </s:c>
      <s:c r="B312" s="0" t="inlineStr">
        <s:is>
          <s:t>이종훈</s:t>
        </s:is>
      </s:c>
      <s:c r="C312" s="0" t="n">
        <s:v>102022</s:v>
      </s:c>
      <s:c r="D312" s="0" t="n">
        <s:v>4245</s:v>
      </s:c>
      <s:c r="F312" s="24">
        <s:f>'자료구성'!$B$2+TIME(INT($C$3/10000),INT(MOD($C$3,10000)/100),MOD($C$3,100))+(ROW()-ROW($C$3))/86400</s:f>
        <s:v>46247.434386574074</s:v>
      </s:c>
    </s:row>
    <s:row r="313">
      <s:c r="A313" s="0" t="n">
        <s:v>260813</s:v>
      </s:c>
      <s:c r="B313" s="0" t="inlineStr">
        <s:is>
          <s:t>이종훈</s:t>
        </s:is>
      </s:c>
      <s:c r="C313" s="0" t="n">
        <s:v>102022</s:v>
      </s:c>
      <s:c r="D313" s="0" t="n">
        <s:v>4244</s:v>
      </s:c>
      <s:c r="F313" s="24">
        <s:f>'자료구성'!$B$2+TIME(INT($C$3/10000),INT(MOD($C$3,10000)/100),MOD($C$3,100))+(ROW()-ROW($C$3))/86400</s:f>
        <s:v>46247.43439814815</s:v>
      </s:c>
    </s:row>
    <s:row r="314">
      <s:c r="A314" s="0" t="n">
        <s:v>260813</s:v>
      </s:c>
      <s:c r="B314" s="0" t="inlineStr">
        <s:is>
          <s:t>이종훈</s:t>
        </s:is>
      </s:c>
      <s:c r="C314" s="0" t="n">
        <s:v>102022</s:v>
      </s:c>
      <s:c r="D314" s="0" t="n">
        <s:v>4183</s:v>
      </s:c>
      <s:c r="F314" s="24">
        <s:f>'자료구성'!$B$2+TIME(INT($C$3/10000),INT(MOD($C$3,10000)/100),MOD($C$3,100))+(ROW()-ROW($C$3))/86400</s:f>
        <s:v>46247.43440972222</s:v>
      </s:c>
    </s:row>
    <s:row r="315">
      <s:c r="A315" s="0" t="n">
        <s:v>260813</s:v>
      </s:c>
      <s:c r="B315" s="0" t="inlineStr">
        <s:is>
          <s:t>이종훈</s:t>
        </s:is>
      </s:c>
      <s:c r="C315" s="0" t="n">
        <s:v>102022</s:v>
      </s:c>
      <s:c r="D315" s="0" t="n">
        <s:v>4165</s:v>
      </s:c>
      <s:c r="F315" s="24">
        <s:f>'자료구성'!$B$2+TIME(INT($C$3/10000),INT(MOD($C$3,10000)/100),MOD($C$3,100))+(ROW()-ROW($C$3))/86400</s:f>
        <s:v>46247.4344212963</s:v>
      </s:c>
    </s:row>
    <s:row r="316">
      <s:c r="A316" s="0" t="n">
        <s:v>260813</s:v>
      </s:c>
      <s:c r="B316" s="0" t="inlineStr">
        <s:is>
          <s:t>이종훈</s:t>
        </s:is>
      </s:c>
      <s:c r="C316" s="0" t="n">
        <s:v>102022</s:v>
      </s:c>
      <s:c r="D316" s="0" t="n">
        <s:v>4144</s:v>
      </s:c>
      <s:c r="F316" s="24">
        <s:f>'자료구성'!$B$2+TIME(INT($C$3/10000),INT(MOD($C$3,10000)/100),MOD($C$3,100))+(ROW()-ROW($C$3))/86400</s:f>
        <s:v>46247.434432870374</s:v>
      </s:c>
    </s:row>
    <s:row r="317">
      <s:c r="A317" s="0" t="n">
        <s:v>260813</s:v>
      </s:c>
      <s:c r="B317" s="0" t="inlineStr">
        <s:is>
          <s:t>이종훈</s:t>
        </s:is>
      </s:c>
      <s:c r="C317" s="0" t="n">
        <s:v>102022</s:v>
      </s:c>
      <s:c r="D317" s="0" t="n">
        <s:v>4126</s:v>
      </s:c>
      <s:c r="F317" s="24">
        <s:f>'자료구성'!$B$2+TIME(INT($C$3/10000),INT(MOD($C$3,10000)/100),MOD($C$3,100))+(ROW()-ROW($C$3))/86400</s:f>
        <s:v>46247.43444444444</s:v>
      </s:c>
    </s:row>
    <s:row r="318">
      <s:c r="A318" s="0" t="n">
        <s:v>260813</s:v>
      </s:c>
      <s:c r="B318" s="0" t="inlineStr">
        <s:is>
          <s:t>이종훈</s:t>
        </s:is>
      </s:c>
      <s:c r="C318" s="0" t="n">
        <s:v>102022</s:v>
      </s:c>
      <s:c r="D318" s="0" t="n">
        <s:v>4091</s:v>
      </s:c>
      <s:c r="F318" s="24">
        <s:f>'자료구성'!$B$2+TIME(INT($C$3/10000),INT(MOD($C$3,10000)/100),MOD($C$3,100))+(ROW()-ROW($C$3))/86400</s:f>
        <s:v>46247.43445601852</s:v>
      </s:c>
    </s:row>
    <s:row r="319">
      <s:c r="A319" s="0" t="n">
        <s:v>260813</s:v>
      </s:c>
      <s:c r="B319" s="0" t="inlineStr">
        <s:is>
          <s:t>이종훈</s:t>
        </s:is>
      </s:c>
      <s:c r="C319" s="0" t="n">
        <s:v>102022</s:v>
      </s:c>
      <s:c r="D319" s="0" t="n">
        <s:v>4064</s:v>
      </s:c>
      <s:c r="F319" s="24">
        <s:f>'자료구성'!$B$2+TIME(INT($C$3/10000),INT(MOD($C$3,10000)/100),MOD($C$3,100))+(ROW()-ROW($C$3))/86400</s:f>
        <s:v>46247.43446759259</s:v>
      </s:c>
    </s:row>
    <s:row r="320">
      <s:c r="A320" s="0" t="n">
        <s:v>260813</s:v>
      </s:c>
      <s:c r="B320" s="0" t="inlineStr">
        <s:is>
          <s:t>이종훈</s:t>
        </s:is>
      </s:c>
      <s:c r="C320" s="0" t="n">
        <s:v>102022</s:v>
      </s:c>
      <s:c r="D320" s="0" t="n">
        <s:v>4096</s:v>
      </s:c>
      <s:c r="F320" s="24">
        <s:f>'자료구성'!$B$2+TIME(INT($C$3/10000),INT(MOD($C$3,10000)/100),MOD($C$3,100))+(ROW()-ROW($C$3))/86400</s:f>
        <s:v>46247.434479166666</s:v>
      </s:c>
    </s:row>
    <s:row r="321">
      <s:c r="A321" s="0" t="n">
        <s:v>260813</s:v>
      </s:c>
      <s:c r="B321" s="0" t="inlineStr">
        <s:is>
          <s:t>이종훈</s:t>
        </s:is>
      </s:c>
      <s:c r="C321" s="0" t="n">
        <s:v>102022</s:v>
      </s:c>
      <s:c r="D321" s="0" t="n">
        <s:v>4172</s:v>
      </s:c>
      <s:c r="F321" s="24">
        <s:f>'자료구성'!$B$2+TIME(INT($C$3/10000),INT(MOD($C$3,10000)/100),MOD($C$3,100))+(ROW()-ROW($C$3))/86400</s:f>
        <s:v>46247.43449074074</s:v>
      </s:c>
    </s:row>
    <s:row r="322">
      <s:c r="A322" s="0" t="n">
        <s:v>260813</s:v>
      </s:c>
      <s:c r="B322" s="0" t="inlineStr">
        <s:is>
          <s:t>이종훈</s:t>
        </s:is>
      </s:c>
      <s:c r="C322" s="0" t="n">
        <s:v>102022</s:v>
      </s:c>
      <s:c r="D322" s="0" t="n">
        <s:v>4315</s:v>
      </s:c>
      <s:c r="F322" s="24">
        <s:f>'자료구성'!$B$2+TIME(INT($C$3/10000),INT(MOD($C$3,10000)/100),MOD($C$3,100))+(ROW()-ROW($C$3))/86400</s:f>
        <s:v>46247.43450231481</s:v>
      </s:c>
    </s:row>
    <s:row r="323">
      <s:c r="A323" s="0" t="n">
        <s:v>260813</s:v>
      </s:c>
      <s:c r="B323" s="0" t="inlineStr">
        <s:is>
          <s:t>이종훈</s:t>
        </s:is>
      </s:c>
      <s:c r="C323" s="0" t="n">
        <s:v>102022</s:v>
      </s:c>
      <s:c r="D323" s="0" t="n">
        <s:v>4479</s:v>
      </s:c>
      <s:c r="F323" s="24">
        <s:f>'자료구성'!$B$2+TIME(INT($C$3/10000),INT(MOD($C$3,10000)/100),MOD($C$3,100))+(ROW()-ROW($C$3))/86400</s:f>
        <s:v>46247.43451388889</s:v>
      </s:c>
    </s:row>
    <s:row r="324">
      <s:c r="A324" s="0" t="n">
        <s:v>260813</s:v>
      </s:c>
      <s:c r="B324" s="0" t="inlineStr">
        <s:is>
          <s:t>이종훈</s:t>
        </s:is>
      </s:c>
      <s:c r="C324" s="0" t="n">
        <s:v>102022</s:v>
      </s:c>
      <s:c r="D324" s="0" t="n">
        <s:v>4492</s:v>
      </s:c>
      <s:c r="F324" s="24">
        <s:f>'자료구성'!$B$2+TIME(INT($C$3/10000),INT(MOD($C$3,10000)/100),MOD($C$3,100))+(ROW()-ROW($C$3))/86400</s:f>
        <s:v>46247.434525462966</s:v>
      </s:c>
    </s:row>
    <s:row r="325">
      <s:c r="A325" s="0" t="n">
        <s:v>260813</s:v>
      </s:c>
      <s:c r="B325" s="0" t="inlineStr">
        <s:is>
          <s:t>이종훈</s:t>
        </s:is>
      </s:c>
      <s:c r="C325" s="0" t="n">
        <s:v>102022</s:v>
      </s:c>
      <s:c r="D325" s="0" t="n">
        <s:v>4518</s:v>
      </s:c>
      <s:c r="F325" s="24">
        <s:f>'자료구성'!$B$2+TIME(INT($C$3/10000),INT(MOD($C$3,10000)/100),MOD($C$3,100))+(ROW()-ROW($C$3))/86400</s:f>
        <s:v>46247.434537037036</s:v>
      </s:c>
    </s:row>
    <s:row r="326">
      <s:c r="A326" s="0" t="n">
        <s:v>260813</s:v>
      </s:c>
      <s:c r="B326" s="0" t="inlineStr">
        <s:is>
          <s:t>이종훈</s:t>
        </s:is>
      </s:c>
      <s:c r="C326" s="0" t="n">
        <s:v>102022</s:v>
      </s:c>
      <s:c r="D326" s="0" t="n">
        <s:v>4539</s:v>
      </s:c>
      <s:c r="F326" s="24">
        <s:f>'자료구성'!$B$2+TIME(INT($C$3/10000),INT(MOD($C$3,10000)/100),MOD($C$3,100))+(ROW()-ROW($C$3))/86400</s:f>
        <s:v>46247.43454861111</s:v>
      </s:c>
    </s:row>
    <s:row r="327">
      <s:c r="A327" s="0" t="n">
        <s:v>260813</s:v>
      </s:c>
      <s:c r="B327" s="0" t="inlineStr">
        <s:is>
          <s:t>이종훈</s:t>
        </s:is>
      </s:c>
      <s:c r="C327" s="0" t="n">
        <s:v>102022</s:v>
      </s:c>
      <s:c r="D327" s="0" t="n">
        <s:v>4219</s:v>
      </s:c>
      <s:c r="F327" s="24">
        <s:f>'자료구성'!$B$2+TIME(INT($C$3/10000),INT(MOD($C$3,10000)/100),MOD($C$3,100))+(ROW()-ROW($C$3))/86400</s:f>
        <s:v>46247.43456018518</s:v>
      </s:c>
    </s:row>
    <s:row r="328">
      <s:c r="A328" s="0" t="n">
        <s:v>260813</s:v>
      </s:c>
      <s:c r="B328" s="0" t="inlineStr">
        <s:is>
          <s:t>이종훈</s:t>
        </s:is>
      </s:c>
      <s:c r="C328" s="0" t="n">
        <s:v>102022</s:v>
      </s:c>
      <s:c r="D328" s="0" t="n">
        <s:v>4039</s:v>
      </s:c>
      <s:c r="F328" s="24">
        <s:f>'자료구성'!$B$2+TIME(INT($C$3/10000),INT(MOD($C$3,10000)/100),MOD($C$3,100))+(ROW()-ROW($C$3))/86400</s:f>
        <s:v>46247.43457175926</s:v>
      </s:c>
    </s:row>
    <s:row r="329">
      <s:c r="A329" s="0" t="n">
        <s:v>260813</s:v>
      </s:c>
      <s:c r="B329" s="0" t="inlineStr">
        <s:is>
          <s:t>이종훈</s:t>
        </s:is>
      </s:c>
      <s:c r="C329" s="0" t="n">
        <s:v>102022</s:v>
      </s:c>
      <s:c r="D329" s="0" t="n">
        <s:v>3874</s:v>
      </s:c>
      <s:c r="F329" s="24">
        <s:f>'자료구성'!$B$2+TIME(INT($C$3/10000),INT(MOD($C$3,10000)/100),MOD($C$3,100))+(ROW()-ROW($C$3))/86400</s:f>
        <s:v>46247.434583333335</s:v>
      </s:c>
    </s:row>
    <s:row r="330">
      <s:c r="A330" s="0" t="n">
        <s:v>260813</s:v>
      </s:c>
      <s:c r="B330" s="0" t="inlineStr">
        <s:is>
          <s:t>이종훈</s:t>
        </s:is>
      </s:c>
      <s:c r="C330" s="0" t="n">
        <s:v>102022</s:v>
      </s:c>
      <s:c r="D330" s="0" t="n">
        <s:v>3801</s:v>
      </s:c>
      <s:c r="F330" s="24">
        <s:f>'자료구성'!$B$2+TIME(INT($C$3/10000),INT(MOD($C$3,10000)/100),MOD($C$3,100))+(ROW()-ROW($C$3))/86400</s:f>
        <s:v>46247.434594907405</s:v>
      </s:c>
    </s:row>
    <s:row r="331">
      <s:c r="A331" s="0" t="n">
        <s:v>260813</s:v>
      </s:c>
      <s:c r="B331" s="0" t="inlineStr">
        <s:is>
          <s:t>이종훈</s:t>
        </s:is>
      </s:c>
      <s:c r="C331" s="0" t="n">
        <s:v>102022</s:v>
      </s:c>
      <s:c r="D331" s="0" t="n">
        <s:v>3843</s:v>
      </s:c>
      <s:c r="F331" s="24">
        <s:f>'자료구성'!$B$2+TIME(INT($C$3/10000),INT(MOD($C$3,10000)/100),MOD($C$3,100))+(ROW()-ROW($C$3))/86400</s:f>
        <s:v>46247.43460648148</s:v>
      </s:c>
    </s:row>
    <s:row r="332">
      <s:c r="A332" s="0" t="n">
        <s:v>260813</s:v>
      </s:c>
      <s:c r="B332" s="0" t="inlineStr">
        <s:is>
          <s:t>이종훈</s:t>
        </s:is>
      </s:c>
      <s:c r="C332" s="0" t="n">
        <s:v>102022</s:v>
      </s:c>
      <s:c r="D332" s="0" t="n">
        <s:v>3885</s:v>
      </s:c>
      <s:c r="F332" s="24">
        <s:f>'자료구성'!$B$2+TIME(INT($C$3/10000),INT(MOD($C$3,10000)/100),MOD($C$3,100))+(ROW()-ROW($C$3))/86400</s:f>
        <s:v>46247.43461805556</s:v>
      </s:c>
    </s:row>
    <s:row r="333">
      <s:c r="A333" s="0" t="n">
        <s:v>260813</s:v>
      </s:c>
      <s:c r="B333" s="0" t="inlineStr">
        <s:is>
          <s:t>이종훈</s:t>
        </s:is>
      </s:c>
      <s:c r="C333" s="0" t="n">
        <s:v>102022</s:v>
      </s:c>
      <s:c r="D333" s="0" t="n">
        <s:v>3960</s:v>
      </s:c>
      <s:c r="F333" s="24">
        <s:f>'자료구성'!$B$2+TIME(INT($C$3/10000),INT(MOD($C$3,10000)/100),MOD($C$3,100))+(ROW()-ROW($C$3))/86400</s:f>
        <s:v>46247.43462962963</s:v>
      </s:c>
    </s:row>
    <s:row r="334">
      <s:c r="A334" s="0" t="n">
        <s:v>260813</s:v>
      </s:c>
      <s:c r="B334" s="0" t="inlineStr">
        <s:is>
          <s:t>이종훈</s:t>
        </s:is>
      </s:c>
      <s:c r="C334" s="0" t="n">
        <s:v>102022</s:v>
      </s:c>
      <s:c r="D334" s="0" t="n">
        <s:v>3973</s:v>
      </s:c>
      <s:c r="F334" s="24">
        <s:f>'자료구성'!$B$2+TIME(INT($C$3/10000),INT(MOD($C$3,10000)/100),MOD($C$3,100))+(ROW()-ROW($C$3))/86400</s:f>
        <s:v>46247.434641203705</s:v>
      </s:c>
    </s:row>
    <s:row r="335">
      <s:c r="A335" s="0" t="n">
        <s:v>260813</s:v>
      </s:c>
      <s:c r="B335" s="0" t="inlineStr">
        <s:is>
          <s:t>이종훈</s:t>
        </s:is>
      </s:c>
      <s:c r="C335" s="0" t="n">
        <s:v>102022</s:v>
      </s:c>
      <s:c r="D335" s="0" t="n">
        <s:v>3920</s:v>
      </s:c>
      <s:c r="F335" s="24">
        <s:f>'자료구성'!$B$2+TIME(INT($C$3/10000),INT(MOD($C$3,10000)/100),MOD($C$3,100))+(ROW()-ROW($C$3))/86400</s:f>
        <s:v>46247.434652777774</s:v>
      </s:c>
    </s:row>
    <s:row r="336">
      <s:c r="A336" s="0" t="n">
        <s:v>260813</s:v>
      </s:c>
      <s:c r="B336" s="0" t="inlineStr">
        <s:is>
          <s:t>이종훈</s:t>
        </s:is>
      </s:c>
      <s:c r="C336" s="0" t="n">
        <s:v>102022</s:v>
      </s:c>
      <s:c r="D336" s="0" t="n">
        <s:v>3883</s:v>
      </s:c>
      <s:c r="F336" s="24">
        <s:f>'자료구성'!$B$2+TIME(INT($C$3/10000),INT(MOD($C$3,10000)/100),MOD($C$3,100))+(ROW()-ROW($C$3))/86400</s:f>
        <s:v>46247.43466435185</s:v>
      </s:c>
    </s:row>
    <s:row r="337">
      <s:c r="A337" s="0" t="n">
        <s:v>260813</s:v>
      </s:c>
      <s:c r="B337" s="0" t="inlineStr">
        <s:is>
          <s:t>이종훈</s:t>
        </s:is>
      </s:c>
      <s:c r="C337" s="0" t="n">
        <s:v>102022</s:v>
      </s:c>
      <s:c r="D337" s="0" t="n">
        <s:v>3906</s:v>
      </s:c>
      <s:c r="F337" s="24">
        <s:f>'자료구성'!$B$2+TIME(INT($C$3/10000),INT(MOD($C$3,10000)/100),MOD($C$3,100))+(ROW()-ROW($C$3))/86400</s:f>
        <s:v>46247.43467592593</s:v>
      </s:c>
    </s:row>
    <s:row r="338">
      <s:c r="A338" s="0" t="n">
        <s:v>260813</s:v>
      </s:c>
      <s:c r="B338" s="0" t="inlineStr">
        <s:is>
          <s:t>이종훈</s:t>
        </s:is>
      </s:c>
      <s:c r="C338" s="0" t="n">
        <s:v>102022</s:v>
      </s:c>
      <s:c r="D338" s="0" t="n">
        <s:v>3899</s:v>
      </s:c>
      <s:c r="F338" s="24">
        <s:f>'자료구성'!$B$2+TIME(INT($C$3/10000),INT(MOD($C$3,10000)/100),MOD($C$3,100))+(ROW()-ROW($C$3))/86400</s:f>
        <s:v>46247.4346875</s:v>
      </s:c>
    </s:row>
    <s:row r="339">
      <s:c r="A339" s="0" t="n">
        <s:v>260813</s:v>
      </s:c>
      <s:c r="B339" s="0" t="inlineStr">
        <s:is>
          <s:t>이종훈</s:t>
        </s:is>
      </s:c>
      <s:c r="C339" s="0" t="n">
        <s:v>102022</s:v>
      </s:c>
      <s:c r="D339" s="0" t="n">
        <s:v>3947</s:v>
      </s:c>
      <s:c r="F339" s="24">
        <s:f>'자료구성'!$B$2+TIME(INT($C$3/10000),INT(MOD($C$3,10000)/100),MOD($C$3,100))+(ROW()-ROW($C$3))/86400</s:f>
        <s:v>46247.434699074074</s:v>
      </s:c>
    </s:row>
    <s:row r="340">
      <s:c r="A340" s="0" t="n">
        <s:v>260813</s:v>
      </s:c>
      <s:c r="B340" s="0" t="inlineStr">
        <s:is>
          <s:t>이종훈</s:t>
        </s:is>
      </s:c>
      <s:c r="C340" s="0" t="n">
        <s:v>102022</s:v>
      </s:c>
      <s:c r="D340" s="0" t="n">
        <s:v>4005</s:v>
      </s:c>
      <s:c r="F340" s="24">
        <s:f>'자료구성'!$B$2+TIME(INT($C$3/10000),INT(MOD($C$3,10000)/100),MOD($C$3,100))+(ROW()-ROW($C$3))/86400</s:f>
        <s:v>46247.43471064815</s:v>
      </s:c>
    </s:row>
    <s:row r="341">
      <s:c r="A341" s="0" t="n">
        <s:v>260813</s:v>
      </s:c>
      <s:c r="B341" s="0" t="inlineStr">
        <s:is>
          <s:t>이종훈</s:t>
        </s:is>
      </s:c>
      <s:c r="C341" s="0" t="n">
        <s:v>102022</s:v>
      </s:c>
      <s:c r="D341" s="0" t="n">
        <s:v>4069</s:v>
      </s:c>
      <s:c r="F341" s="24">
        <s:f>'자료구성'!$B$2+TIME(INT($C$3/10000),INT(MOD($C$3,10000)/100),MOD($C$3,100))+(ROW()-ROW($C$3))/86400</s:f>
        <s:v>46247.43472222222</s:v>
      </s:c>
    </s:row>
    <s:row r="342">
      <s:c r="A342" s="0" t="n">
        <s:v>260813</s:v>
      </s:c>
      <s:c r="B342" s="0" t="inlineStr">
        <s:is>
          <s:t>이종훈</s:t>
        </s:is>
      </s:c>
      <s:c r="C342" s="0" t="n">
        <s:v>102022</s:v>
      </s:c>
      <s:c r="D342" s="0" t="n">
        <s:v>4113</s:v>
      </s:c>
      <s:c r="F342" s="24">
        <s:f>'자료구성'!$B$2+TIME(INT($C$3/10000),INT(MOD($C$3,10000)/100),MOD($C$3,100))+(ROW()-ROW($C$3))/86400</s:f>
        <s:v>46247.4347337963</s:v>
      </s:c>
    </s:row>
    <s:row r="343">
      <s:c r="A343" s="0" t="n">
        <s:v>260813</s:v>
      </s:c>
      <s:c r="B343" s="0" t="inlineStr">
        <s:is>
          <s:t>이종훈</s:t>
        </s:is>
      </s:c>
      <s:c r="C343" s="0" t="n">
        <s:v>102022</s:v>
      </s:c>
      <s:c r="D343" s="0" t="n">
        <s:v>4175</s:v>
      </s:c>
      <s:c r="F343" s="24">
        <s:f>'자료구성'!$B$2+TIME(INT($C$3/10000),INT(MOD($C$3,10000)/100),MOD($C$3,100))+(ROW()-ROW($C$3))/86400</s:f>
        <s:v>46247.434745370374</s:v>
      </s:c>
    </s:row>
    <s:row r="344">
      <s:c r="A344" s="0" t="n">
        <s:v>260813</s:v>
      </s:c>
      <s:c r="B344" s="0" t="inlineStr">
        <s:is>
          <s:t>이종훈</s:t>
        </s:is>
      </s:c>
      <s:c r="C344" s="0" t="n">
        <s:v>102022</s:v>
      </s:c>
      <s:c r="D344" s="0" t="n">
        <s:v>4189</s:v>
      </s:c>
      <s:c r="F344" s="24">
        <s:f>'자료구성'!$B$2+TIME(INT($C$3/10000),INT(MOD($C$3,10000)/100),MOD($C$3,100))+(ROW()-ROW($C$3))/86400</s:f>
        <s:v>46247.43475694444</s:v>
      </s:c>
    </s:row>
    <s:row r="345">
      <s:c r="A345" s="0" t="n">
        <s:v>260813</s:v>
      </s:c>
      <s:c r="B345" s="0" t="inlineStr">
        <s:is>
          <s:t>이종훈</s:t>
        </s:is>
      </s:c>
      <s:c r="C345" s="0" t="n">
        <s:v>102022</s:v>
      </s:c>
      <s:c r="D345" s="0" t="n">
        <s:v>4214</s:v>
      </s:c>
      <s:c r="F345" s="24">
        <s:f>'자료구성'!$B$2+TIME(INT($C$3/10000),INT(MOD($C$3,10000)/100),MOD($C$3,100))+(ROW()-ROW($C$3))/86400</s:f>
        <s:v>46247.43476851852</s:v>
      </s:c>
    </s:row>
    <s:row r="346">
      <s:c r="A346" s="0" t="n">
        <s:v>260813</s:v>
      </s:c>
      <s:c r="B346" s="0" t="inlineStr">
        <s:is>
          <s:t>이종훈</s:t>
        </s:is>
      </s:c>
      <s:c r="C346" s="0" t="n">
        <s:v>102022</s:v>
      </s:c>
      <s:c r="D346" s="0" t="n">
        <s:v>4191</s:v>
      </s:c>
      <s:c r="F346" s="24">
        <s:f>'자료구성'!$B$2+TIME(INT($C$3/10000),INT(MOD($C$3,10000)/100),MOD($C$3,100))+(ROW()-ROW($C$3))/86400</s:f>
        <s:v>46247.43478009259</s:v>
      </s:c>
    </s:row>
    <s:row r="347">
      <s:c r="A347" s="0" t="n">
        <s:v>260813</s:v>
      </s:c>
      <s:c r="B347" s="0" t="inlineStr">
        <s:is>
          <s:t>이종훈</s:t>
        </s:is>
      </s:c>
      <s:c r="C347" s="0" t="n">
        <s:v>102022</s:v>
      </s:c>
      <s:c r="D347" s="0" t="n">
        <s:v>4078</s:v>
      </s:c>
      <s:c r="F347" s="24">
        <s:f>'자료구성'!$B$2+TIME(INT($C$3/10000),INT(MOD($C$3,10000)/100),MOD($C$3,100))+(ROW()-ROW($C$3))/86400</s:f>
        <s:v>46247.43479166667</s:v>
      </s:c>
    </s:row>
    <s:row r="348">
      <s:c r="A348" s="0" t="n">
        <s:v>260813</s:v>
      </s:c>
      <s:c r="B348" s="0" t="inlineStr">
        <s:is>
          <s:t>이종훈</s:t>
        </s:is>
      </s:c>
      <s:c r="C348" s="0" t="n">
        <s:v>102022</s:v>
      </s:c>
      <s:c r="D348" s="0" t="n">
        <s:v>3934</s:v>
      </s:c>
      <s:c r="F348" s="24">
        <s:f>'자료구성'!$B$2+TIME(INT($C$3/10000),INT(MOD($C$3,10000)/100),MOD($C$3,100))+(ROW()-ROW($C$3))/86400</s:f>
        <s:v>46247.43480324074</s:v>
      </s:c>
    </s:row>
    <s:row r="349">
      <s:c r="A349" s="0" t="n">
        <s:v>260813</s:v>
      </s:c>
      <s:c r="B349" s="0" t="inlineStr">
        <s:is>
          <s:t>이종훈</s:t>
        </s:is>
      </s:c>
      <s:c r="C349" s="0" t="n">
        <s:v>102022</s:v>
      </s:c>
      <s:c r="D349" s="0" t="n">
        <s:v>3776</s:v>
      </s:c>
      <s:c r="F349" s="24">
        <s:f>'자료구성'!$B$2+TIME(INT($C$3/10000),INT(MOD($C$3,10000)/100),MOD($C$3,100))+(ROW()-ROW($C$3))/86400</s:f>
        <s:v>46247.43481481481</s:v>
      </s:c>
    </s:row>
    <s:row r="350">
      <s:c r="A350" s="0" t="n">
        <s:v>260813</s:v>
      </s:c>
      <s:c r="B350" s="0" t="inlineStr">
        <s:is>
          <s:t>이종훈</s:t>
        </s:is>
      </s:c>
      <s:c r="C350" s="0" t="n">
        <s:v>102022</s:v>
      </s:c>
      <s:c r="D350" s="0" t="n">
        <s:v>3662</s:v>
      </s:c>
      <s:c r="F350" s="24">
        <s:f>'자료구성'!$B$2+TIME(INT($C$3/10000),INT(MOD($C$3,10000)/100),MOD($C$3,100))+(ROW()-ROW($C$3))/86400</s:f>
        <s:v>46247.43482638889</s:v>
      </s:c>
    </s:row>
    <s:row r="351">
      <s:c r="A351" s="0" t="n">
        <s:v>260813</s:v>
      </s:c>
      <s:c r="B351" s="0" t="inlineStr">
        <s:is>
          <s:t>이종훈</s:t>
        </s:is>
      </s:c>
      <s:c r="C351" s="0" t="n">
        <s:v>102022</s:v>
      </s:c>
      <s:c r="D351" s="0" t="n">
        <s:v>3571</s:v>
      </s:c>
      <s:c r="F351" s="24">
        <s:f>'자료구성'!$B$2+TIME(INT($C$3/10000),INT(MOD($C$3,10000)/100),MOD($C$3,100))+(ROW()-ROW($C$3))/86400</s:f>
        <s:v>46247.43483796297</s:v>
      </s:c>
    </s:row>
    <s:row r="352">
      <s:c r="A352" s="0" t="n">
        <s:v>260813</s:v>
      </s:c>
      <s:c r="B352" s="0" t="inlineStr">
        <s:is>
          <s:t>이종훈</s:t>
        </s:is>
      </s:c>
      <s:c r="C352" s="0" t="n">
        <s:v>102022</s:v>
      </s:c>
      <s:c r="D352" s="0" t="n">
        <s:v>3492</s:v>
      </s:c>
      <s:c r="F352" s="24">
        <s:f>'자료구성'!$B$2+TIME(INT($C$3/10000),INT(MOD($C$3,10000)/100),MOD($C$3,100))+(ROW()-ROW($C$3))/86400</s:f>
        <s:v>46247.434849537036</s:v>
      </s:c>
    </s:row>
    <s:row r="353">
      <s:c r="A353" s="0" t="n">
        <s:v>260813</s:v>
      </s:c>
      <s:c r="B353" s="0" t="inlineStr">
        <s:is>
          <s:t>이종훈</s:t>
        </s:is>
      </s:c>
      <s:c r="C353" s="0" t="n">
        <s:v>102022</s:v>
      </s:c>
      <s:c r="D353" s="0" t="n">
        <s:v>3447</s:v>
      </s:c>
      <s:c r="F353" s="24">
        <s:f>'자료구성'!$B$2+TIME(INT($C$3/10000),INT(MOD($C$3,10000)/100),MOD($C$3,100))+(ROW()-ROW($C$3))/86400</s:f>
        <s:v>46247.43486111111</s:v>
      </s:c>
    </s:row>
    <s:row r="354">
      <s:c r="A354" s="0" t="n">
        <s:v>260813</s:v>
      </s:c>
      <s:c r="B354" s="0" t="inlineStr">
        <s:is>
          <s:t>이종훈</s:t>
        </s:is>
      </s:c>
      <s:c r="C354" s="0" t="n">
        <s:v>102022</s:v>
      </s:c>
      <s:c r="D354" s="0" t="n">
        <s:v>3419</s:v>
      </s:c>
      <s:c r="F354" s="24">
        <s:f>'자료구성'!$B$2+TIME(INT($C$3/10000),INT(MOD($C$3,10000)/100),MOD($C$3,100))+(ROW()-ROW($C$3))/86400</s:f>
        <s:v>46247.43487268518</s:v>
      </s:c>
    </s:row>
    <s:row r="355">
      <s:c r="A355" s="0" t="n">
        <s:v>260813</s:v>
      </s:c>
      <s:c r="B355" s="0" t="inlineStr">
        <s:is>
          <s:t>이종훈</s:t>
        </s:is>
      </s:c>
      <s:c r="C355" s="0" t="n">
        <s:v>102022</s:v>
      </s:c>
      <s:c r="D355" s="0" t="n">
        <s:v>3390</s:v>
      </s:c>
      <s:c r="F355" s="24">
        <s:f>'자료구성'!$B$2+TIME(INT($C$3/10000),INT(MOD($C$3,10000)/100),MOD($C$3,100))+(ROW()-ROW($C$3))/86400</s:f>
        <s:v>46247.43488425926</s:v>
      </s:c>
    </s:row>
    <s:row r="356">
      <s:c r="A356" s="0" t="n">
        <s:v>260813</s:v>
      </s:c>
      <s:c r="B356" s="0" t="inlineStr">
        <s:is>
          <s:t>이종훈</s:t>
        </s:is>
      </s:c>
      <s:c r="C356" s="0" t="n">
        <s:v>102022</s:v>
      </s:c>
      <s:c r="D356" s="0" t="n">
        <s:v>3388</s:v>
      </s:c>
      <s:c r="F356" s="24">
        <s:f>'자료구성'!$B$2+TIME(INT($C$3/10000),INT(MOD($C$3,10000)/100),MOD($C$3,100))+(ROW()-ROW($C$3))/86400</s:f>
        <s:v>46247.434895833336</s:v>
      </s:c>
    </s:row>
    <s:row r="357">
      <s:c r="A357" s="0" t="n">
        <s:v>260813</s:v>
      </s:c>
      <s:c r="B357" s="0" t="inlineStr">
        <s:is>
          <s:t>이종훈</s:t>
        </s:is>
      </s:c>
      <s:c r="C357" s="0" t="n">
        <s:v>102022</s:v>
      </s:c>
      <s:c r="D357" s="0" t="n">
        <s:v>3326</s:v>
      </s:c>
      <s:c r="F357" s="24">
        <s:f>'자료구성'!$B$2+TIME(INT($C$3/10000),INT(MOD($C$3,10000)/100),MOD($C$3,100))+(ROW()-ROW($C$3))/86400</s:f>
        <s:v>46247.434907407405</s:v>
      </s:c>
    </s:row>
    <s:row r="358">
      <s:c r="A358" s="0" t="n">
        <s:v>260813</s:v>
      </s:c>
      <s:c r="B358" s="0" t="inlineStr">
        <s:is>
          <s:t>이종훈</s:t>
        </s:is>
      </s:c>
      <s:c r="C358" s="0" t="n">
        <s:v>102022</s:v>
      </s:c>
      <s:c r="D358" s="0" t="n">
        <s:v>3244</s:v>
      </s:c>
      <s:c r="F358" s="24">
        <s:f>'자료구성'!$B$2+TIME(INT($C$3/10000),INT(MOD($C$3,10000)/100),MOD($C$3,100))+(ROW()-ROW($C$3))/86400</s:f>
        <s:v>46247.43491898148</s:v>
      </s:c>
    </s:row>
    <s:row r="359">
      <s:c r="A359" s="0" t="n">
        <s:v>260813</s:v>
      </s:c>
      <s:c r="B359" s="0" t="inlineStr">
        <s:is>
          <s:t>이종훈</s:t>
        </s:is>
      </s:c>
      <s:c r="C359" s="0" t="n">
        <s:v>102022</s:v>
      </s:c>
      <s:c r="D359" s="0" t="n">
        <s:v>3232</s:v>
      </s:c>
      <s:c r="F359" s="24">
        <s:f>'자료구성'!$B$2+TIME(INT($C$3/10000),INT(MOD($C$3,10000)/100),MOD($C$3,100))+(ROW()-ROW($C$3))/86400</s:f>
        <s:v>46247.43493055556</s:v>
      </s:c>
    </s:row>
    <s:row r="360">
      <s:c r="A360" s="0" t="n">
        <s:v>260813</s:v>
      </s:c>
      <s:c r="B360" s="0" t="inlineStr">
        <s:is>
          <s:t>이종훈</s:t>
        </s:is>
      </s:c>
      <s:c r="C360" s="0" t="n">
        <s:v>102022</s:v>
      </s:c>
      <s:c r="D360" s="0" t="n">
        <s:v>3201</s:v>
      </s:c>
      <s:c r="F360" s="24">
        <s:f>'자료구성'!$B$2+TIME(INT($C$3/10000),INT(MOD($C$3,10000)/100),MOD($C$3,100))+(ROW()-ROW($C$3))/86400</s:f>
        <s:v>46247.43494212963</s:v>
      </s:c>
    </s:row>
    <s:row r="361">
      <s:c r="A361" s="0" t="n">
        <s:v>260813</s:v>
      </s:c>
      <s:c r="B361" s="0" t="inlineStr">
        <s:is>
          <s:t>이종훈</s:t>
        </s:is>
      </s:c>
      <s:c r="C361" s="0" t="n">
        <s:v>102022</s:v>
      </s:c>
      <s:c r="D361" s="0" t="n">
        <s:v>3188</s:v>
      </s:c>
      <s:c r="F361" s="24">
        <s:f>'자료구성'!$B$2+TIME(INT($C$3/10000),INT(MOD($C$3,10000)/100),MOD($C$3,100))+(ROW()-ROW($C$3))/86400</s:f>
        <s:v>46247.434953703705</s:v>
      </s:c>
    </s:row>
    <s:row r="362">
      <s:c r="A362" s="0" t="n">
        <s:v>260813</s:v>
      </s:c>
      <s:c r="B362" s="0" t="inlineStr">
        <s:is>
          <s:t>이종훈</s:t>
        </s:is>
      </s:c>
      <s:c r="C362" s="0" t="n">
        <s:v>102022</s:v>
      </s:c>
      <s:c r="D362" s="0" t="n">
        <s:v>3148</s:v>
      </s:c>
      <s:c r="F362" s="24">
        <s:f>'자료구성'!$B$2+TIME(INT($C$3/10000),INT(MOD($C$3,10000)/100),MOD($C$3,100))+(ROW()-ROW($C$3))/86400</s:f>
        <s:v>46247.434965277775</s:v>
      </s:c>
    </s:row>
    <s:row r="363">
      <s:c r="A363" s="0" t="n">
        <s:v>260813</s:v>
      </s:c>
      <s:c r="B363" s="0" t="inlineStr">
        <s:is>
          <s:t>이종훈</s:t>
        </s:is>
      </s:c>
      <s:c r="C363" s="0" t="n">
        <s:v>102022</s:v>
      </s:c>
      <s:c r="D363" s="0" t="n">
        <s:v>3127</s:v>
      </s:c>
      <s:c r="F363" s="24">
        <s:f>'자료구성'!$B$2+TIME(INT($C$3/10000),INT(MOD($C$3,10000)/100),MOD($C$3,100))+(ROW()-ROW($C$3))/86400</s:f>
        <s:v>46247.43497685185</s:v>
      </s:c>
    </s:row>
    <s:row r="364">
      <s:c r="A364" s="0" t="n">
        <s:v>260813</s:v>
      </s:c>
      <s:c r="B364" s="0" t="inlineStr">
        <s:is>
          <s:t>이종훈</s:t>
        </s:is>
      </s:c>
      <s:c r="C364" s="0" t="n">
        <s:v>102022</s:v>
      </s:c>
      <s:c r="D364" s="0" t="n">
        <s:v>3067</s:v>
      </s:c>
      <s:c r="F364" s="24">
        <s:f>'자료구성'!$B$2+TIME(INT($C$3/10000),INT(MOD($C$3,10000)/100),MOD($C$3,100))+(ROW()-ROW($C$3))/86400</s:f>
        <s:v>46247.43498842593</s:v>
      </s:c>
    </s:row>
    <s:row r="365">
      <s:c r="A365" s="0" t="n">
        <s:v>260813</s:v>
      </s:c>
      <s:c r="B365" s="0" t="inlineStr">
        <s:is>
          <s:t>이종훈</s:t>
        </s:is>
      </s:c>
      <s:c r="C365" s="0" t="n">
        <s:v>102022</s:v>
      </s:c>
      <s:c r="D365" s="0" t="n">
        <s:v>3042</s:v>
      </s:c>
      <s:c r="F365" s="24">
        <s:f>'자료구성'!$B$2+TIME(INT($C$3/10000),INT(MOD($C$3,10000)/100),MOD($C$3,100))+(ROW()-ROW($C$3))/86400</s:f>
        <s:v>46247.435</s:v>
      </s:c>
    </s:row>
    <s:row r="366">
      <s:c r="A366" s="0" t="n">
        <s:v>260813</s:v>
      </s:c>
      <s:c r="B366" s="0" t="inlineStr">
        <s:is>
          <s:t>이종훈</s:t>
        </s:is>
      </s:c>
      <s:c r="C366" s="0" t="n">
        <s:v>102022</s:v>
      </s:c>
      <s:c r="D366" s="0" t="n">
        <s:v>2981</s:v>
      </s:c>
      <s:c r="F366" s="24">
        <s:f>'자료구성'!$B$2+TIME(INT($C$3/10000),INT(MOD($C$3,10000)/100),MOD($C$3,100))+(ROW()-ROW($C$3))/86400</s:f>
        <s:v>46247.435011574074</s:v>
      </s:c>
    </s:row>
    <s:row r="367">
      <s:c r="A367" s="0" t="n">
        <s:v>260813</s:v>
      </s:c>
      <s:c r="B367" s="0" t="inlineStr">
        <s:is>
          <s:t>이종훈</s:t>
        </s:is>
      </s:c>
      <s:c r="C367" s="0" t="n">
        <s:v>102022</s:v>
      </s:c>
      <s:c r="D367" s="0" t="n">
        <s:v>2912</s:v>
      </s:c>
      <s:c r="F367" s="24">
        <s:f>'자료구성'!$B$2+TIME(INT($C$3/10000),INT(MOD($C$3,10000)/100),MOD($C$3,100))+(ROW()-ROW($C$3))/86400</s:f>
        <s:v>46247.43502314815</s:v>
      </s:c>
    </s:row>
    <s:row r="368">
      <s:c r="A368" s="0" t="n">
        <s:v>260813</s:v>
      </s:c>
      <s:c r="B368" s="0" t="inlineStr">
        <s:is>
          <s:t>이종훈</s:t>
        </s:is>
      </s:c>
      <s:c r="C368" s="0" t="n">
        <s:v>102022</s:v>
      </s:c>
      <s:c r="D368" s="0" t="n">
        <s:v>2883</s:v>
      </s:c>
      <s:c r="F368" s="24">
        <s:f>'자료구성'!$B$2+TIME(INT($C$3/10000),INT(MOD($C$3,10000)/100),MOD($C$3,100))+(ROW()-ROW($C$3))/86400</s:f>
        <s:v>46247.43503472222</s:v>
      </s:c>
    </s:row>
    <s:row r="369">
      <s:c r="A369" s="0" t="n">
        <s:v>260813</s:v>
      </s:c>
      <s:c r="B369" s="0" t="inlineStr">
        <s:is>
          <s:t>이종훈</s:t>
        </s:is>
      </s:c>
      <s:c r="C369" s="0" t="n">
        <s:v>102022</s:v>
      </s:c>
      <s:c r="D369" s="0" t="n">
        <s:v>2869</s:v>
      </s:c>
      <s:c r="F369" s="24">
        <s:f>'자료구성'!$B$2+TIME(INT($C$3/10000),INT(MOD($C$3,10000)/100),MOD($C$3,100))+(ROW()-ROW($C$3))/86400</s:f>
        <s:v>46247.4350462963</s:v>
      </s:c>
    </s:row>
    <s:row r="370">
      <s:c r="A370" s="0" t="n">
        <s:v>260813</s:v>
      </s:c>
      <s:c r="B370" s="0" t="inlineStr">
        <s:is>
          <s:t>이종훈</s:t>
        </s:is>
      </s:c>
      <s:c r="C370" s="0" t="n">
        <s:v>102022</s:v>
      </s:c>
      <s:c r="D370" s="0" t="n">
        <s:v>2836</s:v>
      </s:c>
      <s:c r="F370" s="24">
        <s:f>'자료구성'!$B$2+TIME(INT($C$3/10000),INT(MOD($C$3,10000)/100),MOD($C$3,100))+(ROW()-ROW($C$3))/86400</s:f>
        <s:v>46247.43505787037</s:v>
      </s:c>
    </s:row>
    <s:row r="371">
      <s:c r="A371" s="0" t="n">
        <s:v>260813</s:v>
      </s:c>
      <s:c r="B371" s="0" t="inlineStr">
        <s:is>
          <s:t>이종훈</s:t>
        </s:is>
      </s:c>
      <s:c r="C371" s="0" t="n">
        <s:v>102022</s:v>
      </s:c>
      <s:c r="D371" s="0" t="n">
        <s:v>2827</s:v>
      </s:c>
      <s:c r="F371" s="24">
        <s:f>'자료구성'!$B$2+TIME(INT($C$3/10000),INT(MOD($C$3,10000)/100),MOD($C$3,100))+(ROW()-ROW($C$3))/86400</s:f>
        <s:v>46247.435069444444</s:v>
      </s:c>
    </s:row>
    <s:row r="372">
      <s:c r="A372" s="0" t="n">
        <s:v>260813</s:v>
      </s:c>
      <s:c r="B372" s="0" t="inlineStr">
        <s:is>
          <s:t>이종훈</s:t>
        </s:is>
      </s:c>
      <s:c r="C372" s="0" t="n">
        <s:v>102022</s:v>
      </s:c>
      <s:c r="D372" s="0" t="n">
        <s:v>2809</s:v>
      </s:c>
      <s:c r="F372" s="24">
        <s:f>'자료구성'!$B$2+TIME(INT($C$3/10000),INT(MOD($C$3,10000)/100),MOD($C$3,100))+(ROW()-ROW($C$3))/86400</s:f>
        <s:v>46247.43508101852</s:v>
      </s:c>
    </s:row>
    <s:row r="373">
      <s:c r="A373" s="0" t="n">
        <s:v>260813</s:v>
      </s:c>
      <s:c r="B373" s="0" t="inlineStr">
        <s:is>
          <s:t>이종훈</s:t>
        </s:is>
      </s:c>
      <s:c r="C373" s="0" t="n">
        <s:v>102022</s:v>
      </s:c>
      <s:c r="D373" s="0" t="n">
        <s:v>2782</s:v>
      </s:c>
      <s:c r="F373" s="24">
        <s:f>'자료구성'!$B$2+TIME(INT($C$3/10000),INT(MOD($C$3,10000)/100),MOD($C$3,100))+(ROW()-ROW($C$3))/86400</s:f>
        <s:v>46247.43509259259</s:v>
      </s:c>
    </s:row>
    <s:row r="374">
      <s:c r="A374" s="0" t="n">
        <s:v>260813</s:v>
      </s:c>
      <s:c r="B374" s="0" t="inlineStr">
        <s:is>
          <s:t>이종훈</s:t>
        </s:is>
      </s:c>
      <s:c r="C374" s="0" t="n">
        <s:v>102022</s:v>
      </s:c>
      <s:c r="D374" s="0" t="n">
        <s:v>2777</s:v>
      </s:c>
      <s:c r="F374" s="24">
        <s:f>'자료구성'!$B$2+TIME(INT($C$3/10000),INT(MOD($C$3,10000)/100),MOD($C$3,100))+(ROW()-ROW($C$3))/86400</s:f>
        <s:v>46247.43510416667</s:v>
      </s:c>
    </s:row>
    <s:row r="375">
      <s:c r="A375" s="0" t="n">
        <s:v>260813</s:v>
      </s:c>
      <s:c r="B375" s="0" t="inlineStr">
        <s:is>
          <s:t>이종훈</s:t>
        </s:is>
      </s:c>
      <s:c r="C375" s="0" t="n">
        <s:v>102022</s:v>
      </s:c>
      <s:c r="D375" s="0" t="n">
        <s:v>2786</s:v>
      </s:c>
      <s:c r="F375" s="24">
        <s:f>'자료구성'!$B$2+TIME(INT($C$3/10000),INT(MOD($C$3,10000)/100),MOD($C$3,100))+(ROW()-ROW($C$3))/86400</s:f>
        <s:v>46247.435115740744</s:v>
      </s:c>
    </s:row>
    <s:row r="376">
      <s:c r="A376" s="0" t="n">
        <s:v>260813</s:v>
      </s:c>
      <s:c r="B376" s="0" t="inlineStr">
        <s:is>
          <s:t>이종훈</s:t>
        </s:is>
      </s:c>
      <s:c r="C376" s="0" t="n">
        <s:v>102022</s:v>
      </s:c>
      <s:c r="D376" s="0" t="n">
        <s:v>2793</s:v>
      </s:c>
      <s:c r="F376" s="24">
        <s:f>'자료구성'!$B$2+TIME(INT($C$3/10000),INT(MOD($C$3,10000)/100),MOD($C$3,100))+(ROW()-ROW($C$3))/86400</s:f>
        <s:v>46247.43512731481</s:v>
      </s:c>
    </s:row>
    <s:row r="377">
      <s:c r="A377" s="0" t="n">
        <s:v>260813</s:v>
      </s:c>
      <s:c r="B377" s="0" t="inlineStr">
        <s:is>
          <s:t>이종훈</s:t>
        </s:is>
      </s:c>
      <s:c r="C377" s="0" t="n">
        <s:v>102022</s:v>
      </s:c>
      <s:c r="D377" s="0" t="n">
        <s:v>2818</s:v>
      </s:c>
      <s:c r="F377" s="24">
        <s:f>'자료구성'!$B$2+TIME(INT($C$3/10000),INT(MOD($C$3,10000)/100),MOD($C$3,100))+(ROW()-ROW($C$3))/86400</s:f>
        <s:v>46247.43513888889</s:v>
      </s:c>
    </s:row>
    <s:row r="378">
      <s:c r="A378" s="0" t="n">
        <s:v>260813</s:v>
      </s:c>
      <s:c r="B378" s="0" t="inlineStr">
        <s:is>
          <s:t>이종훈</s:t>
        </s:is>
      </s:c>
      <s:c r="C378" s="0" t="n">
        <s:v>102022</s:v>
      </s:c>
      <s:c r="D378" s="0" t="n">
        <s:v>2812</s:v>
      </s:c>
      <s:c r="F378" s="24">
        <s:f>'자료구성'!$B$2+TIME(INT($C$3/10000),INT(MOD($C$3,10000)/100),MOD($C$3,100))+(ROW()-ROW($C$3))/86400</s:f>
        <s:v>46247.43515046296</s:v>
      </s:c>
    </s:row>
    <s:row r="379">
      <s:c r="A379" s="0" t="n">
        <s:v>260813</s:v>
      </s:c>
      <s:c r="B379" s="0" t="inlineStr">
        <s:is>
          <s:t>이종훈</s:t>
        </s:is>
      </s:c>
      <s:c r="C379" s="0" t="n">
        <s:v>102022</s:v>
      </s:c>
      <s:c r="D379" s="0" t="n">
        <s:v>2786</s:v>
      </s:c>
      <s:c r="F379" s="24">
        <s:f>'자료구성'!$B$2+TIME(INT($C$3/10000),INT(MOD($C$3,10000)/100),MOD($C$3,100))+(ROW()-ROW($C$3))/86400</s:f>
        <s:v>46247.435162037036</s:v>
      </s:c>
    </s:row>
    <s:row r="380">
      <s:c r="A380" s="0" t="n">
        <s:v>260813</s:v>
      </s:c>
      <s:c r="B380" s="0" t="inlineStr">
        <s:is>
          <s:t>이종훈</s:t>
        </s:is>
      </s:c>
      <s:c r="C380" s="0" t="n">
        <s:v>102022</s:v>
      </s:c>
      <s:c r="D380" s="0" t="n">
        <s:v>2781</s:v>
      </s:c>
      <s:c r="F380" s="24">
        <s:f>'자료구성'!$B$2+TIME(INT($C$3/10000),INT(MOD($C$3,10000)/100),MOD($C$3,100))+(ROW()-ROW($C$3))/86400</s:f>
        <s:v>46247.43517361111</s:v>
      </s:c>
    </s:row>
    <s:row r="381">
      <s:c r="A381" s="0" t="n">
        <s:v>260813</s:v>
      </s:c>
      <s:c r="B381" s="0" t="inlineStr">
        <s:is>
          <s:t>이종훈</s:t>
        </s:is>
      </s:c>
      <s:c r="C381" s="0" t="n">
        <s:v>102022</s:v>
      </s:c>
      <s:c r="D381" s="0" t="n">
        <s:v>2807</s:v>
      </s:c>
      <s:c r="F381" s="24">
        <s:f>'자료구성'!$B$2+TIME(INT($C$3/10000),INT(MOD($C$3,10000)/100),MOD($C$3,100))+(ROW()-ROW($C$3))/86400</s:f>
        <s:v>46247.43518518518</s:v>
      </s:c>
    </s:row>
    <s:row r="382">
      <s:c r="A382" s="0" t="n">
        <s:v>260813</s:v>
      </s:c>
      <s:c r="B382" s="0" t="inlineStr">
        <s:is>
          <s:t>이종훈</s:t>
        </s:is>
      </s:c>
      <s:c r="C382" s="0" t="n">
        <s:v>102022</s:v>
      </s:c>
      <s:c r="D382" s="0" t="n">
        <s:v>2822</s:v>
      </s:c>
      <s:c r="F382" s="24">
        <s:f>'자료구성'!$B$2+TIME(INT($C$3/10000),INT(MOD($C$3,10000)/100),MOD($C$3,100))+(ROW()-ROW($C$3))/86400</s:f>
        <s:v>46247.43519675926</s:v>
      </s:c>
    </s:row>
    <s:row r="383">
      <s:c r="A383" s="0" t="n">
        <s:v>260813</s:v>
      </s:c>
      <s:c r="B383" s="0" t="inlineStr">
        <s:is>
          <s:t>이종훈</s:t>
        </s:is>
      </s:c>
      <s:c r="C383" s="0" t="n">
        <s:v>102022</s:v>
      </s:c>
      <s:c r="D383" s="0" t="n">
        <s:v>2846</s:v>
      </s:c>
      <s:c r="F383" s="24">
        <s:f>'자료구성'!$B$2+TIME(INT($C$3/10000),INT(MOD($C$3,10000)/100),MOD($C$3,100))+(ROW()-ROW($C$3))/86400</s:f>
        <s:v>46247.435208333336</s:v>
      </s:c>
    </s:row>
    <s:row r="384">
      <s:c r="A384" s="0" t="n">
        <s:v>260813</s:v>
      </s:c>
      <s:c r="B384" s="0" t="inlineStr">
        <s:is>
          <s:t>이종훈</s:t>
        </s:is>
      </s:c>
      <s:c r="C384" s="0" t="n">
        <s:v>102022</s:v>
      </s:c>
      <s:c r="D384" s="0" t="n">
        <s:v>2864</s:v>
      </s:c>
      <s:c r="F384" s="24">
        <s:f>'자료구성'!$B$2+TIME(INT($C$3/10000),INT(MOD($C$3,10000)/100),MOD($C$3,100))+(ROW()-ROW($C$3))/86400</s:f>
        <s:v>46247.435219907406</s:v>
      </s:c>
    </s:row>
    <s:row r="385">
      <s:c r="A385" s="0" t="n">
        <s:v>260813</s:v>
      </s:c>
      <s:c r="B385" s="0" t="inlineStr">
        <s:is>
          <s:t>이종훈</s:t>
        </s:is>
      </s:c>
      <s:c r="C385" s="0" t="n">
        <s:v>102022</s:v>
      </s:c>
      <s:c r="D385" s="0" t="n">
        <s:v>2846</s:v>
      </s:c>
      <s:c r="F385" s="24">
        <s:f>'자료구성'!$B$2+TIME(INT($C$3/10000),INT(MOD($C$3,10000)/100),MOD($C$3,100))+(ROW()-ROW($C$3))/86400</s:f>
        <s:v>46247.43523148148</s:v>
      </s:c>
    </s:row>
    <s:row r="386">
      <s:c r="A386" s="0" t="n">
        <s:v>260813</s:v>
      </s:c>
      <s:c r="B386" s="0" t="inlineStr">
        <s:is>
          <s:t>이종훈</s:t>
        </s:is>
      </s:c>
      <s:c r="C386" s="0" t="n">
        <s:v>102022</s:v>
      </s:c>
      <s:c r="D386" s="0" t="n">
        <s:v>2868</s:v>
      </s:c>
      <s:c r="F386" s="24">
        <s:f>'자료구성'!$B$2+TIME(INT($C$3/10000),INT(MOD($C$3,10000)/100),MOD($C$3,100))+(ROW()-ROW($C$3))/86400</s:f>
        <s:v>46247.43524305556</s:v>
      </s:c>
    </s:row>
    <s:row r="387">
      <s:c r="A387" s="0" t="n">
        <s:v>260813</s:v>
      </s:c>
      <s:c r="B387" s="0" t="inlineStr">
        <s:is>
          <s:t>이종훈</s:t>
        </s:is>
      </s:c>
      <s:c r="C387" s="0" t="n">
        <s:v>102022</s:v>
      </s:c>
      <s:c r="D387" s="0" t="n">
        <s:v>2865</s:v>
      </s:c>
      <s:c r="F387" s="24">
        <s:f>'자료구성'!$B$2+TIME(INT($C$3/10000),INT(MOD($C$3,10000)/100),MOD($C$3,100))+(ROW()-ROW($C$3))/86400</s:f>
        <s:v>46247.43525462963</s:v>
      </s:c>
    </s:row>
    <s:row r="388">
      <s:c r="A388" s="0" t="n">
        <s:v>260813</s:v>
      </s:c>
      <s:c r="B388" s="0" t="inlineStr">
        <s:is>
          <s:t>이종훈</s:t>
        </s:is>
      </s:c>
      <s:c r="C388" s="0" t="n">
        <s:v>102022</s:v>
      </s:c>
      <s:c r="D388" s="0" t="n">
        <s:v>2871</s:v>
      </s:c>
      <s:c r="F388" s="24">
        <s:f>'자료구성'!$B$2+TIME(INT($C$3/10000),INT(MOD($C$3,10000)/100),MOD($C$3,100))+(ROW()-ROW($C$3))/86400</s:f>
        <s:v>46247.435266203705</s:v>
      </s:c>
    </s:row>
    <s:row r="389">
      <s:c r="A389" s="0" t="n">
        <s:v>260813</s:v>
      </s:c>
      <s:c r="B389" s="0" t="inlineStr">
        <s:is>
          <s:t>이종훈</s:t>
        </s:is>
      </s:c>
      <s:c r="C389" s="0" t="n">
        <s:v>102022</s:v>
      </s:c>
      <s:c r="D389" s="0" t="n">
        <s:v>2838</s:v>
      </s:c>
      <s:c r="F389" s="24">
        <s:f>'자료구성'!$B$2+TIME(INT($C$3/10000),INT(MOD($C$3,10000)/100),MOD($C$3,100))+(ROW()-ROW($C$3))/86400</s:f>
        <s:v>46247.435277777775</s:v>
      </s:c>
    </s:row>
    <s:row r="390">
      <s:c r="A390" s="0" t="n">
        <s:v>260813</s:v>
      </s:c>
      <s:c r="B390" s="0" t="inlineStr">
        <s:is>
          <s:t>이종훈</s:t>
        </s:is>
      </s:c>
      <s:c r="C390" s="0" t="n">
        <s:v>102022</s:v>
      </s:c>
      <s:c r="D390" s="0" t="n">
        <s:v>2838</s:v>
      </s:c>
      <s:c r="F390" s="24">
        <s:f>'자료구성'!$B$2+TIME(INT($C$3/10000),INT(MOD($C$3,10000)/100),MOD($C$3,100))+(ROW()-ROW($C$3))/86400</s:f>
        <s:v>46247.43528935185</s:v>
      </s:c>
    </s:row>
    <s:row r="391">
      <s:c r="A391" s="0" t="n">
        <s:v>260813</s:v>
      </s:c>
      <s:c r="B391" s="0" t="inlineStr">
        <s:is>
          <s:t>이종훈</s:t>
        </s:is>
      </s:c>
      <s:c r="C391" s="0" t="n">
        <s:v>102022</s:v>
      </s:c>
      <s:c r="D391" s="0" t="n">
        <s:v>2839</s:v>
      </s:c>
      <s:c r="F391" s="24">
        <s:f>'자료구성'!$B$2+TIME(INT($C$3/10000),INT(MOD($C$3,10000)/100),MOD($C$3,100))+(ROW()-ROW($C$3))/86400</s:f>
        <s:v>46247.43530092593</s:v>
      </s:c>
    </s:row>
    <s:row r="392">
      <s:c r="A392" s="0" t="n">
        <s:v>260813</s:v>
      </s:c>
      <s:c r="B392" s="0" t="inlineStr">
        <s:is>
          <s:t>이종훈</s:t>
        </s:is>
      </s:c>
      <s:c r="C392" s="0" t="n">
        <s:v>102022</s:v>
      </s:c>
      <s:c r="D392" s="0" t="n">
        <s:v>2875</s:v>
      </s:c>
      <s:c r="F392" s="24">
        <s:f>'자료구성'!$B$2+TIME(INT($C$3/10000),INT(MOD($C$3,10000)/100),MOD($C$3,100))+(ROW()-ROW($C$3))/86400</s:f>
        <s:v>46247.4353125</s:v>
      </s:c>
    </s:row>
    <s:row r="393">
      <s:c r="A393" s="0" t="n">
        <s:v>260813</s:v>
      </s:c>
      <s:c r="B393" s="0" t="inlineStr">
        <s:is>
          <s:t>이종훈</s:t>
        </s:is>
      </s:c>
      <s:c r="C393" s="0" t="n">
        <s:v>102022</s:v>
      </s:c>
      <s:c r="D393" s="0" t="n">
        <s:v>2915</s:v>
      </s:c>
      <s:c r="F393" s="24">
        <s:f>'자료구성'!$B$2+TIME(INT($C$3/10000),INT(MOD($C$3,10000)/100),MOD($C$3,100))+(ROW()-ROW($C$3))/86400</s:f>
        <s:v>46247.435324074075</s:v>
      </s:c>
    </s:row>
    <s:row r="394">
      <s:c r="A394" s="0" t="n">
        <s:v>260813</s:v>
      </s:c>
      <s:c r="B394" s="0" t="inlineStr">
        <s:is>
          <s:t>이종훈</s:t>
        </s:is>
      </s:c>
      <s:c r="C394" s="0" t="n">
        <s:v>102022</s:v>
      </s:c>
      <s:c r="D394" s="0" t="n">
        <s:v>2954</s:v>
      </s:c>
      <s:c r="F394" s="24">
        <s:f>'자료구성'!$B$2+TIME(INT($C$3/10000),INT(MOD($C$3,10000)/100),MOD($C$3,100))+(ROW()-ROW($C$3))/86400</s:f>
        <s:v>46247.43533564815</s:v>
      </s:c>
    </s:row>
    <s:row r="395">
      <s:c r="A395" s="0" t="n">
        <s:v>260813</s:v>
      </s:c>
      <s:c r="B395" s="0" t="inlineStr">
        <s:is>
          <s:t>이종훈</s:t>
        </s:is>
      </s:c>
      <s:c r="C395" s="0" t="n">
        <s:v>102022</s:v>
      </s:c>
      <s:c r="D395" s="0" t="n">
        <s:v>2979</s:v>
      </s:c>
      <s:c r="F395" s="24">
        <s:f>'자료구성'!$B$2+TIME(INT($C$3/10000),INT(MOD($C$3,10000)/100),MOD($C$3,100))+(ROW()-ROW($C$3))/86400</s:f>
        <s:v>46247.43534722222</s:v>
      </s:c>
    </s:row>
    <s:row r="396">
      <s:c r="A396" s="0" t="n">
        <s:v>260813</s:v>
      </s:c>
      <s:c r="B396" s="0" t="inlineStr">
        <s:is>
          <s:t>이종훈</s:t>
        </s:is>
      </s:c>
      <s:c r="C396" s="0" t="n">
        <s:v>102022</s:v>
      </s:c>
      <s:c r="D396" s="0" t="n">
        <s:v>3016</s:v>
      </s:c>
      <s:c r="F396" s="24">
        <s:f>'자료구성'!$B$2+TIME(INT($C$3/10000),INT(MOD($C$3,10000)/100),MOD($C$3,100))+(ROW()-ROW($C$3))/86400</s:f>
        <s:v>46247.4353587963</s:v>
      </s:c>
    </s:row>
    <s:row r="397">
      <s:c r="A397" s="0" t="n">
        <s:v>260813</s:v>
      </s:c>
      <s:c r="B397" s="0" t="inlineStr">
        <s:is>
          <s:t>이종훈</s:t>
        </s:is>
      </s:c>
      <s:c r="C397" s="0" t="n">
        <s:v>102022</s:v>
      </s:c>
      <s:c r="D397" s="0" t="n">
        <s:v>3041</s:v>
      </s:c>
      <s:c r="F397" s="24">
        <s:f>'자료구성'!$B$2+TIME(INT($C$3/10000),INT(MOD($C$3,10000)/100),MOD($C$3,100))+(ROW()-ROW($C$3))/86400</s:f>
        <s:v>46247.43537037037</s:v>
      </s:c>
    </s:row>
    <s:row r="398">
      <s:c r="A398" s="0" t="n">
        <s:v>260813</s:v>
      </s:c>
      <s:c r="B398" s="0" t="inlineStr">
        <s:is>
          <s:t>이종훈</s:t>
        </s:is>
      </s:c>
      <s:c r="C398" s="0" t="n">
        <s:v>102022</s:v>
      </s:c>
      <s:c r="D398" s="0" t="n">
        <s:v>3131</s:v>
      </s:c>
      <s:c r="F398" s="24">
        <s:f>'자료구성'!$B$2+TIME(INT($C$3/10000),INT(MOD($C$3,10000)/100),MOD($C$3,100))+(ROW()-ROW($C$3))/86400</s:f>
        <s:v>46247.435381944444</s:v>
      </s:c>
    </s:row>
    <s:row r="399">
      <s:c r="A399" s="0" t="n">
        <s:v>260813</s:v>
      </s:c>
      <s:c r="B399" s="0" t="inlineStr">
        <s:is>
          <s:t>이종훈</s:t>
        </s:is>
      </s:c>
      <s:c r="C399" s="0" t="n">
        <s:v>102022</s:v>
      </s:c>
      <s:c r="D399" s="0" t="n">
        <s:v>3170</s:v>
      </s:c>
      <s:c r="F399" s="24">
        <s:f>'자료구성'!$B$2+TIME(INT($C$3/10000),INT(MOD($C$3,10000)/100),MOD($C$3,100))+(ROW()-ROW($C$3))/86400</s:f>
        <s:v>46247.43539351852</s:v>
      </s:c>
    </s:row>
    <s:row r="400">
      <s:c r="A400" s="0" t="n">
        <s:v>260813</s:v>
      </s:c>
      <s:c r="B400" s="0" t="inlineStr">
        <s:is>
          <s:t>이종훈</s:t>
        </s:is>
      </s:c>
      <s:c r="C400" s="0" t="n">
        <s:v>102022</s:v>
      </s:c>
      <s:c r="D400" s="0" t="n">
        <s:v>3137</s:v>
      </s:c>
      <s:c r="F400" s="24">
        <s:f>'자료구성'!$B$2+TIME(INT($C$3/10000),INT(MOD($C$3,10000)/100),MOD($C$3,100))+(ROW()-ROW($C$3))/86400</s:f>
        <s:v>46247.43540509259</s:v>
      </s:c>
    </s:row>
    <s:row r="401">
      <s:c r="A401" s="0" t="n">
        <s:v>260813</s:v>
      </s:c>
      <s:c r="B401" s="0" t="inlineStr">
        <s:is>
          <s:t>이종훈</s:t>
        </s:is>
      </s:c>
      <s:c r="C401" s="0" t="n">
        <s:v>102022</s:v>
      </s:c>
      <s:c r="D401" s="0" t="n">
        <s:v>3179</s:v>
      </s:c>
      <s:c r="F401" s="24">
        <s:f>'자료구성'!$B$2+TIME(INT($C$3/10000),INT(MOD($C$3,10000)/100),MOD($C$3,100))+(ROW()-ROW($C$3))/86400</s:f>
        <s:v>46247.43541666667</s:v>
      </s:c>
    </s:row>
    <s:row r="402">
      <s:c r="A402" s="0" t="n">
        <s:v>260813</s:v>
      </s:c>
      <s:c r="B402" s="0" t="inlineStr">
        <s:is>
          <s:t>이종훈</s:t>
        </s:is>
      </s:c>
      <s:c r="C402" s="0" t="n">
        <s:v>102022</s:v>
      </s:c>
      <s:c r="D402" s="0" t="n">
        <s:v>3172</s:v>
      </s:c>
      <s:c r="F402" s="24">
        <s:f>'자료구성'!$B$2+TIME(INT($C$3/10000),INT(MOD($C$3,10000)/100),MOD($C$3,100))+(ROW()-ROW($C$3))/86400</s:f>
        <s:v>46247.435428240744</s:v>
      </s:c>
    </s:row>
    <s:row r="403">
      <s:c r="A403" s="0" t="n">
        <s:v>260813</s:v>
      </s:c>
      <s:c r="B403" s="0" t="inlineStr">
        <s:is>
          <s:t>이종훈</s:t>
        </s:is>
      </s:c>
      <s:c r="C403" s="0" t="n">
        <s:v>102022</s:v>
      </s:c>
      <s:c r="D403" s="0" t="n">
        <s:v>3180</s:v>
      </s:c>
      <s:c r="F403" s="24">
        <s:f>'자료구성'!$B$2+TIME(INT($C$3/10000),INT(MOD($C$3,10000)/100),MOD($C$3,100))+(ROW()-ROW($C$3))/86400</s:f>
        <s:v>46247.43543981481</s:v>
      </s:c>
    </s:row>
    <s:row r="404">
      <s:c r="A404" s="0" t="n">
        <s:v>260813</s:v>
      </s:c>
      <s:c r="B404" s="0" t="inlineStr">
        <s:is>
          <s:t>이종훈</s:t>
        </s:is>
      </s:c>
      <s:c r="C404" s="0" t="n">
        <s:v>102022</s:v>
      </s:c>
      <s:c r="D404" s="0" t="n">
        <s:v>3216</s:v>
      </s:c>
      <s:c r="F404" s="24">
        <s:f>'자료구성'!$B$2+TIME(INT($C$3/10000),INT(MOD($C$3,10000)/100),MOD($C$3,100))+(ROW()-ROW($C$3))/86400</s:f>
        <s:v>46247.43545138889</s:v>
      </s:c>
    </s:row>
    <s:row r="405">
      <s:c r="A405" s="0" t="n">
        <s:v>260813</s:v>
      </s:c>
      <s:c r="B405" s="0" t="inlineStr">
        <s:is>
          <s:t>이종훈</s:t>
        </s:is>
      </s:c>
      <s:c r="C405" s="0" t="n">
        <s:v>102022</s:v>
      </s:c>
      <s:c r="D405" s="0" t="n">
        <s:v>3281</s:v>
      </s:c>
      <s:c r="F405" s="24">
        <s:f>'자료구성'!$B$2+TIME(INT($C$3/10000),INT(MOD($C$3,10000)/100),MOD($C$3,100))+(ROW()-ROW($C$3))/86400</s:f>
        <s:v>46247.43546296296</s:v>
      </s:c>
    </s:row>
    <s:row r="406">
      <s:c r="A406" s="0" t="n">
        <s:v>260813</s:v>
      </s:c>
      <s:c r="B406" s="0" t="inlineStr">
        <s:is>
          <s:t>이종훈</s:t>
        </s:is>
      </s:c>
      <s:c r="C406" s="0" t="n">
        <s:v>102022</s:v>
      </s:c>
      <s:c r="D406" s="0" t="n">
        <s:v>3331</s:v>
      </s:c>
      <s:c r="F406" s="24">
        <s:f>'자료구성'!$B$2+TIME(INT($C$3/10000),INT(MOD($C$3,10000)/100),MOD($C$3,100))+(ROW()-ROW($C$3))/86400</s:f>
        <s:v>46247.43547453704</s:v>
      </s:c>
    </s:row>
    <s:row r="407">
      <s:c r="A407" s="0" t="n">
        <s:v>260813</s:v>
      </s:c>
      <s:c r="B407" s="0" t="inlineStr">
        <s:is>
          <s:t>이종훈</s:t>
        </s:is>
      </s:c>
      <s:c r="C407" s="0" t="n">
        <s:v>102022</s:v>
      </s:c>
      <s:c r="D407" s="0" t="n">
        <s:v>3403</s:v>
      </s:c>
      <s:c r="F407" s="24">
        <s:f>'자료구성'!$B$2+TIME(INT($C$3/10000),INT(MOD($C$3,10000)/100),MOD($C$3,100))+(ROW()-ROW($C$3))/86400</s:f>
        <s:v>46247.43548611111</s:v>
      </s:c>
    </s:row>
    <s:row r="408">
      <s:c r="A408" s="0" t="n">
        <s:v>260813</s:v>
      </s:c>
      <s:c r="B408" s="0" t="inlineStr">
        <s:is>
          <s:t>이종훈</s:t>
        </s:is>
      </s:c>
      <s:c r="C408" s="0" t="n">
        <s:v>102022</s:v>
      </s:c>
      <s:c r="D408" s="0" t="n">
        <s:v>3491</s:v>
      </s:c>
      <s:c r="F408" s="24">
        <s:f>'자료구성'!$B$2+TIME(INT($C$3/10000),INT(MOD($C$3,10000)/100),MOD($C$3,100))+(ROW()-ROW($C$3))/86400</s:f>
        <s:v>46247.43549768518</s:v>
      </s:c>
    </s:row>
    <s:row r="409">
      <s:c r="A409" s="0" t="n">
        <s:v>260813</s:v>
      </s:c>
      <s:c r="B409" s="0" t="inlineStr">
        <s:is>
          <s:t>이종훈</s:t>
        </s:is>
      </s:c>
      <s:c r="C409" s="0" t="n">
        <s:v>102022</s:v>
      </s:c>
      <s:c r="D409" s="0" t="n">
        <s:v>3577</s:v>
      </s:c>
      <s:c r="F409" s="24">
        <s:f>'자료구성'!$B$2+TIME(INT($C$3/10000),INT(MOD($C$3,10000)/100),MOD($C$3,100))+(ROW()-ROW($C$3))/86400</s:f>
        <s:v>46247.43550925926</s:v>
      </s:c>
    </s:row>
    <s:row r="410">
      <s:c r="A410" s="0" t="n">
        <s:v>260813</s:v>
      </s:c>
      <s:c r="B410" s="0" t="inlineStr">
        <s:is>
          <s:t>이종훈</s:t>
        </s:is>
      </s:c>
      <s:c r="C410" s="0" t="n">
        <s:v>102022</s:v>
      </s:c>
      <s:c r="D410" s="0" t="n">
        <s:v>3666</s:v>
      </s:c>
      <s:c r="F410" s="24">
        <s:f>'자료구성'!$B$2+TIME(INT($C$3/10000),INT(MOD($C$3,10000)/100),MOD($C$3,100))+(ROW()-ROW($C$3))/86400</s:f>
        <s:v>46247.435520833336</s:v>
      </s:c>
    </s:row>
    <s:row r="411">
      <s:c r="A411" s="0" t="n">
        <s:v>260813</s:v>
      </s:c>
      <s:c r="B411" s="0" t="inlineStr">
        <s:is>
          <s:t>이종훈</s:t>
        </s:is>
      </s:c>
      <s:c r="C411" s="0" t="n">
        <s:v>102022</s:v>
      </s:c>
      <s:c r="D411" s="0" t="n">
        <s:v>3732</s:v>
      </s:c>
      <s:c r="F411" s="24">
        <s:f>'자료구성'!$B$2+TIME(INT($C$3/10000),INT(MOD($C$3,10000)/100),MOD($C$3,100))+(ROW()-ROW($C$3))/86400</s:f>
        <s:v>46247.435532407406</s:v>
      </s:c>
    </s:row>
    <s:row r="412">
      <s:c r="A412" s="0" t="n">
        <s:v>260813</s:v>
      </s:c>
      <s:c r="B412" s="0" t="inlineStr">
        <s:is>
          <s:t>이종훈</s:t>
        </s:is>
      </s:c>
      <s:c r="C412" s="0" t="n">
        <s:v>102022</s:v>
      </s:c>
      <s:c r="D412" s="0" t="n">
        <s:v>3799</s:v>
      </s:c>
      <s:c r="F412" s="24">
        <s:f>'자료구성'!$B$2+TIME(INT($C$3/10000),INT(MOD($C$3,10000)/100),MOD($C$3,100))+(ROW()-ROW($C$3))/86400</s:f>
        <s:v>46247.43554398148</s:v>
      </s:c>
    </s:row>
    <s:row r="413">
      <s:c r="A413" s="0" t="n">
        <s:v>260813</s:v>
      </s:c>
      <s:c r="B413" s="0" t="inlineStr">
        <s:is>
          <s:t>이종훈</s:t>
        </s:is>
      </s:c>
      <s:c r="C413" s="0" t="n">
        <s:v>102022</s:v>
      </s:c>
      <s:c r="D413" s="0" t="n">
        <s:v>3844</s:v>
      </s:c>
      <s:c r="F413" s="24">
        <s:f>'자료구성'!$B$2+TIME(INT($C$3/10000),INT(MOD($C$3,10000)/100),MOD($C$3,100))+(ROW()-ROW($C$3))/86400</s:f>
        <s:v>46247.43555555555</s:v>
      </s:c>
    </s:row>
    <s:row r="414">
      <s:c r="A414" s="0" t="n">
        <s:v>260813</s:v>
      </s:c>
      <s:c r="B414" s="0" t="inlineStr">
        <s:is>
          <s:t>이종훈</s:t>
        </s:is>
      </s:c>
      <s:c r="C414" s="0" t="n">
        <s:v>102022</s:v>
      </s:c>
      <s:c r="D414" s="0" t="n">
        <s:v>3896</s:v>
      </s:c>
      <s:c r="F414" s="24">
        <s:f>'자료구성'!$B$2+TIME(INT($C$3/10000),INT(MOD($C$3,10000)/100),MOD($C$3,100))+(ROW()-ROW($C$3))/86400</s:f>
        <s:v>46247.43556712963</s:v>
      </s:c>
    </s:row>
    <s:row r="415">
      <s:c r="A415" s="0" t="n">
        <s:v>260813</s:v>
      </s:c>
      <s:c r="B415" s="0" t="inlineStr">
        <s:is>
          <s:t>이종훈</s:t>
        </s:is>
      </s:c>
      <s:c r="C415" s="0" t="n">
        <s:v>102022</s:v>
      </s:c>
      <s:c r="D415" s="0" t="n">
        <s:v>3891</s:v>
      </s:c>
      <s:c r="F415" s="24">
        <s:f>'자료구성'!$B$2+TIME(INT($C$3/10000),INT(MOD($C$3,10000)/100),MOD($C$3,100))+(ROW()-ROW($C$3))/86400</s:f>
        <s:v>46247.435578703706</s:v>
      </s:c>
    </s:row>
    <s:row r="416">
      <s:c r="A416" s="0" t="n">
        <s:v>260813</s:v>
      </s:c>
      <s:c r="B416" s="0" t="inlineStr">
        <s:is>
          <s:t>이종훈</s:t>
        </s:is>
      </s:c>
      <s:c r="C416" s="0" t="n">
        <s:v>102022</s:v>
      </s:c>
      <s:c r="D416" s="0" t="n">
        <s:v>3873</s:v>
      </s:c>
      <s:c r="F416" s="24">
        <s:f>'자료구성'!$B$2+TIME(INT($C$3/10000),INT(MOD($C$3,10000)/100),MOD($C$3,100))+(ROW()-ROW($C$3))/86400</s:f>
        <s:v>46247.435590277775</s:v>
      </s:c>
    </s:row>
    <s:row r="417">
      <s:c r="A417" s="0" t="n">
        <s:v>260813</s:v>
      </s:c>
      <s:c r="B417" s="0" t="inlineStr">
        <s:is>
          <s:t>이종훈</s:t>
        </s:is>
      </s:c>
      <s:c r="C417" s="0" t="n">
        <s:v>102022</s:v>
      </s:c>
      <s:c r="D417" s="0" t="n">
        <s:v>3829</s:v>
      </s:c>
      <s:c r="F417" s="24">
        <s:f>'자료구성'!$B$2+TIME(INT($C$3/10000),INT(MOD($C$3,10000)/100),MOD($C$3,100))+(ROW()-ROW($C$3))/86400</s:f>
        <s:v>46247.43560185185</s:v>
      </s:c>
    </s:row>
    <s:row r="418">
      <s:c r="A418" s="0" t="n">
        <s:v>260813</s:v>
      </s:c>
      <s:c r="B418" s="0" t="inlineStr">
        <s:is>
          <s:t>이종훈</s:t>
        </s:is>
      </s:c>
      <s:c r="C418" s="0" t="n">
        <s:v>102022</s:v>
      </s:c>
      <s:c r="D418" s="0" t="n">
        <s:v>3804</s:v>
      </s:c>
      <s:c r="F418" s="24">
        <s:f>'자료구성'!$B$2+TIME(INT($C$3/10000),INT(MOD($C$3,10000)/100),MOD($C$3,100))+(ROW()-ROW($C$3))/86400</s:f>
        <s:v>46247.43561342593</s:v>
      </s:c>
    </s:row>
    <s:row r="419">
      <s:c r="A419" s="0" t="n">
        <s:v>260813</s:v>
      </s:c>
      <s:c r="B419" s="0" t="inlineStr">
        <s:is>
          <s:t>이종훈</s:t>
        </s:is>
      </s:c>
      <s:c r="C419" s="0" t="n">
        <s:v>102022</s:v>
      </s:c>
      <s:c r="D419" s="0" t="n">
        <s:v>3684</s:v>
      </s:c>
      <s:c r="F419" s="24">
        <s:f>'자료구성'!$B$2+TIME(INT($C$3/10000),INT(MOD($C$3,10000)/100),MOD($C$3,100))+(ROW()-ROW($C$3))/86400</s:f>
        <s:v>46247.435625</s:v>
      </s:c>
    </s:row>
    <s:row r="420">
      <s:c r="A420" s="0" t="n">
        <s:v>260813</s:v>
      </s:c>
      <s:c r="B420" s="0" t="inlineStr">
        <s:is>
          <s:t>이종훈</s:t>
        </s:is>
      </s:c>
      <s:c r="C420" s="0" t="n">
        <s:v>102022</s:v>
      </s:c>
      <s:c r="D420" s="0" t="n">
        <s:v>3568</s:v>
      </s:c>
      <s:c r="F420" s="24">
        <s:f>'자료구성'!$B$2+TIME(INT($C$3/10000),INT(MOD($C$3,10000)/100),MOD($C$3,100))+(ROW()-ROW($C$3))/86400</s:f>
        <s:v>46247.435636574075</s:v>
      </s:c>
    </s:row>
    <s:row r="421">
      <s:c r="A421" s="0" t="n">
        <s:v>260813</s:v>
      </s:c>
      <s:c r="B421" s="0" t="inlineStr">
        <s:is>
          <s:t>이종훈</s:t>
        </s:is>
      </s:c>
      <s:c r="C421" s="0" t="n">
        <s:v>102022</s:v>
      </s:c>
      <s:c r="D421" s="0" t="n">
        <s:v>3475</s:v>
      </s:c>
      <s:c r="F421" s="24">
        <s:f>'자료구성'!$B$2+TIME(INT($C$3/10000),INT(MOD($C$3,10000)/100),MOD($C$3,100))+(ROW()-ROW($C$3))/86400</s:f>
        <s:v>46247.435648148145</s:v>
      </s:c>
    </s:row>
    <s:row r="422">
      <s:c r="A422" s="0" t="n">
        <s:v>260813</s:v>
      </s:c>
      <s:c r="B422" s="0" t="inlineStr">
        <s:is>
          <s:t>이종훈</s:t>
        </s:is>
      </s:c>
      <s:c r="C422" s="0" t="n">
        <s:v>102022</s:v>
      </s:c>
      <s:c r="D422" s="0" t="n">
        <s:v>3380</s:v>
      </s:c>
      <s:c r="F422" s="24">
        <s:f>'자료구성'!$B$2+TIME(INT($C$3/10000),INT(MOD($C$3,10000)/100),MOD($C$3,100))+(ROW()-ROW($C$3))/86400</s:f>
        <s:v>46247.43565972222</s:v>
      </s:c>
    </s:row>
    <s:row r="423">
      <s:c r="A423" s="0" t="n">
        <s:v>260813</s:v>
      </s:c>
      <s:c r="B423" s="0" t="inlineStr">
        <s:is>
          <s:t>이종훈</s:t>
        </s:is>
      </s:c>
      <s:c r="C423" s="0" t="n">
        <s:v>102022</s:v>
      </s:c>
      <s:c r="D423" s="0" t="n">
        <s:v>3362</s:v>
      </s:c>
      <s:c r="F423" s="24">
        <s:f>'자료구성'!$B$2+TIME(INT($C$3/10000),INT(MOD($C$3,10000)/100),MOD($C$3,100))+(ROW()-ROW($C$3))/86400</s:f>
        <s:v>46247.4356712963</s:v>
      </s:c>
    </s:row>
    <s:row r="424">
      <s:c r="A424" s="0" t="n">
        <s:v>260813</s:v>
      </s:c>
      <s:c r="B424" s="0" t="inlineStr">
        <s:is>
          <s:t>이종훈</s:t>
        </s:is>
      </s:c>
      <s:c r="C424" s="0" t="n">
        <s:v>102022</s:v>
      </s:c>
      <s:c r="D424" s="0" t="n">
        <s:v>3299</s:v>
      </s:c>
      <s:c r="F424" s="24">
        <s:f>'자료구성'!$B$2+TIME(INT($C$3/10000),INT(MOD($C$3,10000)/100),MOD($C$3,100))+(ROW()-ROW($C$3))/86400</s:f>
        <s:v>46247.43568287037</s:v>
      </s:c>
    </s:row>
    <s:row r="425">
      <s:c r="A425" s="0" t="n">
        <s:v>260813</s:v>
      </s:c>
      <s:c r="B425" s="0" t="inlineStr">
        <s:is>
          <s:t>이종훈</s:t>
        </s:is>
      </s:c>
      <s:c r="C425" s="0" t="n">
        <s:v>102022</s:v>
      </s:c>
      <s:c r="D425" s="0" t="n">
        <s:v>3289</s:v>
      </s:c>
      <s:c r="F425" s="24">
        <s:f>'자료구성'!$B$2+TIME(INT($C$3/10000),INT(MOD($C$3,10000)/100),MOD($C$3,100))+(ROW()-ROW($C$3))/86400</s:f>
        <s:v>46247.435694444444</s:v>
      </s:c>
    </s:row>
    <s:row r="426">
      <s:c r="A426" s="0" t="n">
        <s:v>260813</s:v>
      </s:c>
      <s:c r="B426" s="0" t="inlineStr">
        <s:is>
          <s:t>이종훈</s:t>
        </s:is>
      </s:c>
      <s:c r="C426" s="0" t="n">
        <s:v>102022</s:v>
      </s:c>
      <s:c r="D426" s="0" t="n">
        <s:v>3246</s:v>
      </s:c>
      <s:c r="F426" s="24">
        <s:f>'자료구성'!$B$2+TIME(INT($C$3/10000),INT(MOD($C$3,10000)/100),MOD($C$3,100))+(ROW()-ROW($C$3))/86400</s:f>
        <s:v>46247.43570601852</s:v>
      </s:c>
    </s:row>
    <s:row r="427">
      <s:c r="A427" s="0" t="n">
        <s:v>260813</s:v>
      </s:c>
      <s:c r="B427" s="0" t="inlineStr">
        <s:is>
          <s:t>이종훈</s:t>
        </s:is>
      </s:c>
      <s:c r="C427" s="0" t="n">
        <s:v>102022</s:v>
      </s:c>
      <s:c r="D427" s="0" t="n">
        <s:v>3277</s:v>
      </s:c>
      <s:c r="F427" s="24">
        <s:f>'자료구성'!$B$2+TIME(INT($C$3/10000),INT(MOD($C$3,10000)/100),MOD($C$3,100))+(ROW()-ROW($C$3))/86400</s:f>
        <s:v>46247.43571759259</s:v>
      </s:c>
    </s:row>
    <s:row r="428">
      <s:c r="A428" s="0" t="n">
        <s:v>260813</s:v>
      </s:c>
      <s:c r="B428" s="0" t="inlineStr">
        <s:is>
          <s:t>이종훈</s:t>
        </s:is>
      </s:c>
      <s:c r="C428" s="0" t="n">
        <s:v>102022</s:v>
      </s:c>
      <s:c r="D428" s="0" t="n">
        <s:v>3330</s:v>
      </s:c>
      <s:c r="F428" s="24">
        <s:f>'자료구성'!$B$2+TIME(INT($C$3/10000),INT(MOD($C$3,10000)/100),MOD($C$3,100))+(ROW()-ROW($C$3))/86400</s:f>
        <s:v>46247.43572916667</s:v>
      </s:c>
    </s:row>
    <s:row r="429">
      <s:c r="A429" s="0" t="n">
        <s:v>260813</s:v>
      </s:c>
      <s:c r="B429" s="0" t="inlineStr">
        <s:is>
          <s:t>이종훈</s:t>
        </s:is>
      </s:c>
      <s:c r="C429" s="0" t="n">
        <s:v>102022</s:v>
      </s:c>
      <s:c r="D429" s="0" t="n">
        <s:v>3358</s:v>
      </s:c>
      <s:c r="F429" s="24">
        <s:f>'자료구성'!$B$2+TIME(INT($C$3/10000),INT(MOD($C$3,10000)/100),MOD($C$3,100))+(ROW()-ROW($C$3))/86400</s:f>
        <s:v>46247.435740740744</s:v>
      </s:c>
    </s:row>
    <s:row r="430">
      <s:c r="A430" s="0" t="n">
        <s:v>260813</s:v>
      </s:c>
      <s:c r="B430" s="0" t="inlineStr">
        <s:is>
          <s:t>이종훈</s:t>
        </s:is>
      </s:c>
      <s:c r="C430" s="0" t="n">
        <s:v>102022</s:v>
      </s:c>
      <s:c r="D430" s="0" t="n">
        <s:v>3414</s:v>
      </s:c>
      <s:c r="F430" s="24">
        <s:f>'자료구성'!$B$2+TIME(INT($C$3/10000),INT(MOD($C$3,10000)/100),MOD($C$3,100))+(ROW()-ROW($C$3))/86400</s:f>
        <s:v>46247.435752314814</s:v>
      </s:c>
    </s:row>
    <s:row r="431">
      <s:c r="A431" s="0" t="n">
        <s:v>260813</s:v>
      </s:c>
      <s:c r="B431" s="0" t="inlineStr">
        <s:is>
          <s:t>이종훈</s:t>
        </s:is>
      </s:c>
      <s:c r="C431" s="0" t="n">
        <s:v>102022</s:v>
      </s:c>
      <s:c r="D431" s="0" t="n">
        <s:v>3472</s:v>
      </s:c>
      <s:c r="F431" s="24">
        <s:f>'자료구성'!$B$2+TIME(INT($C$3/10000),INT(MOD($C$3,10000)/100),MOD($C$3,100))+(ROW()-ROW($C$3))/86400</s:f>
        <s:v>46247.43576388889</s:v>
      </s:c>
    </s:row>
    <s:row r="432">
      <s:c r="A432" s="0" t="n">
        <s:v>260813</s:v>
      </s:c>
      <s:c r="B432" s="0" t="inlineStr">
        <s:is>
          <s:t>이종훈</s:t>
        </s:is>
      </s:c>
      <s:c r="C432" s="0" t="n">
        <s:v>102022</s:v>
      </s:c>
      <s:c r="D432" s="0" t="n">
        <s:v>3577</s:v>
      </s:c>
      <s:c r="F432" s="24">
        <s:f>'자료구성'!$B$2+TIME(INT($C$3/10000),INT(MOD($C$3,10000)/100),MOD($C$3,100))+(ROW()-ROW($C$3))/86400</s:f>
        <s:v>46247.43577546296</s:v>
      </s:c>
    </s:row>
    <s:row r="433">
      <s:c r="A433" s="0" t="n">
        <s:v>260813</s:v>
      </s:c>
      <s:c r="B433" s="0" t="inlineStr">
        <s:is>
          <s:t>이종훈</s:t>
        </s:is>
      </s:c>
      <s:c r="C433" s="0" t="n">
        <s:v>102022</s:v>
      </s:c>
      <s:c r="D433" s="0" t="n">
        <s:v>3710</s:v>
      </s:c>
      <s:c r="F433" s="24">
        <s:f>'자료구성'!$B$2+TIME(INT($C$3/10000),INT(MOD($C$3,10000)/100),MOD($C$3,100))+(ROW()-ROW($C$3))/86400</s:f>
        <s:v>46247.43578703704</s:v>
      </s:c>
    </s:row>
    <s:row r="434">
      <s:c r="A434" s="0" t="n">
        <s:v>260813</s:v>
      </s:c>
      <s:c r="B434" s="0" t="inlineStr">
        <s:is>
          <s:t>이종훈</s:t>
        </s:is>
      </s:c>
      <s:c r="C434" s="0" t="n">
        <s:v>102022</s:v>
      </s:c>
      <s:c r="D434" s="0" t="n">
        <s:v>3794</s:v>
      </s:c>
      <s:c r="F434" s="24">
        <s:f>'자료구성'!$B$2+TIME(INT($C$3/10000),INT(MOD($C$3,10000)/100),MOD($C$3,100))+(ROW()-ROW($C$3))/86400</s:f>
        <s:v>46247.43579861111</s:v>
      </s:c>
    </s:row>
    <s:row r="435">
      <s:c r="A435" s="0" t="n">
        <s:v>260813</s:v>
      </s:c>
      <s:c r="B435" s="0" t="inlineStr">
        <s:is>
          <s:t>이종훈</s:t>
        </s:is>
      </s:c>
      <s:c r="C435" s="0" t="n">
        <s:v>102022</s:v>
      </s:c>
      <s:c r="D435" s="0" t="n">
        <s:v>3886</s:v>
      </s:c>
      <s:c r="F435" s="24">
        <s:f>'자료구성'!$B$2+TIME(INT($C$3/10000),INT(MOD($C$3,10000)/100),MOD($C$3,100))+(ROW()-ROW($C$3))/86400</s:f>
        <s:v>46247.43581018518</s:v>
      </s:c>
    </s:row>
    <s:row r="436">
      <s:c r="A436" s="0" t="n">
        <s:v>260813</s:v>
      </s:c>
      <s:c r="B436" s="0" t="inlineStr">
        <s:is>
          <s:t>이종훈</s:t>
        </s:is>
      </s:c>
      <s:c r="C436" s="0" t="n">
        <s:v>102022</s:v>
      </s:c>
      <s:c r="D436" s="0" t="n">
        <s:v>3947</s:v>
      </s:c>
      <s:c r="F436" s="24">
        <s:f>'자료구성'!$B$2+TIME(INT($C$3/10000),INT(MOD($C$3,10000)/100),MOD($C$3,100))+(ROW()-ROW($C$3))/86400</s:f>
        <s:v>46247.43582175926</s:v>
      </s:c>
    </s:row>
    <s:row r="437">
      <s:c r="A437" s="0" t="n">
        <s:v>260813</s:v>
      </s:c>
      <s:c r="B437" s="0" t="inlineStr">
        <s:is>
          <s:t>이종훈</s:t>
        </s:is>
      </s:c>
      <s:c r="C437" s="0" t="n">
        <s:v>102022</s:v>
      </s:c>
      <s:c r="D437" s="0" t="n">
        <s:v>3889</s:v>
      </s:c>
      <s:c r="F437" s="24">
        <s:f>'자료구성'!$B$2+TIME(INT($C$3/10000),INT(MOD($C$3,10000)/100),MOD($C$3,100))+(ROW()-ROW($C$3))/86400</s:f>
        <s:v>46247.43583333334</s:v>
      </s:c>
    </s:row>
    <s:row r="438">
      <s:c r="A438" s="0" t="n">
        <s:v>260813</s:v>
      </s:c>
      <s:c r="B438" s="0" t="inlineStr">
        <s:is>
          <s:t>이종훈</s:t>
        </s:is>
      </s:c>
      <s:c r="C438" s="0" t="n">
        <s:v>102022</s:v>
      </s:c>
      <s:c r="D438" s="0" t="n">
        <s:v>3808</s:v>
      </s:c>
      <s:c r="F438" s="24">
        <s:f>'자료구성'!$B$2+TIME(INT($C$3/10000),INT(MOD($C$3,10000)/100),MOD($C$3,100))+(ROW()-ROW($C$3))/86400</s:f>
        <s:v>46247.435844907406</s:v>
      </s:c>
    </s:row>
    <s:row r="439">
      <s:c r="A439" s="0" t="n">
        <s:v>260813</s:v>
      </s:c>
      <s:c r="B439" s="0" t="inlineStr">
        <s:is>
          <s:t>이종훈</s:t>
        </s:is>
      </s:c>
      <s:c r="C439" s="0" t="n">
        <s:v>102022</s:v>
      </s:c>
      <s:c r="D439" s="0" t="n">
        <s:v>3757</s:v>
      </s:c>
      <s:c r="F439" s="24">
        <s:f>'자료구성'!$B$2+TIME(INT($C$3/10000),INT(MOD($C$3,10000)/100),MOD($C$3,100))+(ROW()-ROW($C$3))/86400</s:f>
        <s:v>46247.43585648148</s:v>
      </s:c>
    </s:row>
    <s:row r="440">
      <s:c r="A440" s="0" t="n">
        <s:v>260813</s:v>
      </s:c>
      <s:c r="B440" s="0" t="inlineStr">
        <s:is>
          <s:t>이종훈</s:t>
        </s:is>
      </s:c>
      <s:c r="C440" s="0" t="n">
        <s:v>102022</s:v>
      </s:c>
      <s:c r="D440" s="0" t="n">
        <s:v>3720</s:v>
      </s:c>
      <s:c r="F440" s="24">
        <s:f>'자료구성'!$B$2+TIME(INT($C$3/10000),INT(MOD($C$3,10000)/100),MOD($C$3,100))+(ROW()-ROW($C$3))/86400</s:f>
        <s:v>46247.43586805555</s:v>
      </s:c>
    </s:row>
    <s:row r="441">
      <s:c r="A441" s="0" t="n">
        <s:v>260813</s:v>
      </s:c>
      <s:c r="B441" s="0" t="inlineStr">
        <s:is>
          <s:t>이종훈</s:t>
        </s:is>
      </s:c>
      <s:c r="C441" s="0" t="n">
        <s:v>102022</s:v>
      </s:c>
      <s:c r="D441" s="0" t="n">
        <s:v>3680</s:v>
      </s:c>
      <s:c r="F441" s="24">
        <s:f>'자료구성'!$B$2+TIME(INT($C$3/10000),INT(MOD($C$3,10000)/100),MOD($C$3,100))+(ROW()-ROW($C$3))/86400</s:f>
        <s:v>46247.43587962963</s:v>
      </s:c>
    </s:row>
    <s:row r="442">
      <s:c r="A442" s="0" t="n">
        <s:v>260813</s:v>
      </s:c>
      <s:c r="B442" s="0" t="inlineStr">
        <s:is>
          <s:t>이종훈</s:t>
        </s:is>
      </s:c>
      <s:c r="C442" s="0" t="n">
        <s:v>102022</s:v>
      </s:c>
      <s:c r="D442" s="0" t="n">
        <s:v>3626</s:v>
      </s:c>
      <s:c r="F442" s="24">
        <s:f>'자료구성'!$B$2+TIME(INT($C$3/10000),INT(MOD($C$3,10000)/100),MOD($C$3,100))+(ROW()-ROW($C$3))/86400</s:f>
        <s:v>46247.435891203706</s:v>
      </s:c>
    </s:row>
    <s:row r="443">
      <s:c r="A443" s="0" t="n">
        <s:v>260813</s:v>
      </s:c>
      <s:c r="B443" s="0" t="inlineStr">
        <s:is>
          <s:t>이종훈</s:t>
        </s:is>
      </s:c>
      <s:c r="C443" s="0" t="n">
        <s:v>102022</s:v>
      </s:c>
      <s:c r="D443" s="0" t="n">
        <s:v>3575</s:v>
      </s:c>
      <s:c r="F443" s="24">
        <s:f>'자료구성'!$B$2+TIME(INT($C$3/10000),INT(MOD($C$3,10000)/100),MOD($C$3,100))+(ROW()-ROW($C$3))/86400</s:f>
        <s:v>46247.435902777775</s:v>
      </s:c>
    </s:row>
    <s:row r="444">
      <s:c r="A444" s="0" t="n">
        <s:v>260813</s:v>
      </s:c>
      <s:c r="B444" s="0" t="inlineStr">
        <s:is>
          <s:t>이종훈</s:t>
        </s:is>
      </s:c>
      <s:c r="C444" s="0" t="n">
        <s:v>102022</s:v>
      </s:c>
      <s:c r="D444" s="0" t="n">
        <s:v>3515</s:v>
      </s:c>
      <s:c r="F444" s="24">
        <s:f>'자료구성'!$B$2+TIME(INT($C$3/10000),INT(MOD($C$3,10000)/100),MOD($C$3,100))+(ROW()-ROW($C$3))/86400</s:f>
        <s:v>46247.43591435185</s:v>
      </s:c>
    </s:row>
    <s:row r="445">
      <s:c r="A445" s="0" t="n">
        <s:v>260813</s:v>
      </s:c>
      <s:c r="B445" s="0" t="inlineStr">
        <s:is>
          <s:t>이종훈</s:t>
        </s:is>
      </s:c>
      <s:c r="C445" s="0" t="n">
        <s:v>102022</s:v>
      </s:c>
      <s:c r="D445" s="0" t="n">
        <s:v>3437</s:v>
      </s:c>
      <s:c r="F445" s="24">
        <s:f>'자료구성'!$B$2+TIME(INT($C$3/10000),INT(MOD($C$3,10000)/100),MOD($C$3,100))+(ROW()-ROW($C$3))/86400</s:f>
        <s:v>46247.43592592593</s:v>
      </s:c>
    </s:row>
    <s:row r="446">
      <s:c r="A446" s="0" t="n">
        <s:v>260813</s:v>
      </s:c>
      <s:c r="B446" s="0" t="inlineStr">
        <s:is>
          <s:t>이종훈</s:t>
        </s:is>
      </s:c>
      <s:c r="C446" s="0" t="n">
        <s:v>102022</s:v>
      </s:c>
      <s:c r="D446" s="0" t="n">
        <s:v>3430</s:v>
      </s:c>
      <s:c r="F446" s="24">
        <s:f>'자료구성'!$B$2+TIME(INT($C$3/10000),INT(MOD($C$3,10000)/100),MOD($C$3,100))+(ROW()-ROW($C$3))/86400</s:f>
        <s:v>46247.4359375</s:v>
      </s:c>
    </s:row>
    <s:row r="447">
      <s:c r="A447" s="0" t="n">
        <s:v>260813</s:v>
      </s:c>
      <s:c r="B447" s="0" t="inlineStr">
        <s:is>
          <s:t>이종훈</s:t>
        </s:is>
      </s:c>
      <s:c r="C447" s="0" t="n">
        <s:v>102022</s:v>
      </s:c>
      <s:c r="D447" s="0" t="n">
        <s:v>3438</s:v>
      </s:c>
      <s:c r="F447" s="24">
        <s:f>'자료구성'!$B$2+TIME(INT($C$3/10000),INT(MOD($C$3,10000)/100),MOD($C$3,100))+(ROW()-ROW($C$3))/86400</s:f>
        <s:v>46247.435949074075</s:v>
      </s:c>
    </s:row>
    <s:row r="448">
      <s:c r="A448" s="0" t="n">
        <s:v>260813</s:v>
      </s:c>
      <s:c r="B448" s="0" t="inlineStr">
        <s:is>
          <s:t>이종훈</s:t>
        </s:is>
      </s:c>
      <s:c r="C448" s="0" t="n">
        <s:v>102022</s:v>
      </s:c>
      <s:c r="D448" s="0" t="n">
        <s:v>3438</s:v>
      </s:c>
      <s:c r="F448" s="24">
        <s:f>'자료구성'!$B$2+TIME(INT($C$3/10000),INT(MOD($C$3,10000)/100),MOD($C$3,100))+(ROW()-ROW($C$3))/86400</s:f>
        <s:v>46247.435960648145</s:v>
      </s:c>
    </s:row>
    <s:row r="449">
      <s:c r="A449" s="0" t="n">
        <s:v>260813</s:v>
      </s:c>
      <s:c r="B449" s="0" t="inlineStr">
        <s:is>
          <s:t>이종훈</s:t>
        </s:is>
      </s:c>
      <s:c r="C449" s="0" t="n">
        <s:v>102022</s:v>
      </s:c>
      <s:c r="D449" s="0" t="n">
        <s:v>3434</s:v>
      </s:c>
      <s:c r="F449" s="24">
        <s:f>'자료구성'!$B$2+TIME(INT($C$3/10000),INT(MOD($C$3,10000)/100),MOD($C$3,100))+(ROW()-ROW($C$3))/86400</s:f>
        <s:v>46247.43597222222</s:v>
      </s:c>
    </s:row>
    <s:row r="450">
      <s:c r="A450" s="0" t="n">
        <s:v>260813</s:v>
      </s:c>
      <s:c r="B450" s="0" t="inlineStr">
        <s:is>
          <s:t>이종훈</s:t>
        </s:is>
      </s:c>
      <s:c r="C450" s="0" t="n">
        <s:v>102022</s:v>
      </s:c>
      <s:c r="D450" s="0" t="n">
        <s:v>3503</s:v>
      </s:c>
      <s:c r="F450" s="24">
        <s:f>'자료구성'!$B$2+TIME(INT($C$3/10000),INT(MOD($C$3,10000)/100),MOD($C$3,100))+(ROW()-ROW($C$3))/86400</s:f>
        <s:v>46247.4359837963</s:v>
      </s:c>
    </s:row>
    <s:row r="451">
      <s:c r="A451" s="0" t="n">
        <s:v>260813</s:v>
      </s:c>
      <s:c r="B451" s="0" t="inlineStr">
        <s:is>
          <s:t>이종훈</s:t>
        </s:is>
      </s:c>
      <s:c r="C451" s="0" t="n">
        <s:v>102022</s:v>
      </s:c>
      <s:c r="D451" s="0" t="n">
        <s:v>3546</s:v>
      </s:c>
      <s:c r="F451" s="24">
        <s:f>'자료구성'!$B$2+TIME(INT($C$3/10000),INT(MOD($C$3,10000)/100),MOD($C$3,100))+(ROW()-ROW($C$3))/86400</s:f>
        <s:v>46247.43599537037</s:v>
      </s:c>
    </s:row>
    <s:row r="452">
      <s:c r="A452" s="0" t="n">
        <s:v>260813</s:v>
      </s:c>
      <s:c r="B452" s="0" t="inlineStr">
        <s:is>
          <s:t>이종훈</s:t>
        </s:is>
      </s:c>
      <s:c r="C452" s="0" t="n">
        <s:v>102022</s:v>
      </s:c>
      <s:c r="D452" s="0" t="n">
        <s:v>3578</s:v>
      </s:c>
      <s:c r="F452" s="24">
        <s:f>'자료구성'!$B$2+TIME(INT($C$3/10000),INT(MOD($C$3,10000)/100),MOD($C$3,100))+(ROW()-ROW($C$3))/86400</s:f>
        <s:v>46247.436006944445</s:v>
      </s:c>
    </s:row>
    <s:row r="453">
      <s:c r="A453" s="0" t="n">
        <s:v>260813</s:v>
      </s:c>
      <s:c r="B453" s="0" t="inlineStr">
        <s:is>
          <s:t>이종훈</s:t>
        </s:is>
      </s:c>
      <s:c r="C453" s="0" t="n">
        <s:v>102022</s:v>
      </s:c>
      <s:c r="D453" s="0" t="n">
        <s:v>3599</s:v>
      </s:c>
      <s:c r="F453" s="24">
        <s:f>'자료구성'!$B$2+TIME(INT($C$3/10000),INT(MOD($C$3,10000)/100),MOD($C$3,100))+(ROW()-ROW($C$3))/86400</s:f>
        <s:v>46247.43601851852</s:v>
      </s:c>
    </s:row>
    <s:row r="454">
      <s:c r="A454" s="0" t="n">
        <s:v>260813</s:v>
      </s:c>
      <s:c r="B454" s="0" t="inlineStr">
        <s:is>
          <s:t>이종훈</s:t>
        </s:is>
      </s:c>
      <s:c r="C454" s="0" t="n">
        <s:v>102022</s:v>
      </s:c>
      <s:c r="D454" s="0" t="n">
        <s:v>3547</s:v>
      </s:c>
      <s:c r="F454" s="24">
        <s:f>'자료구성'!$B$2+TIME(INT($C$3/10000),INT(MOD($C$3,10000)/100),MOD($C$3,100))+(ROW()-ROW($C$3))/86400</s:f>
        <s:v>46247.43603009259</s:v>
      </s:c>
    </s:row>
    <s:row r="455">
      <s:c r="A455" s="0" t="n">
        <s:v>260813</s:v>
      </s:c>
      <s:c r="B455" s="0" t="inlineStr">
        <s:is>
          <s:t>이종훈</s:t>
        </s:is>
      </s:c>
      <s:c r="C455" s="0" t="n">
        <s:v>102022</s:v>
      </s:c>
      <s:c r="D455" s="0" t="n">
        <s:v>3487</s:v>
      </s:c>
      <s:c r="F455" s="24">
        <s:f>'자료구성'!$B$2+TIME(INT($C$3/10000),INT(MOD($C$3,10000)/100),MOD($C$3,100))+(ROW()-ROW($C$3))/86400</s:f>
        <s:v>46247.43604166667</s:v>
      </s:c>
    </s:row>
    <s:row r="456">
      <s:c r="A456" s="0" t="n">
        <s:v>260813</s:v>
      </s:c>
      <s:c r="B456" s="0" t="inlineStr">
        <s:is>
          <s:t>이종훈</s:t>
        </s:is>
      </s:c>
      <s:c r="C456" s="0" t="n">
        <s:v>102022</s:v>
      </s:c>
      <s:c r="D456" s="0" t="n">
        <s:v>3462</s:v>
      </s:c>
      <s:c r="F456" s="24">
        <s:f>'자료구성'!$B$2+TIME(INT($C$3/10000),INT(MOD($C$3,10000)/100),MOD($C$3,100))+(ROW()-ROW($C$3))/86400</s:f>
        <s:v>46247.43605324074</s:v>
      </s:c>
    </s:row>
    <s:row r="457">
      <s:c r="A457" s="0" t="n">
        <s:v>260813</s:v>
      </s:c>
      <s:c r="B457" s="0" t="inlineStr">
        <s:is>
          <s:t>이종훈</s:t>
        </s:is>
      </s:c>
      <s:c r="C457" s="0" t="n">
        <s:v>102022</s:v>
      </s:c>
      <s:c r="D457" s="0" t="n">
        <s:v>3404</s:v>
      </s:c>
      <s:c r="F457" s="24">
        <s:f>'자료구성'!$B$2+TIME(INT($C$3/10000),INT(MOD($C$3,10000)/100),MOD($C$3,100))+(ROW()-ROW($C$3))/86400</s:f>
        <s:v>46247.436064814814</s:v>
      </s:c>
    </s:row>
    <s:row r="458">
      <s:c r="A458" s="0" t="n">
        <s:v>260813</s:v>
      </s:c>
      <s:c r="B458" s="0" t="inlineStr">
        <s:is>
          <s:t>이종훈</s:t>
        </s:is>
      </s:c>
      <s:c r="C458" s="0" t="n">
        <s:v>102022</s:v>
      </s:c>
      <s:c r="D458" s="0" t="n">
        <s:v>3347</s:v>
      </s:c>
      <s:c r="F458" s="24">
        <s:f>'자료구성'!$B$2+TIME(INT($C$3/10000),INT(MOD($C$3,10000)/100),MOD($C$3,100))+(ROW()-ROW($C$3))/86400</s:f>
        <s:v>46247.43607638889</s:v>
      </s:c>
    </s:row>
    <s:row r="459">
      <s:c r="A459" s="0" t="n">
        <s:v>260813</s:v>
      </s:c>
      <s:c r="B459" s="0" t="inlineStr">
        <s:is>
          <s:t>이종훈</s:t>
        </s:is>
      </s:c>
      <s:c r="C459" s="0" t="n">
        <s:v>102022</s:v>
      </s:c>
      <s:c r="D459" s="0" t="n">
        <s:v>3313</s:v>
      </s:c>
      <s:c r="F459" s="24">
        <s:f>'자료구성'!$B$2+TIME(INT($C$3/10000),INT(MOD($C$3,10000)/100),MOD($C$3,100))+(ROW()-ROW($C$3))/86400</s:f>
        <s:v>46247.43608796296</s:v>
      </s:c>
    </s:row>
    <s:row r="460">
      <s:c r="A460" s="0" t="n">
        <s:v>260813</s:v>
      </s:c>
      <s:c r="B460" s="0" t="inlineStr">
        <s:is>
          <s:t>이종훈</s:t>
        </s:is>
      </s:c>
      <s:c r="C460" s="0" t="n">
        <s:v>102022</s:v>
      </s:c>
      <s:c r="D460" s="0" t="n">
        <s:v>3258</s:v>
      </s:c>
      <s:c r="F460" s="24">
        <s:f>'자료구성'!$B$2+TIME(INT($C$3/10000),INT(MOD($C$3,10000)/100),MOD($C$3,100))+(ROW()-ROW($C$3))/86400</s:f>
        <s:v>46247.43609953704</s:v>
      </s:c>
    </s:row>
    <s:row r="461">
      <s:c r="A461" s="0" t="n">
        <s:v>260813</s:v>
      </s:c>
      <s:c r="B461" s="0" t="inlineStr">
        <s:is>
          <s:t>이종훈</s:t>
        </s:is>
      </s:c>
      <s:c r="C461" s="0" t="n">
        <s:v>102022</s:v>
      </s:c>
      <s:c r="D461" s="0" t="n">
        <s:v>3246</s:v>
      </s:c>
      <s:c r="F461" s="24">
        <s:f>'자료구성'!$B$2+TIME(INT($C$3/10000),INT(MOD($C$3,10000)/100),MOD($C$3,100))+(ROW()-ROW($C$3))/86400</s:f>
        <s:v>46247.436111111114</s:v>
      </s:c>
    </s:row>
    <s:row r="462">
      <s:c r="A462" s="0" t="n">
        <s:v>260813</s:v>
      </s:c>
      <s:c r="B462" s="0" t="inlineStr">
        <s:is>
          <s:t>이종훈</s:t>
        </s:is>
      </s:c>
      <s:c r="C462" s="0" t="n">
        <s:v>102022</s:v>
      </s:c>
      <s:c r="D462" s="0" t="n">
        <s:v>3271</s:v>
      </s:c>
      <s:c r="F462" s="24">
        <s:f>'자료구성'!$B$2+TIME(INT($C$3/10000),INT(MOD($C$3,10000)/100),MOD($C$3,100))+(ROW()-ROW($C$3))/86400</s:f>
        <s:v>46247.43612268518</s:v>
      </s:c>
    </s:row>
    <s:row r="463">
      <s:c r="A463" s="0" t="n">
        <s:v>260813</s:v>
      </s:c>
      <s:c r="B463" s="0" t="inlineStr">
        <s:is>
          <s:t>이종훈</s:t>
        </s:is>
      </s:c>
      <s:c r="C463" s="0" t="n">
        <s:v>102022</s:v>
      </s:c>
      <s:c r="D463" s="0" t="n">
        <s:v>3266</s:v>
      </s:c>
      <s:c r="F463" s="24">
        <s:f>'자료구성'!$B$2+TIME(INT($C$3/10000),INT(MOD($C$3,10000)/100),MOD($C$3,100))+(ROW()-ROW($C$3))/86400</s:f>
        <s:v>46247.43613425926</s:v>
      </s:c>
    </s:row>
    <s:row r="464">
      <s:c r="A464" s="0" t="n">
        <s:v>260813</s:v>
      </s:c>
      <s:c r="B464" s="0" t="inlineStr">
        <s:is>
          <s:t>이종훈</s:t>
        </s:is>
      </s:c>
      <s:c r="C464" s="0" t="n">
        <s:v>102022</s:v>
      </s:c>
      <s:c r="D464" s="0" t="n">
        <s:v>3206</s:v>
      </s:c>
      <s:c r="F464" s="24">
        <s:f>'자료구성'!$B$2+TIME(INT($C$3/10000),INT(MOD($C$3,10000)/100),MOD($C$3,100))+(ROW()-ROW($C$3))/86400</s:f>
        <s:v>46247.43614583334</s:v>
      </s:c>
    </s:row>
    <s:row r="465">
      <s:c r="A465" s="0" t="n">
        <s:v>260813</s:v>
      </s:c>
      <s:c r="B465" s="0" t="inlineStr">
        <s:is>
          <s:t>이종훈</s:t>
        </s:is>
      </s:c>
      <s:c r="C465" s="0" t="n">
        <s:v>102022</s:v>
      </s:c>
      <s:c r="D465" s="0" t="n">
        <s:v>3167</s:v>
      </s:c>
      <s:c r="F465" s="24">
        <s:f>'자료구성'!$B$2+TIME(INT($C$3/10000),INT(MOD($C$3,10000)/100),MOD($C$3,100))+(ROW()-ROW($C$3))/86400</s:f>
        <s:v>46247.43615740741</s:v>
      </s:c>
    </s:row>
    <s:row r="466">
      <s:c r="A466" s="0" t="n">
        <s:v>260813</s:v>
      </s:c>
      <s:c r="B466" s="0" t="inlineStr">
        <s:is>
          <s:t>이종훈</s:t>
        </s:is>
      </s:c>
      <s:c r="C466" s="0" t="n">
        <s:v>102022</s:v>
      </s:c>
      <s:c r="D466" s="0" t="n">
        <s:v>3177</s:v>
      </s:c>
      <s:c r="F466" s="24">
        <s:f>'자료구성'!$B$2+TIME(INT($C$3/10000),INT(MOD($C$3,10000)/100),MOD($C$3,100))+(ROW()-ROW($C$3))/86400</s:f>
        <s:v>46247.43616898148</s:v>
      </s:c>
    </s:row>
    <s:row r="467">
      <s:c r="A467" s="0" t="n">
        <s:v>260813</s:v>
      </s:c>
      <s:c r="B467" s="0" t="inlineStr">
        <s:is>
          <s:t>이종훈</s:t>
        </s:is>
      </s:c>
      <s:c r="C467" s="0" t="n">
        <s:v>102022</s:v>
      </s:c>
      <s:c r="D467" s="0" t="n">
        <s:v>3199</s:v>
      </s:c>
      <s:c r="F467" s="24">
        <s:f>'자료구성'!$B$2+TIME(INT($C$3/10000),INT(MOD($C$3,10000)/100),MOD($C$3,100))+(ROW()-ROW($C$3))/86400</s:f>
        <s:v>46247.43618055555</s:v>
      </s:c>
    </s:row>
    <s:row r="468">
      <s:c r="A468" s="0" t="n">
        <s:v>260813</s:v>
      </s:c>
      <s:c r="B468" s="0" t="inlineStr">
        <s:is>
          <s:t>이종훈</s:t>
        </s:is>
      </s:c>
      <s:c r="C468" s="0" t="n">
        <s:v>102022</s:v>
      </s:c>
      <s:c r="D468" s="0" t="n">
        <s:v>3200</s:v>
      </s:c>
      <s:c r="F468" s="24">
        <s:f>'자료구성'!$B$2+TIME(INT($C$3/10000),INT(MOD($C$3,10000)/100),MOD($C$3,100))+(ROW()-ROW($C$3))/86400</s:f>
        <s:v>46247.43619212963</s:v>
      </s:c>
    </s:row>
    <s:row r="469">
      <s:c r="A469" s="0" t="n">
        <s:v>260813</s:v>
      </s:c>
      <s:c r="B469" s="0" t="inlineStr">
        <s:is>
          <s:t>이종훈</s:t>
        </s:is>
      </s:c>
      <s:c r="C469" s="0" t="n">
        <s:v>102022</s:v>
      </s:c>
      <s:c r="D469" s="0" t="n">
        <s:v>3250</s:v>
      </s:c>
      <s:c r="F469" s="24">
        <s:f>'자료구성'!$B$2+TIME(INT($C$3/10000),INT(MOD($C$3,10000)/100),MOD($C$3,100))+(ROW()-ROW($C$3))/86400</s:f>
        <s:v>46247.436203703706</s:v>
      </s:c>
    </s:row>
    <s:row r="470">
      <s:c r="A470" s="0" t="n">
        <s:v>260813</s:v>
      </s:c>
      <s:c r="B470" s="0" t="inlineStr">
        <s:is>
          <s:t>이종훈</s:t>
        </s:is>
      </s:c>
      <s:c r="C470" s="0" t="n">
        <s:v>102022</s:v>
      </s:c>
      <s:c r="D470" s="0" t="n">
        <s:v>3312</s:v>
      </s:c>
      <s:c r="F470" s="24">
        <s:f>'자료구성'!$B$2+TIME(INT($C$3/10000),INT(MOD($C$3,10000)/100),MOD($C$3,100))+(ROW()-ROW($C$3))/86400</s:f>
        <s:v>46247.436215277776</s:v>
      </s:c>
    </s:row>
    <s:row r="471">
      <s:c r="A471" s="0" t="n">
        <s:v>260813</s:v>
      </s:c>
      <s:c r="B471" s="0" t="inlineStr">
        <s:is>
          <s:t>이종훈</s:t>
        </s:is>
      </s:c>
      <s:c r="C471" s="0" t="n">
        <s:v>102022</s:v>
      </s:c>
      <s:c r="D471" s="0" t="n">
        <s:v>3403</s:v>
      </s:c>
      <s:c r="F471" s="24">
        <s:f>'자료구성'!$B$2+TIME(INT($C$3/10000),INT(MOD($C$3,10000)/100),MOD($C$3,100))+(ROW()-ROW($C$3))/86400</s:f>
        <s:v>46247.43622685185</s:v>
      </s:c>
    </s:row>
    <s:row r="472">
      <s:c r="A472" s="0" t="n">
        <s:v>260813</s:v>
      </s:c>
      <s:c r="B472" s="0" t="inlineStr">
        <s:is>
          <s:t>이종훈</s:t>
        </s:is>
      </s:c>
      <s:c r="C472" s="0" t="n">
        <s:v>102022</s:v>
      </s:c>
      <s:c r="D472" s="0" t="n">
        <s:v>3492</s:v>
      </s:c>
      <s:c r="F472" s="24">
        <s:f>'자료구성'!$B$2+TIME(INT($C$3/10000),INT(MOD($C$3,10000)/100),MOD($C$3,100))+(ROW()-ROW($C$3))/86400</s:f>
        <s:v>46247.43623842593</s:v>
      </s:c>
    </s:row>
    <s:row r="473">
      <s:c r="A473" s="0" t="n">
        <s:v>260813</s:v>
      </s:c>
      <s:c r="B473" s="0" t="inlineStr">
        <s:is>
          <s:t>이종훈</s:t>
        </s:is>
      </s:c>
      <s:c r="C473" s="0" t="n">
        <s:v>102022</s:v>
      </s:c>
      <s:c r="D473" s="0" t="n">
        <s:v>3560</s:v>
      </s:c>
      <s:c r="F473" s="24">
        <s:f>'자료구성'!$B$2+TIME(INT($C$3/10000),INT(MOD($C$3,10000)/100),MOD($C$3,100))+(ROW()-ROW($C$3))/86400</s:f>
        <s:v>46247.43625</s:v>
      </s:c>
    </s:row>
    <s:row r="474">
      <s:c r="A474" s="0" t="n">
        <s:v>260813</s:v>
      </s:c>
      <s:c r="B474" s="0" t="inlineStr">
        <s:is>
          <s:t>이종훈</s:t>
        </s:is>
      </s:c>
      <s:c r="C474" s="0" t="n">
        <s:v>102022</s:v>
      </s:c>
      <s:c r="D474" s="0" t="n">
        <s:v>3556</s:v>
      </s:c>
      <s:c r="F474" s="24">
        <s:f>'자료구성'!$B$2+TIME(INT($C$3/10000),INT(MOD($C$3,10000)/100),MOD($C$3,100))+(ROW()-ROW($C$3))/86400</s:f>
        <s:v>46247.436261574076</s:v>
      </s:c>
    </s:row>
    <s:row r="475">
      <s:c r="A475" s="0" t="n">
        <s:v>260813</s:v>
      </s:c>
      <s:c r="B475" s="0" t="inlineStr">
        <s:is>
          <s:t>이종훈</s:t>
        </s:is>
      </s:c>
      <s:c r="C475" s="0" t="n">
        <s:v>102022</s:v>
      </s:c>
      <s:c r="D475" s="0" t="n">
        <s:v>3581</s:v>
      </s:c>
      <s:c r="F475" s="24">
        <s:f>'자료구성'!$B$2+TIME(INT($C$3/10000),INT(MOD($C$3,10000)/100),MOD($C$3,100))+(ROW()-ROW($C$3))/86400</s:f>
        <s:v>46247.436273148145</s:v>
      </s:c>
    </s:row>
    <s:row r="476">
      <s:c r="A476" s="0" t="n">
        <s:v>260813</s:v>
      </s:c>
      <s:c r="B476" s="0" t="inlineStr">
        <s:is>
          <s:t>이종훈</s:t>
        </s:is>
      </s:c>
      <s:c r="C476" s="0" t="n">
        <s:v>102022</s:v>
      </s:c>
      <s:c r="D476" s="0" t="n">
        <s:v>3630</s:v>
      </s:c>
      <s:c r="F476" s="24">
        <s:f>'자료구성'!$B$2+TIME(INT($C$3/10000),INT(MOD($C$3,10000)/100),MOD($C$3,100))+(ROW()-ROW($C$3))/86400</s:f>
        <s:v>46247.43628472222</s:v>
      </s:c>
    </s:row>
    <s:row r="477">
      <s:c r="A477" s="0" t="n">
        <s:v>260813</s:v>
      </s:c>
      <s:c r="B477" s="0" t="inlineStr">
        <s:is>
          <s:t>이종훈</s:t>
        </s:is>
      </s:c>
      <s:c r="C477" s="0" t="n">
        <s:v>102022</s:v>
      </s:c>
      <s:c r="D477" s="0" t="n">
        <s:v>3626</s:v>
      </s:c>
      <s:c r="F477" s="24">
        <s:f>'자료구성'!$B$2+TIME(INT($C$3/10000),INT(MOD($C$3,10000)/100),MOD($C$3,100))+(ROW()-ROW($C$3))/86400</s:f>
        <s:v>46247.4362962963</s:v>
      </s:c>
    </s:row>
    <s:row r="478">
      <s:c r="A478" s="0" t="n">
        <s:v>260813</s:v>
      </s:c>
      <s:c r="B478" s="0" t="inlineStr">
        <s:is>
          <s:t>이종훈</s:t>
        </s:is>
      </s:c>
      <s:c r="C478" s="0" t="n">
        <s:v>102022</s:v>
      </s:c>
      <s:c r="D478" s="0" t="n">
        <s:v>3633</s:v>
      </s:c>
      <s:c r="F478" s="24">
        <s:f>'자료구성'!$B$2+TIME(INT($C$3/10000),INT(MOD($C$3,10000)/100),MOD($C$3,100))+(ROW()-ROW($C$3))/86400</s:f>
        <s:v>46247.43630787037</s:v>
      </s:c>
    </s:row>
    <s:row r="479">
      <s:c r="A479" s="0" t="n">
        <s:v>260813</s:v>
      </s:c>
      <s:c r="B479" s="0" t="inlineStr">
        <s:is>
          <s:t>이종훈</s:t>
        </s:is>
      </s:c>
      <s:c r="C479" s="0" t="n">
        <s:v>102022</s:v>
      </s:c>
      <s:c r="D479" s="0" t="n">
        <s:v>3641</s:v>
      </s:c>
      <s:c r="F479" s="24">
        <s:f>'자료구성'!$B$2+TIME(INT($C$3/10000),INT(MOD($C$3,10000)/100),MOD($C$3,100))+(ROW()-ROW($C$3))/86400</s:f>
        <s:v>46247.436319444445</s:v>
      </s:c>
    </s:row>
    <s:row r="480">
      <s:c r="A480" s="0" t="n">
        <s:v>260813</s:v>
      </s:c>
      <s:c r="B480" s="0" t="inlineStr">
        <s:is>
          <s:t>이종훈</s:t>
        </s:is>
      </s:c>
      <s:c r="C480" s="0" t="n">
        <s:v>102022</s:v>
      </s:c>
      <s:c r="D480" s="0" t="n">
        <s:v>3696</s:v>
      </s:c>
      <s:c r="F480" s="24">
        <s:f>'자료구성'!$B$2+TIME(INT($C$3/10000),INT(MOD($C$3,10000)/100),MOD($C$3,100))+(ROW()-ROW($C$3))/86400</s:f>
        <s:v>46247.43633101852</s:v>
      </s:c>
    </s:row>
    <s:row r="481">
      <s:c r="A481" s="0" t="n">
        <s:v>260813</s:v>
      </s:c>
      <s:c r="B481" s="0" t="inlineStr">
        <s:is>
          <s:t>이종훈</s:t>
        </s:is>
      </s:c>
      <s:c r="C481" s="0" t="n">
        <s:v>102022</s:v>
      </s:c>
      <s:c r="D481" s="0" t="n">
        <s:v>3758</s:v>
      </s:c>
      <s:c r="F481" s="24">
        <s:f>'자료구성'!$B$2+TIME(INT($C$3/10000),INT(MOD($C$3,10000)/100),MOD($C$3,100))+(ROW()-ROW($C$3))/86400</s:f>
        <s:v>46247.43634259259</s:v>
      </s:c>
    </s:row>
    <s:row r="482">
      <s:c r="A482" s="0" t="n">
        <s:v>260813</s:v>
      </s:c>
      <s:c r="B482" s="0" t="inlineStr">
        <s:is>
          <s:t>이종훈</s:t>
        </s:is>
      </s:c>
      <s:c r="C482" s="0" t="n">
        <s:v>102022</s:v>
      </s:c>
      <s:c r="D482" s="0" t="n">
        <s:v>3757</s:v>
      </s:c>
      <s:c r="F482" s="24">
        <s:f>'자료구성'!$B$2+TIME(INT($C$3/10000),INT(MOD($C$3,10000)/100),MOD($C$3,100))+(ROW()-ROW($C$3))/86400</s:f>
        <s:v>46247.43635416667</s:v>
      </s:c>
    </s:row>
    <s:row r="483">
      <s:c r="A483" s="0" t="n">
        <s:v>260813</s:v>
      </s:c>
      <s:c r="B483" s="0" t="inlineStr">
        <s:is>
          <s:t>이종훈</s:t>
        </s:is>
      </s:c>
      <s:c r="C483" s="0" t="n">
        <s:v>102022</s:v>
      </s:c>
      <s:c r="D483" s="0" t="n">
        <s:v>3858</s:v>
      </s:c>
      <s:c r="F483" s="24">
        <s:f>'자료구성'!$B$2+TIME(INT($C$3/10000),INT(MOD($C$3,10000)/100),MOD($C$3,100))+(ROW()-ROW($C$3))/86400</s:f>
        <s:v>46247.43636574074</s:v>
      </s:c>
    </s:row>
    <s:row r="484">
      <s:c r="A484" s="0" t="n">
        <s:v>260813</s:v>
      </s:c>
      <s:c r="B484" s="0" t="inlineStr">
        <s:is>
          <s:t>이종훈</s:t>
        </s:is>
      </s:c>
      <s:c r="C484" s="0" t="n">
        <s:v>102022</s:v>
      </s:c>
      <s:c r="D484" s="0" t="n">
        <s:v>3953</s:v>
      </s:c>
      <s:c r="F484" s="24">
        <s:f>'자료구성'!$B$2+TIME(INT($C$3/10000),INT(MOD($C$3,10000)/100),MOD($C$3,100))+(ROW()-ROW($C$3))/86400</s:f>
        <s:v>46247.436377314814</s:v>
      </s:c>
    </s:row>
    <s:row r="485">
      <s:c r="A485" s="0" t="n">
        <s:v>260813</s:v>
      </s:c>
      <s:c r="B485" s="0" t="inlineStr">
        <s:is>
          <s:t>이종훈</s:t>
        </s:is>
      </s:c>
      <s:c r="C485" s="0" t="n">
        <s:v>102022</s:v>
      </s:c>
      <s:c r="D485" s="0" t="n">
        <s:v>4008</s:v>
      </s:c>
      <s:c r="F485" s="24">
        <s:f>'자료구성'!$B$2+TIME(INT($C$3/10000),INT(MOD($C$3,10000)/100),MOD($C$3,100))+(ROW()-ROW($C$3))/86400</s:f>
        <s:v>46247.43638888889</s:v>
      </s:c>
    </s:row>
    <s:row r="486">
      <s:c r="A486" s="0" t="n">
        <s:v>260813</s:v>
      </s:c>
      <s:c r="B486" s="0" t="inlineStr">
        <s:is>
          <s:t>이종훈</s:t>
        </s:is>
      </s:c>
      <s:c r="C486" s="0" t="n">
        <s:v>102022</s:v>
      </s:c>
      <s:c r="D486" s="0" t="n">
        <s:v>4118</s:v>
      </s:c>
      <s:c r="F486" s="24">
        <s:f>'자료구성'!$B$2+TIME(INT($C$3/10000),INT(MOD($C$3,10000)/100),MOD($C$3,100))+(ROW()-ROW($C$3))/86400</s:f>
        <s:v>46247.43640046296</s:v>
      </s:c>
    </s:row>
    <s:row r="487">
      <s:c r="A487" s="0" t="n">
        <s:v>260813</s:v>
      </s:c>
      <s:c r="B487" s="0" t="inlineStr">
        <s:is>
          <s:t>이종훈</s:t>
        </s:is>
      </s:c>
      <s:c r="C487" s="0" t="n">
        <s:v>102022</s:v>
      </s:c>
      <s:c r="D487" s="0" t="n">
        <s:v>4180</s:v>
      </s:c>
      <s:c r="F487" s="24">
        <s:f>'자료구성'!$B$2+TIME(INT($C$3/10000),INT(MOD($C$3,10000)/100),MOD($C$3,100))+(ROW()-ROW($C$3))/86400</s:f>
        <s:v>46247.43641203704</s:v>
      </s:c>
    </s:row>
    <s:row r="488">
      <s:c r="A488" s="0" t="n">
        <s:v>260813</s:v>
      </s:c>
      <s:c r="B488" s="0" t="inlineStr">
        <s:is>
          <s:t>이종훈</s:t>
        </s:is>
      </s:c>
      <s:c r="C488" s="0" t="n">
        <s:v>102022</s:v>
      </s:c>
      <s:c r="D488" s="0" t="n">
        <s:v>4258</s:v>
      </s:c>
      <s:c r="F488" s="24">
        <s:f>'자료구성'!$B$2+TIME(INT($C$3/10000),INT(MOD($C$3,10000)/100),MOD($C$3,100))+(ROW()-ROW($C$3))/86400</s:f>
        <s:v>46247.436423611114</s:v>
      </s:c>
    </s:row>
    <s:row r="489">
      <s:c r="A489" s="0" t="n">
        <s:v>260813</s:v>
      </s:c>
      <s:c r="B489" s="0" t="inlineStr">
        <s:is>
          <s:t>이종훈</s:t>
        </s:is>
      </s:c>
      <s:c r="C489" s="0" t="n">
        <s:v>102022</s:v>
      </s:c>
      <s:c r="D489" s="0" t="n">
        <s:v>4358</s:v>
      </s:c>
      <s:c r="F489" s="24">
        <s:f>'자료구성'!$B$2+TIME(INT($C$3/10000),INT(MOD($C$3,10000)/100),MOD($C$3,100))+(ROW()-ROW($C$3))/86400</s:f>
        <s:v>46247.436435185184</s:v>
      </s:c>
    </s:row>
    <s:row r="490">
      <s:c r="A490" s="0" t="n">
        <s:v>260813</s:v>
      </s:c>
      <s:c r="B490" s="0" t="inlineStr">
        <s:is>
          <s:t>이종훈</s:t>
        </s:is>
      </s:c>
      <s:c r="C490" s="0" t="n">
        <s:v>102022</s:v>
      </s:c>
      <s:c r="D490" s="0" t="n">
        <s:v>4401</s:v>
      </s:c>
      <s:c r="F490" s="24">
        <s:f>'자료구성'!$B$2+TIME(INT($C$3/10000),INT(MOD($C$3,10000)/100),MOD($C$3,100))+(ROW()-ROW($C$3))/86400</s:f>
        <s:v>46247.43644675926</s:v>
      </s:c>
    </s:row>
    <s:row r="491">
      <s:c r="A491" s="0" t="n">
        <s:v>260813</s:v>
      </s:c>
      <s:c r="B491" s="0" t="inlineStr">
        <s:is>
          <s:t>이종훈</s:t>
        </s:is>
      </s:c>
      <s:c r="C491" s="0" t="n">
        <s:v>102022</s:v>
      </s:c>
      <s:c r="D491" s="0" t="n">
        <s:v>4589</s:v>
      </s:c>
      <s:c r="F491" s="24">
        <s:f>'자료구성'!$B$2+TIME(INT($C$3/10000),INT(MOD($C$3,10000)/100),MOD($C$3,100))+(ROW()-ROW($C$3))/86400</s:f>
        <s:v>46247.43645833333</s:v>
      </s:c>
    </s:row>
    <s:row r="492">
      <s:c r="A492" s="0" t="n">
        <s:v>260813</s:v>
      </s:c>
      <s:c r="B492" s="0" t="inlineStr">
        <s:is>
          <s:t>이종훈</s:t>
        </s:is>
      </s:c>
      <s:c r="C492" s="0" t="n">
        <s:v>102022</s:v>
      </s:c>
      <s:c r="D492" s="0" t="n">
        <s:v>4621</s:v>
      </s:c>
      <s:c r="F492" s="24">
        <s:f>'자료구성'!$B$2+TIME(INT($C$3/10000),INT(MOD($C$3,10000)/100),MOD($C$3,100))+(ROW()-ROW($C$3))/86400</s:f>
        <s:v>46247.43646990741</s:v>
      </s:c>
    </s:row>
    <s:row r="493">
      <s:c r="A493" s="0" t="n">
        <s:v>260813</s:v>
      </s:c>
      <s:c r="B493" s="0" t="inlineStr">
        <s:is>
          <s:t>이종훈</s:t>
        </s:is>
      </s:c>
      <s:c r="C493" s="0" t="n">
        <s:v>102022</s:v>
      </s:c>
      <s:c r="D493" s="0" t="n">
        <s:v>4758</s:v>
      </s:c>
      <s:c r="F493" s="24">
        <s:f>'자료구성'!$B$2+TIME(INT($C$3/10000),INT(MOD($C$3,10000)/100),MOD($C$3,100))+(ROW()-ROW($C$3))/86400</s:f>
        <s:v>46247.43648148148</s:v>
      </s:c>
    </s:row>
    <s:row r="494">
      <s:c r="A494" s="0" t="n">
        <s:v>260813</s:v>
      </s:c>
      <s:c r="B494" s="0" t="inlineStr">
        <s:is>
          <s:t>이종훈</s:t>
        </s:is>
      </s:c>
      <s:c r="C494" s="0" t="n">
        <s:v>102022</s:v>
      </s:c>
      <s:c r="D494" s="0" t="n">
        <s:v>4853</s:v>
      </s:c>
      <s:c r="F494" s="24">
        <s:f>'자료구성'!$B$2+TIME(INT($C$3/10000),INT(MOD($C$3,10000)/100),MOD($C$3,100))+(ROW()-ROW($C$3))/86400</s:f>
        <s:v>46247.43649305555</s:v>
      </s:c>
    </s:row>
    <s:row r="495">
      <s:c r="A495" s="0" t="n">
        <s:v>260813</s:v>
      </s:c>
      <s:c r="B495" s="0" t="inlineStr">
        <s:is>
          <s:t>이종훈</s:t>
        </s:is>
      </s:c>
      <s:c r="C495" s="0" t="n">
        <s:v>102022</s:v>
      </s:c>
      <s:c r="D495" s="0" t="n">
        <s:v>4924</s:v>
      </s:c>
      <s:c r="F495" s="24">
        <s:f>'자료구성'!$B$2+TIME(INT($C$3/10000),INT(MOD($C$3,10000)/100),MOD($C$3,100))+(ROW()-ROW($C$3))/86400</s:f>
        <s:v>46247.43650462963</s:v>
      </s:c>
    </s:row>
    <s:row r="496">
      <s:c r="A496" s="0" t="n">
        <s:v>260813</s:v>
      </s:c>
      <s:c r="B496" s="0" t="inlineStr">
        <s:is>
          <s:t>이종훈</s:t>
        </s:is>
      </s:c>
      <s:c r="C496" s="0" t="n">
        <s:v>102022</s:v>
      </s:c>
      <s:c r="D496" s="0" t="n">
        <s:v>4888</s:v>
      </s:c>
      <s:c r="F496" s="24">
        <s:f>'자료구성'!$B$2+TIME(INT($C$3/10000),INT(MOD($C$3,10000)/100),MOD($C$3,100))+(ROW()-ROW($C$3))/86400</s:f>
        <s:v>46247.43651620371</s:v>
      </s:c>
    </s:row>
    <s:row r="497">
      <s:c r="A497" s="0" t="n">
        <s:v>260813</s:v>
      </s:c>
      <s:c r="B497" s="0" t="inlineStr">
        <s:is>
          <s:t>이종훈</s:t>
        </s:is>
      </s:c>
      <s:c r="C497" s="0" t="n">
        <s:v>102022</s:v>
      </s:c>
      <s:c r="D497" s="0" t="n">
        <s:v>4897</s:v>
      </s:c>
      <s:c r="F497" s="24">
        <s:f>'자료구성'!$B$2+TIME(INT($C$3/10000),INT(MOD($C$3,10000)/100),MOD($C$3,100))+(ROW()-ROW($C$3))/86400</s:f>
        <s:v>46247.436527777776</s:v>
      </s:c>
    </s:row>
    <s:row r="498">
      <s:c r="A498" s="0" t="n">
        <s:v>260813</s:v>
      </s:c>
      <s:c r="B498" s="0" t="inlineStr">
        <s:is>
          <s:t>이종훈</s:t>
        </s:is>
      </s:c>
      <s:c r="C498" s="0" t="n">
        <s:v>102022</s:v>
      </s:c>
      <s:c r="D498" s="0" t="n">
        <s:v>4885</s:v>
      </s:c>
      <s:c r="F498" s="24">
        <s:f>'자료구성'!$B$2+TIME(INT($C$3/10000),INT(MOD($C$3,10000)/100),MOD($C$3,100))+(ROW()-ROW($C$3))/86400</s:f>
        <s:v>46247.43653935185</s:v>
      </s:c>
    </s:row>
    <s:row r="499">
      <s:c r="A499" s="0" t="n">
        <s:v>260813</s:v>
      </s:c>
      <s:c r="B499" s="0" t="inlineStr">
        <s:is>
          <s:t>이종훈</s:t>
        </s:is>
      </s:c>
      <s:c r="C499" s="0" t="n">
        <s:v>102022</s:v>
      </s:c>
      <s:c r="D499" s="0" t="n">
        <s:v>4924</s:v>
      </s:c>
      <s:c r="F499" s="24">
        <s:f>'자료구성'!$B$2+TIME(INT($C$3/10000),INT(MOD($C$3,10000)/100),MOD($C$3,100))+(ROW()-ROW($C$3))/86400</s:f>
        <s:v>46247.43655092592</s:v>
      </s:c>
    </s:row>
    <s:row r="500">
      <s:c r="A500" s="0" t="n">
        <s:v>260813</s:v>
      </s:c>
      <s:c r="B500" s="0" t="inlineStr">
        <s:is>
          <s:t>이종훈</s:t>
        </s:is>
      </s:c>
      <s:c r="C500" s="0" t="n">
        <s:v>102022</s:v>
      </s:c>
      <s:c r="D500" s="0" t="n">
        <s:v>4871</s:v>
      </s:c>
      <s:c r="F500" s="24">
        <s:f>'자료구성'!$B$2+TIME(INT($C$3/10000),INT(MOD($C$3,10000)/100),MOD($C$3,100))+(ROW()-ROW($C$3))/86400</s:f>
        <s:v>46247.4365625</s:v>
      </s:c>
    </s:row>
    <s:row r="501">
      <s:c r="A501" s="0" t="n">
        <s:v>260813</s:v>
      </s:c>
      <s:c r="B501" s="0" t="inlineStr">
        <s:is>
          <s:t>이종훈</s:t>
        </s:is>
      </s:c>
      <s:c r="C501" s="0" t="n">
        <s:v>102022</s:v>
      </s:c>
      <s:c r="D501" s="0" t="n">
        <s:v>4742</s:v>
      </s:c>
      <s:c r="F501" s="24">
        <s:f>'자료구성'!$B$2+TIME(INT($C$3/10000),INT(MOD($C$3,10000)/100),MOD($C$3,100))+(ROW()-ROW($C$3))/86400</s:f>
        <s:v>46247.436574074076</s:v>
      </s:c>
    </s:row>
    <s:row r="502">
      <s:c r="A502" s="0" t="n">
        <s:v>260813</s:v>
      </s:c>
      <s:c r="B502" s="0" t="inlineStr">
        <s:is>
          <s:t>이종훈</s:t>
        </s:is>
      </s:c>
      <s:c r="C502" s="0" t="n">
        <s:v>102022</s:v>
      </s:c>
      <s:c r="D502" s="0" t="n">
        <s:v>4572</s:v>
      </s:c>
      <s:c r="F502" s="24">
        <s:f>'자료구성'!$B$2+TIME(INT($C$3/10000),INT(MOD($C$3,10000)/100),MOD($C$3,100))+(ROW()-ROW($C$3))/86400</s:f>
        <s:v>46247.436585648145</s:v>
      </s:c>
    </s:row>
    <s:row r="503">
      <s:c r="A503" s="0" t="n">
        <s:v>260813</s:v>
      </s:c>
      <s:c r="B503" s="0" t="inlineStr">
        <s:is>
          <s:t>이종훈</s:t>
        </s:is>
      </s:c>
      <s:c r="C503" s="0" t="n">
        <s:v>102022</s:v>
      </s:c>
      <s:c r="D503" s="0" t="n">
        <s:v>4509</s:v>
      </s:c>
      <s:c r="F503" s="24">
        <s:f>'자료구성'!$B$2+TIME(INT($C$3/10000),INT(MOD($C$3,10000)/100),MOD($C$3,100))+(ROW()-ROW($C$3))/86400</s:f>
        <s:v>46247.43659722222</s:v>
      </s:c>
    </s:row>
    <s:row r="504">
      <s:c r="A504" s="0" t="n">
        <s:v>260813</s:v>
      </s:c>
      <s:c r="B504" s="0" t="inlineStr">
        <s:is>
          <s:t>이종훈</s:t>
        </s:is>
      </s:c>
      <s:c r="C504" s="0" t="n">
        <s:v>102022</s:v>
      </s:c>
      <s:c r="D504" s="0" t="n">
        <s:v>4430</s:v>
      </s:c>
      <s:c r="F504" s="24">
        <s:f>'자료구성'!$B$2+TIME(INT($C$3/10000),INT(MOD($C$3,10000)/100),MOD($C$3,100))+(ROW()-ROW($C$3))/86400</s:f>
        <s:v>46247.4366087963</s:v>
      </s:c>
    </s:row>
    <s:row r="505">
      <s:c r="A505" s="0" t="n">
        <s:v>260813</s:v>
      </s:c>
      <s:c r="B505" s="0" t="inlineStr">
        <s:is>
          <s:t>이종훈</s:t>
        </s:is>
      </s:c>
      <s:c r="C505" s="0" t="n">
        <s:v>102022</s:v>
      </s:c>
      <s:c r="D505" s="0" t="n">
        <s:v>4339</s:v>
      </s:c>
      <s:c r="F505" s="24">
        <s:f>'자료구성'!$B$2+TIME(INT($C$3/10000),INT(MOD($C$3,10000)/100),MOD($C$3,100))+(ROW()-ROW($C$3))/86400</s:f>
        <s:v>46247.43662037037</s:v>
      </s:c>
    </s:row>
    <s:row r="506">
      <s:c r="A506" s="0" t="n">
        <s:v>260813</s:v>
      </s:c>
      <s:c r="B506" s="0" t="inlineStr">
        <s:is>
          <s:t>이종훈</s:t>
        </s:is>
      </s:c>
      <s:c r="C506" s="0" t="n">
        <s:v>102022</s:v>
      </s:c>
      <s:c r="D506" s="0" t="n">
        <s:v>4340</s:v>
      </s:c>
      <s:c r="F506" s="24">
        <s:f>'자료구성'!$B$2+TIME(INT($C$3/10000),INT(MOD($C$3,10000)/100),MOD($C$3,100))+(ROW()-ROW($C$3))/86400</s:f>
        <s:v>46247.436631944445</s:v>
      </s:c>
    </s:row>
    <s:row r="507">
      <s:c r="A507" s="0" t="n">
        <s:v>260813</s:v>
      </s:c>
      <s:c r="B507" s="0" t="inlineStr">
        <s:is>
          <s:t>이종훈</s:t>
        </s:is>
      </s:c>
      <s:c r="C507" s="0" t="n">
        <s:v>102022</s:v>
      </s:c>
      <s:c r="D507" s="0" t="n">
        <s:v>4318</s:v>
      </s:c>
      <s:c r="F507" s="24">
        <s:f>'자료구성'!$B$2+TIME(INT($C$3/10000),INT(MOD($C$3,10000)/100),MOD($C$3,100))+(ROW()-ROW($C$3))/86400</s:f>
        <s:v>46247.43664351852</s:v>
      </s:c>
    </s:row>
    <s:row r="508">
      <s:c r="A508" s="0" t="n">
        <s:v>260813</s:v>
      </s:c>
      <s:c r="B508" s="0" t="inlineStr">
        <s:is>
          <s:t>이종훈</s:t>
        </s:is>
      </s:c>
      <s:c r="C508" s="0" t="n">
        <s:v>102022</s:v>
      </s:c>
      <s:c r="D508" s="0" t="n">
        <s:v>4160</s:v>
      </s:c>
      <s:c r="F508" s="24">
        <s:f>'자료구성'!$B$2+TIME(INT($C$3/10000),INT(MOD($C$3,10000)/100),MOD($C$3,100))+(ROW()-ROW($C$3))/86400</s:f>
        <s:v>46247.43665509259</s:v>
      </s:c>
    </s:row>
    <s:row r="509">
      <s:c r="A509" s="0" t="n">
        <s:v>260813</s:v>
      </s:c>
      <s:c r="B509" s="0" t="inlineStr">
        <s:is>
          <s:t>이종훈</s:t>
        </s:is>
      </s:c>
      <s:c r="C509" s="0" t="n">
        <s:v>102022</s:v>
      </s:c>
      <s:c r="D509" s="0" t="n">
        <s:v>4036</s:v>
      </s:c>
      <s:c r="F509" s="24">
        <s:f>'자료구성'!$B$2+TIME(INT($C$3/10000),INT(MOD($C$3,10000)/100),MOD($C$3,100))+(ROW()-ROW($C$3))/86400</s:f>
        <s:v>46247.43666666667</s:v>
      </s:c>
    </s:row>
    <s:row r="510">
      <s:c r="A510" s="0" t="n">
        <s:v>260813</s:v>
      </s:c>
      <s:c r="B510" s="0" t="inlineStr">
        <s:is>
          <s:t>이종훈</s:t>
        </s:is>
      </s:c>
      <s:c r="C510" s="0" t="n">
        <s:v>102022</s:v>
      </s:c>
      <s:c r="D510" s="0" t="n">
        <s:v>3955</s:v>
      </s:c>
      <s:c r="F510" s="24">
        <s:f>'자료구성'!$B$2+TIME(INT($C$3/10000),INT(MOD($C$3,10000)/100),MOD($C$3,100))+(ROW()-ROW($C$3))/86400</s:f>
        <s:v>46247.43667824074</s:v>
      </s:c>
    </s:row>
    <s:row r="511">
      <s:c r="A511" s="0" t="n">
        <s:v>260813</s:v>
      </s:c>
      <s:c r="B511" s="0" t="inlineStr">
        <s:is>
          <s:t>이종훈</s:t>
        </s:is>
      </s:c>
      <s:c r="C511" s="0" t="n">
        <s:v>102022</s:v>
      </s:c>
      <s:c r="D511" s="0" t="n">
        <s:v>3899</s:v>
      </s:c>
      <s:c r="F511" s="24">
        <s:f>'자료구성'!$B$2+TIME(INT($C$3/10000),INT(MOD($C$3,10000)/100),MOD($C$3,100))+(ROW()-ROW($C$3))/86400</s:f>
        <s:v>46247.436689814815</s:v>
      </s:c>
    </s:row>
    <s:row r="512">
      <s:c r="A512" s="0" t="n">
        <s:v>260813</s:v>
      </s:c>
      <s:c r="B512" s="0" t="inlineStr">
        <s:is>
          <s:t>이종훈</s:t>
        </s:is>
      </s:c>
      <s:c r="C512" s="0" t="n">
        <s:v>102022</s:v>
      </s:c>
      <s:c r="D512" s="0" t="n">
        <s:v>3824</s:v>
      </s:c>
      <s:c r="F512" s="24">
        <s:f>'자료구성'!$B$2+TIME(INT($C$3/10000),INT(MOD($C$3,10000)/100),MOD($C$3,100))+(ROW()-ROW($C$3))/86400</s:f>
        <s:v>46247.43670138889</s:v>
      </s:c>
    </s:row>
    <s:row r="513">
      <s:c r="A513" s="0" t="n">
        <s:v>260813</s:v>
      </s:c>
      <s:c r="B513" s="0" t="inlineStr">
        <s:is>
          <s:t>이종훈</s:t>
        </s:is>
      </s:c>
      <s:c r="C513" s="0" t="n">
        <s:v>102022</s:v>
      </s:c>
      <s:c r="D513" s="0" t="n">
        <s:v>3804</s:v>
      </s:c>
      <s:c r="F513" s="24">
        <s:f>'자료구성'!$B$2+TIME(INT($C$3/10000),INT(MOD($C$3,10000)/100),MOD($C$3,100))+(ROW()-ROW($C$3))/86400</s:f>
        <s:v>46247.43671296296</s:v>
      </s:c>
    </s:row>
    <s:row r="514">
      <s:c r="A514" s="0" t="n">
        <s:v>260813</s:v>
      </s:c>
      <s:c r="B514" s="0" t="inlineStr">
        <s:is>
          <s:t>이종훈</s:t>
        </s:is>
      </s:c>
      <s:c r="C514" s="0" t="n">
        <s:v>102022</s:v>
      </s:c>
      <s:c r="D514" s="0" t="n">
        <s:v>3766</s:v>
      </s:c>
      <s:c r="F514" s="24">
        <s:f>'자료구성'!$B$2+TIME(INT($C$3/10000),INT(MOD($C$3,10000)/100),MOD($C$3,100))+(ROW()-ROW($C$3))/86400</s:f>
        <s:v>46247.43672453704</s:v>
      </s:c>
    </s:row>
    <s:row r="515">
      <s:c r="A515" s="0" t="n">
        <s:v>260813</s:v>
      </s:c>
      <s:c r="B515" s="0" t="inlineStr">
        <s:is>
          <s:t>이종훈</s:t>
        </s:is>
      </s:c>
      <s:c r="C515" s="0" t="n">
        <s:v>102022</s:v>
      </s:c>
      <s:c r="D515" s="0" t="n">
        <s:v>3690</s:v>
      </s:c>
      <s:c r="F515" s="24">
        <s:f>'자료구성'!$B$2+TIME(INT($C$3/10000),INT(MOD($C$3,10000)/100),MOD($C$3,100))+(ROW()-ROW($C$3))/86400</s:f>
        <s:v>46247.436736111114</s:v>
      </s:c>
    </s:row>
    <s:row r="516">
      <s:c r="A516" s="0" t="n">
        <s:v>260813</s:v>
      </s:c>
      <s:c r="B516" s="0" t="inlineStr">
        <s:is>
          <s:t>이종훈</s:t>
        </s:is>
      </s:c>
      <s:c r="C516" s="0" t="n">
        <s:v>102022</s:v>
      </s:c>
      <s:c r="D516" s="0" t="n">
        <s:v>3629</s:v>
      </s:c>
      <s:c r="F516" s="24">
        <s:f>'자료구성'!$B$2+TIME(INT($C$3/10000),INT(MOD($C$3,10000)/100),MOD($C$3,100))+(ROW()-ROW($C$3))/86400</s:f>
        <s:v>46247.436747685184</s:v>
      </s:c>
    </s:row>
    <s:row r="517">
      <s:c r="A517" s="0" t="n">
        <s:v>260813</s:v>
      </s:c>
      <s:c r="B517" s="0" t="inlineStr">
        <s:is>
          <s:t>이종훈</s:t>
        </s:is>
      </s:c>
      <s:c r="C517" s="0" t="n">
        <s:v>102022</s:v>
      </s:c>
      <s:c r="D517" s="0" t="n">
        <s:v>3585</s:v>
      </s:c>
      <s:c r="F517" s="24">
        <s:f>'자료구성'!$B$2+TIME(INT($C$3/10000),INT(MOD($C$3,10000)/100),MOD($C$3,100))+(ROW()-ROW($C$3))/86400</s:f>
        <s:v>46247.43675925926</s:v>
      </s:c>
    </s:row>
    <s:row r="518">
      <s:c r="A518" s="0" t="n">
        <s:v>260813</s:v>
      </s:c>
      <s:c r="B518" s="0" t="inlineStr">
        <s:is>
          <s:t>이종훈</s:t>
        </s:is>
      </s:c>
      <s:c r="C518" s="0" t="n">
        <s:v>102022</s:v>
      </s:c>
      <s:c r="D518" s="0" t="n">
        <s:v>3585</s:v>
      </s:c>
      <s:c r="F518" s="24">
        <s:f>'자료구성'!$B$2+TIME(INT($C$3/10000),INT(MOD($C$3,10000)/100),MOD($C$3,100))+(ROW()-ROW($C$3))/86400</s:f>
        <s:v>46247.43677083333</s:v>
      </s:c>
    </s:row>
    <s:row r="519">
      <s:c r="A519" s="0" t="n">
        <s:v>260813</s:v>
      </s:c>
      <s:c r="B519" s="0" t="inlineStr">
        <s:is>
          <s:t>이종훈</s:t>
        </s:is>
      </s:c>
      <s:c r="C519" s="0" t="n">
        <s:v>102022</s:v>
      </s:c>
      <s:c r="D519" s="0" t="n">
        <s:v>3512</s:v>
      </s:c>
      <s:c r="F519" s="24">
        <s:f>'자료구성'!$B$2+TIME(INT($C$3/10000),INT(MOD($C$3,10000)/100),MOD($C$3,100))+(ROW()-ROW($C$3))/86400</s:f>
        <s:v>46247.43678240741</s:v>
      </s:c>
    </s:row>
    <s:row r="520">
      <s:c r="A520" s="0" t="n">
        <s:v>260813</s:v>
      </s:c>
      <s:c r="B520" s="0" t="inlineStr">
        <s:is>
          <s:t>이종훈</s:t>
        </s:is>
      </s:c>
      <s:c r="C520" s="0" t="n">
        <s:v>102022</s:v>
      </s:c>
      <s:c r="D520" s="0" t="n">
        <s:v>3528</s:v>
      </s:c>
      <s:c r="F520" s="24">
        <s:f>'자료구성'!$B$2+TIME(INT($C$3/10000),INT(MOD($C$3,10000)/100),MOD($C$3,100))+(ROW()-ROW($C$3))/86400</s:f>
        <s:v>46247.436793981484</s:v>
      </s:c>
    </s:row>
    <s:row r="521">
      <s:c r="A521" s="0" t="n">
        <s:v>260813</s:v>
      </s:c>
      <s:c r="B521" s="0" t="inlineStr">
        <s:is>
          <s:t>이종훈</s:t>
        </s:is>
      </s:c>
      <s:c r="C521" s="0" t="n">
        <s:v>102022</s:v>
      </s:c>
      <s:c r="D521" s="0" t="n">
        <s:v>3552</s:v>
      </s:c>
      <s:c r="F521" s="24">
        <s:f>'자료구성'!$B$2+TIME(INT($C$3/10000),INT(MOD($C$3,10000)/100),MOD($C$3,100))+(ROW()-ROW($C$3))/86400</s:f>
        <s:v>46247.43680555555</s:v>
      </s:c>
    </s:row>
    <s:row r="522">
      <s:c r="A522" s="0" t="n">
        <s:v>260813</s:v>
      </s:c>
      <s:c r="B522" s="0" t="inlineStr">
        <s:is>
          <s:t>이종훈</s:t>
        </s:is>
      </s:c>
      <s:c r="C522" s="0" t="n">
        <s:v>102022</s:v>
      </s:c>
      <s:c r="D522" s="0" t="n">
        <s:v>3632</s:v>
      </s:c>
      <s:c r="F522" s="24">
        <s:f>'자료구성'!$B$2+TIME(INT($C$3/10000),INT(MOD($C$3,10000)/100),MOD($C$3,100))+(ROW()-ROW($C$3))/86400</s:f>
        <s:v>46247.43681712963</s:v>
      </s:c>
    </s:row>
    <s:row r="523">
      <s:c r="A523" s="0" t="n">
        <s:v>260813</s:v>
      </s:c>
      <s:c r="B523" s="0" t="inlineStr">
        <s:is>
          <s:t>이종훈</s:t>
        </s:is>
      </s:c>
      <s:c r="C523" s="0" t="n">
        <s:v>102022</s:v>
      </s:c>
      <s:c r="D523" s="0" t="n">
        <s:v>3694</s:v>
      </s:c>
      <s:c r="F523" s="24">
        <s:f>'자료구성'!$B$2+TIME(INT($C$3/10000),INT(MOD($C$3,10000)/100),MOD($C$3,100))+(ROW()-ROW($C$3))/86400</s:f>
        <s:v>46247.43682870371</s:v>
      </s:c>
    </s:row>
    <s:row r="524">
      <s:c r="A524" s="0" t="n">
        <s:v>260813</s:v>
      </s:c>
      <s:c r="B524" s="0" t="inlineStr">
        <s:is>
          <s:t>이종훈</s:t>
        </s:is>
      </s:c>
      <s:c r="C524" s="0" t="n">
        <s:v>102022</s:v>
      </s:c>
      <s:c r="D524" s="0" t="n">
        <s:v>3711</s:v>
      </s:c>
      <s:c r="F524" s="24">
        <s:f>'자료구성'!$B$2+TIME(INT($C$3/10000),INT(MOD($C$3,10000)/100),MOD($C$3,100))+(ROW()-ROW($C$3))/86400</s:f>
        <s:v>46247.436840277776</s:v>
      </s:c>
    </s:row>
    <s:row r="525">
      <s:c r="A525" s="0" t="n">
        <s:v>260813</s:v>
      </s:c>
      <s:c r="B525" s="0" t="inlineStr">
        <s:is>
          <s:t>이종훈</s:t>
        </s:is>
      </s:c>
      <s:c r="C525" s="0" t="n">
        <s:v>102022</s:v>
      </s:c>
      <s:c r="D525" s="0" t="n">
        <s:v>3759</s:v>
      </s:c>
      <s:c r="F525" s="24">
        <s:f>'자료구성'!$B$2+TIME(INT($C$3/10000),INT(MOD($C$3,10000)/100),MOD($C$3,100))+(ROW()-ROW($C$3))/86400</s:f>
        <s:v>46247.43685185185</s:v>
      </s:c>
    </s:row>
    <s:row r="526">
      <s:c r="A526" s="0" t="n">
        <s:v>260813</s:v>
      </s:c>
      <s:c r="B526" s="0" t="inlineStr">
        <s:is>
          <s:t>이종훈</s:t>
        </s:is>
      </s:c>
      <s:c r="C526" s="0" t="n">
        <s:v>102022</s:v>
      </s:c>
      <s:c r="D526" s="0" t="n">
        <s:v>3792</s:v>
      </s:c>
      <s:c r="F526" s="24">
        <s:f>'자료구성'!$B$2+TIME(INT($C$3/10000),INT(MOD($C$3,10000)/100),MOD($C$3,100))+(ROW()-ROW($C$3))/86400</s:f>
        <s:v>46247.43686342592</s:v>
      </s:c>
    </s:row>
    <s:row r="527">
      <s:c r="A527" s="0" t="n">
        <s:v>260813</s:v>
      </s:c>
      <s:c r="B527" s="0" t="inlineStr">
        <s:is>
          <s:t>이종훈</s:t>
        </s:is>
      </s:c>
      <s:c r="C527" s="0" t="n">
        <s:v>102022</s:v>
      </s:c>
      <s:c r="D527" s="0" t="n">
        <s:v>3851</s:v>
      </s:c>
      <s:c r="F527" s="24">
        <s:f>'자료구성'!$B$2+TIME(INT($C$3/10000),INT(MOD($C$3,10000)/100),MOD($C$3,100))+(ROW()-ROW($C$3))/86400</s:f>
        <s:v>46247.436875</s:v>
      </s:c>
    </s:row>
    <s:row r="528">
      <s:c r="A528" s="0" t="n">
        <s:v>260813</s:v>
      </s:c>
      <s:c r="B528" s="0" t="inlineStr">
        <s:is>
          <s:t>이종훈</s:t>
        </s:is>
      </s:c>
      <s:c r="C528" s="0" t="n">
        <s:v>102022</s:v>
      </s:c>
      <s:c r="D528" s="0" t="n">
        <s:v>3859</s:v>
      </s:c>
      <s:c r="F528" s="24">
        <s:f>'자료구성'!$B$2+TIME(INT($C$3/10000),INT(MOD($C$3,10000)/100),MOD($C$3,100))+(ROW()-ROW($C$3))/86400</s:f>
        <s:v>46247.436886574076</s:v>
      </s:c>
    </s:row>
    <s:row r="529">
      <s:c r="A529" s="0" t="n">
        <s:v>260813</s:v>
      </s:c>
      <s:c r="B529" s="0" t="inlineStr">
        <s:is>
          <s:t>이종훈</s:t>
        </s:is>
      </s:c>
      <s:c r="C529" s="0" t="n">
        <s:v>102022</s:v>
      </s:c>
      <s:c r="D529" s="0" t="n">
        <s:v>3824</s:v>
      </s:c>
      <s:c r="F529" s="24">
        <s:f>'자료구성'!$B$2+TIME(INT($C$3/10000),INT(MOD($C$3,10000)/100),MOD($C$3,100))+(ROW()-ROW($C$3))/86400</s:f>
        <s:v>46247.436898148146</s:v>
      </s:c>
    </s:row>
    <s:row r="530">
      <s:c r="A530" s="0" t="n">
        <s:v>260813</s:v>
      </s:c>
      <s:c r="B530" s="0" t="inlineStr">
        <s:is>
          <s:t>이종훈</s:t>
        </s:is>
      </s:c>
      <s:c r="C530" s="0" t="n">
        <s:v>102022</s:v>
      </s:c>
      <s:c r="D530" s="0" t="n">
        <s:v>3716</s:v>
      </s:c>
      <s:c r="F530" s="24">
        <s:f>'자료구성'!$B$2+TIME(INT($C$3/10000),INT(MOD($C$3,10000)/100),MOD($C$3,100))+(ROW()-ROW($C$3))/86400</s:f>
        <s:v>46247.43690972222</s:v>
      </s:c>
    </s:row>
    <s:row r="531">
      <s:c r="A531" s="0" t="n">
        <s:v>260813</s:v>
      </s:c>
      <s:c r="B531" s="0" t="inlineStr">
        <s:is>
          <s:t>이종훈</s:t>
        </s:is>
      </s:c>
      <s:c r="C531" s="0" t="n">
        <s:v>102022</s:v>
      </s:c>
      <s:c r="D531" s="0" t="n">
        <s:v>3644</s:v>
      </s:c>
      <s:c r="F531" s="24">
        <s:f>'자료구성'!$B$2+TIME(INT($C$3/10000),INT(MOD($C$3,10000)/100),MOD($C$3,100))+(ROW()-ROW($C$3))/86400</s:f>
        <s:v>46247.4369212963</s:v>
      </s:c>
    </s:row>
    <s:row r="532">
      <s:c r="A532" s="0" t="n">
        <s:v>260813</s:v>
      </s:c>
      <s:c r="B532" s="0" t="inlineStr">
        <s:is>
          <s:t>이종훈</s:t>
        </s:is>
      </s:c>
      <s:c r="C532" s="0" t="n">
        <s:v>102022</s:v>
      </s:c>
      <s:c r="D532" s="0" t="n">
        <s:v>3634</s:v>
      </s:c>
      <s:c r="F532" s="24">
        <s:f>'자료구성'!$B$2+TIME(INT($C$3/10000),INT(MOD($C$3,10000)/100),MOD($C$3,100))+(ROW()-ROW($C$3))/86400</s:f>
        <s:v>46247.43693287037</s:v>
      </s:c>
    </s:row>
    <s:row r="533">
      <s:c r="A533" s="0" t="n">
        <s:v>260813</s:v>
      </s:c>
      <s:c r="B533" s="0" t="inlineStr">
        <s:is>
          <s:t>이종훈</s:t>
        </s:is>
      </s:c>
      <s:c r="C533" s="0" t="n">
        <s:v>102022</s:v>
      </s:c>
      <s:c r="D533" s="0" t="n">
        <s:v>3635</s:v>
      </s:c>
      <s:c r="F533" s="24">
        <s:f>'자료구성'!$B$2+TIME(INT($C$3/10000),INT(MOD($C$3,10000)/100),MOD($C$3,100))+(ROW()-ROW($C$3))/86400</s:f>
        <s:v>46247.436944444446</s:v>
      </s:c>
    </s:row>
    <s:row r="534">
      <s:c r="A534" s="0" t="n">
        <s:v>260813</s:v>
      </s:c>
      <s:c r="B534" s="0" t="inlineStr">
        <s:is>
          <s:t>이종훈</s:t>
        </s:is>
      </s:c>
      <s:c r="C534" s="0" t="n">
        <s:v>102022</s:v>
      </s:c>
      <s:c r="D534" s="0" t="n">
        <s:v>3663</s:v>
      </s:c>
      <s:c r="F534" s="24">
        <s:f>'자료구성'!$B$2+TIME(INT($C$3/10000),INT(MOD($C$3,10000)/100),MOD($C$3,100))+(ROW()-ROW($C$3))/86400</s:f>
        <s:v>46247.436956018515</s:v>
      </s:c>
    </s:row>
    <s:row r="535">
      <s:c r="A535" s="0" t="n">
        <s:v>260813</s:v>
      </s:c>
      <s:c r="B535" s="0" t="inlineStr">
        <s:is>
          <s:t>이종훈</s:t>
        </s:is>
      </s:c>
      <s:c r="C535" s="0" t="n">
        <s:v>102022</s:v>
      </s:c>
      <s:c r="D535" s="0" t="n">
        <s:v>3730</s:v>
      </s:c>
      <s:c r="F535" s="24">
        <s:f>'자료구성'!$B$2+TIME(INT($C$3/10000),INT(MOD($C$3,10000)/100),MOD($C$3,100))+(ROW()-ROW($C$3))/86400</s:f>
        <s:v>46247.43696759259</s:v>
      </s:c>
    </s:row>
    <s:row r="536">
      <s:c r="A536" s="0" t="n">
        <s:v>260813</s:v>
      </s:c>
      <s:c r="B536" s="0" t="inlineStr">
        <s:is>
          <s:t>이종훈</s:t>
        </s:is>
      </s:c>
      <s:c r="C536" s="0" t="n">
        <s:v>102022</s:v>
      </s:c>
      <s:c r="D536" s="0" t="n">
        <s:v>3868</s:v>
      </s:c>
      <s:c r="F536" s="24">
        <s:f>'자료구성'!$B$2+TIME(INT($C$3/10000),INT(MOD($C$3,10000)/100),MOD($C$3,100))+(ROW()-ROW($C$3))/86400</s:f>
        <s:v>46247.43697916667</s:v>
      </s:c>
    </s:row>
    <s:row r="537">
      <s:c r="A537" s="0" t="n">
        <s:v>260813</s:v>
      </s:c>
      <s:c r="B537" s="0" t="inlineStr">
        <s:is>
          <s:t>이종훈</s:t>
        </s:is>
      </s:c>
      <s:c r="C537" s="0" t="n">
        <s:v>102022</s:v>
      </s:c>
      <s:c r="D537" s="0" t="n">
        <s:v>3904</s:v>
      </s:c>
      <s:c r="F537" s="24">
        <s:f>'자료구성'!$B$2+TIME(INT($C$3/10000),INT(MOD($C$3,10000)/100),MOD($C$3,100))+(ROW()-ROW($C$3))/86400</s:f>
        <s:v>46247.43699074074</s:v>
      </s:c>
    </s:row>
    <s:row r="538">
      <s:c r="A538" s="0" t="n">
        <s:v>260813</s:v>
      </s:c>
      <s:c r="B538" s="0" t="inlineStr">
        <s:is>
          <s:t>이종훈</s:t>
        </s:is>
      </s:c>
      <s:c r="C538" s="0" t="n">
        <s:v>102022</s:v>
      </s:c>
      <s:c r="D538" s="0" t="n">
        <s:v>3892</s:v>
      </s:c>
      <s:c r="F538" s="24">
        <s:f>'자료구성'!$B$2+TIME(INT($C$3/10000),INT(MOD($C$3,10000)/100),MOD($C$3,100))+(ROW()-ROW($C$3))/86400</s:f>
        <s:v>46247.437002314815</s:v>
      </s:c>
    </s:row>
    <s:row r="539">
      <s:c r="A539" s="0" t="n">
        <s:v>260813</s:v>
      </s:c>
      <s:c r="B539" s="0" t="inlineStr">
        <s:is>
          <s:t>이종훈</s:t>
        </s:is>
      </s:c>
      <s:c r="C539" s="0" t="n">
        <s:v>102022</s:v>
      </s:c>
      <s:c r="D539" s="0" t="n">
        <s:v>3818</s:v>
      </s:c>
      <s:c r="F539" s="24">
        <s:f>'자료구성'!$B$2+TIME(INT($C$3/10000),INT(MOD($C$3,10000)/100),MOD($C$3,100))+(ROW()-ROW($C$3))/86400</s:f>
        <s:v>46247.43701388889</s:v>
      </s:c>
    </s:row>
    <s:row r="540">
      <s:c r="A540" s="0" t="n">
        <s:v>260813</s:v>
      </s:c>
      <s:c r="B540" s="0" t="inlineStr">
        <s:is>
          <s:t>이종훈</s:t>
        </s:is>
      </s:c>
      <s:c r="C540" s="0" t="n">
        <s:v>102022</s:v>
      </s:c>
      <s:c r="D540" s="0" t="n">
        <s:v>3787</s:v>
      </s:c>
      <s:c r="F540" s="24">
        <s:f>'자료구성'!$B$2+TIME(INT($C$3/10000),INT(MOD($C$3,10000)/100),MOD($C$3,100))+(ROW()-ROW($C$3))/86400</s:f>
        <s:v>46247.43702546296</s:v>
      </s:c>
    </s:row>
    <s:row r="541">
      <s:c r="A541" s="0" t="n">
        <s:v>260813</s:v>
      </s:c>
      <s:c r="B541" s="0" t="inlineStr">
        <s:is>
          <s:t>이종훈</s:t>
        </s:is>
      </s:c>
      <s:c r="C541" s="0" t="n">
        <s:v>102022</s:v>
      </s:c>
      <s:c r="D541" s="0" t="n">
        <s:v>3767</s:v>
      </s:c>
      <s:c r="F541" s="24">
        <s:f>'자료구성'!$B$2+TIME(INT($C$3/10000),INT(MOD($C$3,10000)/100),MOD($C$3,100))+(ROW()-ROW($C$3))/86400</s:f>
        <s:v>46247.43703703704</s:v>
      </s:c>
    </s:row>
    <s:row r="542">
      <s:c r="A542" s="0" t="n">
        <s:v>260813</s:v>
      </s:c>
      <s:c r="B542" s="0" t="inlineStr">
        <s:is>
          <s:t>이종훈</s:t>
        </s:is>
      </s:c>
      <s:c r="C542" s="0" t="n">
        <s:v>102022</s:v>
      </s:c>
      <s:c r="D542" s="0" t="n">
        <s:v>3791</s:v>
      </s:c>
      <s:c r="F542" s="24">
        <s:f>'자료구성'!$B$2+TIME(INT($C$3/10000),INT(MOD($C$3,10000)/100),MOD($C$3,100))+(ROW()-ROW($C$3))/86400</s:f>
        <s:v>46247.437048611115</s:v>
      </s:c>
    </s:row>
    <s:row r="543">
      <s:c r="A543" s="0" t="n">
        <s:v>260813</s:v>
      </s:c>
      <s:c r="B543" s="0" t="inlineStr">
        <s:is>
          <s:t>이종훈</s:t>
        </s:is>
      </s:c>
      <s:c r="C543" s="0" t="n">
        <s:v>102022</s:v>
      </s:c>
      <s:c r="D543" s="0" t="n">
        <s:v>3758</s:v>
      </s:c>
      <s:c r="F543" s="24">
        <s:f>'자료구성'!$B$2+TIME(INT($C$3/10000),INT(MOD($C$3,10000)/100),MOD($C$3,100))+(ROW()-ROW($C$3))/86400</s:f>
        <s:v>46247.437060185184</s:v>
      </s:c>
    </s:row>
    <s:row r="544">
      <s:c r="A544" s="0" t="n">
        <s:v>260813</s:v>
      </s:c>
      <s:c r="B544" s="0" t="inlineStr">
        <s:is>
          <s:t>이종훈</s:t>
        </s:is>
      </s:c>
      <s:c r="C544" s="0" t="n">
        <s:v>102022</s:v>
      </s:c>
      <s:c r="D544" s="0" t="n">
        <s:v>3686</s:v>
      </s:c>
      <s:c r="F544" s="24">
        <s:f>'자료구성'!$B$2+TIME(INT($C$3/10000),INT(MOD($C$3,10000)/100),MOD($C$3,100))+(ROW()-ROW($C$3))/86400</s:f>
        <s:v>46247.43707175926</s:v>
      </s:c>
    </s:row>
    <s:row r="545">
      <s:c r="A545" s="0" t="n">
        <s:v>260813</s:v>
      </s:c>
      <s:c r="B545" s="0" t="inlineStr">
        <s:is>
          <s:t>이종훈</s:t>
        </s:is>
      </s:c>
      <s:c r="C545" s="0" t="n">
        <s:v>102022</s:v>
      </s:c>
      <s:c r="D545" s="0" t="n">
        <s:v>3666</s:v>
      </s:c>
      <s:c r="F545" s="24">
        <s:f>'자료구성'!$B$2+TIME(INT($C$3/10000),INT(MOD($C$3,10000)/100),MOD($C$3,100))+(ROW()-ROW($C$3))/86400</s:f>
        <s:v>46247.43708333333</s:v>
      </s:c>
    </s:row>
    <s:row r="546">
      <s:c r="A546" s="0" t="n">
        <s:v>260813</s:v>
      </s:c>
      <s:c r="B546" s="0" t="inlineStr">
        <s:is>
          <s:t>이종훈</s:t>
        </s:is>
      </s:c>
      <s:c r="C546" s="0" t="n">
        <s:v>102022</s:v>
      </s:c>
      <s:c r="D546" s="0" t="n">
        <s:v>3647</s:v>
      </s:c>
      <s:c r="F546" s="24">
        <s:f>'자료구성'!$B$2+TIME(INT($C$3/10000),INT(MOD($C$3,10000)/100),MOD($C$3,100))+(ROW()-ROW($C$3))/86400</s:f>
        <s:v>46247.43709490741</s:v>
      </s:c>
    </s:row>
    <s:row r="547">
      <s:c r="A547" s="0" t="n">
        <s:v>260813</s:v>
      </s:c>
      <s:c r="B547" s="0" t="inlineStr">
        <s:is>
          <s:t>이종훈</s:t>
        </s:is>
      </s:c>
      <s:c r="C547" s="0" t="n">
        <s:v>102022</s:v>
      </s:c>
      <s:c r="D547" s="0" t="n">
        <s:v>3626</s:v>
      </s:c>
      <s:c r="F547" s="24">
        <s:f>'자료구성'!$B$2+TIME(INT($C$3/10000),INT(MOD($C$3,10000)/100),MOD($C$3,100))+(ROW()-ROW($C$3))/86400</s:f>
        <s:v>46247.437106481484</s:v>
      </s:c>
    </s:row>
    <s:row r="548">
      <s:c r="A548" s="0" t="n">
        <s:v>260813</s:v>
      </s:c>
      <s:c r="B548" s="0" t="inlineStr">
        <s:is>
          <s:t>이종훈</s:t>
        </s:is>
      </s:c>
      <s:c r="C548" s="0" t="n">
        <s:v>102022</s:v>
      </s:c>
      <s:c r="D548" s="0" t="n">
        <s:v>3576</s:v>
      </s:c>
      <s:c r="F548" s="24">
        <s:f>'자료구성'!$B$2+TIME(INT($C$3/10000),INT(MOD($C$3,10000)/100),MOD($C$3,100))+(ROW()-ROW($C$3))/86400</s:f>
        <s:v>46247.43711805555</s:v>
      </s:c>
    </s:row>
    <s:row r="549">
      <s:c r="A549" s="0" t="n">
        <s:v>260813</s:v>
      </s:c>
      <s:c r="B549" s="0" t="inlineStr">
        <s:is>
          <s:t>이종훈</s:t>
        </s:is>
      </s:c>
      <s:c r="C549" s="0" t="n">
        <s:v>102022</s:v>
      </s:c>
      <s:c r="D549" s="0" t="n">
        <s:v>3560</s:v>
      </s:c>
      <s:c r="F549" s="24">
        <s:f>'자료구성'!$B$2+TIME(INT($C$3/10000),INT(MOD($C$3,10000)/100),MOD($C$3,100))+(ROW()-ROW($C$3))/86400</s:f>
        <s:v>46247.43712962963</s:v>
      </s:c>
    </s:row>
    <s:row r="550">
      <s:c r="A550" s="0" t="n">
        <s:v>260813</s:v>
      </s:c>
      <s:c r="B550" s="0" t="inlineStr">
        <s:is>
          <s:t>이종훈</s:t>
        </s:is>
      </s:c>
      <s:c r="C550" s="0" t="n">
        <s:v>102022</s:v>
      </s:c>
      <s:c r="D550" s="0" t="n">
        <s:v>3490</s:v>
      </s:c>
      <s:c r="F550" s="24">
        <s:f>'자료구성'!$B$2+TIME(INT($C$3/10000),INT(MOD($C$3,10000)/100),MOD($C$3,100))+(ROW()-ROW($C$3))/86400</s:f>
        <s:v>46247.43714120371</s:v>
      </s:c>
    </s:row>
    <s:row r="551">
      <s:c r="A551" s="0" t="n">
        <s:v>260813</s:v>
      </s:c>
      <s:c r="B551" s="0" t="inlineStr">
        <s:is>
          <s:t>이종훈</s:t>
        </s:is>
      </s:c>
      <s:c r="C551" s="0" t="n">
        <s:v>102022</s:v>
      </s:c>
      <s:c r="D551" s="0" t="n">
        <s:v>3350</s:v>
      </s:c>
      <s:c r="F551" s="24">
        <s:f>'자료구성'!$B$2+TIME(INT($C$3/10000),INT(MOD($C$3,10000)/100),MOD($C$3,100))+(ROW()-ROW($C$3))/86400</s:f>
        <s:v>46247.43715277778</s:v>
      </s:c>
    </s:row>
    <s:row r="552">
      <s:c r="A552" s="0" t="n">
        <s:v>260813</s:v>
      </s:c>
      <s:c r="B552" s="0" t="inlineStr">
        <s:is>
          <s:t>이종훈</s:t>
        </s:is>
      </s:c>
      <s:c r="C552" s="0" t="n">
        <s:v>102022</s:v>
      </s:c>
      <s:c r="D552" s="0" t="n">
        <s:v>3350</s:v>
      </s:c>
      <s:c r="F552" s="24">
        <s:f>'자료구성'!$B$2+TIME(INT($C$3/10000),INT(MOD($C$3,10000)/100),MOD($C$3,100))+(ROW()-ROW($C$3))/86400</s:f>
        <s:v>46247.43716435185</s:v>
      </s:c>
    </s:row>
    <s:row r="553">
      <s:c r="A553" s="0" t="n">
        <s:v>260813</s:v>
      </s:c>
      <s:c r="B553" s="0" t="inlineStr">
        <s:is>
          <s:t>이종훈</s:t>
        </s:is>
      </s:c>
      <s:c r="C553" s="0" t="n">
        <s:v>102022</s:v>
      </s:c>
      <s:c r="D553" s="0" t="n">
        <s:v>3249</s:v>
      </s:c>
      <s:c r="F553" s="24">
        <s:f>'자료구성'!$B$2+TIME(INT($C$3/10000),INT(MOD($C$3,10000)/100),MOD($C$3,100))+(ROW()-ROW($C$3))/86400</s:f>
        <s:v>46247.43717592592</s:v>
      </s:c>
    </s:row>
    <s:row r="554">
      <s:c r="A554" s="0" t="n">
        <s:v>260813</s:v>
      </s:c>
      <s:c r="B554" s="0" t="inlineStr">
        <s:is>
          <s:t>이종훈</s:t>
        </s:is>
      </s:c>
      <s:c r="C554" s="0" t="n">
        <s:v>102022</s:v>
      </s:c>
      <s:c r="D554" s="0" t="n">
        <s:v>3171</s:v>
      </s:c>
      <s:c r="F554" s="24">
        <s:f>'자료구성'!$B$2+TIME(INT($C$3/10000),INT(MOD($C$3,10000)/100),MOD($C$3,100))+(ROW()-ROW($C$3))/86400</s:f>
        <s:v>46247.4371875</s:v>
      </s:c>
    </s:row>
    <s:row r="555">
      <s:c r="A555" s="0" t="n">
        <s:v>260813</s:v>
      </s:c>
      <s:c r="B555" s="0" t="inlineStr">
        <s:is>
          <s:t>이종훈</s:t>
        </s:is>
      </s:c>
      <s:c r="C555" s="0" t="n">
        <s:v>102022</s:v>
      </s:c>
      <s:c r="D555" s="0" t="n">
        <s:v>3107</s:v>
      </s:c>
      <s:c r="F555" s="24">
        <s:f>'자료구성'!$B$2+TIME(INT($C$3/10000),INT(MOD($C$3,10000)/100),MOD($C$3,100))+(ROW()-ROW($C$3))/86400</s:f>
        <s:v>46247.43719907408</s:v>
      </s:c>
    </s:row>
    <s:row r="556">
      <s:c r="A556" s="0" t="n">
        <s:v>260813</s:v>
      </s:c>
      <s:c r="B556" s="0" t="inlineStr">
        <s:is>
          <s:t>이종훈</s:t>
        </s:is>
      </s:c>
      <s:c r="C556" s="0" t="n">
        <s:v>102022</s:v>
      </s:c>
      <s:c r="D556" s="0" t="n">
        <s:v>3036</s:v>
      </s:c>
      <s:c r="F556" s="24">
        <s:f>'자료구성'!$B$2+TIME(INT($C$3/10000),INT(MOD($C$3,10000)/100),MOD($C$3,100))+(ROW()-ROW($C$3))/86400</s:f>
        <s:v>46247.437210648146</s:v>
      </s:c>
    </s:row>
    <s:row r="557">
      <s:c r="A557" s="0" t="n">
        <s:v>260813</s:v>
      </s:c>
      <s:c r="B557" s="0" t="inlineStr">
        <s:is>
          <s:t>이종훈</s:t>
        </s:is>
      </s:c>
      <s:c r="C557" s="0" t="n">
        <s:v>102022</s:v>
      </s:c>
      <s:c r="D557" s="0" t="n">
        <s:v>2944</s:v>
      </s:c>
      <s:c r="F557" s="24">
        <s:f>'자료구성'!$B$2+TIME(INT($C$3/10000),INT(MOD($C$3,10000)/100),MOD($C$3,100))+(ROW()-ROW($C$3))/86400</s:f>
        <s:v>46247.43722222222</s:v>
      </s:c>
    </s:row>
    <s:row r="558">
      <s:c r="A558" s="0" t="n">
        <s:v>260813</s:v>
      </s:c>
      <s:c r="B558" s="0" t="inlineStr">
        <s:is>
          <s:t>이종훈</s:t>
        </s:is>
      </s:c>
      <s:c r="C558" s="0" t="n">
        <s:v>102022</s:v>
      </s:c>
      <s:c r="D558" s="0" t="n">
        <s:v>2907</s:v>
      </s:c>
      <s:c r="F558" s="24">
        <s:f>'자료구성'!$B$2+TIME(INT($C$3/10000),INT(MOD($C$3,10000)/100),MOD($C$3,100))+(ROW()-ROW($C$3))/86400</s:f>
        <s:v>46247.4372337963</s:v>
      </s:c>
    </s:row>
    <s:row r="559">
      <s:c r="A559" s="0" t="n">
        <s:v>260813</s:v>
      </s:c>
      <s:c r="B559" s="0" t="inlineStr">
        <s:is>
          <s:t>이종훈</s:t>
        </s:is>
      </s:c>
      <s:c r="C559" s="0" t="n">
        <s:v>102022</s:v>
      </s:c>
      <s:c r="D559" s="0" t="n">
        <s:v>2876</s:v>
      </s:c>
      <s:c r="F559" s="24">
        <s:f>'자료구성'!$B$2+TIME(INT($C$3/10000),INT(MOD($C$3,10000)/100),MOD($C$3,100))+(ROW()-ROW($C$3))/86400</s:f>
        <s:v>46247.43724537037</s:v>
      </s:c>
    </s:row>
    <s:row r="560">
      <s:c r="A560" s="0" t="n">
        <s:v>260813</s:v>
      </s:c>
      <s:c r="B560" s="0" t="inlineStr">
        <s:is>
          <s:t>이종훈</s:t>
        </s:is>
      </s:c>
      <s:c r="C560" s="0" t="n">
        <s:v>102022</s:v>
      </s:c>
      <s:c r="D560" s="0" t="n">
        <s:v>2881</s:v>
      </s:c>
      <s:c r="F560" s="24">
        <s:f>'자료구성'!$B$2+TIME(INT($C$3/10000),INT(MOD($C$3,10000)/100),MOD($C$3,100))+(ROW()-ROW($C$3))/86400</s:f>
        <s:v>46247.437256944446</s:v>
      </s:c>
    </s:row>
    <s:row r="561">
      <s:c r="A561" s="0" t="n">
        <s:v>260813</s:v>
      </s:c>
      <s:c r="B561" s="0" t="inlineStr">
        <s:is>
          <s:t>이종훈</s:t>
        </s:is>
      </s:c>
      <s:c r="C561" s="0" t="n">
        <s:v>102022</s:v>
      </s:c>
      <s:c r="D561" s="0" t="n">
        <s:v>2829</s:v>
      </s:c>
      <s:c r="F561" s="24">
        <s:f>'자료구성'!$B$2+TIME(INT($C$3/10000),INT(MOD($C$3,10000)/100),MOD($C$3,100))+(ROW()-ROW($C$3))/86400</s:f>
        <s:v>46247.437268518515</s:v>
      </s:c>
    </s:row>
    <s:row r="562">
      <s:c r="A562" s="0" t="n">
        <s:v>260813</s:v>
      </s:c>
      <s:c r="B562" s="0" t="inlineStr">
        <s:is>
          <s:t>이종훈</s:t>
        </s:is>
      </s:c>
      <s:c r="C562" s="0" t="n">
        <s:v>102022</s:v>
      </s:c>
      <s:c r="D562" s="0" t="n">
        <s:v>2769</s:v>
      </s:c>
      <s:c r="F562" s="24">
        <s:f>'자료구성'!$B$2+TIME(INT($C$3/10000),INT(MOD($C$3,10000)/100),MOD($C$3,100))+(ROW()-ROW($C$3))/86400</s:f>
        <s:v>46247.43728009259</s:v>
      </s:c>
    </s:row>
    <s:row r="563">
      <s:c r="A563" s="0" t="n">
        <s:v>260813</s:v>
      </s:c>
      <s:c r="B563" s="0" t="inlineStr">
        <s:is>
          <s:t>이종훈</s:t>
        </s:is>
      </s:c>
      <s:c r="C563" s="0" t="n">
        <s:v>102022</s:v>
      </s:c>
      <s:c r="D563" s="0" t="n">
        <s:v>2736</s:v>
      </s:c>
      <s:c r="F563" s="24">
        <s:f>'자료구성'!$B$2+TIME(INT($C$3/10000),INT(MOD($C$3,10000)/100),MOD($C$3,100))+(ROW()-ROW($C$3))/86400</s:f>
        <s:v>46247.43729166667</s:v>
      </s:c>
    </s:row>
    <s:row r="564">
      <s:c r="A564" s="0" t="n">
        <s:v>260813</s:v>
      </s:c>
      <s:c r="B564" s="0" t="inlineStr">
        <s:is>
          <s:t>이종훈</s:t>
        </s:is>
      </s:c>
      <s:c r="C564" s="0" t="n">
        <s:v>102022</s:v>
      </s:c>
      <s:c r="D564" s="0" t="n">
        <s:v>2670</s:v>
      </s:c>
      <s:c r="F564" s="24">
        <s:f>'자료구성'!$B$2+TIME(INT($C$3/10000),INT(MOD($C$3,10000)/100),MOD($C$3,100))+(ROW()-ROW($C$3))/86400</s:f>
        <s:v>46247.43730324074</s:v>
      </s:c>
    </s:row>
    <s:row r="565">
      <s:c r="A565" s="0" t="n">
        <s:v>260813</s:v>
      </s:c>
      <s:c r="B565" s="0" t="inlineStr">
        <s:is>
          <s:t>이종훈</s:t>
        </s:is>
      </s:c>
      <s:c r="C565" s="0" t="n">
        <s:v>102022</s:v>
      </s:c>
      <s:c r="D565" s="0" t="n">
        <s:v>2596</s:v>
      </s:c>
      <s:c r="F565" s="24">
        <s:f>'자료구성'!$B$2+TIME(INT($C$3/10000),INT(MOD($C$3,10000)/100),MOD($C$3,100))+(ROW()-ROW($C$3))/86400</s:f>
        <s:v>46247.437314814815</s:v>
      </s:c>
    </s:row>
    <s:row r="566">
      <s:c r="A566" s="0" t="n">
        <s:v>260813</s:v>
      </s:c>
      <s:c r="B566" s="0" t="inlineStr">
        <s:is>
          <s:t>이종훈</s:t>
        </s:is>
      </s:c>
      <s:c r="C566" s="0" t="n">
        <s:v>102022</s:v>
      </s:c>
      <s:c r="D566" s="0" t="n">
        <s:v>2589</s:v>
      </s:c>
      <s:c r="F566" s="24">
        <s:f>'자료구성'!$B$2+TIME(INT($C$3/10000),INT(MOD($C$3,10000)/100),MOD($C$3,100))+(ROW()-ROW($C$3))/86400</s:f>
        <s:v>46247.43732638889</s:v>
      </s:c>
    </s:row>
    <s:row r="567">
      <s:c r="A567" s="0" t="n">
        <s:v>260813</s:v>
      </s:c>
      <s:c r="B567" s="0" t="inlineStr">
        <s:is>
          <s:t>이종훈</s:t>
        </s:is>
      </s:c>
      <s:c r="C567" s="0" t="n">
        <s:v>102022</s:v>
      </s:c>
      <s:c r="D567" s="0" t="n">
        <s:v>2552</s:v>
      </s:c>
      <s:c r="F567" s="24">
        <s:f>'자료구성'!$B$2+TIME(INT($C$3/10000),INT(MOD($C$3,10000)/100),MOD($C$3,100))+(ROW()-ROW($C$3))/86400</s:f>
        <s:v>46247.43733796296</s:v>
      </s:c>
    </s:row>
    <s:row r="568">
      <s:c r="A568" s="0" t="n">
        <s:v>260813</s:v>
      </s:c>
      <s:c r="B568" s="0" t="inlineStr">
        <s:is>
          <s:t>이종훈</s:t>
        </s:is>
      </s:c>
      <s:c r="C568" s="0" t="n">
        <s:v>102022</s:v>
      </s:c>
      <s:c r="D568" s="0" t="n">
        <s:v>2501</s:v>
      </s:c>
      <s:c r="F568" s="24">
        <s:f>'자료구성'!$B$2+TIME(INT($C$3/10000),INT(MOD($C$3,10000)/100),MOD($C$3,100))+(ROW()-ROW($C$3))/86400</s:f>
        <s:v>46247.43734953704</s:v>
      </s:c>
    </s:row>
    <s:row r="569">
      <s:c r="A569" s="0" t="n">
        <s:v>260813</s:v>
      </s:c>
      <s:c r="B569" s="0" t="inlineStr">
        <s:is>
          <s:t>이종훈</s:t>
        </s:is>
      </s:c>
      <s:c r="C569" s="0" t="n">
        <s:v>102022</s:v>
      </s:c>
      <s:c r="D569" s="0" t="n">
        <s:v>2468</s:v>
      </s:c>
      <s:c r="F569" s="24">
        <s:f>'자료구성'!$B$2+TIME(INT($C$3/10000),INT(MOD($C$3,10000)/100),MOD($C$3,100))+(ROW()-ROW($C$3))/86400</s:f>
        <s:v>46247.43736111111</s:v>
      </s:c>
    </s:row>
    <s:row r="570">
      <s:c r="A570" s="0" t="n">
        <s:v>260813</s:v>
      </s:c>
      <s:c r="B570" s="0" t="inlineStr">
        <s:is>
          <s:t>이종훈</s:t>
        </s:is>
      </s:c>
      <s:c r="C570" s="0" t="n">
        <s:v>102022</s:v>
      </s:c>
      <s:c r="D570" s="0" t="n">
        <s:v>2535</s:v>
      </s:c>
      <s:c r="F570" s="24">
        <s:f>'자료구성'!$B$2+TIME(INT($C$3/10000),INT(MOD($C$3,10000)/100),MOD($C$3,100))+(ROW()-ROW($C$3))/86400</s:f>
        <s:v>46247.437372685185</s:v>
      </s:c>
    </s:row>
    <s:row r="571">
      <s:c r="A571" s="0" t="n">
        <s:v>260813</s:v>
      </s:c>
      <s:c r="B571" s="0" t="inlineStr">
        <s:is>
          <s:t>이종훈</s:t>
        </s:is>
      </s:c>
      <s:c r="C571" s="0" t="n">
        <s:v>102022</s:v>
      </s:c>
      <s:c r="D571" s="0" t="n">
        <s:v>2557</s:v>
      </s:c>
      <s:c r="F571" s="24">
        <s:f>'자료구성'!$B$2+TIME(INT($C$3/10000),INT(MOD($C$3,10000)/100),MOD($C$3,100))+(ROW()-ROW($C$3))/86400</s:f>
        <s:v>46247.43738425926</s:v>
      </s:c>
    </s:row>
    <s:row r="572">
      <s:c r="A572" s="0" t="n">
        <s:v>260813</s:v>
      </s:c>
      <s:c r="B572" s="0" t="inlineStr">
        <s:is>
          <s:t>이종훈</s:t>
        </s:is>
      </s:c>
      <s:c r="C572" s="0" t="n">
        <s:v>102022</s:v>
      </s:c>
      <s:c r="D572" s="0" t="n">
        <s:v>2521</s:v>
      </s:c>
      <s:c r="F572" s="24">
        <s:f>'자료구성'!$B$2+TIME(INT($C$3/10000),INT(MOD($C$3,10000)/100),MOD($C$3,100))+(ROW()-ROW($C$3))/86400</s:f>
        <s:v>46247.43739583333</s:v>
      </s:c>
    </s:row>
    <s:row r="573">
      <s:c r="A573" s="0" t="n">
        <s:v>260813</s:v>
      </s:c>
      <s:c r="B573" s="0" t="inlineStr">
        <s:is>
          <s:t>이종훈</s:t>
        </s:is>
      </s:c>
      <s:c r="C573" s="0" t="n">
        <s:v>102022</s:v>
      </s:c>
      <s:c r="D573" s="0" t="n">
        <s:v>2530</s:v>
      </s:c>
      <s:c r="F573" s="24">
        <s:f>'자료구성'!$B$2+TIME(INT($C$3/10000),INT(MOD($C$3,10000)/100),MOD($C$3,100))+(ROW()-ROW($C$3))/86400</s:f>
        <s:v>46247.43740740741</s:v>
      </s:c>
    </s:row>
    <s:row r="574">
      <s:c r="A574" s="0" t="n">
        <s:v>260813</s:v>
      </s:c>
      <s:c r="B574" s="0" t="inlineStr">
        <s:is>
          <s:t>이종훈</s:t>
        </s:is>
      </s:c>
      <s:c r="C574" s="0" t="n">
        <s:v>102022</s:v>
      </s:c>
      <s:c r="D574" s="0" t="n">
        <s:v>2554</s:v>
      </s:c>
      <s:c r="F574" s="24">
        <s:f>'자료구성'!$B$2+TIME(INT($C$3/10000),INT(MOD($C$3,10000)/100),MOD($C$3,100))+(ROW()-ROW($C$3))/86400</s:f>
        <s:v>46247.437418981484</s:v>
      </s:c>
    </s:row>
    <s:row r="575">
      <s:c r="A575" s="0" t="n">
        <s:v>260813</s:v>
      </s:c>
      <s:c r="B575" s="0" t="inlineStr">
        <s:is>
          <s:t>이종훈</s:t>
        </s:is>
      </s:c>
      <s:c r="C575" s="0" t="n">
        <s:v>102022</s:v>
      </s:c>
      <s:c r="D575" s="0" t="n">
        <s:v>2555</s:v>
      </s:c>
      <s:c r="F575" s="24">
        <s:f>'자료구성'!$B$2+TIME(INT($C$3/10000),INT(MOD($C$3,10000)/100),MOD($C$3,100))+(ROW()-ROW($C$3))/86400</s:f>
        <s:v>46247.437430555554</s:v>
      </s:c>
    </s:row>
    <s:row r="576">
      <s:c r="A576" s="0" t="n">
        <s:v>260813</s:v>
      </s:c>
      <s:c r="B576" s="0" t="inlineStr">
        <s:is>
          <s:t>이종훈</s:t>
        </s:is>
      </s:c>
      <s:c r="C576" s="0" t="n">
        <s:v>102022</s:v>
      </s:c>
      <s:c r="D576" s="0" t="n">
        <s:v>2578</s:v>
      </s:c>
      <s:c r="F576" s="24">
        <s:f>'자료구성'!$B$2+TIME(INT($C$3/10000),INT(MOD($C$3,10000)/100),MOD($C$3,100))+(ROW()-ROW($C$3))/86400</s:f>
        <s:v>46247.43744212963</s:v>
      </s:c>
    </s:row>
    <s:row r="577">
      <s:c r="A577" s="0" t="n">
        <s:v>260813</s:v>
      </s:c>
      <s:c r="B577" s="0" t="inlineStr">
        <s:is>
          <s:t>이종훈</s:t>
        </s:is>
      </s:c>
      <s:c r="C577" s="0" t="n">
        <s:v>102022</s:v>
      </s:c>
      <s:c r="D577" s="0" t="n">
        <s:v>2614</s:v>
      </s:c>
      <s:c r="F577" s="24">
        <s:f>'자료구성'!$B$2+TIME(INT($C$3/10000),INT(MOD($C$3,10000)/100),MOD($C$3,100))+(ROW()-ROW($C$3))/86400</s:f>
        <s:v>46247.4374537037</s:v>
      </s:c>
    </s:row>
    <s:row r="578">
      <s:c r="A578" s="0" t="n">
        <s:v>260813</s:v>
      </s:c>
      <s:c r="B578" s="0" t="inlineStr">
        <s:is>
          <s:t>이종훈</s:t>
        </s:is>
      </s:c>
      <s:c r="C578" s="0" t="n">
        <s:v>102022</s:v>
      </s:c>
      <s:c r="D578" s="0" t="n">
        <s:v>2603</s:v>
      </s:c>
      <s:c r="F578" s="24">
        <s:f>'자료구성'!$B$2+TIME(INT($C$3/10000),INT(MOD($C$3,10000)/100),MOD($C$3,100))+(ROW()-ROW($C$3))/86400</s:f>
        <s:v>46247.43746527778</s:v>
      </s:c>
    </s:row>
    <s:row r="579">
      <s:c r="A579" s="0" t="n">
        <s:v>260813</s:v>
      </s:c>
      <s:c r="B579" s="0" t="inlineStr">
        <s:is>
          <s:t>이종훈</s:t>
        </s:is>
      </s:c>
      <s:c r="C579" s="0" t="n">
        <s:v>102022</s:v>
      </s:c>
      <s:c r="D579" s="0" t="n">
        <s:v>2706</s:v>
      </s:c>
      <s:c r="F579" s="24">
        <s:f>'자료구성'!$B$2+TIME(INT($C$3/10000),INT(MOD($C$3,10000)/100),MOD($C$3,100))+(ROW()-ROW($C$3))/86400</s:f>
        <s:v>46247.437476851854</s:v>
      </s:c>
    </s:row>
    <s:row r="580">
      <s:c r="A580" s="0" t="n">
        <s:v>260813</s:v>
      </s:c>
      <s:c r="B580" s="0" t="inlineStr">
        <s:is>
          <s:t>이종훈</s:t>
        </s:is>
      </s:c>
      <s:c r="C580" s="0" t="n">
        <s:v>102022</s:v>
      </s:c>
      <s:c r="D580" s="0" t="n">
        <s:v>2769</s:v>
      </s:c>
      <s:c r="F580" s="24">
        <s:f>'자료구성'!$B$2+TIME(INT($C$3/10000),INT(MOD($C$3,10000)/100),MOD($C$3,100))+(ROW()-ROW($C$3))/86400</s:f>
        <s:v>46247.43748842592</s:v>
      </s:c>
    </s:row>
    <s:row r="581">
      <s:c r="A581" s="0" t="n">
        <s:v>260813</s:v>
      </s:c>
      <s:c r="B581" s="0" t="inlineStr">
        <s:is>
          <s:t>이종훈</s:t>
        </s:is>
      </s:c>
      <s:c r="C581" s="0" t="n">
        <s:v>102022</s:v>
      </s:c>
      <s:c r="D581" s="0" t="n">
        <s:v>2783</s:v>
      </s:c>
      <s:c r="F581" s="24">
        <s:f>'자료구성'!$B$2+TIME(INT($C$3/10000),INT(MOD($C$3,10000)/100),MOD($C$3,100))+(ROW()-ROW($C$3))/86400</s:f>
        <s:v>46247.4375</s:v>
      </s:c>
    </s:row>
    <s:row r="582">
      <s:c r="A582" s="0" t="n">
        <s:v>260813</s:v>
      </s:c>
      <s:c r="B582" s="0" t="inlineStr">
        <s:is>
          <s:t>이종훈</s:t>
        </s:is>
      </s:c>
      <s:c r="C582" s="0" t="n">
        <s:v>102022</s:v>
      </s:c>
      <s:c r="D582" s="0" t="n">
        <s:v>2831</s:v>
      </s:c>
      <s:c r="F582" s="24">
        <s:f>'자료구성'!$B$2+TIME(INT($C$3/10000),INT(MOD($C$3,10000)/100),MOD($C$3,100))+(ROW()-ROW($C$3))/86400</s:f>
        <s:v>46247.43751157408</s:v>
      </s:c>
    </s:row>
    <s:row r="583">
      <s:c r="A583" s="0" t="n">
        <s:v>260813</s:v>
      </s:c>
      <s:c r="B583" s="0" t="inlineStr">
        <s:is>
          <s:t>이종훈</s:t>
        </s:is>
      </s:c>
      <s:c r="C583" s="0" t="n">
        <s:v>102022</s:v>
      </s:c>
      <s:c r="D583" s="0" t="n">
        <s:v>2769</s:v>
      </s:c>
      <s:c r="F583" s="24">
        <s:f>'자료구성'!$B$2+TIME(INT($C$3/10000),INT(MOD($C$3,10000)/100),MOD($C$3,100))+(ROW()-ROW($C$3))/86400</s:f>
        <s:v>46247.437523148146</s:v>
      </s:c>
    </s:row>
    <s:row r="584">
      <s:c r="A584" s="0" t="n">
        <s:v>260813</s:v>
      </s:c>
      <s:c r="B584" s="0" t="inlineStr">
        <s:is>
          <s:t>이종훈</s:t>
        </s:is>
      </s:c>
      <s:c r="C584" s="0" t="n">
        <s:v>102022</s:v>
      </s:c>
      <s:c r="D584" s="0" t="n">
        <s:v>2734</s:v>
      </s:c>
      <s:c r="F584" s="24">
        <s:f>'자료구성'!$B$2+TIME(INT($C$3/10000),INT(MOD($C$3,10000)/100),MOD($C$3,100))+(ROW()-ROW($C$3))/86400</s:f>
        <s:v>46247.43753472222</s:v>
      </s:c>
    </s:row>
    <s:row r="585">
      <s:c r="A585" s="0" t="n">
        <s:v>260813</s:v>
      </s:c>
      <s:c r="B585" s="0" t="inlineStr">
        <s:is>
          <s:t>이종훈</s:t>
        </s:is>
      </s:c>
      <s:c r="C585" s="0" t="n">
        <s:v>102022</s:v>
      </s:c>
      <s:c r="D585" s="0" t="n">
        <s:v>2724</s:v>
      </s:c>
      <s:c r="F585" s="24">
        <s:f>'자료구성'!$B$2+TIME(INT($C$3/10000),INT(MOD($C$3,10000)/100),MOD($C$3,100))+(ROW()-ROW($C$3))/86400</s:f>
        <s:v>46247.4375462963</s:v>
      </s:c>
    </s:row>
    <s:row r="586">
      <s:c r="A586" s="0" t="n">
        <s:v>260813</s:v>
      </s:c>
      <s:c r="B586" s="0" t="inlineStr">
        <s:is>
          <s:t>이종훈</s:t>
        </s:is>
      </s:c>
      <s:c r="C586" s="0" t="n">
        <s:v>102022</s:v>
      </s:c>
      <s:c r="D586" s="0" t="n">
        <s:v>2677</s:v>
      </s:c>
      <s:c r="F586" s="24">
        <s:f>'자료구성'!$B$2+TIME(INT($C$3/10000),INT(MOD($C$3,10000)/100),MOD($C$3,100))+(ROW()-ROW($C$3))/86400</s:f>
        <s:v>46247.43755787037</s:v>
      </s:c>
    </s:row>
    <s:row r="587">
      <s:c r="A587" s="0" t="n">
        <s:v>260813</s:v>
      </s:c>
      <s:c r="B587" s="0" t="inlineStr">
        <s:is>
          <s:t>이종훈</s:t>
        </s:is>
      </s:c>
      <s:c r="C587" s="0" t="n">
        <s:v>102022</s:v>
      </s:c>
      <s:c r="D587" s="0" t="n">
        <s:v>2583</s:v>
      </s:c>
      <s:c r="F587" s="24">
        <s:f>'자료구성'!$B$2+TIME(INT($C$3/10000),INT(MOD($C$3,10000)/100),MOD($C$3,100))+(ROW()-ROW($C$3))/86400</s:f>
        <s:v>46247.437569444446</s:v>
      </s:c>
    </s:row>
    <s:row r="588">
      <s:c r="A588" s="0" t="n">
        <s:v>260813</s:v>
      </s:c>
      <s:c r="B588" s="0" t="inlineStr">
        <s:is>
          <s:t>이종훈</s:t>
        </s:is>
      </s:c>
      <s:c r="C588" s="0" t="n">
        <s:v>102022</s:v>
      </s:c>
      <s:c r="D588" s="0" t="n">
        <s:v>2505</s:v>
      </s:c>
      <s:c r="F588" s="24">
        <s:f>'자료구성'!$B$2+TIME(INT($C$3/10000),INT(MOD($C$3,10000)/100),MOD($C$3,100))+(ROW()-ROW($C$3))/86400</s:f>
        <s:v>46247.437581018516</s:v>
      </s:c>
    </s:row>
    <s:row r="589">
      <s:c r="A589" s="0" t="n">
        <s:v>260813</s:v>
      </s:c>
      <s:c r="B589" s="0" t="inlineStr">
        <s:is>
          <s:t>이종훈</s:t>
        </s:is>
      </s:c>
      <s:c r="C589" s="0" t="n">
        <s:v>102022</s:v>
      </s:c>
      <s:c r="D589" s="0" t="n">
        <s:v>2433</s:v>
      </s:c>
      <s:c r="F589" s="24">
        <s:f>'자료구성'!$B$2+TIME(INT($C$3/10000),INT(MOD($C$3,10000)/100),MOD($C$3,100))+(ROW()-ROW($C$3))/86400</s:f>
        <s:v>46247.43759259259</s:v>
      </s:c>
    </s:row>
    <s:row r="590">
      <s:c r="A590" s="0" t="n">
        <s:v>260813</s:v>
      </s:c>
      <s:c r="B590" s="0" t="inlineStr">
        <s:is>
          <s:t>이종훈</s:t>
        </s:is>
      </s:c>
      <s:c r="C590" s="0" t="n">
        <s:v>102022</s:v>
      </s:c>
      <s:c r="D590" s="0" t="n">
        <s:v>2443</s:v>
      </s:c>
      <s:c r="F590" s="24">
        <s:f>'자료구성'!$B$2+TIME(INT($C$3/10000),INT(MOD($C$3,10000)/100),MOD($C$3,100))+(ROW()-ROW($C$3))/86400</s:f>
        <s:v>46247.43760416667</s:v>
      </s:c>
    </s:row>
    <s:row r="591">
      <s:c r="A591" s="0" t="n">
        <s:v>260813</s:v>
      </s:c>
      <s:c r="B591" s="0" t="inlineStr">
        <s:is>
          <s:t>이종훈</s:t>
        </s:is>
      </s:c>
      <s:c r="C591" s="0" t="n">
        <s:v>102022</s:v>
      </s:c>
      <s:c r="D591" s="0" t="n">
        <s:v>2431</s:v>
      </s:c>
      <s:c r="F591" s="24">
        <s:f>'자료구성'!$B$2+TIME(INT($C$3/10000),INT(MOD($C$3,10000)/100),MOD($C$3,100))+(ROW()-ROW($C$3))/86400</s:f>
        <s:v>46247.43761574074</s:v>
      </s:c>
    </s:row>
    <s:row r="592">
      <s:c r="A592" s="0" t="n">
        <s:v>260813</s:v>
      </s:c>
      <s:c r="B592" s="0" t="inlineStr">
        <s:is>
          <s:t>이종훈</s:t>
        </s:is>
      </s:c>
      <s:c r="C592" s="0" t="n">
        <s:v>102022</s:v>
      </s:c>
      <s:c r="D592" s="0" t="n">
        <s:v>2418</s:v>
      </s:c>
      <s:c r="F592" s="24">
        <s:f>'자료구성'!$B$2+TIME(INT($C$3/10000),INT(MOD($C$3,10000)/100),MOD($C$3,100))+(ROW()-ROW($C$3))/86400</s:f>
        <s:v>46247.437627314815</s:v>
      </s:c>
    </s:row>
    <s:row r="593">
      <s:c r="A593" s="0" t="n">
        <s:v>260813</s:v>
      </s:c>
      <s:c r="B593" s="0" t="inlineStr">
        <s:is>
          <s:t>이종훈</s:t>
        </s:is>
      </s:c>
      <s:c r="C593" s="0" t="n">
        <s:v>102022</s:v>
      </s:c>
      <s:c r="D593" s="0" t="n">
        <s:v>2452</s:v>
      </s:c>
      <s:c r="F593" s="24">
        <s:f>'자료구성'!$B$2+TIME(INT($C$3/10000),INT(MOD($C$3,10000)/100),MOD($C$3,100))+(ROW()-ROW($C$3))/86400</s:f>
        <s:v>46247.43763888889</s:v>
      </s:c>
    </s:row>
    <s:row r="594">
      <s:c r="A594" s="0" t="n">
        <s:v>260813</s:v>
      </s:c>
      <s:c r="B594" s="0" t="inlineStr">
        <s:is>
          <s:t>이종훈</s:t>
        </s:is>
      </s:c>
      <s:c r="C594" s="0" t="n">
        <s:v>102022</s:v>
      </s:c>
      <s:c r="D594" s="0" t="n">
        <s:v>2438</s:v>
      </s:c>
      <s:c r="F594" s="24">
        <s:f>'자료구성'!$B$2+TIME(INT($C$3/10000),INT(MOD($C$3,10000)/100),MOD($C$3,100))+(ROW()-ROW($C$3))/86400</s:f>
        <s:v>46247.43765046296</s:v>
      </s:c>
    </s:row>
    <s:row r="595">
      <s:c r="A595" s="0" t="n">
        <s:v>260813</s:v>
      </s:c>
      <s:c r="B595" s="0" t="inlineStr">
        <s:is>
          <s:t>이종훈</s:t>
        </s:is>
      </s:c>
      <s:c r="C595" s="0" t="n">
        <s:v>102022</s:v>
      </s:c>
      <s:c r="D595" s="0" t="n">
        <s:v>2480</s:v>
      </s:c>
      <s:c r="F595" s="24">
        <s:f>'자료구성'!$B$2+TIME(INT($C$3/10000),INT(MOD($C$3,10000)/100),MOD($C$3,100))+(ROW()-ROW($C$3))/86400</s:f>
        <s:v>46247.43766203704</s:v>
      </s:c>
    </s:row>
    <s:row r="596">
      <s:c r="A596" s="0" t="n">
        <s:v>260813</s:v>
      </s:c>
      <s:c r="B596" s="0" t="inlineStr">
        <s:is>
          <s:t>이종훈</s:t>
        </s:is>
      </s:c>
      <s:c r="C596" s="0" t="n">
        <s:v>102022</s:v>
      </s:c>
      <s:c r="D596" s="0" t="n">
        <s:v>2576</s:v>
      </s:c>
      <s:c r="F596" s="24">
        <s:f>'자료구성'!$B$2+TIME(INT($C$3/10000),INT(MOD($C$3,10000)/100),MOD($C$3,100))+(ROW()-ROW($C$3))/86400</s:f>
        <s:v>46247.43767361111</s:v>
      </s:c>
    </s:row>
    <s:row r="597">
      <s:c r="A597" s="0" t="n">
        <s:v>260813</s:v>
      </s:c>
      <s:c r="B597" s="0" t="inlineStr">
        <s:is>
          <s:t>이종훈</s:t>
        </s:is>
      </s:c>
      <s:c r="C597" s="0" t="n">
        <s:v>102022</s:v>
      </s:c>
      <s:c r="D597" s="0" t="n">
        <s:v>2557</s:v>
      </s:c>
      <s:c r="F597" s="24">
        <s:f>'자료구성'!$B$2+TIME(INT($C$3/10000),INT(MOD($C$3,10000)/100),MOD($C$3,100))+(ROW()-ROW($C$3))/86400</s:f>
        <s:v>46247.437685185185</s:v>
      </s:c>
    </s:row>
    <s:row r="598">
      <s:c r="A598" s="0" t="n">
        <s:v>260813</s:v>
      </s:c>
      <s:c r="B598" s="0" t="inlineStr">
        <s:is>
          <s:t>이종훈</s:t>
        </s:is>
      </s:c>
      <s:c r="C598" s="0" t="n">
        <s:v>102022</s:v>
      </s:c>
      <s:c r="D598" s="0" t="n">
        <s:v>2739</s:v>
      </s:c>
      <s:c r="F598" s="24">
        <s:f>'자료구성'!$B$2+TIME(INT($C$3/10000),INT(MOD($C$3,10000)/100),MOD($C$3,100))+(ROW()-ROW($C$3))/86400</s:f>
        <s:v>46247.43769675926</s:v>
      </s:c>
    </s:row>
    <s:row r="599">
      <s:c r="A599" s="0" t="n">
        <s:v>260813</s:v>
      </s:c>
      <s:c r="B599" s="0" t="inlineStr">
        <s:is>
          <s:t>이종훈</s:t>
        </s:is>
      </s:c>
      <s:c r="C599" s="0" t="n">
        <s:v>102022</s:v>
      </s:c>
      <s:c r="D599" s="0" t="n">
        <s:v>2888</s:v>
      </s:c>
      <s:c r="F599" s="24">
        <s:f>'자료구성'!$B$2+TIME(INT($C$3/10000),INT(MOD($C$3,10000)/100),MOD($C$3,100))+(ROW()-ROW($C$3))/86400</s:f>
        <s:v>46247.43770833333</s:v>
      </s:c>
    </s:row>
    <s:row r="600">
      <s:c r="A600" s="0" t="n">
        <s:v>260813</s:v>
      </s:c>
      <s:c r="B600" s="0" t="inlineStr">
        <s:is>
          <s:t>이종훈</s:t>
        </s:is>
      </s:c>
      <s:c r="C600" s="0" t="n">
        <s:v>102022</s:v>
      </s:c>
      <s:c r="D600" s="0" t="n">
        <s:v>2886</s:v>
      </s:c>
      <s:c r="F600" s="24">
        <s:f>'자료구성'!$B$2+TIME(INT($C$3/10000),INT(MOD($C$3,10000)/100),MOD($C$3,100))+(ROW()-ROW($C$3))/86400</s:f>
        <s:v>46247.43771990741</s:v>
      </s:c>
    </s:row>
    <s:row r="601">
      <s:c r="A601" s="0" t="n">
        <s:v>260813</s:v>
      </s:c>
      <s:c r="B601" s="0" t="inlineStr">
        <s:is>
          <s:t>이종훈</s:t>
        </s:is>
      </s:c>
      <s:c r="C601" s="0" t="n">
        <s:v>102022</s:v>
      </s:c>
      <s:c r="D601" s="0" t="n">
        <s:v>2913</s:v>
      </s:c>
      <s:c r="F601" s="24">
        <s:f>'자료구성'!$B$2+TIME(INT($C$3/10000),INT(MOD($C$3,10000)/100),MOD($C$3,100))+(ROW()-ROW($C$3))/86400</s:f>
        <s:v>46247.437731481485</s:v>
      </s:c>
    </s:row>
    <s:row r="602">
      <s:c r="A602" s="0" t="n">
        <s:v>260813</s:v>
      </s:c>
      <s:c r="B602" s="0" t="inlineStr">
        <s:is>
          <s:t>이종훈</s:t>
        </s:is>
      </s:c>
      <s:c r="C602" s="0" t="n">
        <s:v>102022</s:v>
      </s:c>
      <s:c r="D602" s="0" t="n">
        <s:v>3027</s:v>
      </s:c>
      <s:c r="F602" s="24">
        <s:f>'자료구성'!$B$2+TIME(INT($C$3/10000),INT(MOD($C$3,10000)/100),MOD($C$3,100))+(ROW()-ROW($C$3))/86400</s:f>
        <s:v>46247.437743055554</s:v>
      </s:c>
    </s:row>
    <s:row r="603">
      <s:c r="A603" s="0" t="n">
        <s:v>260813</s:v>
      </s:c>
      <s:c r="B603" s="0" t="inlineStr">
        <s:is>
          <s:t>이종훈</s:t>
        </s:is>
      </s:c>
      <s:c r="C603" s="0" t="n">
        <s:v>102022</s:v>
      </s:c>
      <s:c r="D603" s="0" t="n">
        <s:v>3172</s:v>
      </s:c>
      <s:c r="F603" s="24">
        <s:f>'자료구성'!$B$2+TIME(INT($C$3/10000),INT(MOD($C$3,10000)/100),MOD($C$3,100))+(ROW()-ROW($C$3))/86400</s:f>
        <s:v>46247.43775462963</s:v>
      </s:c>
    </s:row>
    <s:row r="604">
      <s:c r="A604" s="0" t="n">
        <s:v>260813</s:v>
      </s:c>
      <s:c r="B604" s="0" t="inlineStr">
        <s:is>
          <s:t>이종훈</s:t>
        </s:is>
      </s:c>
      <s:c r="C604" s="0" t="n">
        <s:v>102022</s:v>
      </s:c>
      <s:c r="D604" s="0" t="n">
        <s:v>3181</s:v>
      </s:c>
      <s:c r="F604" s="24">
        <s:f>'자료구성'!$B$2+TIME(INT($C$3/10000),INT(MOD($C$3,10000)/100),MOD($C$3,100))+(ROW()-ROW($C$3))/86400</s:f>
        <s:v>46247.4377662037</s:v>
      </s:c>
    </s:row>
    <s:row r="605">
      <s:c r="A605" s="0" t="n">
        <s:v>260813</s:v>
      </s:c>
      <s:c r="B605" s="0" t="inlineStr">
        <s:is>
          <s:t>이종훈</s:t>
        </s:is>
      </s:c>
      <s:c r="C605" s="0" t="n">
        <s:v>102022</s:v>
      </s:c>
      <s:c r="D605" s="0" t="n">
        <s:v>3207</s:v>
      </s:c>
      <s:c r="F605" s="24">
        <s:f>'자료구성'!$B$2+TIME(INT($C$3/10000),INT(MOD($C$3,10000)/100),MOD($C$3,100))+(ROW()-ROW($C$3))/86400</s:f>
        <s:v>46247.43777777778</s:v>
      </s:c>
    </s:row>
    <s:row r="606">
      <s:c r="A606" s="0" t="n">
        <s:v>260813</s:v>
      </s:c>
      <s:c r="B606" s="0" t="inlineStr">
        <s:is>
          <s:t>이종훈</s:t>
        </s:is>
      </s:c>
      <s:c r="C606" s="0" t="n">
        <s:v>102022</s:v>
      </s:c>
      <s:c r="D606" s="0" t="n">
        <s:v>3254</s:v>
      </s:c>
      <s:c r="F606" s="24">
        <s:f>'자료구성'!$B$2+TIME(INT($C$3/10000),INT(MOD($C$3,10000)/100),MOD($C$3,100))+(ROW()-ROW($C$3))/86400</s:f>
        <s:v>46247.437789351854</s:v>
      </s:c>
    </s:row>
    <s:row r="607">
      <s:c r="A607" s="0" t="n">
        <s:v>260813</s:v>
      </s:c>
      <s:c r="B607" s="0" t="inlineStr">
        <s:is>
          <s:t>이종훈</s:t>
        </s:is>
      </s:c>
      <s:c r="C607" s="0" t="n">
        <s:v>102022</s:v>
      </s:c>
      <s:c r="D607" s="0" t="n">
        <s:v>3284</s:v>
      </s:c>
      <s:c r="F607" s="24">
        <s:f>'자료구성'!$B$2+TIME(INT($C$3/10000),INT(MOD($C$3,10000)/100),MOD($C$3,100))+(ROW()-ROW($C$3))/86400</s:f>
        <s:v>46247.43780092592</s:v>
      </s:c>
    </s:row>
    <s:row r="608">
      <s:c r="A608" s="0" t="n">
        <s:v>260813</s:v>
      </s:c>
      <s:c r="B608" s="0" t="inlineStr">
        <s:is>
          <s:t>이종훈</s:t>
        </s:is>
      </s:c>
      <s:c r="C608" s="0" t="n">
        <s:v>102022</s:v>
      </s:c>
      <s:c r="D608" s="0" t="n">
        <s:v>3268</s:v>
      </s:c>
      <s:c r="F608" s="24">
        <s:f>'자료구성'!$B$2+TIME(INT($C$3/10000),INT(MOD($C$3,10000)/100),MOD($C$3,100))+(ROW()-ROW($C$3))/86400</s:f>
        <s:v>46247.4378125</s:v>
      </s:c>
    </s:row>
    <s:row r="609">
      <s:c r="A609" s="0" t="n">
        <s:v>260813</s:v>
      </s:c>
      <s:c r="B609" s="0" t="inlineStr">
        <s:is>
          <s:t>이종훈</s:t>
        </s:is>
      </s:c>
      <s:c r="C609" s="0" t="n">
        <s:v>102022</s:v>
      </s:c>
      <s:c r="D609" s="0" t="n">
        <s:v>3275</s:v>
      </s:c>
      <s:c r="F609" s="24">
        <s:f>'자료구성'!$B$2+TIME(INT($C$3/10000),INT(MOD($C$3,10000)/100),MOD($C$3,100))+(ROW()-ROW($C$3))/86400</s:f>
        <s:v>46247.43782407408</s:v>
      </s:c>
    </s:row>
    <s:row r="610">
      <s:c r="A610" s="0" t="n">
        <s:v>260813</s:v>
      </s:c>
      <s:c r="B610" s="0" t="inlineStr">
        <s:is>
          <s:t>이종훈</s:t>
        </s:is>
      </s:c>
      <s:c r="C610" s="0" t="n">
        <s:v>102022</s:v>
      </s:c>
      <s:c r="D610" s="0" t="n">
        <s:v>3251</s:v>
      </s:c>
      <s:c r="F610" s="24">
        <s:f>'자료구성'!$B$2+TIME(INT($C$3/10000),INT(MOD($C$3,10000)/100),MOD($C$3,100))+(ROW()-ROW($C$3))/86400</s:f>
        <s:v>46247.43783564815</s:v>
      </s:c>
    </s:row>
    <s:row r="611">
      <s:c r="A611" s="0" t="n">
        <s:v>260813</s:v>
      </s:c>
      <s:c r="B611" s="0" t="inlineStr">
        <s:is>
          <s:t>이종훈</s:t>
        </s:is>
      </s:c>
      <s:c r="C611" s="0" t="n">
        <s:v>102022</s:v>
      </s:c>
      <s:c r="D611" s="0" t="n">
        <s:v>3202</s:v>
      </s:c>
      <s:c r="F611" s="24">
        <s:f>'자료구성'!$B$2+TIME(INT($C$3/10000),INT(MOD($C$3,10000)/100),MOD($C$3,100))+(ROW()-ROW($C$3))/86400</s:f>
        <s:v>46247.43784722222</s:v>
      </s:c>
    </s:row>
    <s:row r="612">
      <s:c r="A612" s="0" t="n">
        <s:v>260813</s:v>
      </s:c>
      <s:c r="B612" s="0" t="inlineStr">
        <s:is>
          <s:t>이종훈</s:t>
        </s:is>
      </s:c>
      <s:c r="C612" s="0" t="n">
        <s:v>102022</s:v>
      </s:c>
      <s:c r="D612" s="0" t="n">
        <s:v>3162</s:v>
      </s:c>
      <s:c r="F612" s="24">
        <s:f>'자료구성'!$B$2+TIME(INT($C$3/10000),INT(MOD($C$3,10000)/100),MOD($C$3,100))+(ROW()-ROW($C$3))/86400</s:f>
        <s:v>46247.43785879629</s:v>
      </s:c>
    </s:row>
    <s:row r="613">
      <s:c r="A613" s="0" t="n">
        <s:v>260813</s:v>
      </s:c>
      <s:c r="B613" s="0" t="inlineStr">
        <s:is>
          <s:t>이종훈</s:t>
        </s:is>
      </s:c>
      <s:c r="C613" s="0" t="n">
        <s:v>102022</s:v>
      </s:c>
      <s:c r="D613" s="0" t="n">
        <s:v>3120</s:v>
      </s:c>
      <s:c r="F613" s="24">
        <s:f>'자료구성'!$B$2+TIME(INT($C$3/10000),INT(MOD($C$3,10000)/100),MOD($C$3,100))+(ROW()-ROW($C$3))/86400</s:f>
        <s:v>46247.43787037037</s:v>
      </s:c>
    </s:row>
    <s:row r="614">
      <s:c r="A614" s="0" t="n">
        <s:v>260813</s:v>
      </s:c>
      <s:c r="B614" s="0" t="inlineStr">
        <s:is>
          <s:t>이종훈</s:t>
        </s:is>
      </s:c>
      <s:c r="C614" s="0" t="n">
        <s:v>102022</s:v>
      </s:c>
      <s:c r="D614" s="0" t="n">
        <s:v>3142</s:v>
      </s:c>
      <s:c r="F614" s="24">
        <s:f>'자료구성'!$B$2+TIME(INT($C$3/10000),INT(MOD($C$3,10000)/100),MOD($C$3,100))+(ROW()-ROW($C$3))/86400</s:f>
        <s:v>46247.43788194445</s:v>
      </s:c>
    </s:row>
    <s:row r="615">
      <s:c r="A615" s="0" t="n">
        <s:v>260813</s:v>
      </s:c>
      <s:c r="B615" s="0" t="inlineStr">
        <s:is>
          <s:t>이종훈</s:t>
        </s:is>
      </s:c>
      <s:c r="C615" s="0" t="n">
        <s:v>102022</s:v>
      </s:c>
      <s:c r="D615" s="0" t="n">
        <s:v>3127</s:v>
      </s:c>
      <s:c r="F615" s="24">
        <s:f>'자료구성'!$B$2+TIME(INT($C$3/10000),INT(MOD($C$3,10000)/100),MOD($C$3,100))+(ROW()-ROW($C$3))/86400</s:f>
        <s:v>46247.437893518516</s:v>
      </s:c>
    </s:row>
    <s:row r="616">
      <s:c r="A616" s="0" t="n">
        <s:v>260813</s:v>
      </s:c>
      <s:c r="B616" s="0" t="inlineStr">
        <s:is>
          <s:t>이종훈</s:t>
        </s:is>
      </s:c>
      <s:c r="C616" s="0" t="n">
        <s:v>102022</s:v>
      </s:c>
      <s:c r="D616" s="0" t="n">
        <s:v>3131</s:v>
      </s:c>
      <s:c r="F616" s="24">
        <s:f>'자료구성'!$B$2+TIME(INT($C$3/10000),INT(MOD($C$3,10000)/100),MOD($C$3,100))+(ROW()-ROW($C$3))/86400</s:f>
        <s:v>46247.43790509259</s:v>
      </s:c>
    </s:row>
    <s:row r="617">
      <s:c r="A617" s="0" t="n">
        <s:v>260813</s:v>
      </s:c>
      <s:c r="B617" s="0" t="inlineStr">
        <s:is>
          <s:t>이종훈</s:t>
        </s:is>
      </s:c>
      <s:c r="C617" s="0" t="n">
        <s:v>102022</s:v>
      </s:c>
      <s:c r="D617" s="0" t="n">
        <s:v>3154</s:v>
      </s:c>
      <s:c r="F617" s="24">
        <s:f>'자료구성'!$B$2+TIME(INT($C$3/10000),INT(MOD($C$3,10000)/100),MOD($C$3,100))+(ROW()-ROW($C$3))/86400</s:f>
        <s:v>46247.43791666667</s:v>
      </s:c>
    </s:row>
    <s:row r="618">
      <s:c r="A618" s="0" t="n">
        <s:v>260813</s:v>
      </s:c>
      <s:c r="B618" s="0" t="inlineStr">
        <s:is>
          <s:t>이종훈</s:t>
        </s:is>
      </s:c>
      <s:c r="C618" s="0" t="n">
        <s:v>102022</s:v>
      </s:c>
      <s:c r="D618" s="0" t="n">
        <s:v>3162</s:v>
      </s:c>
      <s:c r="F618" s="24">
        <s:f>'자료구성'!$B$2+TIME(INT($C$3/10000),INT(MOD($C$3,10000)/100),MOD($C$3,100))+(ROW()-ROW($C$3))/86400</s:f>
        <s:v>46247.43792824074</s:v>
      </s:c>
    </s:row>
    <s:row r="619">
      <s:c r="A619" s="0" t="n">
        <s:v>260813</s:v>
      </s:c>
      <s:c r="B619" s="0" t="inlineStr">
        <s:is>
          <s:t>이종훈</s:t>
        </s:is>
      </s:c>
      <s:c r="C619" s="0" t="n">
        <s:v>102022</s:v>
      </s:c>
      <s:c r="D619" s="0" t="n">
        <s:v>3153</s:v>
      </s:c>
      <s:c r="F619" s="24">
        <s:f>'자료구성'!$B$2+TIME(INT($C$3/10000),INT(MOD($C$3,10000)/100),MOD($C$3,100))+(ROW()-ROW($C$3))/86400</s:f>
        <s:v>46247.437939814816</s:v>
      </s:c>
    </s:row>
    <s:row r="620">
      <s:c r="A620" s="0" t="n">
        <s:v>260813</s:v>
      </s:c>
      <s:c r="B620" s="0" t="inlineStr">
        <s:is>
          <s:t>이종훈</s:t>
        </s:is>
      </s:c>
      <s:c r="C620" s="0" t="n">
        <s:v>102022</s:v>
      </s:c>
      <s:c r="D620" s="0" t="n">
        <s:v>3128</s:v>
      </s:c>
      <s:c r="F620" s="24">
        <s:f>'자료구성'!$B$2+TIME(INT($C$3/10000),INT(MOD($C$3,10000)/100),MOD($C$3,100))+(ROW()-ROW($C$3))/86400</s:f>
        <s:v>46247.437951388885</s:v>
      </s:c>
    </s:row>
    <s:row r="621">
      <s:c r="A621" s="0" t="n">
        <s:v>260813</s:v>
      </s:c>
      <s:c r="B621" s="0" t="inlineStr">
        <s:is>
          <s:t>이종훈</s:t>
        </s:is>
      </s:c>
      <s:c r="C621" s="0" t="n">
        <s:v>102022</s:v>
      </s:c>
      <s:c r="D621" s="0" t="n">
        <s:v>3144</s:v>
      </s:c>
      <s:c r="F621" s="24">
        <s:f>'자료구성'!$B$2+TIME(INT($C$3/10000),INT(MOD($C$3,10000)/100),MOD($C$3,100))+(ROW()-ROW($C$3))/86400</s:f>
        <s:v>46247.43796296296</s:v>
      </s:c>
    </s:row>
    <s:row r="622">
      <s:c r="A622" s="0" t="n">
        <s:v>260813</s:v>
      </s:c>
      <s:c r="B622" s="0" t="inlineStr">
        <s:is>
          <s:t>이종훈</s:t>
        </s:is>
      </s:c>
      <s:c r="C622" s="0" t="n">
        <s:v>102022</s:v>
      </s:c>
      <s:c r="D622" s="0" t="n">
        <s:v>3127</s:v>
      </s:c>
      <s:c r="F622" s="24">
        <s:f>'자료구성'!$B$2+TIME(INT($C$3/10000),INT(MOD($C$3,10000)/100),MOD($C$3,100))+(ROW()-ROW($C$3))/86400</s:f>
        <s:v>46247.43797453704</s:v>
      </s:c>
    </s:row>
    <s:row r="623">
      <s:c r="A623" s="0" t="n">
        <s:v>260813</s:v>
      </s:c>
      <s:c r="B623" s="0" t="inlineStr">
        <s:is>
          <s:t>이종훈</s:t>
        </s:is>
      </s:c>
      <s:c r="C623" s="0" t="n">
        <s:v>102022</s:v>
      </s:c>
      <s:c r="D623" s="0" t="n">
        <s:v>3184</s:v>
      </s:c>
      <s:c r="F623" s="24">
        <s:f>'자료구성'!$B$2+TIME(INT($C$3/10000),INT(MOD($C$3,10000)/100),MOD($C$3,100))+(ROW()-ROW($C$3))/86400</s:f>
        <s:v>46247.43798611111</s:v>
      </s:c>
    </s:row>
    <s:row r="624">
      <s:c r="A624" s="0" t="n">
        <s:v>260813</s:v>
      </s:c>
      <s:c r="B624" s="0" t="inlineStr">
        <s:is>
          <s:t>이종훈</s:t>
        </s:is>
      </s:c>
      <s:c r="C624" s="0" t="n">
        <s:v>102022</s:v>
      </s:c>
      <s:c r="D624" s="0" t="n">
        <s:v>3201</s:v>
      </s:c>
      <s:c r="F624" s="24">
        <s:f>'자료구성'!$B$2+TIME(INT($C$3/10000),INT(MOD($C$3,10000)/100),MOD($C$3,100))+(ROW()-ROW($C$3))/86400</s:f>
        <s:v>46247.437997685185</s:v>
      </s:c>
    </s:row>
    <s:row r="625">
      <s:c r="A625" s="0" t="n">
        <s:v>260813</s:v>
      </s:c>
      <s:c r="B625" s="0" t="inlineStr">
        <s:is>
          <s:t>이종훈</s:t>
        </s:is>
      </s:c>
      <s:c r="C625" s="0" t="n">
        <s:v>102022</s:v>
      </s:c>
      <s:c r="D625" s="0" t="n">
        <s:v>3086</s:v>
      </s:c>
      <s:c r="F625" s="24">
        <s:f>'자료구성'!$B$2+TIME(INT($C$3/10000),INT(MOD($C$3,10000)/100),MOD($C$3,100))+(ROW()-ROW($C$3))/86400</s:f>
        <s:v>46247.43800925926</s:v>
      </s:c>
    </s:row>
    <s:row r="626">
      <s:c r="A626" s="0" t="n">
        <s:v>260813</s:v>
      </s:c>
      <s:c r="B626" s="0" t="inlineStr">
        <s:is>
          <s:t>이종훈</s:t>
        </s:is>
      </s:c>
      <s:c r="C626" s="0" t="n">
        <s:v>102022</s:v>
      </s:c>
      <s:c r="D626" s="0" t="n">
        <s:v>2971</s:v>
      </s:c>
      <s:c r="F626" s="24">
        <s:f>'자료구성'!$B$2+TIME(INT($C$3/10000),INT(MOD($C$3,10000)/100),MOD($C$3,100))+(ROW()-ROW($C$3))/86400</s:f>
        <s:v>46247.43802083333</s:v>
      </s:c>
    </s:row>
    <s:row r="627">
      <s:c r="A627" s="0" t="n">
        <s:v>260813</s:v>
      </s:c>
      <s:c r="B627" s="0" t="inlineStr">
        <s:is>
          <s:t>이종훈</s:t>
        </s:is>
      </s:c>
      <s:c r="C627" s="0" t="n">
        <s:v>102022</s:v>
      </s:c>
      <s:c r="D627" s="0" t="n">
        <s:v>2939</s:v>
      </s:c>
      <s:c r="F627" s="24">
        <s:f>'자료구성'!$B$2+TIME(INT($C$3/10000),INT(MOD($C$3,10000)/100),MOD($C$3,100))+(ROW()-ROW($C$3))/86400</s:f>
        <s:v>46247.43803240741</s:v>
      </s:c>
    </s:row>
    <s:row r="628">
      <s:c r="A628" s="0" t="n">
        <s:v>260813</s:v>
      </s:c>
      <s:c r="B628" s="0" t="inlineStr">
        <s:is>
          <s:t>이종훈</s:t>
        </s:is>
      </s:c>
      <s:c r="C628" s="0" t="n">
        <s:v>102022</s:v>
      </s:c>
      <s:c r="D628" s="0" t="n">
        <s:v>2982</s:v>
      </s:c>
      <s:c r="F628" s="24">
        <s:f>'자료구성'!$B$2+TIME(INT($C$3/10000),INT(MOD($C$3,10000)/100),MOD($C$3,100))+(ROW()-ROW($C$3))/86400</s:f>
        <s:v>46247.438043981485</s:v>
      </s:c>
    </s:row>
    <s:row r="629">
      <s:c r="A629" s="0" t="n">
        <s:v>260813</s:v>
      </s:c>
      <s:c r="B629" s="0" t="inlineStr">
        <s:is>
          <s:t>이종훈</s:t>
        </s:is>
      </s:c>
      <s:c r="C629" s="0" t="n">
        <s:v>102022</s:v>
      </s:c>
      <s:c r="D629" s="0" t="n">
        <s:v>2985</s:v>
      </s:c>
      <s:c r="F629" s="24">
        <s:f>'자료구성'!$B$2+TIME(INT($C$3/10000),INT(MOD($C$3,10000)/100),MOD($C$3,100))+(ROW()-ROW($C$3))/86400</s:f>
        <s:v>46247.438055555554</s:v>
      </s:c>
    </s:row>
    <s:row r="630">
      <s:c r="A630" s="0" t="n">
        <s:v>260813</s:v>
      </s:c>
      <s:c r="B630" s="0" t="inlineStr">
        <s:is>
          <s:t>이종훈</s:t>
        </s:is>
      </s:c>
      <s:c r="C630" s="0" t="n">
        <s:v>102022</s:v>
      </s:c>
      <s:c r="D630" s="0" t="n">
        <s:v>2948</s:v>
      </s:c>
      <s:c r="F630" s="24">
        <s:f>'자료구성'!$B$2+TIME(INT($C$3/10000),INT(MOD($C$3,10000)/100),MOD($C$3,100))+(ROW()-ROW($C$3))/86400</s:f>
        <s:v>46247.43806712963</s:v>
      </s:c>
    </s:row>
    <s:row r="631">
      <s:c r="A631" s="0" t="n">
        <s:v>260813</s:v>
      </s:c>
      <s:c r="B631" s="0" t="inlineStr">
        <s:is>
          <s:t>이종훈</s:t>
        </s:is>
      </s:c>
      <s:c r="C631" s="0" t="n">
        <s:v>102022</s:v>
      </s:c>
      <s:c r="D631" s="0" t="n">
        <s:v>2943</s:v>
      </s:c>
      <s:c r="F631" s="24">
        <s:f>'자료구성'!$B$2+TIME(INT($C$3/10000),INT(MOD($C$3,10000)/100),MOD($C$3,100))+(ROW()-ROW($C$3))/86400</s:f>
        <s:v>46247.4380787037</s:v>
      </s:c>
    </s:row>
    <s:row r="632">
      <s:c r="A632" s="0" t="n">
        <s:v>260813</s:v>
      </s:c>
      <s:c r="B632" s="0" t="inlineStr">
        <s:is>
          <s:t>이종훈</s:t>
        </s:is>
      </s:c>
      <s:c r="C632" s="0" t="n">
        <s:v>102022</s:v>
      </s:c>
      <s:c r="D632" s="0" t="n">
        <s:v>2913</s:v>
      </s:c>
      <s:c r="F632" s="24">
        <s:f>'자료구성'!$B$2+TIME(INT($C$3/10000),INT(MOD($C$3,10000)/100),MOD($C$3,100))+(ROW()-ROW($C$3))/86400</s:f>
        <s:v>46247.43809027778</s:v>
      </s:c>
    </s:row>
    <s:row r="633">
      <s:c r="A633" s="0" t="n">
        <s:v>260813</s:v>
      </s:c>
      <s:c r="B633" s="0" t="inlineStr">
        <s:is>
          <s:t>이종훈</s:t>
        </s:is>
      </s:c>
      <s:c r="C633" s="0" t="n">
        <s:v>102022</s:v>
      </s:c>
      <s:c r="D633" s="0" t="n">
        <s:v>2853</s:v>
      </s:c>
      <s:c r="F633" s="24">
        <s:f>'자료구성'!$B$2+TIME(INT($C$3/10000),INT(MOD($C$3,10000)/100),MOD($C$3,100))+(ROW()-ROW($C$3))/86400</s:f>
        <s:v>46247.438101851854</s:v>
      </s:c>
    </s:row>
    <s:row r="634">
      <s:c r="A634" s="0" t="n">
        <s:v>260813</s:v>
      </s:c>
      <s:c r="B634" s="0" t="inlineStr">
        <s:is>
          <s:t>이종훈</s:t>
        </s:is>
      </s:c>
      <s:c r="C634" s="0" t="n">
        <s:v>102022</s:v>
      </s:c>
      <s:c r="D634" s="0" t="n">
        <s:v>2809</s:v>
      </s:c>
      <s:c r="F634" s="24">
        <s:f>'자료구성'!$B$2+TIME(INT($C$3/10000),INT(MOD($C$3,10000)/100),MOD($C$3,100))+(ROW()-ROW($C$3))/86400</s:f>
        <s:v>46247.438113425924</s:v>
      </s:c>
    </s:row>
    <s:row r="635">
      <s:c r="A635" s="0" t="n">
        <s:v>260813</s:v>
      </s:c>
      <s:c r="B635" s="0" t="inlineStr">
        <s:is>
          <s:t>이종훈</s:t>
        </s:is>
      </s:c>
      <s:c r="C635" s="0" t="n">
        <s:v>102022</s:v>
      </s:c>
      <s:c r="D635" s="0" t="n">
        <s:v>2764</s:v>
      </s:c>
      <s:c r="F635" s="24">
        <s:f>'자료구성'!$B$2+TIME(INT($C$3/10000),INT(MOD($C$3,10000)/100),MOD($C$3,100))+(ROW()-ROW($C$3))/86400</s:f>
        <s:v>46247.438125</s:v>
      </s:c>
    </s:row>
    <s:row r="636">
      <s:c r="A636" s="0" t="n">
        <s:v>260813</s:v>
      </s:c>
      <s:c r="B636" s="0" t="inlineStr">
        <s:is>
          <s:t>이종훈</s:t>
        </s:is>
      </s:c>
      <s:c r="C636" s="0" t="n">
        <s:v>102022</s:v>
      </s:c>
      <s:c r="D636" s="0" t="n">
        <s:v>2735</s:v>
      </s:c>
      <s:c r="F636" s="24">
        <s:f>'자료구성'!$B$2+TIME(INT($C$3/10000),INT(MOD($C$3,10000)/100),MOD($C$3,100))+(ROW()-ROW($C$3))/86400</s:f>
        <s:v>46247.43813657408</s:v>
      </s:c>
    </s:row>
    <s:row r="637">
      <s:c r="A637" s="0" t="n">
        <s:v>260813</s:v>
      </s:c>
      <s:c r="B637" s="0" t="inlineStr">
        <s:is>
          <s:t>이종훈</s:t>
        </s:is>
      </s:c>
      <s:c r="C637" s="0" t="n">
        <s:v>102022</s:v>
      </s:c>
      <s:c r="D637" s="0" t="n">
        <s:v>2780</s:v>
      </s:c>
      <s:c r="F637" s="24">
        <s:f>'자료구성'!$B$2+TIME(INT($C$3/10000),INT(MOD($C$3,10000)/100),MOD($C$3,100))+(ROW()-ROW($C$3))/86400</s:f>
        <s:v>46247.43814814815</s:v>
      </s:c>
    </s:row>
    <s:row r="638">
      <s:c r="A638" s="0" t="n">
        <s:v>260813</s:v>
      </s:c>
      <s:c r="B638" s="0" t="inlineStr">
        <s:is>
          <s:t>이종훈</s:t>
        </s:is>
      </s:c>
      <s:c r="C638" s="0" t="n">
        <s:v>102022</s:v>
      </s:c>
      <s:c r="D638" s="0" t="n">
        <s:v>2764</s:v>
      </s:c>
      <s:c r="F638" s="24">
        <s:f>'자료구성'!$B$2+TIME(INT($C$3/10000),INT(MOD($C$3,10000)/100),MOD($C$3,100))+(ROW()-ROW($C$3))/86400</s:f>
        <s:v>46247.438159722224</s:v>
      </s:c>
    </s:row>
    <s:row r="639">
      <s:c r="A639" s="0" t="n">
        <s:v>260813</s:v>
      </s:c>
      <s:c r="B639" s="0" t="inlineStr">
        <s:is>
          <s:t>이종훈</s:t>
        </s:is>
      </s:c>
      <s:c r="C639" s="0" t="n">
        <s:v>102022</s:v>
      </s:c>
      <s:c r="D639" s="0" t="n">
        <s:v>2765</s:v>
      </s:c>
      <s:c r="F639" s="24">
        <s:f>'자료구성'!$B$2+TIME(INT($C$3/10000),INT(MOD($C$3,10000)/100),MOD($C$3,100))+(ROW()-ROW($C$3))/86400</s:f>
        <s:v>46247.43817129629</s:v>
      </s:c>
    </s:row>
    <s:row r="640">
      <s:c r="A640" s="0" t="n">
        <s:v>260813</s:v>
      </s:c>
      <s:c r="B640" s="0" t="inlineStr">
        <s:is>
          <s:t>이종훈</s:t>
        </s:is>
      </s:c>
      <s:c r="C640" s="0" t="n">
        <s:v>102022</s:v>
      </s:c>
      <s:c r="D640" s="0" t="n">
        <s:v>2750</s:v>
      </s:c>
      <s:c r="F640" s="24">
        <s:f>'자료구성'!$B$2+TIME(INT($C$3/10000),INT(MOD($C$3,10000)/100),MOD($C$3,100))+(ROW()-ROW($C$3))/86400</s:f>
        <s:v>46247.43818287037</s:v>
      </s:c>
    </s:row>
    <s:row r="641">
      <s:c r="A641" s="0" t="n">
        <s:v>260813</s:v>
      </s:c>
      <s:c r="B641" s="0" t="inlineStr">
        <s:is>
          <s:t>이종훈</s:t>
        </s:is>
      </s:c>
      <s:c r="C641" s="0" t="n">
        <s:v>102022</s:v>
      </s:c>
      <s:c r="D641" s="0" t="n">
        <s:v>2744</s:v>
      </s:c>
      <s:c r="F641" s="24">
        <s:f>'자료구성'!$B$2+TIME(INT($C$3/10000),INT(MOD($C$3,10000)/100),MOD($C$3,100))+(ROW()-ROW($C$3))/86400</s:f>
        <s:v>46247.43819444445</s:v>
      </s:c>
    </s:row>
    <s:row r="642">
      <s:c r="A642" s="0" t="n">
        <s:v>260813</s:v>
      </s:c>
      <s:c r="B642" s="0" t="inlineStr">
        <s:is>
          <s:t>이종훈</s:t>
        </s:is>
      </s:c>
      <s:c r="C642" s="0" t="n">
        <s:v>102022</s:v>
      </s:c>
      <s:c r="D642" s="0" t="n">
        <s:v>2712</s:v>
      </s:c>
      <s:c r="F642" s="24">
        <s:f>'자료구성'!$B$2+TIME(INT($C$3/10000),INT(MOD($C$3,10000)/100),MOD($C$3,100))+(ROW()-ROW($C$3))/86400</s:f>
        <s:v>46247.438206018516</s:v>
      </s:c>
    </s:row>
    <s:row r="643">
      <s:c r="A643" s="0" t="n">
        <s:v>260813</s:v>
      </s:c>
      <s:c r="B643" s="0" t="inlineStr">
        <s:is>
          <s:t>이종훈</s:t>
        </s:is>
      </s:c>
      <s:c r="C643" s="0" t="n">
        <s:v>102022</s:v>
      </s:c>
      <s:c r="D643" s="0" t="n">
        <s:v>2721</s:v>
      </s:c>
      <s:c r="F643" s="24">
        <s:f>'자료구성'!$B$2+TIME(INT($C$3/10000),INT(MOD($C$3,10000)/100),MOD($C$3,100))+(ROW()-ROW($C$3))/86400</s:f>
        <s:v>46247.43821759259</s:v>
      </s:c>
    </s:row>
    <s:row r="644">
      <s:c r="A644" s="0" t="n">
        <s:v>260813</s:v>
      </s:c>
      <s:c r="B644" s="0" t="inlineStr">
        <s:is>
          <s:t>이종훈</s:t>
        </s:is>
      </s:c>
      <s:c r="C644" s="0" t="n">
        <s:v>102022</s:v>
      </s:c>
      <s:c r="D644" s="0" t="n">
        <s:v>2856</s:v>
      </s:c>
      <s:c r="F644" s="24">
        <s:f>'자료구성'!$B$2+TIME(INT($C$3/10000),INT(MOD($C$3,10000)/100),MOD($C$3,100))+(ROW()-ROW($C$3))/86400</s:f>
        <s:v>46247.43822916667</s:v>
      </s:c>
    </s:row>
    <s:row r="645">
      <s:c r="A645" s="0" t="n">
        <s:v>260813</s:v>
      </s:c>
      <s:c r="B645" s="0" t="inlineStr">
        <s:is>
          <s:t>이종훈</s:t>
        </s:is>
      </s:c>
      <s:c r="C645" s="0" t="n">
        <s:v>102022</s:v>
      </s:c>
      <s:c r="D645" s="0" t="n">
        <s:v>2973</s:v>
      </s:c>
      <s:c r="F645" s="24">
        <s:f>'자료구성'!$B$2+TIME(INT($C$3/10000),INT(MOD($C$3,10000)/100),MOD($C$3,100))+(ROW()-ROW($C$3))/86400</s:f>
        <s:v>46247.43824074074</s:v>
      </s:c>
    </s:row>
    <s:row r="646">
      <s:c r="A646" s="0" t="n">
        <s:v>260813</s:v>
      </s:c>
      <s:c r="B646" s="0" t="inlineStr">
        <s:is>
          <s:t>이종훈</s:t>
        </s:is>
      </s:c>
      <s:c r="C646" s="0" t="n">
        <s:v>102022</s:v>
      </s:c>
      <s:c r="D646" s="0" t="n">
        <s:v>3075</s:v>
      </s:c>
      <s:c r="F646" s="24">
        <s:f>'자료구성'!$B$2+TIME(INT($C$3/10000),INT(MOD($C$3,10000)/100),MOD($C$3,100))+(ROW()-ROW($C$3))/86400</s:f>
        <s:v>46247.438252314816</s:v>
      </s:c>
    </s:row>
    <s:row r="647">
      <s:c r="A647" s="0" t="n">
        <s:v>260813</s:v>
      </s:c>
      <s:c r="B647" s="0" t="inlineStr">
        <s:is>
          <s:t>이종훈</s:t>
        </s:is>
      </s:c>
      <s:c r="C647" s="0" t="n">
        <s:v>102022</s:v>
      </s:c>
      <s:c r="D647" s="0" t="n">
        <s:v>3127</s:v>
      </s:c>
      <s:c r="F647" s="24">
        <s:f>'자료구성'!$B$2+TIME(INT($C$3/10000),INT(MOD($C$3,10000)/100),MOD($C$3,100))+(ROW()-ROW($C$3))/86400</s:f>
        <s:v>46247.438263888886</s:v>
      </s:c>
    </s:row>
    <s:row r="648">
      <s:c r="A648" s="0" t="n">
        <s:v>260813</s:v>
      </s:c>
      <s:c r="B648" s="0" t="inlineStr">
        <s:is>
          <s:t>이종훈</s:t>
        </s:is>
      </s:c>
      <s:c r="C648" s="0" t="n">
        <s:v>102022</s:v>
      </s:c>
      <s:c r="D648" s="0" t="n">
        <s:v>3185</s:v>
      </s:c>
      <s:c r="F648" s="24">
        <s:f>'자료구성'!$B$2+TIME(INT($C$3/10000),INT(MOD($C$3,10000)/100),MOD($C$3,100))+(ROW()-ROW($C$3))/86400</s:f>
        <s:v>46247.43827546296</s:v>
      </s:c>
    </s:row>
    <s:row r="649">
      <s:c r="A649" s="0" t="n">
        <s:v>260813</s:v>
      </s:c>
      <s:c r="B649" s="0" t="inlineStr">
        <s:is>
          <s:t>이종훈</s:t>
        </s:is>
      </s:c>
      <s:c r="C649" s="0" t="n">
        <s:v>102022</s:v>
      </s:c>
      <s:c r="D649" s="0" t="n">
        <s:v>3254</s:v>
      </s:c>
      <s:c r="F649" s="24">
        <s:f>'자료구성'!$B$2+TIME(INT($C$3/10000),INT(MOD($C$3,10000)/100),MOD($C$3,100))+(ROW()-ROW($C$3))/86400</s:f>
        <s:v>46247.43828703704</s:v>
      </s:c>
    </s:row>
    <s:row r="650">
      <s:c r="A650" s="0" t="n">
        <s:v>260813</s:v>
      </s:c>
      <s:c r="B650" s="0" t="inlineStr">
        <s:is>
          <s:t>이종훈</s:t>
        </s:is>
      </s:c>
      <s:c r="C650" s="0" t="n">
        <s:v>102022</s:v>
      </s:c>
      <s:c r="D650" s="0" t="n">
        <s:v>3338</s:v>
      </s:c>
      <s:c r="F650" s="24">
        <s:f>'자료구성'!$B$2+TIME(INT($C$3/10000),INT(MOD($C$3,10000)/100),MOD($C$3,100))+(ROW()-ROW($C$3))/86400</s:f>
        <s:v>46247.43829861111</s:v>
      </s:c>
    </s:row>
    <s:row r="651">
      <s:c r="A651" s="0" t="n">
        <s:v>260813</s:v>
      </s:c>
      <s:c r="B651" s="0" t="inlineStr">
        <s:is>
          <s:t>이종훈</s:t>
        </s:is>
      </s:c>
      <s:c r="C651" s="0" t="n">
        <s:v>102022</s:v>
      </s:c>
      <s:c r="D651" s="0" t="n">
        <s:v>3446</s:v>
      </s:c>
      <s:c r="F651" s="24">
        <s:f>'자료구성'!$B$2+TIME(INT($C$3/10000),INT(MOD($C$3,10000)/100),MOD($C$3,100))+(ROW()-ROW($C$3))/86400</s:f>
        <s:v>46247.438310185185</s:v>
      </s:c>
    </s:row>
    <s:row r="652">
      <s:c r="A652" s="0" t="n">
        <s:v>260813</s:v>
      </s:c>
      <s:c r="B652" s="0" t="inlineStr">
        <s:is>
          <s:t>이종훈</s:t>
        </s:is>
      </s:c>
      <s:c r="C652" s="0" t="n">
        <s:v>102022</s:v>
      </s:c>
      <s:c r="D652" s="0" t="n">
        <s:v>3518</s:v>
      </s:c>
      <s:c r="F652" s="24">
        <s:f>'자료구성'!$B$2+TIME(INT($C$3/10000),INT(MOD($C$3,10000)/100),MOD($C$3,100))+(ROW()-ROW($C$3))/86400</s:f>
        <s:v>46247.43832175926</s:v>
      </s:c>
    </s:row>
    <s:row r="653">
      <s:c r="A653" s="0" t="n">
        <s:v>260813</s:v>
      </s:c>
      <s:c r="B653" s="0" t="inlineStr">
        <s:is>
          <s:t>이종훈</s:t>
        </s:is>
      </s:c>
      <s:c r="C653" s="0" t="n">
        <s:v>102022</s:v>
      </s:c>
      <s:c r="D653" s="0" t="n">
        <s:v>3634</s:v>
      </s:c>
      <s:c r="F653" s="24">
        <s:f>'자료구성'!$B$2+TIME(INT($C$3/10000),INT(MOD($C$3,10000)/100),MOD($C$3,100))+(ROW()-ROW($C$3))/86400</s:f>
        <s:v>46247.43833333333</s:v>
      </s:c>
    </s:row>
    <s:row r="654">
      <s:c r="A654" s="0" t="n">
        <s:v>260813</s:v>
      </s:c>
      <s:c r="B654" s="0" t="inlineStr">
        <s:is>
          <s:t>이종훈</s:t>
        </s:is>
      </s:c>
      <s:c r="C654" s="0" t="n">
        <s:v>102022</s:v>
      </s:c>
      <s:c r="D654" s="0" t="n">
        <s:v>3742</s:v>
      </s:c>
      <s:c r="F654" s="24">
        <s:f>'자료구성'!$B$2+TIME(INT($C$3/10000),INT(MOD($C$3,10000)/100),MOD($C$3,100))+(ROW()-ROW($C$3))/86400</s:f>
        <s:v>46247.43834490741</s:v>
      </s:c>
    </s:row>
    <s:row r="655">
      <s:c r="A655" s="0" t="n">
        <s:v>260813</s:v>
      </s:c>
      <s:c r="B655" s="0" t="inlineStr">
        <s:is>
          <s:t>이종훈</s:t>
        </s:is>
      </s:c>
      <s:c r="C655" s="0" t="n">
        <s:v>102022</s:v>
      </s:c>
      <s:c r="D655" s="0" t="n">
        <s:v>3888</s:v>
      </s:c>
      <s:c r="F655" s="24">
        <s:f>'자료구성'!$B$2+TIME(INT($C$3/10000),INT(MOD($C$3,10000)/100),MOD($C$3,100))+(ROW()-ROW($C$3))/86400</s:f>
        <s:v>46247.43835648148</s:v>
      </s:c>
    </s:row>
    <s:row r="656">
      <s:c r="A656" s="0" t="n">
        <s:v>260813</s:v>
      </s:c>
      <s:c r="B656" s="0" t="inlineStr">
        <s:is>
          <s:t>이종훈</s:t>
        </s:is>
      </s:c>
      <s:c r="C656" s="0" t="n">
        <s:v>102022</s:v>
      </s:c>
      <s:c r="D656" s="0" t="n">
        <s:v>3837</s:v>
      </s:c>
      <s:c r="F656" s="24">
        <s:f>'자료구성'!$B$2+TIME(INT($C$3/10000),INT(MOD($C$3,10000)/100),MOD($C$3,100))+(ROW()-ROW($C$3))/86400</s:f>
        <s:v>46247.438368055555</s:v>
      </s:c>
    </s:row>
    <s:row r="657">
      <s:c r="A657" s="0" t="n">
        <s:v>260813</s:v>
      </s:c>
      <s:c r="B657" s="0" t="inlineStr">
        <s:is>
          <s:t>이종훈</s:t>
        </s:is>
      </s:c>
      <s:c r="C657" s="0" t="n">
        <s:v>102022</s:v>
      </s:c>
      <s:c r="D657" s="0" t="n">
        <s:v>3995</s:v>
      </s:c>
      <s:c r="F657" s="24">
        <s:f>'자료구성'!$B$2+TIME(INT($C$3/10000),INT(MOD($C$3,10000)/100),MOD($C$3,100))+(ROW()-ROW($C$3))/86400</s:f>
        <s:v>46247.43837962963</s:v>
      </s:c>
    </s:row>
    <s:row r="658">
      <s:c r="A658" s="0" t="n">
        <s:v>260813</s:v>
      </s:c>
      <s:c r="B658" s="0" t="inlineStr">
        <s:is>
          <s:t>이종훈</s:t>
        </s:is>
      </s:c>
      <s:c r="C658" s="0" t="n">
        <s:v>102022</s:v>
      </s:c>
      <s:c r="D658" s="0" t="n">
        <s:v>3849</s:v>
      </s:c>
      <s:c r="F658" s="24">
        <s:f>'자료구성'!$B$2+TIME(INT($C$3/10000),INT(MOD($C$3,10000)/100),MOD($C$3,100))+(ROW()-ROW($C$3))/86400</s:f>
        <s:v>46247.4383912037</s:v>
      </s:c>
    </s:row>
    <s:row r="659">
      <s:c r="A659" s="0" t="n">
        <s:v>260813</s:v>
      </s:c>
      <s:c r="B659" s="0" t="inlineStr">
        <s:is>
          <s:t>이종훈</s:t>
        </s:is>
      </s:c>
      <s:c r="C659" s="0" t="n">
        <s:v>102022</s:v>
      </s:c>
      <s:c r="D659" s="0" t="n">
        <s:v>3636</s:v>
      </s:c>
      <s:c r="F659" s="24">
        <s:f>'자료구성'!$B$2+TIME(INT($C$3/10000),INT(MOD($C$3,10000)/100),MOD($C$3,100))+(ROW()-ROW($C$3))/86400</s:f>
        <s:v>46247.43840277778</s:v>
      </s:c>
    </s:row>
    <s:row r="660">
      <s:c r="A660" s="0" t="n">
        <s:v>260813</s:v>
      </s:c>
      <s:c r="B660" s="0" t="inlineStr">
        <s:is>
          <s:t>이종훈</s:t>
        </s:is>
      </s:c>
      <s:c r="C660" s="0" t="n">
        <s:v>102022</s:v>
      </s:c>
      <s:c r="D660" s="0" t="n">
        <s:v>3534</s:v>
      </s:c>
      <s:c r="F660" s="24">
        <s:f>'자료구성'!$B$2+TIME(INT($C$3/10000),INT(MOD($C$3,10000)/100),MOD($C$3,100))+(ROW()-ROW($C$3))/86400</s:f>
        <s:v>46247.438414351855</s:v>
      </s:c>
    </s:row>
    <s:row r="661">
      <s:c r="A661" s="0" t="n">
        <s:v>260813</s:v>
      </s:c>
      <s:c r="B661" s="0" t="inlineStr">
        <s:is>
          <s:t>이종훈</s:t>
        </s:is>
      </s:c>
      <s:c r="C661" s="0" t="n">
        <s:v>102022</s:v>
      </s:c>
      <s:c r="D661" s="0" t="n">
        <s:v>3372</s:v>
      </s:c>
      <s:c r="F661" s="24">
        <s:f>'자료구성'!$B$2+TIME(INT($C$3/10000),INT(MOD($C$3,10000)/100),MOD($C$3,100))+(ROW()-ROW($C$3))/86400</s:f>
        <s:v>46247.438425925924</s:v>
      </s:c>
    </s:row>
    <s:row r="662">
      <s:c r="A662" s="0" t="n">
        <s:v>260813</s:v>
      </s:c>
      <s:c r="B662" s="0" t="inlineStr">
        <s:is>
          <s:t>이종훈</s:t>
        </s:is>
      </s:c>
      <s:c r="C662" s="0" t="n">
        <s:v>102022</s:v>
      </s:c>
      <s:c r="D662" s="0" t="n">
        <s:v>3223</s:v>
      </s:c>
      <s:c r="F662" s="24">
        <s:f>'자료구성'!$B$2+TIME(INT($C$3/10000),INT(MOD($C$3,10000)/100),MOD($C$3,100))+(ROW()-ROW($C$3))/86400</s:f>
        <s:v>46247.4384375</s:v>
      </s:c>
    </s:row>
    <s:row r="663">
      <s:c r="A663" s="0" t="n">
        <s:v>260813</s:v>
      </s:c>
      <s:c r="B663" s="0" t="inlineStr">
        <s:is>
          <s:t>이종훈</s:t>
        </s:is>
      </s:c>
      <s:c r="C663" s="0" t="n">
        <s:v>102022</s:v>
      </s:c>
      <s:c r="D663" s="0" t="n">
        <s:v>3086</s:v>
      </s:c>
      <s:c r="F663" s="24">
        <s:f>'자료구성'!$B$2+TIME(INT($C$3/10000),INT(MOD($C$3,10000)/100),MOD($C$3,100))+(ROW()-ROW($C$3))/86400</s:f>
        <s:v>46247.43844907408</s:v>
      </s:c>
    </s:row>
    <s:row r="664">
      <s:c r="A664" s="0" t="n">
        <s:v>260813</s:v>
      </s:c>
      <s:c r="B664" s="0" t="inlineStr">
        <s:is>
          <s:t>이종훈</s:t>
        </s:is>
      </s:c>
      <s:c r="C664" s="0" t="n">
        <s:v>102022</s:v>
      </s:c>
      <s:c r="D664" s="0" t="n">
        <s:v>2992</s:v>
      </s:c>
      <s:c r="F664" s="24">
        <s:f>'자료구성'!$B$2+TIME(INT($C$3/10000),INT(MOD($C$3,10000)/100),MOD($C$3,100))+(ROW()-ROW($C$3))/86400</s:f>
        <s:v>46247.43846064815</s:v>
      </s:c>
    </s:row>
    <s:row r="665">
      <s:c r="A665" s="0" t="n">
        <s:v>260813</s:v>
      </s:c>
      <s:c r="B665" s="0" t="inlineStr">
        <s:is>
          <s:t>이종훈</s:t>
        </s:is>
      </s:c>
      <s:c r="C665" s="0" t="n">
        <s:v>102022</s:v>
      </s:c>
      <s:c r="D665" s="0" t="n">
        <s:v>2978</s:v>
      </s:c>
      <s:c r="F665" s="24">
        <s:f>'자료구성'!$B$2+TIME(INT($C$3/10000),INT(MOD($C$3,10000)/100),MOD($C$3,100))+(ROW()-ROW($C$3))/86400</s:f>
        <s:v>46247.438472222224</s:v>
      </s:c>
    </s:row>
    <s:row r="666">
      <s:c r="A666" s="0" t="n">
        <s:v>260813</s:v>
      </s:c>
      <s:c r="B666" s="0" t="inlineStr">
        <s:is>
          <s:t>이종훈</s:t>
        </s:is>
      </s:c>
      <s:c r="C666" s="0" t="n">
        <s:v>102022</s:v>
      </s:c>
      <s:c r="D666" s="0" t="n">
        <s:v>2938</s:v>
      </s:c>
      <s:c r="F666" s="24">
        <s:f>'자료구성'!$B$2+TIME(INT($C$3/10000),INT(MOD($C$3,10000)/100),MOD($C$3,100))+(ROW()-ROW($C$3))/86400</s:f>
        <s:v>46247.43848379629</s:v>
      </s:c>
    </s:row>
    <s:row r="667">
      <s:c r="A667" s="0" t="n">
        <s:v>260813</s:v>
      </s:c>
      <s:c r="B667" s="0" t="inlineStr">
        <s:is>
          <s:t>이종훈</s:t>
        </s:is>
      </s:c>
      <s:c r="C667" s="0" t="n">
        <s:v>102022</s:v>
      </s:c>
      <s:c r="D667" s="0" t="n">
        <s:v>2851</s:v>
      </s:c>
      <s:c r="F667" s="24">
        <s:f>'자료구성'!$B$2+TIME(INT($C$3/10000),INT(MOD($C$3,10000)/100),MOD($C$3,100))+(ROW()-ROW($C$3))/86400</s:f>
        <s:v>46247.43849537037</s:v>
      </s:c>
    </s:row>
    <s:row r="668">
      <s:c r="A668" s="0" t="n">
        <s:v>260813</s:v>
      </s:c>
      <s:c r="B668" s="0" t="inlineStr">
        <s:is>
          <s:t>이종훈</s:t>
        </s:is>
      </s:c>
      <s:c r="C668" s="0" t="n">
        <s:v>102022</s:v>
      </s:c>
      <s:c r="D668" s="0" t="n">
        <s:v>2802</s:v>
      </s:c>
      <s:c r="F668" s="24">
        <s:f>'자료구성'!$B$2+TIME(INT($C$3/10000),INT(MOD($C$3,10000)/100),MOD($C$3,100))+(ROW()-ROW($C$3))/86400</s:f>
        <s:v>46247.43850694445</s:v>
      </s:c>
    </s:row>
    <s:row r="669">
      <s:c r="A669" s="0" t="n">
        <s:v>260813</s:v>
      </s:c>
      <s:c r="B669" s="0" t="inlineStr">
        <s:is>
          <s:t>이종훈</s:t>
        </s:is>
      </s:c>
      <s:c r="C669" s="0" t="n">
        <s:v>102022</s:v>
      </s:c>
      <s:c r="D669" s="0" t="n">
        <s:v>2749</s:v>
      </s:c>
      <s:c r="F669" s="24">
        <s:f>'자료구성'!$B$2+TIME(INT($C$3/10000),INT(MOD($C$3,10000)/100),MOD($C$3,100))+(ROW()-ROW($C$3))/86400</s:f>
        <s:v>46247.43851851852</s:v>
      </s:c>
    </s:row>
    <s:row r="670">
      <s:c r="A670" s="0" t="n">
        <s:v>260813</s:v>
      </s:c>
      <s:c r="B670" s="0" t="inlineStr">
        <s:is>
          <s:t>이종훈</s:t>
        </s:is>
      </s:c>
      <s:c r="C670" s="0" t="n">
        <s:v>102022</s:v>
      </s:c>
      <s:c r="D670" s="0" t="n">
        <s:v>2724</s:v>
      </s:c>
      <s:c r="F670" s="24">
        <s:f>'자료구성'!$B$2+TIME(INT($C$3/10000),INT(MOD($C$3,10000)/100),MOD($C$3,100))+(ROW()-ROW($C$3))/86400</s:f>
        <s:v>46247.43853009259</s:v>
      </s:c>
    </s:row>
    <s:row r="671">
      <s:c r="A671" s="0" t="n">
        <s:v>260813</s:v>
      </s:c>
      <s:c r="B671" s="0" t="inlineStr">
        <s:is>
          <s:t>이종훈</s:t>
        </s:is>
      </s:c>
      <s:c r="C671" s="0" t="n">
        <s:v>102022</s:v>
      </s:c>
      <s:c r="D671" s="0" t="n">
        <s:v>2687</s:v>
      </s:c>
      <s:c r="F671" s="24">
        <s:f>'자료구성'!$B$2+TIME(INT($C$3/10000),INT(MOD($C$3,10000)/100),MOD($C$3,100))+(ROW()-ROW($C$3))/86400</s:f>
        <s:v>46247.43854166667</s:v>
      </s:c>
    </s:row>
    <s:row r="672">
      <s:c r="A672" s="0" t="n">
        <s:v>260813</s:v>
      </s:c>
      <s:c r="B672" s="0" t="inlineStr">
        <s:is>
          <s:t>이종훈</s:t>
        </s:is>
      </s:c>
      <s:c r="C672" s="0" t="n">
        <s:v>102022</s:v>
      </s:c>
      <s:c r="D672" s="0" t="n">
        <s:v>2685</s:v>
      </s:c>
      <s:c r="F672" s="24">
        <s:f>'자료구성'!$B$2+TIME(INT($C$3/10000),INT(MOD($C$3,10000)/100),MOD($C$3,100))+(ROW()-ROW($C$3))/86400</s:f>
        <s:v>46247.43855324074</s:v>
      </s:c>
    </s:row>
    <s:row r="673">
      <s:c r="A673" s="0" t="n">
        <s:v>260813</s:v>
      </s:c>
      <s:c r="B673" s="0" t="inlineStr">
        <s:is>
          <s:t>이종훈</s:t>
        </s:is>
      </s:c>
      <s:c r="C673" s="0" t="n">
        <s:v>102022</s:v>
      </s:c>
      <s:c r="D673" s="0" t="n">
        <s:v>2754</s:v>
      </s:c>
      <s:c r="F673" s="24">
        <s:f>'자료구성'!$B$2+TIME(INT($C$3/10000),INT(MOD($C$3,10000)/100),MOD($C$3,100))+(ROW()-ROW($C$3))/86400</s:f>
        <s:v>46247.438564814816</s:v>
      </s:c>
    </s:row>
    <s:row r="674">
      <s:c r="A674" s="0" t="n">
        <s:v>260813</s:v>
      </s:c>
      <s:c r="B674" s="0" t="inlineStr">
        <s:is>
          <s:t>이종훈</s:t>
        </s:is>
      </s:c>
      <s:c r="C674" s="0" t="n">
        <s:v>102022</s:v>
      </s:c>
      <s:c r="D674" s="0" t="n">
        <s:v>2770</s:v>
      </s:c>
      <s:c r="F674" s="24">
        <s:f>'자료구성'!$B$2+TIME(INT($C$3/10000),INT(MOD($C$3,10000)/100),MOD($C$3,100))+(ROW()-ROW($C$3))/86400</s:f>
        <s:v>46247.438576388886</s:v>
      </s:c>
    </s:row>
    <s:row r="675">
      <s:c r="A675" s="0" t="n">
        <s:v>260813</s:v>
      </s:c>
      <s:c r="B675" s="0" t="inlineStr">
        <s:is>
          <s:t>이종훈</s:t>
        </s:is>
      </s:c>
      <s:c r="C675" s="0" t="n">
        <s:v>102022</s:v>
      </s:c>
      <s:c r="D675" s="0" t="n">
        <s:v>2843</s:v>
      </s:c>
      <s:c r="F675" s="24">
        <s:f>'자료구성'!$B$2+TIME(INT($C$3/10000),INT(MOD($C$3,10000)/100),MOD($C$3,100))+(ROW()-ROW($C$3))/86400</s:f>
        <s:v>46247.43858796296</s:v>
      </s:c>
    </s:row>
    <s:row r="676">
      <s:c r="A676" s="0" t="n">
        <s:v>260813</s:v>
      </s:c>
      <s:c r="B676" s="0" t="inlineStr">
        <s:is>
          <s:t>이종훈</s:t>
        </s:is>
      </s:c>
      <s:c r="C676" s="0" t="n">
        <s:v>102022</s:v>
      </s:c>
      <s:c r="D676" s="0" t="n">
        <s:v>2906</s:v>
      </s:c>
      <s:c r="F676" s="24">
        <s:f>'자료구성'!$B$2+TIME(INT($C$3/10000),INT(MOD($C$3,10000)/100),MOD($C$3,100))+(ROW()-ROW($C$3))/86400</s:f>
        <s:v>46247.43859953704</s:v>
      </s:c>
    </s:row>
    <s:row r="677">
      <s:c r="A677" s="0" t="n">
        <s:v>260813</s:v>
      </s:c>
      <s:c r="B677" s="0" t="inlineStr">
        <s:is>
          <s:t>이종훈</s:t>
        </s:is>
      </s:c>
      <s:c r="C677" s="0" t="n">
        <s:v>102022</s:v>
      </s:c>
      <s:c r="D677" s="0" t="n">
        <s:v>2919</s:v>
      </s:c>
      <s:c r="F677" s="24">
        <s:f>'자료구성'!$B$2+TIME(INT($C$3/10000),INT(MOD($C$3,10000)/100),MOD($C$3,100))+(ROW()-ROW($C$3))/86400</s:f>
        <s:v>46247.43861111111</s:v>
      </s:c>
    </s:row>
    <s:row r="678">
      <s:c r="A678" s="0" t="n">
        <s:v>260813</s:v>
      </s:c>
      <s:c r="B678" s="0" t="inlineStr">
        <s:is>
          <s:t>이종훈</s:t>
        </s:is>
      </s:c>
      <s:c r="C678" s="0" t="n">
        <s:v>102022</s:v>
      </s:c>
      <s:c r="D678" s="0" t="n">
        <s:v>2929</s:v>
      </s:c>
      <s:c r="F678" s="24">
        <s:f>'자료구성'!$B$2+TIME(INT($C$3/10000),INT(MOD($C$3,10000)/100),MOD($C$3,100))+(ROW()-ROW($C$3))/86400</s:f>
        <s:v>46247.438622685186</s:v>
      </s:c>
    </s:row>
    <s:row r="679">
      <s:c r="A679" s="0" t="n">
        <s:v>260813</s:v>
      </s:c>
      <s:c r="B679" s="0" t="inlineStr">
        <s:is>
          <s:t>이종훈</s:t>
        </s:is>
      </s:c>
      <s:c r="C679" s="0" t="n">
        <s:v>102022</s:v>
      </s:c>
      <s:c r="D679" s="0" t="n">
        <s:v>2928</s:v>
      </s:c>
      <s:c r="F679" s="24">
        <s:f>'자료구성'!$B$2+TIME(INT($C$3/10000),INT(MOD($C$3,10000)/100),MOD($C$3,100))+(ROW()-ROW($C$3))/86400</s:f>
        <s:v>46247.43863425926</s:v>
      </s:c>
    </s:row>
    <s:row r="680">
      <s:c r="A680" s="0" t="n">
        <s:v>260813</s:v>
      </s:c>
      <s:c r="B680" s="0" t="inlineStr">
        <s:is>
          <s:t>이종훈</s:t>
        </s:is>
      </s:c>
      <s:c r="C680" s="0" t="n">
        <s:v>102022</s:v>
      </s:c>
      <s:c r="D680" s="0" t="n">
        <s:v>2940</s:v>
      </s:c>
      <s:c r="F680" s="24">
        <s:f>'자료구성'!$B$2+TIME(INT($C$3/10000),INT(MOD($C$3,10000)/100),MOD($C$3,100))+(ROW()-ROW($C$3))/86400</s:f>
        <s:v>46247.43864583333</s:v>
      </s:c>
    </s:row>
    <s:row r="681">
      <s:c r="A681" s="0" t="n">
        <s:v>260813</s:v>
      </s:c>
      <s:c r="B681" s="0" t="inlineStr">
        <s:is>
          <s:t>이종훈</s:t>
        </s:is>
      </s:c>
      <s:c r="C681" s="0" t="n">
        <s:v>102022</s:v>
      </s:c>
      <s:c r="D681" s="0" t="n">
        <s:v>3123</s:v>
      </s:c>
      <s:c r="F681" s="24">
        <s:f>'자료구성'!$B$2+TIME(INT($C$3/10000),INT(MOD($C$3,10000)/100),MOD($C$3,100))+(ROW()-ROW($C$3))/86400</s:f>
        <s:v>46247.43865740741</s:v>
      </s:c>
    </s:row>
    <s:row r="682">
      <s:c r="A682" s="0" t="n">
        <s:v>260813</s:v>
      </s:c>
      <s:c r="B682" s="0" t="inlineStr">
        <s:is>
          <s:t>이종훈</s:t>
        </s:is>
      </s:c>
      <s:c r="C682" s="0" t="n">
        <s:v>102022</s:v>
      </s:c>
      <s:c r="D682" s="0" t="n">
        <s:v>3282</s:v>
      </s:c>
      <s:c r="F682" s="24">
        <s:f>'자료구성'!$B$2+TIME(INT($C$3/10000),INT(MOD($C$3,10000)/100),MOD($C$3,100))+(ROW()-ROW($C$3))/86400</s:f>
        <s:v>46247.43866898148</s:v>
      </s:c>
    </s:row>
    <s:row r="683">
      <s:c r="A683" s="0" t="n">
        <s:v>260813</s:v>
      </s:c>
      <s:c r="B683" s="0" t="inlineStr">
        <s:is>
          <s:t>이종훈</s:t>
        </s:is>
      </s:c>
      <s:c r="C683" s="0" t="n">
        <s:v>102022</s:v>
      </s:c>
      <s:c r="D683" s="0" t="n">
        <s:v>3328</s:v>
      </s:c>
      <s:c r="F683" s="24">
        <s:f>'자료구성'!$B$2+TIME(INT($C$3/10000),INT(MOD($C$3,10000)/100),MOD($C$3,100))+(ROW()-ROW($C$3))/86400</s:f>
        <s:v>46247.438680555555</s:v>
      </s:c>
    </s:row>
    <s:row r="684">
      <s:c r="A684" s="0" t="n">
        <s:v>260813</s:v>
      </s:c>
      <s:c r="B684" s="0" t="inlineStr">
        <s:is>
          <s:t>이종훈</s:t>
        </s:is>
      </s:c>
      <s:c r="C684" s="0" t="n">
        <s:v>102022</s:v>
      </s:c>
      <s:c r="D684" s="0" t="n">
        <s:v>3454</s:v>
      </s:c>
      <s:c r="F684" s="24">
        <s:f>'자료구성'!$B$2+TIME(INT($C$3/10000),INT(MOD($C$3,10000)/100),MOD($C$3,100))+(ROW()-ROW($C$3))/86400</s:f>
        <s:v>46247.43869212963</s:v>
      </s:c>
    </s:row>
    <s:row r="685">
      <s:c r="A685" s="0" t="n">
        <s:v>260813</s:v>
      </s:c>
      <s:c r="B685" s="0" t="inlineStr">
        <s:is>
          <s:t>이종훈</s:t>
        </s:is>
      </s:c>
      <s:c r="C685" s="0" t="n">
        <s:v>102022</s:v>
      </s:c>
      <s:c r="D685" s="0" t="n">
        <s:v>3597</s:v>
      </s:c>
      <s:c r="F685" s="24">
        <s:f>'자료구성'!$B$2+TIME(INT($C$3/10000),INT(MOD($C$3,10000)/100),MOD($C$3,100))+(ROW()-ROW($C$3))/86400</s:f>
        <s:v>46247.4387037037</s:v>
      </s:c>
    </s:row>
    <s:row r="686">
      <s:c r="A686" s="0" t="n">
        <s:v>260813</s:v>
      </s:c>
      <s:c r="B686" s="0" t="inlineStr">
        <s:is>
          <s:t>이종훈</s:t>
        </s:is>
      </s:c>
      <s:c r="C686" s="0" t="n">
        <s:v>102022</s:v>
      </s:c>
      <s:c r="D686" s="0" t="n">
        <s:v>3632</s:v>
      </s:c>
      <s:c r="F686" s="24">
        <s:f>'자료구성'!$B$2+TIME(INT($C$3/10000),INT(MOD($C$3,10000)/100),MOD($C$3,100))+(ROW()-ROW($C$3))/86400</s:f>
        <s:v>46247.43871527778</s:v>
      </s:c>
    </s:row>
    <s:row r="687">
      <s:c r="A687" s="0" t="n">
        <s:v>260813</s:v>
      </s:c>
      <s:c r="B687" s="0" t="inlineStr">
        <s:is>
          <s:t>이종훈</s:t>
        </s:is>
      </s:c>
      <s:c r="C687" s="0" t="n">
        <s:v>102022</s:v>
      </s:c>
      <s:c r="D687" s="0" t="n">
        <s:v>3632</s:v>
      </s:c>
      <s:c r="F687" s="24">
        <s:f>'자료구성'!$B$2+TIME(INT($C$3/10000),INT(MOD($C$3,10000)/100),MOD($C$3,100))+(ROW()-ROW($C$3))/86400</s:f>
        <s:v>46247.438726851855</s:v>
      </s:c>
    </s:row>
    <s:row r="688">
      <s:c r="A688" s="0" t="n">
        <s:v>260813</s:v>
      </s:c>
      <s:c r="B688" s="0" t="inlineStr">
        <s:is>
          <s:t>이종훈</s:t>
        </s:is>
      </s:c>
      <s:c r="C688" s="0" t="n">
        <s:v>102022</s:v>
      </s:c>
      <s:c r="D688" s="0" t="n">
        <s:v>3579</s:v>
      </s:c>
      <s:c r="F688" s="24">
        <s:f>'자료구성'!$B$2+TIME(INT($C$3/10000),INT(MOD($C$3,10000)/100),MOD($C$3,100))+(ROW()-ROW($C$3))/86400</s:f>
        <s:v>46247.438738425924</s:v>
      </s:c>
    </s:row>
    <s:row r="689">
      <s:c r="A689" s="0" t="n">
        <s:v>260813</s:v>
      </s:c>
      <s:c r="B689" s="0" t="inlineStr">
        <s:is>
          <s:t>이종훈</s:t>
        </s:is>
      </s:c>
      <s:c r="C689" s="0" t="n">
        <s:v>102022</s:v>
      </s:c>
      <s:c r="D689" s="0" t="n">
        <s:v>3562</s:v>
      </s:c>
      <s:c r="F689" s="24">
        <s:f>'자료구성'!$B$2+TIME(INT($C$3/10000),INT(MOD($C$3,10000)/100),MOD($C$3,100))+(ROW()-ROW($C$3))/86400</s:f>
        <s:v>46247.43875</s:v>
      </s:c>
    </s:row>
    <s:row r="690">
      <s:c r="A690" s="0" t="n">
        <s:v>260813</s:v>
      </s:c>
      <s:c r="B690" s="0" t="inlineStr">
        <s:is>
          <s:t>이종훈</s:t>
        </s:is>
      </s:c>
      <s:c r="C690" s="0" t="n">
        <s:v>102022</s:v>
      </s:c>
      <s:c r="D690" s="0" t="n">
        <s:v>3590</s:v>
      </s:c>
      <s:c r="F690" s="24">
        <s:f>'자료구성'!$B$2+TIME(INT($C$3/10000),INT(MOD($C$3,10000)/100),MOD($C$3,100))+(ROW()-ROW($C$3))/86400</s:f>
        <s:v>46247.43876157407</s:v>
      </s:c>
    </s:row>
    <s:row r="691">
      <s:c r="A691" s="0" t="n">
        <s:v>260813</s:v>
      </s:c>
      <s:c r="B691" s="0" t="inlineStr">
        <s:is>
          <s:t>이종훈</s:t>
        </s:is>
      </s:c>
      <s:c r="C691" s="0" t="n">
        <s:v>102022</s:v>
      </s:c>
      <s:c r="D691" s="0" t="n">
        <s:v>3630</s:v>
      </s:c>
      <s:c r="F691" s="24">
        <s:f>'자료구성'!$B$2+TIME(INT($C$3/10000),INT(MOD($C$3,10000)/100),MOD($C$3,100))+(ROW()-ROW($C$3))/86400</s:f>
        <s:v>46247.43877314815</s:v>
      </s:c>
    </s:row>
    <s:row r="692">
      <s:c r="A692" s="0" t="n">
        <s:v>260813</s:v>
      </s:c>
      <s:c r="B692" s="0" t="inlineStr">
        <s:is>
          <s:t>이종훈</s:t>
        </s:is>
      </s:c>
      <s:c r="C692" s="0" t="n">
        <s:v>102022</s:v>
      </s:c>
      <s:c r="D692" s="0" t="n">
        <s:v>3694</s:v>
      </s:c>
      <s:c r="F692" s="24">
        <s:f>'자료구성'!$B$2+TIME(INT($C$3/10000),INT(MOD($C$3,10000)/100),MOD($C$3,100))+(ROW()-ROW($C$3))/86400</s:f>
        <s:v>46247.438784722224</s:v>
      </s:c>
    </s:row>
    <s:row r="693">
      <s:c r="A693" s="0" t="n">
        <s:v>260813</s:v>
      </s:c>
      <s:c r="B693" s="0" t="inlineStr">
        <s:is>
          <s:t>이종훈</s:t>
        </s:is>
      </s:c>
      <s:c r="C693" s="0" t="n">
        <s:v>102022</s:v>
      </s:c>
      <s:c r="D693" s="0" t="n">
        <s:v>3677</s:v>
      </s:c>
      <s:c r="F693" s="24">
        <s:f>'자료구성'!$B$2+TIME(INT($C$3/10000),INT(MOD($C$3,10000)/100),MOD($C$3,100))+(ROW()-ROW($C$3))/86400</s:f>
        <s:v>46247.438796296294</s:v>
      </s:c>
    </s:row>
    <s:row r="694">
      <s:c r="A694" s="0" t="n">
        <s:v>260813</s:v>
      </s:c>
      <s:c r="B694" s="0" t="inlineStr">
        <s:is>
          <s:t>이종훈</s:t>
        </s:is>
      </s:c>
      <s:c r="C694" s="0" t="n">
        <s:v>102022</s:v>
      </s:c>
      <s:c r="D694" s="0" t="n">
        <s:v>3702</s:v>
      </s:c>
      <s:c r="F694" s="24">
        <s:f>'자료구성'!$B$2+TIME(INT($C$3/10000),INT(MOD($C$3,10000)/100),MOD($C$3,100))+(ROW()-ROW($C$3))/86400</s:f>
        <s:v>46247.43880787037</s:v>
      </s:c>
    </s:row>
    <s:row r="695">
      <s:c r="A695" s="0" t="n">
        <s:v>260813</s:v>
      </s:c>
      <s:c r="B695" s="0" t="inlineStr">
        <s:is>
          <s:t>이종훈</s:t>
        </s:is>
      </s:c>
      <s:c r="C695" s="0" t="n">
        <s:v>102022</s:v>
      </s:c>
      <s:c r="D695" s="0" t="n">
        <s:v>3842</s:v>
      </s:c>
      <s:c r="F695" s="24">
        <s:f>'자료구성'!$B$2+TIME(INT($C$3/10000),INT(MOD($C$3,10000)/100),MOD($C$3,100))+(ROW()-ROW($C$3))/86400</s:f>
        <s:v>46247.43881944445</s:v>
      </s:c>
    </s:row>
    <s:row r="696">
      <s:c r="A696" s="0" t="n">
        <s:v>260813</s:v>
      </s:c>
      <s:c r="B696" s="0" t="inlineStr">
        <s:is>
          <s:t>이종훈</s:t>
        </s:is>
      </s:c>
      <s:c r="C696" s="0" t="n">
        <s:v>102022</s:v>
      </s:c>
      <s:c r="D696" s="0" t="n">
        <s:v>4036</s:v>
      </s:c>
      <s:c r="F696" s="24">
        <s:f>'자료구성'!$B$2+TIME(INT($C$3/10000),INT(MOD($C$3,10000)/100),MOD($C$3,100))+(ROW()-ROW($C$3))/86400</s:f>
        <s:v>46247.43883101852</s:v>
      </s:c>
    </s:row>
    <s:row r="697">
      <s:c r="A697" s="0" t="n">
        <s:v>260813</s:v>
      </s:c>
      <s:c r="B697" s="0" t="inlineStr">
        <s:is>
          <s:t>이종훈</s:t>
        </s:is>
      </s:c>
      <s:c r="C697" s="0" t="n">
        <s:v>102022</s:v>
      </s:c>
      <s:c r="D697" s="0" t="n">
        <s:v>4168</s:v>
      </s:c>
      <s:c r="F697" s="24">
        <s:f>'자료구성'!$B$2+TIME(INT($C$3/10000),INT(MOD($C$3,10000)/100),MOD($C$3,100))+(ROW()-ROW($C$3))/86400</s:f>
        <s:v>46247.43884259259</s:v>
      </s:c>
    </s:row>
    <s:row r="698">
      <s:c r="A698" s="0" t="n">
        <s:v>260813</s:v>
      </s:c>
      <s:c r="B698" s="0" t="inlineStr">
        <s:is>
          <s:t>이종훈</s:t>
        </s:is>
      </s:c>
      <s:c r="C698" s="0" t="n">
        <s:v>102022</s:v>
      </s:c>
      <s:c r="D698" s="0" t="n">
        <s:v>4303</s:v>
      </s:c>
      <s:c r="F698" s="24">
        <s:f>'자료구성'!$B$2+TIME(INT($C$3/10000),INT(MOD($C$3,10000)/100),MOD($C$3,100))+(ROW()-ROW($C$3))/86400</s:f>
        <s:v>46247.43885416666</s:v>
      </s:c>
    </s:row>
    <s:row r="699">
      <s:c r="A699" s="0" t="n">
        <s:v>260813</s:v>
      </s:c>
      <s:c r="B699" s="0" t="inlineStr">
        <s:is>
          <s:t>이종훈</s:t>
        </s:is>
      </s:c>
      <s:c r="C699" s="0" t="n">
        <s:v>102022</s:v>
      </s:c>
      <s:c r="D699" s="0" t="n">
        <s:v>4303</s:v>
      </s:c>
      <s:c r="F699" s="24">
        <s:f>'자료구성'!$B$2+TIME(INT($C$3/10000),INT(MOD($C$3,10000)/100),MOD($C$3,100))+(ROW()-ROW($C$3))/86400</s:f>
        <s:v>46247.43886574074</s:v>
      </s:c>
    </s:row>
    <s:row r="700">
      <s:c r="A700" s="0" t="n">
        <s:v>260813</s:v>
      </s:c>
      <s:c r="B700" s="0" t="inlineStr">
        <s:is>
          <s:t>이종훈</s:t>
        </s:is>
      </s:c>
      <s:c r="C700" s="0" t="n">
        <s:v>102022</s:v>
      </s:c>
      <s:c r="D700" s="0" t="n">
        <s:v>4319</s:v>
      </s:c>
      <s:c r="F700" s="24">
        <s:f>'자료구성'!$B$2+TIME(INT($C$3/10000),INT(MOD($C$3,10000)/100),MOD($C$3,100))+(ROW()-ROW($C$3))/86400</s:f>
        <s:v>46247.43887731482</s:v>
      </s:c>
    </s:row>
    <s:row r="701">
      <s:c r="A701" s="0" t="n">
        <s:v>260813</s:v>
      </s:c>
      <s:c r="B701" s="0" t="inlineStr">
        <s:is>
          <s:t>이종훈</s:t>
        </s:is>
      </s:c>
      <s:c r="C701" s="0" t="n">
        <s:v>102022</s:v>
      </s:c>
      <s:c r="D701" s="0" t="n">
        <s:v>4296</s:v>
      </s:c>
      <s:c r="F701" s="24">
        <s:f>'자료구성'!$B$2+TIME(INT($C$3/10000),INT(MOD($C$3,10000)/100),MOD($C$3,100))+(ROW()-ROW($C$3))/86400</s:f>
        <s:v>46247.438888888886</s:v>
      </s:c>
    </s:row>
    <s:row r="702">
      <s:c r="A702" s="0" t="n">
        <s:v>260813</s:v>
      </s:c>
      <s:c r="B702" s="0" t="inlineStr">
        <s:is>
          <s:t>이종훈</s:t>
        </s:is>
      </s:c>
      <s:c r="C702" s="0" t="n">
        <s:v>102022</s:v>
      </s:c>
      <s:c r="D702" s="0" t="n">
        <s:v>4330</s:v>
      </s:c>
      <s:c r="F702" s="24">
        <s:f>'자료구성'!$B$2+TIME(INT($C$3/10000),INT(MOD($C$3,10000)/100),MOD($C$3,100))+(ROW()-ROW($C$3))/86400</s:f>
        <s:v>46247.43890046296</s:v>
      </s:c>
    </s:row>
    <s:row r="703">
      <s:c r="A703" s="0" t="n">
        <s:v>260813</s:v>
      </s:c>
      <s:c r="B703" s="0" t="inlineStr">
        <s:is>
          <s:t>이종훈</s:t>
        </s:is>
      </s:c>
      <s:c r="C703" s="0" t="n">
        <s:v>102022</s:v>
      </s:c>
      <s:c r="D703" s="0" t="n">
        <s:v>4356</s:v>
      </s:c>
      <s:c r="F703" s="24">
        <s:f>'자료구성'!$B$2+TIME(INT($C$3/10000),INT(MOD($C$3,10000)/100),MOD($C$3,100))+(ROW()-ROW($C$3))/86400</s:f>
        <s:v>46247.43891203704</s:v>
      </s:c>
    </s:row>
    <s:row r="704">
      <s:c r="A704" s="0" t="n">
        <s:v>260813</s:v>
      </s:c>
      <s:c r="B704" s="0" t="inlineStr">
        <s:is>
          <s:t>이종훈</s:t>
        </s:is>
      </s:c>
      <s:c r="C704" s="0" t="n">
        <s:v>102022</s:v>
      </s:c>
      <s:c r="D704" s="0" t="n">
        <s:v>4308</s:v>
      </s:c>
      <s:c r="F704" s="24">
        <s:f>'자료구성'!$B$2+TIME(INT($C$3/10000),INT(MOD($C$3,10000)/100),MOD($C$3,100))+(ROW()-ROW($C$3))/86400</s:f>
        <s:v>46247.43892361111</s:v>
      </s:c>
    </s:row>
    <s:row r="705">
      <s:c r="A705" s="0" t="n">
        <s:v>260813</s:v>
      </s:c>
      <s:c r="B705" s="0" t="inlineStr">
        <s:is>
          <s:t>이종훈</s:t>
        </s:is>
      </s:c>
      <s:c r="C705" s="0" t="n">
        <s:v>102022</s:v>
      </s:c>
      <s:c r="D705" s="0" t="n">
        <s:v>4293</s:v>
      </s:c>
      <s:c r="F705" s="24">
        <s:f>'자료구성'!$B$2+TIME(INT($C$3/10000),INT(MOD($C$3,10000)/100),MOD($C$3,100))+(ROW()-ROW($C$3))/86400</s:f>
        <s:v>46247.438935185186</s:v>
      </s:c>
    </s:row>
    <s:row r="706">
      <s:c r="A706" s="0" t="n">
        <s:v>260813</s:v>
      </s:c>
      <s:c r="B706" s="0" t="inlineStr">
        <s:is>
          <s:t>이종훈</s:t>
        </s:is>
      </s:c>
      <s:c r="C706" s="0" t="n">
        <s:v>102022</s:v>
      </s:c>
      <s:c r="D706" s="0" t="n">
        <s:v>4286</s:v>
      </s:c>
      <s:c r="F706" s="24">
        <s:f>'자료구성'!$B$2+TIME(INT($C$3/10000),INT(MOD($C$3,10000)/100),MOD($C$3,100))+(ROW()-ROW($C$3))/86400</s:f>
        <s:v>46247.43894675926</s:v>
      </s:c>
    </s:row>
    <s:row r="707">
      <s:c r="A707" s="0" t="n">
        <s:v>260813</s:v>
      </s:c>
      <s:c r="B707" s="0" t="inlineStr">
        <s:is>
          <s:t>이종훈</s:t>
        </s:is>
      </s:c>
      <s:c r="C707" s="0" t="n">
        <s:v>102022</s:v>
      </s:c>
      <s:c r="D707" s="0" t="n">
        <s:v>4309</s:v>
      </s:c>
      <s:c r="F707" s="24">
        <s:f>'자료구성'!$B$2+TIME(INT($C$3/10000),INT(MOD($C$3,10000)/100),MOD($C$3,100))+(ROW()-ROW($C$3))/86400</s:f>
        <s:v>46247.43895833333</s:v>
      </s:c>
    </s:row>
    <s:row r="708">
      <s:c r="A708" s="0" t="n">
        <s:v>260813</s:v>
      </s:c>
      <s:c r="B708" s="0" t="inlineStr">
        <s:is>
          <s:t>이종훈</s:t>
        </s:is>
      </s:c>
      <s:c r="C708" s="0" t="n">
        <s:v>102022</s:v>
      </s:c>
      <s:c r="D708" s="0" t="n">
        <s:v>4337</s:v>
      </s:c>
      <s:c r="F708" s="24">
        <s:f>'자료구성'!$B$2+TIME(INT($C$3/10000),INT(MOD($C$3,10000)/100),MOD($C$3,100))+(ROW()-ROW($C$3))/86400</s:f>
        <s:v>46247.43896990741</s:v>
      </s:c>
    </s:row>
    <s:row r="709">
      <s:c r="A709" s="0" t="n">
        <s:v>260813</s:v>
      </s:c>
      <s:c r="B709" s="0" t="inlineStr">
        <s:is>
          <s:t>이종훈</s:t>
        </s:is>
      </s:c>
      <s:c r="C709" s="0" t="n">
        <s:v>102022</s:v>
      </s:c>
      <s:c r="D709" s="0" t="n">
        <s:v>4290</s:v>
      </s:c>
      <s:c r="F709" s="24">
        <s:f>'자료구성'!$B$2+TIME(INT($C$3/10000),INT(MOD($C$3,10000)/100),MOD($C$3,100))+(ROW()-ROW($C$3))/86400</s:f>
        <s:v>46247.43898148148</s:v>
      </s:c>
    </s:row>
    <s:row r="710">
      <s:c r="A710" s="0" t="n">
        <s:v>260813</s:v>
      </s:c>
      <s:c r="B710" s="0" t="inlineStr">
        <s:is>
          <s:t>이종훈</s:t>
        </s:is>
      </s:c>
      <s:c r="C710" s="0" t="n">
        <s:v>102022</s:v>
      </s:c>
      <s:c r="D710" s="0" t="n">
        <s:v>4355</s:v>
      </s:c>
      <s:c r="F710" s="24">
        <s:f>'자료구성'!$B$2+TIME(INT($C$3/10000),INT(MOD($C$3,10000)/100),MOD($C$3,100))+(ROW()-ROW($C$3))/86400</s:f>
        <s:v>46247.438993055555</s:v>
      </s:c>
    </s:row>
    <s:row r="711">
      <s:c r="A711" s="0" t="n">
        <s:v>260813</s:v>
      </s:c>
      <s:c r="B711" s="0" t="inlineStr">
        <s:is>
          <s:t>이종훈</s:t>
        </s:is>
      </s:c>
      <s:c r="C711" s="0" t="n">
        <s:v>102022</s:v>
      </s:c>
      <s:c r="D711" s="0" t="n">
        <s:v>4370</s:v>
      </s:c>
      <s:c r="F711" s="24">
        <s:f>'자료구성'!$B$2+TIME(INT($C$3/10000),INT(MOD($C$3,10000)/100),MOD($C$3,100))+(ROW()-ROW($C$3))/86400</s:f>
        <s:v>46247.43900462963</s:v>
      </s:c>
    </s:row>
    <s:row r="712">
      <s:c r="A712" s="0" t="n">
        <s:v>260813</s:v>
      </s:c>
      <s:c r="B712" s="0" t="inlineStr">
        <s:is>
          <s:t>이종훈</s:t>
        </s:is>
      </s:c>
      <s:c r="C712" s="0" t="n">
        <s:v>102022</s:v>
      </s:c>
      <s:c r="D712" s="0" t="n">
        <s:v>4370</s:v>
      </s:c>
      <s:c r="F712" s="24">
        <s:f>'자료구성'!$B$2+TIME(INT($C$3/10000),INT(MOD($C$3,10000)/100),MOD($C$3,100))+(ROW()-ROW($C$3))/86400</s:f>
        <s:v>46247.4390162037</s:v>
      </s:c>
    </s:row>
    <s:row r="713">
      <s:c r="A713" s="0" t="n">
        <s:v>260813</s:v>
      </s:c>
      <s:c r="B713" s="0" t="inlineStr">
        <s:is>
          <s:t>이종훈</s:t>
        </s:is>
      </s:c>
      <s:c r="C713" s="0" t="n">
        <s:v>102022</s:v>
      </s:c>
      <s:c r="D713" s="0" t="n">
        <s:v>4404</s:v>
      </s:c>
      <s:c r="F713" s="24">
        <s:f>'자료구성'!$B$2+TIME(INT($C$3/10000),INT(MOD($C$3,10000)/100),MOD($C$3,100))+(ROW()-ROW($C$3))/86400</s:f>
        <s:v>46247.43902777778</s:v>
      </s:c>
    </s:row>
    <s:row r="714">
      <s:c r="A714" s="0" t="n">
        <s:v>260813</s:v>
      </s:c>
      <s:c r="B714" s="0" t="inlineStr">
        <s:is>
          <s:t>이종훈</s:t>
        </s:is>
      </s:c>
      <s:c r="C714" s="0" t="n">
        <s:v>102022</s:v>
      </s:c>
      <s:c r="D714" s="0" t="n">
        <s:v>4298</s:v>
      </s:c>
      <s:c r="F714" s="24">
        <s:f>'자료구성'!$B$2+TIME(INT($C$3/10000),INT(MOD($C$3,10000)/100),MOD($C$3,100))+(ROW()-ROW($C$3))/86400</s:f>
        <s:v>46247.439039351855</s:v>
      </s:c>
    </s:row>
    <s:row r="715">
      <s:c r="A715" s="0" t="n">
        <s:v>260813</s:v>
      </s:c>
      <s:c r="B715" s="0" t="inlineStr">
        <s:is>
          <s:t>이종훈</s:t>
        </s:is>
      </s:c>
      <s:c r="C715" s="0" t="n">
        <s:v>102022</s:v>
      </s:c>
      <s:c r="D715" s="0" t="n">
        <s:v>4196</s:v>
      </s:c>
      <s:c r="F715" s="24">
        <s:f>'자료구성'!$B$2+TIME(INT($C$3/10000),INT(MOD($C$3,10000)/100),MOD($C$3,100))+(ROW()-ROW($C$3))/86400</s:f>
        <s:v>46247.439050925925</s:v>
      </s:c>
    </s:row>
    <s:row r="716">
      <s:c r="A716" s="0" t="n">
        <s:v>260813</s:v>
      </s:c>
      <s:c r="B716" s="0" t="inlineStr">
        <s:is>
          <s:t>이종훈</s:t>
        </s:is>
      </s:c>
      <s:c r="C716" s="0" t="n">
        <s:v>102022</s:v>
      </s:c>
      <s:c r="D716" s="0" t="n">
        <s:v>4083</s:v>
      </s:c>
      <s:c r="F716" s="24">
        <s:f>'자료구성'!$B$2+TIME(INT($C$3/10000),INT(MOD($C$3,10000)/100),MOD($C$3,100))+(ROW()-ROW($C$3))/86400</s:f>
        <s:v>46247.4390625</s:v>
      </s:c>
    </s:row>
    <s:row r="717">
      <s:c r="A717" s="0" t="n">
        <s:v>260813</s:v>
      </s:c>
      <s:c r="B717" s="0" t="inlineStr">
        <s:is>
          <s:t>이종훈</s:t>
        </s:is>
      </s:c>
      <s:c r="C717" s="0" t="n">
        <s:v>102022</s:v>
      </s:c>
      <s:c r="D717" s="0" t="n">
        <s:v>3964</s:v>
      </s:c>
      <s:c r="F717" s="24">
        <s:f>'자료구성'!$B$2+TIME(INT($C$3/10000),INT(MOD($C$3,10000)/100),MOD($C$3,100))+(ROW()-ROW($C$3))/86400</s:f>
        <s:v>46247.43907407407</s:v>
      </s:c>
    </s:row>
    <s:row r="718">
      <s:c r="A718" s="0" t="n">
        <s:v>260813</s:v>
      </s:c>
      <s:c r="B718" s="0" t="inlineStr">
        <s:is>
          <s:t>이종훈</s:t>
        </s:is>
      </s:c>
      <s:c r="C718" s="0" t="n">
        <s:v>102022</s:v>
      </s:c>
      <s:c r="D718" s="0" t="n">
        <s:v>3943</s:v>
      </s:c>
      <s:c r="F718" s="24">
        <s:f>'자료구성'!$B$2+TIME(INT($C$3/10000),INT(MOD($C$3,10000)/100),MOD($C$3,100))+(ROW()-ROW($C$3))/86400</s:f>
        <s:v>46247.43908564815</s:v>
      </s:c>
    </s:row>
    <s:row r="719">
      <s:c r="A719" s="0" t="n">
        <s:v>260813</s:v>
      </s:c>
      <s:c r="B719" s="0" t="inlineStr">
        <s:is>
          <s:t>이종훈</s:t>
        </s:is>
      </s:c>
      <s:c r="C719" s="0" t="n">
        <s:v>102022</s:v>
      </s:c>
      <s:c r="D719" s="0" t="n">
        <s:v>3899</s:v>
      </s:c>
      <s:c r="F719" s="24">
        <s:f>'자료구성'!$B$2+TIME(INT($C$3/10000),INT(MOD($C$3,10000)/100),MOD($C$3,100))+(ROW()-ROW($C$3))/86400</s:f>
        <s:v>46247.439097222225</s:v>
      </s:c>
    </s:row>
    <s:row r="720">
      <s:c r="A720" s="0" t="n">
        <s:v>260813</s:v>
      </s:c>
      <s:c r="B720" s="0" t="inlineStr">
        <s:is>
          <s:t>이종훈</s:t>
        </s:is>
      </s:c>
      <s:c r="C720" s="0" t="n">
        <s:v>102022</s:v>
      </s:c>
      <s:c r="D720" s="0" t="n">
        <s:v>3890</s:v>
      </s:c>
      <s:c r="F720" s="24">
        <s:f>'자료구성'!$B$2+TIME(INT($C$3/10000),INT(MOD($C$3,10000)/100),MOD($C$3,100))+(ROW()-ROW($C$3))/86400</s:f>
        <s:v>46247.439108796294</s:v>
      </s:c>
    </s:row>
    <s:row r="721">
      <s:c r="A721" s="0" t="n">
        <s:v>260813</s:v>
      </s:c>
      <s:c r="B721" s="0" t="inlineStr">
        <s:is>
          <s:t>이종훈</s:t>
        </s:is>
      </s:c>
      <s:c r="C721" s="0" t="n">
        <s:v>102022</s:v>
      </s:c>
      <s:c r="D721" s="0" t="n">
        <s:v>3945</s:v>
      </s:c>
      <s:c r="F721" s="24">
        <s:f>'자료구성'!$B$2+TIME(INT($C$3/10000),INT(MOD($C$3,10000)/100),MOD($C$3,100))+(ROW()-ROW($C$3))/86400</s:f>
        <s:v>46247.43912037037</s:v>
      </s:c>
    </s:row>
    <s:row r="722">
      <s:c r="A722" s="0" t="n">
        <s:v>260813</s:v>
      </s:c>
      <s:c r="B722" s="0" t="inlineStr">
        <s:is>
          <s:t>이종훈</s:t>
        </s:is>
      </s:c>
      <s:c r="C722" s="0" t="n">
        <s:v>102022</s:v>
      </s:c>
      <s:c r="D722" s="0" t="n">
        <s:v>4033</s:v>
      </s:c>
      <s:c r="F722" s="24">
        <s:f>'자료구성'!$B$2+TIME(INT($C$3/10000),INT(MOD($C$3,10000)/100),MOD($C$3,100))+(ROW()-ROW($C$3))/86400</s:f>
        <s:v>46247.43913194445</s:v>
      </s:c>
    </s:row>
    <s:row r="723">
      <s:c r="A723" s="0" t="n">
        <s:v>260813</s:v>
      </s:c>
      <s:c r="B723" s="0" t="inlineStr">
        <s:is>
          <s:t>이종훈</s:t>
        </s:is>
      </s:c>
      <s:c r="C723" s="0" t="n">
        <s:v>102022</s:v>
      </s:c>
      <s:c r="D723" s="0" t="n">
        <s:v>4134</s:v>
      </s:c>
      <s:c r="F723" s="24">
        <s:f>'자료구성'!$B$2+TIME(INT($C$3/10000),INT(MOD($C$3,10000)/100),MOD($C$3,100))+(ROW()-ROW($C$3))/86400</s:f>
        <s:v>46247.43914351852</s:v>
      </s:c>
    </s:row>
    <s:row r="724">
      <s:c r="A724" s="0" t="n">
        <s:v>260813</s:v>
      </s:c>
      <s:c r="B724" s="0" t="inlineStr">
        <s:is>
          <s:t>이종훈</s:t>
        </s:is>
      </s:c>
      <s:c r="C724" s="0" t="n">
        <s:v>102022</s:v>
      </s:c>
      <s:c r="D724" s="0" t="n">
        <s:v>4179</s:v>
      </s:c>
      <s:c r="F724" s="24">
        <s:f>'자료구성'!$B$2+TIME(INT($C$3/10000),INT(MOD($C$3,10000)/100),MOD($C$3,100))+(ROW()-ROW($C$3))/86400</s:f>
        <s:v>46247.439155092594</s:v>
      </s:c>
    </s:row>
    <s:row r="725">
      <s:c r="A725" s="0" t="n">
        <s:v>260813</s:v>
      </s:c>
      <s:c r="B725" s="0" t="inlineStr">
        <s:is>
          <s:t>이종훈</s:t>
        </s:is>
      </s:c>
      <s:c r="C725" s="0" t="n">
        <s:v>102022</s:v>
      </s:c>
      <s:c r="D725" s="0" t="n">
        <s:v>4215</s:v>
      </s:c>
      <s:c r="F725" s="24">
        <s:f>'자료구성'!$B$2+TIME(INT($C$3/10000),INT(MOD($C$3,10000)/100),MOD($C$3,100))+(ROW()-ROW($C$3))/86400</s:f>
        <s:v>46247.43916666666</s:v>
      </s:c>
    </s:row>
    <s:row r="726">
      <s:c r="A726" s="0" t="n">
        <s:v>260813</s:v>
      </s:c>
      <s:c r="B726" s="0" t="inlineStr">
        <s:is>
          <s:t>이종훈</s:t>
        </s:is>
      </s:c>
      <s:c r="C726" s="0" t="n">
        <s:v>102022</s:v>
      </s:c>
      <s:c r="D726" s="0" t="n">
        <s:v>4333</s:v>
      </s:c>
      <s:c r="F726" s="24">
        <s:f>'자료구성'!$B$2+TIME(INT($C$3/10000),INT(MOD($C$3,10000)/100),MOD($C$3,100))+(ROW()-ROW($C$3))/86400</s:f>
        <s:v>46247.43917824074</s:v>
      </s:c>
    </s:row>
    <s:row r="727">
      <s:c r="A727" s="0" t="n">
        <s:v>260813</s:v>
      </s:c>
      <s:c r="B727" s="0" t="inlineStr">
        <s:is>
          <s:t>이종훈</s:t>
        </s:is>
      </s:c>
      <s:c r="C727" s="0" t="n">
        <s:v>102022</s:v>
      </s:c>
      <s:c r="D727" s="0" t="n">
        <s:v>4370</s:v>
      </s:c>
      <s:c r="F727" s="24">
        <s:f>'자료구성'!$B$2+TIME(INT($C$3/10000),INT(MOD($C$3,10000)/100),MOD($C$3,100))+(ROW()-ROW($C$3))/86400</s:f>
        <s:v>46247.43918981482</s:v>
      </s:c>
    </s:row>
    <s:row r="728">
      <s:c r="A728" s="0" t="n">
        <s:v>260813</s:v>
      </s:c>
      <s:c r="B728" s="0" t="inlineStr">
        <s:is>
          <s:t>이종훈</s:t>
        </s:is>
      </s:c>
      <s:c r="C728" s="0" t="n">
        <s:v>102022</s:v>
      </s:c>
      <s:c r="D728" s="0" t="n">
        <s:v>4351</s:v>
      </s:c>
      <s:c r="F728" s="24">
        <s:f>'자료구성'!$B$2+TIME(INT($C$3/10000),INT(MOD($C$3,10000)/100),MOD($C$3,100))+(ROW()-ROW($C$3))/86400</s:f>
        <s:v>46247.43920138889</s:v>
      </s:c>
    </s:row>
    <s:row r="729">
      <s:c r="A729" s="0" t="n">
        <s:v>260813</s:v>
      </s:c>
      <s:c r="B729" s="0" t="inlineStr">
        <s:is>
          <s:t>이종훈</s:t>
        </s:is>
      </s:c>
      <s:c r="C729" s="0" t="n">
        <s:v>102022</s:v>
      </s:c>
      <s:c r="D729" s="0" t="n">
        <s:v>4285</s:v>
      </s:c>
      <s:c r="F729" s="24">
        <s:f>'자료구성'!$B$2+TIME(INT($C$3/10000),INT(MOD($C$3,10000)/100),MOD($C$3,100))+(ROW()-ROW($C$3))/86400</s:f>
        <s:v>46247.43921296296</s:v>
      </s:c>
    </s:row>
    <s:row r="730">
      <s:c r="A730" s="0" t="n">
        <s:v>260813</s:v>
      </s:c>
      <s:c r="B730" s="0" t="inlineStr">
        <s:is>
          <s:t>이종훈</s:t>
        </s:is>
      </s:c>
      <s:c r="C730" s="0" t="n">
        <s:v>102022</s:v>
      </s:c>
      <s:c r="D730" s="0" t="n">
        <s:v>4311</s:v>
      </s:c>
      <s:c r="F730" s="24">
        <s:f>'자료구성'!$B$2+TIME(INT($C$3/10000),INT(MOD($C$3,10000)/100),MOD($C$3,100))+(ROW()-ROW($C$3))/86400</s:f>
        <s:v>46247.43922453704</s:v>
      </s:c>
    </s:row>
    <s:row r="731">
      <s:c r="A731" s="0" t="n">
        <s:v>260813</s:v>
      </s:c>
      <s:c r="B731" s="0" t="inlineStr">
        <s:is>
          <s:t>이종훈</s:t>
        </s:is>
      </s:c>
      <s:c r="C731" s="0" t="n">
        <s:v>102022</s:v>
      </s:c>
      <s:c r="D731" s="0" t="n">
        <s:v>4359</s:v>
      </s:c>
      <s:c r="F731" s="24">
        <s:f>'자료구성'!$B$2+TIME(INT($C$3/10000),INT(MOD($C$3,10000)/100),MOD($C$3,100))+(ROW()-ROW($C$3))/86400</s:f>
        <s:v>46247.43923611111</s:v>
      </s:c>
    </s:row>
    <s:row r="732">
      <s:c r="A732" s="0" t="n">
        <s:v>260813</s:v>
      </s:c>
      <s:c r="B732" s="0" t="inlineStr">
        <s:is>
          <s:t>이종훈</s:t>
        </s:is>
      </s:c>
      <s:c r="C732" s="0" t="n">
        <s:v>102022</s:v>
      </s:c>
      <s:c r="D732" s="0" t="n">
        <s:v>4334</s:v>
      </s:c>
      <s:c r="F732" s="24">
        <s:f>'자료구성'!$B$2+TIME(INT($C$3/10000),INT(MOD($C$3,10000)/100),MOD($C$3,100))+(ROW()-ROW($C$3))/86400</s:f>
        <s:v>46247.439247685186</s:v>
      </s:c>
    </s:row>
    <s:row r="733">
      <s:c r="A733" s="0" t="n">
        <s:v>260813</s:v>
      </s:c>
      <s:c r="B733" s="0" t="inlineStr">
        <s:is>
          <s:t>이종훈</s:t>
        </s:is>
      </s:c>
      <s:c r="C733" s="0" t="n">
        <s:v>102022</s:v>
      </s:c>
      <s:c r="D733" s="0" t="n">
        <s:v>4278</s:v>
      </s:c>
      <s:c r="F733" s="24">
        <s:f>'자료구성'!$B$2+TIME(INT($C$3/10000),INT(MOD($C$3,10000)/100),MOD($C$3,100))+(ROW()-ROW($C$3))/86400</s:f>
        <s:v>46247.439259259256</s:v>
      </s:c>
    </s:row>
    <s:row r="734">
      <s:c r="A734" s="0" t="n">
        <s:v>260813</s:v>
      </s:c>
      <s:c r="B734" s="0" t="inlineStr">
        <s:is>
          <s:t>이종훈</s:t>
        </s:is>
      </s:c>
      <s:c r="C734" s="0" t="n">
        <s:v>102022</s:v>
      </s:c>
      <s:c r="D734" s="0" t="n">
        <s:v>4248</s:v>
      </s:c>
      <s:c r="F734" s="24">
        <s:f>'자료구성'!$B$2+TIME(INT($C$3/10000),INT(MOD($C$3,10000)/100),MOD($C$3,100))+(ROW()-ROW($C$3))/86400</s:f>
        <s:v>46247.43927083333</s:v>
      </s:c>
    </s:row>
    <s:row r="735">
      <s:c r="A735" s="0" t="n">
        <s:v>260813</s:v>
      </s:c>
      <s:c r="B735" s="0" t="inlineStr">
        <s:is>
          <s:t>이종훈</s:t>
        </s:is>
      </s:c>
      <s:c r="C735" s="0" t="n">
        <s:v>102022</s:v>
      </s:c>
      <s:c r="D735" s="0" t="n">
        <s:v>4179</s:v>
      </s:c>
      <s:c r="F735" s="24">
        <s:f>'자료구성'!$B$2+TIME(INT($C$3/10000),INT(MOD($C$3,10000)/100),MOD($C$3,100))+(ROW()-ROW($C$3))/86400</s:f>
        <s:v>46247.43928240741</s:v>
      </s:c>
    </s:row>
    <s:row r="736">
      <s:c r="A736" s="0" t="n">
        <s:v>260813</s:v>
      </s:c>
      <s:c r="B736" s="0" t="inlineStr">
        <s:is>
          <s:t>이종훈</s:t>
        </s:is>
      </s:c>
      <s:c r="C736" s="0" t="n">
        <s:v>102022</s:v>
      </s:c>
      <s:c r="D736" s="0" t="n">
        <s:v>4161</s:v>
      </s:c>
      <s:c r="F736" s="24">
        <s:f>'자료구성'!$B$2+TIME(INT($C$3/10000),INT(MOD($C$3,10000)/100),MOD($C$3,100))+(ROW()-ROW($C$3))/86400</s:f>
        <s:v>46247.43929398148</s:v>
      </s:c>
    </s:row>
    <s:row r="737">
      <s:c r="A737" s="0" t="n">
        <s:v>260813</s:v>
      </s:c>
      <s:c r="B737" s="0" t="inlineStr">
        <s:is>
          <s:t>이종훈</s:t>
        </s:is>
      </s:c>
      <s:c r="C737" s="0" t="n">
        <s:v>102022</s:v>
      </s:c>
      <s:c r="D737" s="0" t="n">
        <s:v>4049</s:v>
      </s:c>
      <s:c r="F737" s="24">
        <s:f>'자료구성'!$B$2+TIME(INT($C$3/10000),INT(MOD($C$3,10000)/100),MOD($C$3,100))+(ROW()-ROW($C$3))/86400</s:f>
        <s:v>46247.439305555556</s:v>
      </s:c>
    </s:row>
    <s:row r="738">
      <s:c r="A738" s="0" t="n">
        <s:v>260813</s:v>
      </s:c>
      <s:c r="B738" s="0" t="inlineStr">
        <s:is>
          <s:t>이종훈</s:t>
        </s:is>
      </s:c>
      <s:c r="C738" s="0" t="n">
        <s:v>102022</s:v>
      </s:c>
      <s:c r="D738" s="0" t="n">
        <s:v>3819</s:v>
      </s:c>
      <s:c r="F738" s="24">
        <s:f>'자료구성'!$B$2+TIME(INT($C$3/10000),INT(MOD($C$3,10000)/100),MOD($C$3,100))+(ROW()-ROW($C$3))/86400</s:f>
        <s:v>46247.43931712963</s:v>
      </s:c>
    </s:row>
    <s:row r="739">
      <s:c r="A739" s="0" t="n">
        <s:v>260813</s:v>
      </s:c>
      <s:c r="B739" s="0" t="inlineStr">
        <s:is>
          <s:t>이종훈</s:t>
        </s:is>
      </s:c>
      <s:c r="C739" s="0" t="n">
        <s:v>102022</s:v>
      </s:c>
      <s:c r="D739" s="0" t="n">
        <s:v>3617</s:v>
      </s:c>
      <s:c r="F739" s="24">
        <s:f>'자료구성'!$B$2+TIME(INT($C$3/10000),INT(MOD($C$3,10000)/100),MOD($C$3,100))+(ROW()-ROW($C$3))/86400</s:f>
        <s:v>46247.4393287037</s:v>
      </s:c>
    </s:row>
    <s:row r="740">
      <s:c r="A740" s="0" t="n">
        <s:v>260813</s:v>
      </s:c>
      <s:c r="B740" s="0" t="inlineStr">
        <s:is>
          <s:t>이종훈</s:t>
        </s:is>
      </s:c>
      <s:c r="C740" s="0" t="n">
        <s:v>102022</s:v>
      </s:c>
      <s:c r="D740" s="0" t="n">
        <s:v>3489</s:v>
      </s:c>
      <s:c r="F740" s="24">
        <s:f>'자료구성'!$B$2+TIME(INT($C$3/10000),INT(MOD($C$3,10000)/100),MOD($C$3,100))+(ROW()-ROW($C$3))/86400</s:f>
        <s:v>46247.43934027778</s:v>
      </s:c>
    </s:row>
    <s:row r="741">
      <s:c r="A741" s="0" t="n">
        <s:v>260813</s:v>
      </s:c>
      <s:c r="B741" s="0" t="inlineStr">
        <s:is>
          <s:t>이종훈</s:t>
        </s:is>
      </s:c>
      <s:c r="C741" s="0" t="n">
        <s:v>102022</s:v>
      </s:c>
      <s:c r="D741" s="0" t="n">
        <s:v>3494</s:v>
      </s:c>
      <s:c r="F741" s="24">
        <s:f>'자료구성'!$B$2+TIME(INT($C$3/10000),INT(MOD($C$3,10000)/100),MOD($C$3,100))+(ROW()-ROW($C$3))/86400</s:f>
        <s:v>46247.439351851855</s:v>
      </s:c>
    </s:row>
    <s:row r="742">
      <s:c r="A742" s="0" t="n">
        <s:v>260813</s:v>
      </s:c>
      <s:c r="B742" s="0" t="inlineStr">
        <s:is>
          <s:t>이종훈</s:t>
        </s:is>
      </s:c>
      <s:c r="C742" s="0" t="n">
        <s:v>102022</s:v>
      </s:c>
      <s:c r="D742" s="0" t="n">
        <s:v>3544</s:v>
      </s:c>
      <s:c r="F742" s="24">
        <s:f>'자료구성'!$B$2+TIME(INT($C$3/10000),INT(MOD($C$3,10000)/100),MOD($C$3,100))+(ROW()-ROW($C$3))/86400</s:f>
        <s:v>46247.439363425925</s:v>
      </s:c>
    </s:row>
    <s:row r="743">
      <s:c r="A743" s="0" t="n">
        <s:v>260813</s:v>
      </s:c>
      <s:c r="B743" s="0" t="inlineStr">
        <s:is>
          <s:t>이종훈</s:t>
        </s:is>
      </s:c>
      <s:c r="C743" s="0" t="n">
        <s:v>102022</s:v>
      </s:c>
      <s:c r="D743" s="0" t="n">
        <s:v>3635</s:v>
      </s:c>
      <s:c r="F743" s="24">
        <s:f>'자료구성'!$B$2+TIME(INT($C$3/10000),INT(MOD($C$3,10000)/100),MOD($C$3,100))+(ROW()-ROW($C$3))/86400</s:f>
        <s:v>46247.439375</s:v>
      </s:c>
    </s:row>
    <s:row r="744">
      <s:c r="A744" s="0" t="n">
        <s:v>260813</s:v>
      </s:c>
      <s:c r="B744" s="0" t="inlineStr">
        <s:is>
          <s:t>이종훈</s:t>
        </s:is>
      </s:c>
      <s:c r="C744" s="0" t="n">
        <s:v>102022</s:v>
      </s:c>
      <s:c r="D744" s="0" t="n">
        <s:v>3738</s:v>
      </s:c>
      <s:c r="F744" s="24">
        <s:f>'자료구성'!$B$2+TIME(INT($C$3/10000),INT(MOD($C$3,10000)/100),MOD($C$3,100))+(ROW()-ROW($C$3))/86400</s:f>
        <s:v>46247.43938657407</s:v>
      </s:c>
    </s:row>
    <s:row r="745">
      <s:c r="A745" s="0" t="n">
        <s:v>260813</s:v>
      </s:c>
      <s:c r="B745" s="0" t="inlineStr">
        <s:is>
          <s:t>이종훈</s:t>
        </s:is>
      </s:c>
      <s:c r="C745" s="0" t="n">
        <s:v>102022</s:v>
      </s:c>
      <s:c r="D745" s="0" t="n">
        <s:v>3894</s:v>
      </s:c>
      <s:c r="F745" s="24">
        <s:f>'자료구성'!$B$2+TIME(INT($C$3/10000),INT(MOD($C$3,10000)/100),MOD($C$3,100))+(ROW()-ROW($C$3))/86400</s:f>
        <s:v>46247.43939814815</s:v>
      </s:c>
    </s:row>
    <s:row r="746">
      <s:c r="A746" s="0" t="n">
        <s:v>260813</s:v>
      </s:c>
      <s:c r="B746" s="0" t="inlineStr">
        <s:is>
          <s:t>이종훈</s:t>
        </s:is>
      </s:c>
      <s:c r="C746" s="0" t="n">
        <s:v>102022</s:v>
      </s:c>
      <s:c r="D746" s="0" t="n">
        <s:v>4016</s:v>
      </s:c>
      <s:c r="F746" s="24">
        <s:f>'자료구성'!$B$2+TIME(INT($C$3/10000),INT(MOD($C$3,10000)/100),MOD($C$3,100))+(ROW()-ROW($C$3))/86400</s:f>
        <s:v>46247.439409722225</s:v>
      </s:c>
    </s:row>
    <s:row r="747">
      <s:c r="A747" s="0" t="n">
        <s:v>260813</s:v>
      </s:c>
      <s:c r="B747" s="0" t="inlineStr">
        <s:is>
          <s:t>이종훈</s:t>
        </s:is>
      </s:c>
      <s:c r="C747" s="0" t="n">
        <s:v>102022</s:v>
      </s:c>
      <s:c r="D747" s="0" t="n">
        <s:v>4136</s:v>
      </s:c>
      <s:c r="F747" s="24">
        <s:f>'자료구성'!$B$2+TIME(INT($C$3/10000),INT(MOD($C$3,10000)/100),MOD($C$3,100))+(ROW()-ROW($C$3))/86400</s:f>
        <s:v>46247.439421296294</s:v>
      </s:c>
    </s:row>
    <s:row r="748">
      <s:c r="A748" s="0" t="n">
        <s:v>260813</s:v>
      </s:c>
      <s:c r="B748" s="0" t="inlineStr">
        <s:is>
          <s:t>이종훈</s:t>
        </s:is>
      </s:c>
      <s:c r="C748" s="0" t="n">
        <s:v>102022</s:v>
      </s:c>
      <s:c r="D748" s="0" t="n">
        <s:v>4214</s:v>
      </s:c>
      <s:c r="F748" s="24">
        <s:f>'자료구성'!$B$2+TIME(INT($C$3/10000),INT(MOD($C$3,10000)/100),MOD($C$3,100))+(ROW()-ROW($C$3))/86400</s:f>
        <s:v>46247.43943287037</s:v>
      </s:c>
    </s:row>
    <s:row r="749">
      <s:c r="A749" s="0" t="n">
        <s:v>260813</s:v>
      </s:c>
      <s:c r="B749" s="0" t="inlineStr">
        <s:is>
          <s:t>이종훈</s:t>
        </s:is>
      </s:c>
      <s:c r="C749" s="0" t="n">
        <s:v>102022</s:v>
      </s:c>
      <s:c r="D749" s="0" t="n">
        <s:v>4166</s:v>
      </s:c>
      <s:c r="F749" s="24">
        <s:f>'자료구성'!$B$2+TIME(INT($C$3/10000),INT(MOD($C$3,10000)/100),MOD($C$3,100))+(ROW()-ROW($C$3))/86400</s:f>
        <s:v>46247.43944444445</s:v>
      </s:c>
    </s:row>
    <s:row r="750">
      <s:c r="A750" s="0" t="n">
        <s:v>260813</s:v>
      </s:c>
      <s:c r="B750" s="0" t="inlineStr">
        <s:is>
          <s:t>이종훈</s:t>
        </s:is>
      </s:c>
      <s:c r="C750" s="0" t="n">
        <s:v>102022</s:v>
      </s:c>
      <s:c r="D750" s="0" t="n">
        <s:v>4096</s:v>
      </s:c>
      <s:c r="F750" s="24">
        <s:f>'자료구성'!$B$2+TIME(INT($C$3/10000),INT(MOD($C$3,10000)/100),MOD($C$3,100))+(ROW()-ROW($C$3))/86400</s:f>
        <s:v>46247.43945601852</s:v>
      </s:c>
    </s:row>
    <s:row r="751">
      <s:c r="A751" s="0" t="n">
        <s:v>260813</s:v>
      </s:c>
      <s:c r="B751" s="0" t="inlineStr">
        <s:is>
          <s:t>이종훈</s:t>
        </s:is>
      </s:c>
      <s:c r="C751" s="0" t="n">
        <s:v>102022</s:v>
      </s:c>
      <s:c r="D751" s="0" t="n">
        <s:v>3945</s:v>
      </s:c>
      <s:c r="F751" s="24">
        <s:f>'자료구성'!$B$2+TIME(INT($C$3/10000),INT(MOD($C$3,10000)/100),MOD($C$3,100))+(ROW()-ROW($C$3))/86400</s:f>
        <s:v>46247.439467592594</s:v>
      </s:c>
    </s:row>
    <s:row r="752">
      <s:c r="A752" s="0" t="n">
        <s:v>260813</s:v>
      </s:c>
      <s:c r="B752" s="0" t="inlineStr">
        <s:is>
          <s:t>이종훈</s:t>
        </s:is>
      </s:c>
      <s:c r="C752" s="0" t="n">
        <s:v>102022</s:v>
      </s:c>
      <s:c r="D752" s="0" t="n">
        <s:v>3882</s:v>
      </s:c>
      <s:c r="F752" s="24">
        <s:f>'자료구성'!$B$2+TIME(INT($C$3/10000),INT(MOD($C$3,10000)/100),MOD($C$3,100))+(ROW()-ROW($C$3))/86400</s:f>
        <s:v>46247.439479166664</s:v>
      </s:c>
    </s:row>
    <s:row r="753">
      <s:c r="A753" s="0" t="n">
        <s:v>260813</s:v>
      </s:c>
      <s:c r="B753" s="0" t="inlineStr">
        <s:is>
          <s:t>이종훈</s:t>
        </s:is>
      </s:c>
      <s:c r="C753" s="0" t="n">
        <s:v>102022</s:v>
      </s:c>
      <s:c r="D753" s="0" t="n">
        <s:v>3883</s:v>
      </s:c>
      <s:c r="F753" s="24">
        <s:f>'자료구성'!$B$2+TIME(INT($C$3/10000),INT(MOD($C$3,10000)/100),MOD($C$3,100))+(ROW()-ROW($C$3))/86400</s:f>
        <s:v>46247.43949074074</s:v>
      </s:c>
    </s:row>
    <s:row r="754">
      <s:c r="A754" s="0" t="n">
        <s:v>260813</s:v>
      </s:c>
      <s:c r="B754" s="0" t="inlineStr">
        <s:is>
          <s:t>이종훈</s:t>
        </s:is>
      </s:c>
      <s:c r="C754" s="0" t="n">
        <s:v>102022</s:v>
      </s:c>
      <s:c r="D754" s="0" t="n">
        <s:v>3897</s:v>
      </s:c>
      <s:c r="F754" s="24">
        <s:f>'자료구성'!$B$2+TIME(INT($C$3/10000),INT(MOD($C$3,10000)/100),MOD($C$3,100))+(ROW()-ROW($C$3))/86400</s:f>
        <s:v>46247.43950231482</s:v>
      </s:c>
    </s:row>
    <s:row r="755">
      <s:c r="A755" s="0" t="n">
        <s:v>260813</s:v>
      </s:c>
      <s:c r="B755" s="0" t="inlineStr">
        <s:is>
          <s:t>이종훈</s:t>
        </s:is>
      </s:c>
      <s:c r="C755" s="0" t="n">
        <s:v>102022</s:v>
      </s:c>
      <s:c r="D755" s="0" t="n">
        <s:v>3878</s:v>
      </s:c>
      <s:c r="F755" s="24">
        <s:f>'자료구성'!$B$2+TIME(INT($C$3/10000),INT(MOD($C$3,10000)/100),MOD($C$3,100))+(ROW()-ROW($C$3))/86400</s:f>
        <s:v>46247.43951388889</s:v>
      </s:c>
    </s:row>
    <s:row r="756">
      <s:c r="A756" s="0" t="n">
        <s:v>260813</s:v>
      </s:c>
      <s:c r="B756" s="0" t="inlineStr">
        <s:is>
          <s:t>이종훈</s:t>
        </s:is>
      </s:c>
      <s:c r="C756" s="0" t="n">
        <s:v>102022</s:v>
      </s:c>
      <s:c r="D756" s="0" t="n">
        <s:v>3889</s:v>
      </s:c>
      <s:c r="F756" s="24">
        <s:f>'자료구성'!$B$2+TIME(INT($C$3/10000),INT(MOD($C$3,10000)/100),MOD($C$3,100))+(ROW()-ROW($C$3))/86400</s:f>
        <s:v>46247.43952546296</s:v>
      </s:c>
    </s:row>
    <s:row r="757">
      <s:c r="A757" s="0" t="n">
        <s:v>260813</s:v>
      </s:c>
      <s:c r="B757" s="0" t="inlineStr">
        <s:is>
          <s:t>이종훈</s:t>
        </s:is>
      </s:c>
      <s:c r="C757" s="0" t="n">
        <s:v>102022</s:v>
      </s:c>
      <s:c r="D757" s="0" t="n">
        <s:v>3945</s:v>
      </s:c>
      <s:c r="F757" s="24">
        <s:f>'자료구성'!$B$2+TIME(INT($C$3/10000),INT(MOD($C$3,10000)/100),MOD($C$3,100))+(ROW()-ROW($C$3))/86400</s:f>
        <s:v>46247.43953703704</s:v>
      </s:c>
    </s:row>
    <s:row r="758">
      <s:c r="A758" s="0" t="n">
        <s:v>260813</s:v>
      </s:c>
      <s:c r="B758" s="0" t="inlineStr">
        <s:is>
          <s:t>이종훈</s:t>
        </s:is>
      </s:c>
      <s:c r="C758" s="0" t="n">
        <s:v>102022</s:v>
      </s:c>
      <s:c r="D758" s="0" t="n">
        <s:v>3918</s:v>
      </s:c>
      <s:c r="F758" s="24">
        <s:f>'자료구성'!$B$2+TIME(INT($C$3/10000),INT(MOD($C$3,10000)/100),MOD($C$3,100))+(ROW()-ROW($C$3))/86400</s:f>
        <s:v>46247.43954861111</s:v>
      </s:c>
    </s:row>
    <s:row r="759">
      <s:c r="A759" s="0" t="n">
        <s:v>260813</s:v>
      </s:c>
      <s:c r="B759" s="0" t="inlineStr">
        <s:is>
          <s:t>이종훈</s:t>
        </s:is>
      </s:c>
      <s:c r="C759" s="0" t="n">
        <s:v>102022</s:v>
      </s:c>
      <s:c r="D759" s="0" t="n">
        <s:v>3884</s:v>
      </s:c>
      <s:c r="F759" s="24">
        <s:f>'자료구성'!$B$2+TIME(INT($C$3/10000),INT(MOD($C$3,10000)/100),MOD($C$3,100))+(ROW()-ROW($C$3))/86400</s:f>
        <s:v>46247.43956018519</s:v>
      </s:c>
    </s:row>
    <s:row r="760">
      <s:c r="A760" s="0" t="n">
        <s:v>260813</s:v>
      </s:c>
      <s:c r="B760" s="0" t="inlineStr">
        <s:is>
          <s:t>이종훈</s:t>
        </s:is>
      </s:c>
      <s:c r="C760" s="0" t="n">
        <s:v>102022</s:v>
      </s:c>
      <s:c r="D760" s="0" t="n">
        <s:v>3817</s:v>
      </s:c>
      <s:c r="F760" s="24">
        <s:f>'자료구성'!$B$2+TIME(INT($C$3/10000),INT(MOD($C$3,10000)/100),MOD($C$3,100))+(ROW()-ROW($C$3))/86400</s:f>
        <s:v>46247.439571759256</s:v>
      </s:c>
    </s:row>
    <s:row r="761">
      <s:c r="A761" s="0" t="n">
        <s:v>260813</s:v>
      </s:c>
      <s:c r="B761" s="0" t="inlineStr">
        <s:is>
          <s:t>이종훈</s:t>
        </s:is>
      </s:c>
      <s:c r="C761" s="0" t="n">
        <s:v>102022</s:v>
      </s:c>
      <s:c r="D761" s="0" t="n">
        <s:v>3679</s:v>
      </s:c>
      <s:c r="F761" s="24">
        <s:f>'자료구성'!$B$2+TIME(INT($C$3/10000),INT(MOD($C$3,10000)/100),MOD($C$3,100))+(ROW()-ROW($C$3))/86400</s:f>
        <s:v>46247.43958333333</s:v>
      </s:c>
    </s:row>
    <s:row r="762">
      <s:c r="A762" s="0" t="n">
        <s:v>260813</s:v>
      </s:c>
      <s:c r="B762" s="0" t="inlineStr">
        <s:is>
          <s:t>이종훈</s:t>
        </s:is>
      </s:c>
      <s:c r="C762" s="0" t="n">
        <s:v>102022</s:v>
      </s:c>
      <s:c r="D762" s="0" t="n">
        <s:v>3574</s:v>
      </s:c>
      <s:c r="F762" s="24">
        <s:f>'자료구성'!$B$2+TIME(INT($C$3/10000),INT(MOD($C$3,10000)/100),MOD($C$3,100))+(ROW()-ROW($C$3))/86400</s:f>
        <s:v>46247.43959490741</s:v>
      </s:c>
    </s:row>
    <s:row r="763">
      <s:c r="A763" s="0" t="n">
        <s:v>260813</s:v>
      </s:c>
      <s:c r="B763" s="0" t="inlineStr">
        <s:is>
          <s:t>이종훈</s:t>
        </s:is>
      </s:c>
      <s:c r="C763" s="0" t="n">
        <s:v>102022</s:v>
      </s:c>
      <s:c r="D763" s="0" t="n">
        <s:v>3463</s:v>
      </s:c>
      <s:c r="F763" s="24">
        <s:f>'자료구성'!$B$2+TIME(INT($C$3/10000),INT(MOD($C$3,10000)/100),MOD($C$3,100))+(ROW()-ROW($C$3))/86400</s:f>
        <s:v>46247.43960648148</s:v>
      </s:c>
    </s:row>
    <s:row r="764">
      <s:c r="A764" s="0" t="n">
        <s:v>260813</s:v>
      </s:c>
      <s:c r="B764" s="0" t="inlineStr">
        <s:is>
          <s:t>이종훈</s:t>
        </s:is>
      </s:c>
      <s:c r="C764" s="0" t="n">
        <s:v>102022</s:v>
      </s:c>
      <s:c r="D764" s="0" t="n">
        <s:v>3336</s:v>
      </s:c>
      <s:c r="F764" s="24">
        <s:f>'자료구성'!$B$2+TIME(INT($C$3/10000),INT(MOD($C$3,10000)/100),MOD($C$3,100))+(ROW()-ROW($C$3))/86400</s:f>
        <s:v>46247.439618055556</s:v>
      </s:c>
    </s:row>
    <s:row r="765">
      <s:c r="A765" s="0" t="n">
        <s:v>260813</s:v>
      </s:c>
      <s:c r="B765" s="0" t="inlineStr">
        <s:is>
          <s:t>이종훈</s:t>
        </s:is>
      </s:c>
      <s:c r="C765" s="0" t="n">
        <s:v>102022</s:v>
      </s:c>
      <s:c r="D765" s="0" t="n">
        <s:v>3244</s:v>
      </s:c>
      <s:c r="F765" s="24">
        <s:f>'자료구성'!$B$2+TIME(INT($C$3/10000),INT(MOD($C$3,10000)/100),MOD($C$3,100))+(ROW()-ROW($C$3))/86400</s:f>
        <s:v>46247.43962962963</s:v>
      </s:c>
    </s:row>
    <s:row r="766">
      <s:c r="A766" s="0" t="n">
        <s:v>260813</s:v>
      </s:c>
      <s:c r="B766" s="0" t="inlineStr">
        <s:is>
          <s:t>이종훈</s:t>
        </s:is>
      </s:c>
      <s:c r="C766" s="0" t="n">
        <s:v>102022</s:v>
      </s:c>
      <s:c r="D766" s="0" t="n">
        <s:v>3178</s:v>
      </s:c>
      <s:c r="F766" s="24">
        <s:f>'자료구성'!$B$2+TIME(INT($C$3/10000),INT(MOD($C$3,10000)/100),MOD($C$3,100))+(ROW()-ROW($C$3))/86400</s:f>
        <s:v>46247.4396412037</s:v>
      </s:c>
    </s:row>
    <s:row r="767">
      <s:c r="A767" s="0" t="n">
        <s:v>260813</s:v>
      </s:c>
      <s:c r="B767" s="0" t="inlineStr">
        <s:is>
          <s:t>이종훈</s:t>
        </s:is>
      </s:c>
      <s:c r="C767" s="0" t="n">
        <s:v>102022</s:v>
      </s:c>
      <s:c r="D767" s="0" t="n">
        <s:v>3057</s:v>
      </s:c>
      <s:c r="F767" s="24">
        <s:f>'자료구성'!$B$2+TIME(INT($C$3/10000),INT(MOD($C$3,10000)/100),MOD($C$3,100))+(ROW()-ROW($C$3))/86400</s:f>
        <s:v>46247.43965277778</s:v>
      </s:c>
    </s:row>
    <s:row r="768">
      <s:c r="A768" s="0" t="n">
        <s:v>260813</s:v>
      </s:c>
      <s:c r="B768" s="0" t="inlineStr">
        <s:is>
          <s:t>이종훈</s:t>
        </s:is>
      </s:c>
      <s:c r="C768" s="0" t="n">
        <s:v>102022</s:v>
      </s:c>
      <s:c r="D768" s="0" t="n">
        <s:v>2918</s:v>
      </s:c>
      <s:c r="F768" s="24">
        <s:f>'자료구성'!$B$2+TIME(INT($C$3/10000),INT(MOD($C$3,10000)/100),MOD($C$3,100))+(ROW()-ROW($C$3))/86400</s:f>
        <s:v>46247.43966435185</s:v>
      </s:c>
    </s:row>
    <s:row r="769">
      <s:c r="A769" s="0" t="n">
        <s:v>260813</s:v>
      </s:c>
      <s:c r="B769" s="0" t="inlineStr">
        <s:is>
          <s:t>이종훈</s:t>
        </s:is>
      </s:c>
      <s:c r="C769" s="0" t="n">
        <s:v>102022</s:v>
      </s:c>
      <s:c r="D769" s="0" t="n">
        <s:v>2802</s:v>
      </s:c>
      <s:c r="F769" s="24">
        <s:f>'자료구성'!$B$2+TIME(INT($C$3/10000),INT(MOD($C$3,10000)/100),MOD($C$3,100))+(ROW()-ROW($C$3))/86400</s:f>
        <s:v>46247.439675925925</s:v>
      </s:c>
    </s:row>
    <s:row r="770">
      <s:c r="A770" s="0" t="n">
        <s:v>260813</s:v>
      </s:c>
      <s:c r="B770" s="0" t="inlineStr">
        <s:is>
          <s:t>이종훈</s:t>
        </s:is>
      </s:c>
      <s:c r="C770" s="0" t="n">
        <s:v>102022</s:v>
      </s:c>
      <s:c r="D770" s="0" t="n">
        <s:v>2739</s:v>
      </s:c>
      <s:c r="F770" s="24">
        <s:f>'자료구성'!$B$2+TIME(INT($C$3/10000),INT(MOD($C$3,10000)/100),MOD($C$3,100))+(ROW()-ROW($C$3))/86400</s:f>
        <s:v>46247.4396875</s:v>
      </s:c>
    </s:row>
    <s:row r="771">
      <s:c r="A771" s="0" t="n">
        <s:v>260813</s:v>
      </s:c>
      <s:c r="B771" s="0" t="inlineStr">
        <s:is>
          <s:t>이종훈</s:t>
        </s:is>
      </s:c>
      <s:c r="C771" s="0" t="n">
        <s:v>102022</s:v>
      </s:c>
      <s:c r="D771" s="0" t="n">
        <s:v>2650</s:v>
      </s:c>
      <s:c r="F771" s="24">
        <s:f>'자료구성'!$B$2+TIME(INT($C$3/10000),INT(MOD($C$3,10000)/100),MOD($C$3,100))+(ROW()-ROW($C$3))/86400</s:f>
        <s:v>46247.43969907407</s:v>
      </s:c>
    </s:row>
    <s:row r="772">
      <s:c r="A772" s="0" t="n">
        <s:v>260813</s:v>
      </s:c>
      <s:c r="B772" s="0" t="inlineStr">
        <s:is>
          <s:t>이종훈</s:t>
        </s:is>
      </s:c>
      <s:c r="C772" s="0" t="n">
        <s:v>102022</s:v>
      </s:c>
      <s:c r="D772" s="0" t="n">
        <s:v>2557</s:v>
      </s:c>
      <s:c r="F772" s="24">
        <s:f>'자료구성'!$B$2+TIME(INT($C$3/10000),INT(MOD($C$3,10000)/100),MOD($C$3,100))+(ROW()-ROW($C$3))/86400</s:f>
        <s:v>46247.43971064815</s:v>
      </s:c>
    </s:row>
    <s:row r="773">
      <s:c r="A773" s="0" t="n">
        <s:v>260813</s:v>
      </s:c>
      <s:c r="B773" s="0" t="inlineStr">
        <s:is>
          <s:t>이종훈</s:t>
        </s:is>
      </s:c>
      <s:c r="C773" s="0" t="n">
        <s:v>102022</s:v>
      </s:c>
      <s:c r="D773" s="0" t="n">
        <s:v>2438</s:v>
      </s:c>
      <s:c r="F773" s="24">
        <s:f>'자료구성'!$B$2+TIME(INT($C$3/10000),INT(MOD($C$3,10000)/100),MOD($C$3,100))+(ROW()-ROW($C$3))/86400</s:f>
        <s:v>46247.439722222225</s:v>
      </s:c>
    </s:row>
    <s:row r="774">
      <s:c r="A774" s="0" t="n">
        <s:v>260813</s:v>
      </s:c>
      <s:c r="B774" s="0" t="inlineStr">
        <s:is>
          <s:t>이종훈</s:t>
        </s:is>
      </s:c>
      <s:c r="C774" s="0" t="n">
        <s:v>102022</s:v>
      </s:c>
      <s:c r="D774" s="0" t="n">
        <s:v>2452</s:v>
      </s:c>
      <s:c r="F774" s="24">
        <s:f>'자료구성'!$B$2+TIME(INT($C$3/10000),INT(MOD($C$3,10000)/100),MOD($C$3,100))+(ROW()-ROW($C$3))/86400</s:f>
        <s:v>46247.439733796295</s:v>
      </s:c>
    </s:row>
    <s:row r="775">
      <s:c r="A775" s="0" t="n">
        <s:v>260813</s:v>
      </s:c>
      <s:c r="B775" s="0" t="inlineStr">
        <s:is>
          <s:t>이종훈</s:t>
        </s:is>
      </s:c>
      <s:c r="C775" s="0" t="n">
        <s:v>102022</s:v>
      </s:c>
      <s:c r="D775" s="0" t="n">
        <s:v>2418</s:v>
      </s:c>
      <s:c r="F775" s="24">
        <s:f>'자료구성'!$B$2+TIME(INT($C$3/10000),INT(MOD($C$3,10000)/100),MOD($C$3,100))+(ROW()-ROW($C$3))/86400</s:f>
        <s:v>46247.43974537037</s:v>
      </s:c>
    </s:row>
    <s:row r="776">
      <s:c r="A776" s="0" t="n">
        <s:v>260813</s:v>
      </s:c>
      <s:c r="B776" s="0" t="inlineStr">
        <s:is>
          <s:t>이종훈</s:t>
        </s:is>
      </s:c>
      <s:c r="C776" s="0" t="n">
        <s:v>102022</s:v>
      </s:c>
      <s:c r="D776" s="0" t="n">
        <s:v>2374</s:v>
      </s:c>
      <s:c r="F776" s="24">
        <s:f>'자료구성'!$B$2+TIME(INT($C$3/10000),INT(MOD($C$3,10000)/100),MOD($C$3,100))+(ROW()-ROW($C$3))/86400</s:f>
        <s:v>46247.43975694444</s:v>
      </s:c>
    </s:row>
    <s:row r="777">
      <s:c r="A777" s="0" t="n">
        <s:v>260813</s:v>
      </s:c>
      <s:c r="B777" s="0" t="inlineStr">
        <s:is>
          <s:t>이종훈</s:t>
        </s:is>
      </s:c>
      <s:c r="C777" s="0" t="n">
        <s:v>102022</s:v>
      </s:c>
      <s:c r="D777" s="0" t="n">
        <s:v>2362</s:v>
      </s:c>
      <s:c r="F777" s="24">
        <s:f>'자료구성'!$B$2+TIME(INT($C$3/10000),INT(MOD($C$3,10000)/100),MOD($C$3,100))+(ROW()-ROW($C$3))/86400</s:f>
        <s:v>46247.43976851852</s:v>
      </s:c>
    </s:row>
    <s:row r="778">
      <s:c r="A778" s="0" t="n">
        <s:v>260813</s:v>
      </s:c>
      <s:c r="B778" s="0" t="inlineStr">
        <s:is>
          <s:t>이종훈</s:t>
        </s:is>
      </s:c>
      <s:c r="C778" s="0" t="n">
        <s:v>102022</s:v>
      </s:c>
      <s:c r="D778" s="0" t="n">
        <s:v>2379</s:v>
      </s:c>
      <s:c r="F778" s="24">
        <s:f>'자료구성'!$B$2+TIME(INT($C$3/10000),INT(MOD($C$3,10000)/100),MOD($C$3,100))+(ROW()-ROW($C$3))/86400</s:f>
        <s:v>46247.439780092594</s:v>
      </s:c>
    </s:row>
    <s:row r="779">
      <s:c r="A779" s="0" t="n">
        <s:v>260813</s:v>
      </s:c>
      <s:c r="B779" s="0" t="inlineStr">
        <s:is>
          <s:t>이종훈</s:t>
        </s:is>
      </s:c>
      <s:c r="C779" s="0" t="n">
        <s:v>102022</s:v>
      </s:c>
      <s:c r="D779" s="0" t="n">
        <s:v>2397</s:v>
      </s:c>
      <s:c r="F779" s="24">
        <s:f>'자료구성'!$B$2+TIME(INT($C$3/10000),INT(MOD($C$3,10000)/100),MOD($C$3,100))+(ROW()-ROW($C$3))/86400</s:f>
        <s:v>46247.439791666664</s:v>
      </s:c>
    </s:row>
    <s:row r="780">
      <s:c r="A780" s="0" t="n">
        <s:v>260813</s:v>
      </s:c>
      <s:c r="B780" s="0" t="inlineStr">
        <s:is>
          <s:t>이종훈</s:t>
        </s:is>
      </s:c>
      <s:c r="C780" s="0" t="n">
        <s:v>102022</s:v>
      </s:c>
      <s:c r="D780" s="0" t="n">
        <s:v>2407</s:v>
      </s:c>
      <s:c r="F780" s="24">
        <s:f>'자료구성'!$B$2+TIME(INT($C$3/10000),INT(MOD($C$3,10000)/100),MOD($C$3,100))+(ROW()-ROW($C$3))/86400</s:f>
        <s:v>46247.43980324074</s:v>
      </s:c>
    </s:row>
    <s:row r="781">
      <s:c r="A781" s="0" t="n">
        <s:v>260813</s:v>
      </s:c>
      <s:c r="B781" s="0" t="inlineStr">
        <s:is>
          <s:t>이종훈</s:t>
        </s:is>
      </s:c>
      <s:c r="C781" s="0" t="n">
        <s:v>102022</s:v>
      </s:c>
      <s:c r="D781" s="0" t="n">
        <s:v>2417</s:v>
      </s:c>
      <s:c r="F781" s="24">
        <s:f>'자료구성'!$B$2+TIME(INT($C$3/10000),INT(MOD($C$3,10000)/100),MOD($C$3,100))+(ROW()-ROW($C$3))/86400</s:f>
        <s:v>46247.43981481482</s:v>
      </s:c>
    </s:row>
    <s:row r="782">
      <s:c r="A782" s="0" t="n">
        <s:v>260813</s:v>
      </s:c>
      <s:c r="B782" s="0" t="inlineStr">
        <s:is>
          <s:t>이종훈</s:t>
        </s:is>
      </s:c>
      <s:c r="C782" s="0" t="n">
        <s:v>102022</s:v>
      </s:c>
      <s:c r="D782" s="0" t="n">
        <s:v>2513</s:v>
      </s:c>
      <s:c r="F782" s="24">
        <s:f>'자료구성'!$B$2+TIME(INT($C$3/10000),INT(MOD($C$3,10000)/100),MOD($C$3,100))+(ROW()-ROW($C$3))/86400</s:f>
        <s:v>46247.43982638889</s:v>
      </s:c>
    </s:row>
    <s:row r="783">
      <s:c r="A783" s="0" t="n">
        <s:v>260813</s:v>
      </s:c>
      <s:c r="B783" s="0" t="inlineStr">
        <s:is>
          <s:t>이종훈</s:t>
        </s:is>
      </s:c>
      <s:c r="C783" s="0" t="n">
        <s:v>102022</s:v>
      </s:c>
      <s:c r="D783" s="0" t="n">
        <s:v>2586</s:v>
      </s:c>
      <s:c r="F783" s="24">
        <s:f>'자료구성'!$B$2+TIME(INT($C$3/10000),INT(MOD($C$3,10000)/100),MOD($C$3,100))+(ROW()-ROW($C$3))/86400</s:f>
        <s:v>46247.439837962964</s:v>
      </s:c>
    </s:row>
    <s:row r="784">
      <s:c r="A784" s="0" t="n">
        <s:v>260813</s:v>
      </s:c>
      <s:c r="B784" s="0" t="inlineStr">
        <s:is>
          <s:t>이종훈</s:t>
        </s:is>
      </s:c>
      <s:c r="C784" s="0" t="n">
        <s:v>102022</s:v>
      </s:c>
      <s:c r="D784" s="0" t="n">
        <s:v>2653</s:v>
      </s:c>
      <s:c r="F784" s="24">
        <s:f>'자료구성'!$B$2+TIME(INT($C$3/10000),INT(MOD($C$3,10000)/100),MOD($C$3,100))+(ROW()-ROW($C$3))/86400</s:f>
        <s:v>46247.43984953704</s:v>
      </s:c>
    </s:row>
    <s:row r="785">
      <s:c r="A785" s="0" t="n">
        <s:v>260813</s:v>
      </s:c>
      <s:c r="B785" s="0" t="inlineStr">
        <s:is>
          <s:t>이종훈</s:t>
        </s:is>
      </s:c>
      <s:c r="C785" s="0" t="n">
        <s:v>102022</s:v>
      </s:c>
      <s:c r="D785" s="0" t="n">
        <s:v>2731</s:v>
      </s:c>
      <s:c r="F785" s="24">
        <s:f>'자료구성'!$B$2+TIME(INT($C$3/10000),INT(MOD($C$3,10000)/100),MOD($C$3,100))+(ROW()-ROW($C$3))/86400</s:f>
        <s:v>46247.43986111111</s:v>
      </s:c>
    </s:row>
    <s:row r="786">
      <s:c r="A786" s="0" t="n">
        <s:v>260813</s:v>
      </s:c>
      <s:c r="B786" s="0" t="inlineStr">
        <s:is>
          <s:t>이종훈</s:t>
        </s:is>
      </s:c>
      <s:c r="C786" s="0" t="n">
        <s:v>102022</s:v>
      </s:c>
      <s:c r="D786" s="0" t="n">
        <s:v>2856</s:v>
      </s:c>
      <s:c r="F786" s="24">
        <s:f>'자료구성'!$B$2+TIME(INT($C$3/10000),INT(MOD($C$3,10000)/100),MOD($C$3,100))+(ROW()-ROW($C$3))/86400</s:f>
        <s:v>46247.43987268519</s:v>
      </s:c>
    </s:row>
    <s:row r="787">
      <s:c r="A787" s="0" t="n">
        <s:v>260813</s:v>
      </s:c>
      <s:c r="B787" s="0" t="inlineStr">
        <s:is>
          <s:t>이종훈</s:t>
        </s:is>
      </s:c>
      <s:c r="C787" s="0" t="n">
        <s:v>102022</s:v>
      </s:c>
      <s:c r="D787" s="0" t="n">
        <s:v>2933</s:v>
      </s:c>
      <s:c r="F787" s="24">
        <s:f>'자료구성'!$B$2+TIME(INT($C$3/10000),INT(MOD($C$3,10000)/100),MOD($C$3,100))+(ROW()-ROW($C$3))/86400</s:f>
        <s:v>46247.439884259256</s:v>
      </s:c>
    </s:row>
    <s:row r="788">
      <s:c r="A788" s="0" t="n">
        <s:v>260813</s:v>
      </s:c>
      <s:c r="B788" s="0" t="inlineStr">
        <s:is>
          <s:t>이종훈</s:t>
        </s:is>
      </s:c>
      <s:c r="C788" s="0" t="n">
        <s:v>102022</s:v>
      </s:c>
      <s:c r="D788" s="0" t="n">
        <s:v>3057</s:v>
      </s:c>
      <s:c r="F788" s="24">
        <s:f>'자료구성'!$B$2+TIME(INT($C$3/10000),INT(MOD($C$3,10000)/100),MOD($C$3,100))+(ROW()-ROW($C$3))/86400</s:f>
        <s:v>46247.43989583333</s:v>
      </s:c>
    </s:row>
    <s:row r="789">
      <s:c r="A789" s="0" t="n">
        <s:v>260813</s:v>
      </s:c>
      <s:c r="B789" s="0" t="inlineStr">
        <s:is>
          <s:t>이종훈</s:t>
        </s:is>
      </s:c>
      <s:c r="C789" s="0" t="n">
        <s:v>102022</s:v>
      </s:c>
      <s:c r="D789" s="0" t="n">
        <s:v>3160</s:v>
      </s:c>
      <s:c r="F789" s="24">
        <s:f>'자료구성'!$B$2+TIME(INT($C$3/10000),INT(MOD($C$3,10000)/100),MOD($C$3,100))+(ROW()-ROW($C$3))/86400</s:f>
        <s:v>46247.43990740741</s:v>
      </s:c>
    </s:row>
    <s:row r="790">
      <s:c r="A790" s="0" t="n">
        <s:v>260813</s:v>
      </s:c>
      <s:c r="B790" s="0" t="inlineStr">
        <s:is>
          <s:t>이종훈</s:t>
        </s:is>
      </s:c>
      <s:c r="C790" s="0" t="n">
        <s:v>102022</s:v>
      </s:c>
      <s:c r="D790" s="0" t="n">
        <s:v>3192</s:v>
      </s:c>
      <s:c r="F790" s="24">
        <s:f>'자료구성'!$B$2+TIME(INT($C$3/10000),INT(MOD($C$3,10000)/100),MOD($C$3,100))+(ROW()-ROW($C$3))/86400</s:f>
        <s:v>46247.43991898148</s:v>
      </s:c>
    </s:row>
    <s:row r="791">
      <s:c r="A791" s="0" t="n">
        <s:v>260813</s:v>
      </s:c>
      <s:c r="B791" s="0" t="inlineStr">
        <s:is>
          <s:t>이종훈</s:t>
        </s:is>
      </s:c>
      <s:c r="C791" s="0" t="n">
        <s:v>102022</s:v>
      </s:c>
      <s:c r="D791" s="0" t="n">
        <s:v>3181</s:v>
      </s:c>
      <s:c r="F791" s="24">
        <s:f>'자료구성'!$B$2+TIME(INT($C$3/10000),INT(MOD($C$3,10000)/100),MOD($C$3,100))+(ROW()-ROW($C$3))/86400</s:f>
        <s:v>46247.439930555556</s:v>
      </s:c>
    </s:row>
    <s:row r="792">
      <s:c r="A792" s="0" t="n">
        <s:v>260813</s:v>
      </s:c>
      <s:c r="B792" s="0" t="inlineStr">
        <s:is>
          <s:t>이종훈</s:t>
        </s:is>
      </s:c>
      <s:c r="C792" s="0" t="n">
        <s:v>102022</s:v>
      </s:c>
      <s:c r="D792" s="0" t="n">
        <s:v>3161</s:v>
      </s:c>
      <s:c r="F792" s="24">
        <s:f>'자료구성'!$B$2+TIME(INT($C$3/10000),INT(MOD($C$3,10000)/100),MOD($C$3,100))+(ROW()-ROW($C$3))/86400</s:f>
        <s:v>46247.43994212963</s:v>
      </s:c>
    </s:row>
    <s:row r="793">
      <s:c r="A793" s="0" t="n">
        <s:v>260813</s:v>
      </s:c>
      <s:c r="B793" s="0" t="inlineStr">
        <s:is>
          <s:t>이종훈</s:t>
        </s:is>
      </s:c>
      <s:c r="C793" s="0" t="n">
        <s:v>102022</s:v>
      </s:c>
      <s:c r="D793" s="0" t="n">
        <s:v>3104</s:v>
      </s:c>
      <s:c r="F793" s="24">
        <s:f>'자료구성'!$B$2+TIME(INT($C$3/10000),INT(MOD($C$3,10000)/100),MOD($C$3,100))+(ROW()-ROW($C$3))/86400</s:f>
        <s:v>46247.4399537037</s:v>
      </s:c>
    </s:row>
    <s:row r="794">
      <s:c r="A794" s="0" t="n">
        <s:v>260813</s:v>
      </s:c>
      <s:c r="B794" s="0" t="inlineStr">
        <s:is>
          <s:t>이종훈</s:t>
        </s:is>
      </s:c>
      <s:c r="C794" s="0" t="n">
        <s:v>102022</s:v>
      </s:c>
      <s:c r="D794" s="0" t="n">
        <s:v>3044</s:v>
      </s:c>
      <s:c r="F794" s="24">
        <s:f>'자료구성'!$B$2+TIME(INT($C$3/10000),INT(MOD($C$3,10000)/100),MOD($C$3,100))+(ROW()-ROW($C$3))/86400</s:f>
        <s:v>46247.43996527778</s:v>
      </s:c>
    </s:row>
    <s:row r="795">
      <s:c r="A795" s="0" t="n">
        <s:v>260813</s:v>
      </s:c>
      <s:c r="B795" s="0" t="inlineStr">
        <s:is>
          <s:t>이종훈</s:t>
        </s:is>
      </s:c>
      <s:c r="C795" s="0" t="n">
        <s:v>102022</s:v>
      </s:c>
      <s:c r="D795" s="0" t="n">
        <s:v>2962</s:v>
      </s:c>
      <s:c r="F795" s="24">
        <s:f>'자료구성'!$B$2+TIME(INT($C$3/10000),INT(MOD($C$3,10000)/100),MOD($C$3,100))+(ROW()-ROW($C$3))/86400</s:f>
        <s:v>46247.43997685185</s:v>
      </s:c>
    </s:row>
    <s:row r="796">
      <s:c r="A796" s="0" t="n">
        <s:v>260813</s:v>
      </s:c>
      <s:c r="B796" s="0" t="inlineStr">
        <s:is>
          <s:t>이종훈</s:t>
        </s:is>
      </s:c>
      <s:c r="C796" s="0" t="n">
        <s:v>102022</s:v>
      </s:c>
      <s:c r="D796" s="0" t="n">
        <s:v>2929</s:v>
      </s:c>
      <s:c r="F796" s="24">
        <s:f>'자료구성'!$B$2+TIME(INT($C$3/10000),INT(MOD($C$3,10000)/100),MOD($C$3,100))+(ROW()-ROW($C$3))/86400</s:f>
        <s:v>46247.439988425926</s:v>
      </s:c>
    </s:row>
    <s:row r="797">
      <s:c r="A797" s="0" t="n">
        <s:v>260813</s:v>
      </s:c>
      <s:c r="B797" s="0" t="inlineStr">
        <s:is>
          <s:t>이종훈</s:t>
        </s:is>
      </s:c>
      <s:c r="C797" s="0" t="n">
        <s:v>102022</s:v>
      </s:c>
      <s:c r="D797" s="0" t="n">
        <s:v>2932</s:v>
      </s:c>
      <s:c r="F797" s="24">
        <s:f>'자료구성'!$B$2+TIME(INT($C$3/10000),INT(MOD($C$3,10000)/100),MOD($C$3,100))+(ROW()-ROW($C$3))/86400</s:f>
        <s:v>46247.44</s:v>
      </s:c>
    </s:row>
    <s:row r="798">
      <s:c r="A798" s="0" t="n">
        <s:v>260813</s:v>
      </s:c>
      <s:c r="B798" s="0" t="inlineStr">
        <s:is>
          <s:t>이종훈</s:t>
        </s:is>
      </s:c>
      <s:c r="C798" s="0" t="n">
        <s:v>102022</s:v>
      </s:c>
      <s:c r="D798" s="0" t="n">
        <s:v>2909</s:v>
      </s:c>
      <s:c r="F798" s="24">
        <s:f>'자료구성'!$B$2+TIME(INT($C$3/10000),INT(MOD($C$3,10000)/100),MOD($C$3,100))+(ROW()-ROW($C$3))/86400</s:f>
        <s:v>46247.44001157407</s:v>
      </s:c>
    </s:row>
    <s:row r="799">
      <s:c r="A799" s="0" t="n">
        <s:v>260813</s:v>
      </s:c>
      <s:c r="B799" s="0" t="inlineStr">
        <s:is>
          <s:t>이종훈</s:t>
        </s:is>
      </s:c>
      <s:c r="C799" s="0" t="n">
        <s:v>102022</s:v>
      </s:c>
      <s:c r="D799" s="0" t="n">
        <s:v>2905</s:v>
      </s:c>
      <s:c r="F799" s="24">
        <s:f>'자료구성'!$B$2+TIME(INT($C$3/10000),INT(MOD($C$3,10000)/100),MOD($C$3,100))+(ROW()-ROW($C$3))/86400</s:f>
        <s:v>46247.44002314815</s:v>
      </s:c>
    </s:row>
    <s:row r="800">
      <s:c r="A800" s="0" t="n">
        <s:v>260813</s:v>
      </s:c>
      <s:c r="B800" s="0" t="inlineStr">
        <s:is>
          <s:t>이종훈</s:t>
        </s:is>
      </s:c>
      <s:c r="C800" s="0" t="n">
        <s:v>102022</s:v>
      </s:c>
      <s:c r="D800" s="0" t="n">
        <s:v>2977</s:v>
      </s:c>
      <s:c r="F800" s="24">
        <s:f>'자료구성'!$B$2+TIME(INT($C$3/10000),INT(MOD($C$3,10000)/100),MOD($C$3,100))+(ROW()-ROW($C$3))/86400</s:f>
        <s:v>46247.440034722225</s:v>
      </s:c>
    </s:row>
    <s:row r="801">
      <s:c r="A801" s="0" t="n">
        <s:v>260813</s:v>
      </s:c>
      <s:c r="B801" s="0" t="inlineStr">
        <s:is>
          <s:t>이종훈</s:t>
        </s:is>
      </s:c>
      <s:c r="C801" s="0" t="n">
        <s:v>102022</s:v>
      </s:c>
      <s:c r="D801" s="0" t="n">
        <s:v>2991</s:v>
      </s:c>
      <s:c r="F801" s="24">
        <s:f>'자료구성'!$B$2+TIME(INT($C$3/10000),INT(MOD($C$3,10000)/100),MOD($C$3,100))+(ROW()-ROW($C$3))/86400</s:f>
        <s:v>46247.440046296295</s:v>
      </s:c>
    </s:row>
    <s:row r="802">
      <s:c r="A802" s="0" t="n">
        <s:v>260813</s:v>
      </s:c>
      <s:c r="B802" s="0" t="inlineStr">
        <s:is>
          <s:t>이종훈</s:t>
        </s:is>
      </s:c>
      <s:c r="C802" s="0" t="n">
        <s:v>102022</s:v>
      </s:c>
      <s:c r="D802" s="0" t="n">
        <s:v>3054</s:v>
      </s:c>
      <s:c r="F802" s="24">
        <s:f>'자료구성'!$B$2+TIME(INT($C$3/10000),INT(MOD($C$3,10000)/100),MOD($C$3,100))+(ROW()-ROW($C$3))/86400</s:f>
        <s:v>46247.44005787037</s:v>
      </s:c>
    </s:row>
    <s:row r="803">
      <s:c r="A803" s="0" t="n">
        <s:v>260813</s:v>
      </s:c>
      <s:c r="B803" s="0" t="inlineStr">
        <s:is>
          <s:t>이종훈</s:t>
        </s:is>
      </s:c>
      <s:c r="C803" s="0" t="n">
        <s:v>102022</s:v>
      </s:c>
      <s:c r="D803" s="0" t="n">
        <s:v>3072</s:v>
      </s:c>
      <s:c r="F803" s="24">
        <s:f>'자료구성'!$B$2+TIME(INT($C$3/10000),INT(MOD($C$3,10000)/100),MOD($C$3,100))+(ROW()-ROW($C$3))/86400</s:f>
        <s:v>46247.44006944444</s:v>
      </s:c>
    </s:row>
    <s:row r="804">
      <s:c r="A804" s="0" t="n">
        <s:v>260813</s:v>
      </s:c>
      <s:c r="B804" s="0" t="inlineStr">
        <s:is>
          <s:t>이종훈</s:t>
        </s:is>
      </s:c>
      <s:c r="C804" s="0" t="n">
        <s:v>102022</s:v>
      </s:c>
      <s:c r="D804" s="0" t="n">
        <s:v>3073</s:v>
      </s:c>
      <s:c r="F804" s="24">
        <s:f>'자료구성'!$B$2+TIME(INT($C$3/10000),INT(MOD($C$3,10000)/100),MOD($C$3,100))+(ROW()-ROW($C$3))/86400</s:f>
        <s:v>46247.44008101852</s:v>
      </s:c>
    </s:row>
    <s:row r="805">
      <s:c r="A805" s="0" t="n">
        <s:v>260813</s:v>
      </s:c>
      <s:c r="B805" s="0" t="inlineStr">
        <s:is>
          <s:t>이종훈</s:t>
        </s:is>
      </s:c>
      <s:c r="C805" s="0" t="n">
        <s:v>102022</s:v>
      </s:c>
      <s:c r="D805" s="0" t="n">
        <s:v>3100</s:v>
      </s:c>
      <s:c r="F805" s="24">
        <s:f>'자료구성'!$B$2+TIME(INT($C$3/10000),INT(MOD($C$3,10000)/100),MOD($C$3,100))+(ROW()-ROW($C$3))/86400</s:f>
        <s:v>46247.440092592595</s:v>
      </s:c>
    </s:row>
    <s:row r="806">
      <s:c r="A806" s="0" t="n">
        <s:v>260813</s:v>
      </s:c>
      <s:c r="B806" s="0" t="inlineStr">
        <s:is>
          <s:t>이종훈</s:t>
        </s:is>
      </s:c>
      <s:c r="C806" s="0" t="n">
        <s:v>102022</s:v>
      </s:c>
      <s:c r="D806" s="0" t="n">
        <s:v>3163</s:v>
      </s:c>
      <s:c r="F806" s="24">
        <s:f>'자료구성'!$B$2+TIME(INT($C$3/10000),INT(MOD($C$3,10000)/100),MOD($C$3,100))+(ROW()-ROW($C$3))/86400</s:f>
        <s:v>46247.440104166664</s:v>
      </s:c>
    </s:row>
    <s:row r="807">
      <s:c r="A807" s="0" t="n">
        <s:v>260813</s:v>
      </s:c>
      <s:c r="B807" s="0" t="inlineStr">
        <s:is>
          <s:t>이종훈</s:t>
        </s:is>
      </s:c>
      <s:c r="C807" s="0" t="n">
        <s:v>102022</s:v>
      </s:c>
      <s:c r="D807" s="0" t="n">
        <s:v>3241</s:v>
      </s:c>
      <s:c r="F807" s="24">
        <s:f>'자료구성'!$B$2+TIME(INT($C$3/10000),INT(MOD($C$3,10000)/100),MOD($C$3,100))+(ROW()-ROW($C$3))/86400</s:f>
        <s:v>46247.44011574074</s:v>
      </s:c>
    </s:row>
    <s:row r="808">
      <s:c r="A808" s="0" t="n">
        <s:v>260813</s:v>
      </s:c>
      <s:c r="B808" s="0" t="inlineStr">
        <s:is>
          <s:t>이종훈</s:t>
        </s:is>
      </s:c>
      <s:c r="C808" s="0" t="n">
        <s:v>102022</s:v>
      </s:c>
      <s:c r="D808" s="0" t="n">
        <s:v>3295</s:v>
      </s:c>
      <s:c r="F808" s="24">
        <s:f>'자료구성'!$B$2+TIME(INT($C$3/10000),INT(MOD($C$3,10000)/100),MOD($C$3,100))+(ROW()-ROW($C$3))/86400</s:f>
        <s:v>46247.44012731482</s:v>
      </s:c>
    </s:row>
    <s:row r="809">
      <s:c r="A809" s="0" t="n">
        <s:v>260813</s:v>
      </s:c>
      <s:c r="B809" s="0" t="inlineStr">
        <s:is>
          <s:t>이종훈</s:t>
        </s:is>
      </s:c>
      <s:c r="C809" s="0" t="n">
        <s:v>102022</s:v>
      </s:c>
      <s:c r="D809" s="0" t="n">
        <s:v>3368</s:v>
      </s:c>
      <s:c r="F809" s="24">
        <s:f>'자료구성'!$B$2+TIME(INT($C$3/10000),INT(MOD($C$3,10000)/100),MOD($C$3,100))+(ROW()-ROW($C$3))/86400</s:f>
        <s:v>46247.44013888889</s:v>
      </s:c>
    </s:row>
    <s:row r="810">
      <s:c r="A810" s="0" t="n">
        <s:v>260813</s:v>
      </s:c>
      <s:c r="B810" s="0" t="inlineStr">
        <s:is>
          <s:t>이종훈</s:t>
        </s:is>
      </s:c>
      <s:c r="C810" s="0" t="n">
        <s:v>102022</s:v>
      </s:c>
      <s:c r="D810" s="0" t="n">
        <s:v>3419</s:v>
      </s:c>
      <s:c r="F810" s="24">
        <s:f>'자료구성'!$B$2+TIME(INT($C$3/10000),INT(MOD($C$3,10000)/100),MOD($C$3,100))+(ROW()-ROW($C$3))/86400</s:f>
        <s:v>46247.440150462964</s:v>
      </s:c>
    </s:row>
    <s:row r="811">
      <s:c r="A811" s="0" t="n">
        <s:v>260813</s:v>
      </s:c>
      <s:c r="B811" s="0" t="inlineStr">
        <s:is>
          <s:t>이종훈</s:t>
        </s:is>
      </s:c>
      <s:c r="C811" s="0" t="n">
        <s:v>102022</s:v>
      </s:c>
      <s:c r="D811" s="0" t="n">
        <s:v>3389</s:v>
      </s:c>
      <s:c r="F811" s="24">
        <s:f>'자료구성'!$B$2+TIME(INT($C$3/10000),INT(MOD($C$3,10000)/100),MOD($C$3,100))+(ROW()-ROW($C$3))/86400</s:f>
        <s:v>46247.44016203703</s:v>
      </s:c>
    </s:row>
    <s:row r="812">
      <s:c r="A812" s="0" t="n">
        <s:v>260813</s:v>
      </s:c>
      <s:c r="B812" s="0" t="inlineStr">
        <s:is>
          <s:t>이종훈</s:t>
        </s:is>
      </s:c>
      <s:c r="C812" s="0" t="n">
        <s:v>102022</s:v>
      </s:c>
      <s:c r="D812" s="0" t="n">
        <s:v>3304</s:v>
      </s:c>
      <s:c r="F812" s="24">
        <s:f>'자료구성'!$B$2+TIME(INT($C$3/10000),INT(MOD($C$3,10000)/100),MOD($C$3,100))+(ROW()-ROW($C$3))/86400</s:f>
        <s:v>46247.44017361111</s:v>
      </s:c>
    </s:row>
    <s:row r="813">
      <s:c r="A813" s="0" t="n">
        <s:v>260813</s:v>
      </s:c>
      <s:c r="B813" s="0" t="inlineStr">
        <s:is>
          <s:t>이종훈</s:t>
        </s:is>
      </s:c>
      <s:c r="C813" s="0" t="n">
        <s:v>102022</s:v>
      </s:c>
      <s:c r="D813" s="0" t="n">
        <s:v>3240</s:v>
      </s:c>
      <s:c r="F813" s="24">
        <s:f>'자료구성'!$B$2+TIME(INT($C$3/10000),INT(MOD($C$3,10000)/100),MOD($C$3,100))+(ROW()-ROW($C$3))/86400</s:f>
        <s:v>46247.44018518519</s:v>
      </s:c>
    </s:row>
    <s:row r="814">
      <s:c r="A814" s="0" t="n">
        <s:v>260813</s:v>
      </s:c>
      <s:c r="B814" s="0" t="inlineStr">
        <s:is>
          <s:t>이종훈</s:t>
        </s:is>
      </s:c>
      <s:c r="C814" s="0" t="n">
        <s:v>102022</s:v>
      </s:c>
      <s:c r="D814" s="0" t="n">
        <s:v>3136</s:v>
      </s:c>
      <s:c r="F814" s="24">
        <s:f>'자료구성'!$B$2+TIME(INT($C$3/10000),INT(MOD($C$3,10000)/100),MOD($C$3,100))+(ROW()-ROW($C$3))/86400</s:f>
        <s:v>46247.44019675926</s:v>
      </s:c>
    </s:row>
    <s:row r="815">
      <s:c r="A815" s="0" t="n">
        <s:v>260813</s:v>
      </s:c>
      <s:c r="B815" s="0" t="inlineStr">
        <s:is>
          <s:t>이종훈</s:t>
        </s:is>
      </s:c>
      <s:c r="C815" s="0" t="n">
        <s:v>102022</s:v>
      </s:c>
      <s:c r="D815" s="0" t="n">
        <s:v>3050</s:v>
      </s:c>
      <s:c r="F815" s="24">
        <s:f>'자료구성'!$B$2+TIME(INT($C$3/10000),INT(MOD($C$3,10000)/100),MOD($C$3,100))+(ROW()-ROW($C$3))/86400</s:f>
        <s:v>46247.44020833333</s:v>
      </s:c>
    </s:row>
    <s:row r="816">
      <s:c r="A816" s="0" t="n">
        <s:v>260813</s:v>
      </s:c>
      <s:c r="B816" s="0" t="inlineStr">
        <s:is>
          <s:t>이종훈</s:t>
        </s:is>
      </s:c>
      <s:c r="C816" s="0" t="n">
        <s:v>102022</s:v>
      </s:c>
      <s:c r="D816" s="0" t="n">
        <s:v>2989</s:v>
      </s:c>
      <s:c r="F816" s="24">
        <s:f>'자료구성'!$B$2+TIME(INT($C$3/10000),INT(MOD($C$3,10000)/100),MOD($C$3,100))+(ROW()-ROW($C$3))/86400</s:f>
        <s:v>46247.44021990741</s:v>
      </s:c>
    </s:row>
    <s:row r="817">
      <s:c r="A817" s="0" t="n">
        <s:v>260813</s:v>
      </s:c>
      <s:c r="B817" s="0" t="inlineStr">
        <s:is>
          <s:t>이종훈</s:t>
        </s:is>
      </s:c>
      <s:c r="C817" s="0" t="n">
        <s:v>102022</s:v>
      </s:c>
      <s:c r="D817" s="0" t="n">
        <s:v>2849</s:v>
      </s:c>
      <s:c r="F817" s="24">
        <s:f>'자료구성'!$B$2+TIME(INT($C$3/10000),INT(MOD($C$3,10000)/100),MOD($C$3,100))+(ROW()-ROW($C$3))/86400</s:f>
        <s:v>46247.44023148148</s:v>
      </s:c>
    </s:row>
    <s:row r="818">
      <s:c r="A818" s="0" t="n">
        <s:v>260813</s:v>
      </s:c>
      <s:c r="B818" s="0" t="inlineStr">
        <s:is>
          <s:t>이종훈</s:t>
        </s:is>
      </s:c>
      <s:c r="C818" s="0" t="n">
        <s:v>102022</s:v>
      </s:c>
      <s:c r="D818" s="0" t="n">
        <s:v>2762</s:v>
      </s:c>
      <s:c r="F818" s="24">
        <s:f>'자료구성'!$B$2+TIME(INT($C$3/10000),INT(MOD($C$3,10000)/100),MOD($C$3,100))+(ROW()-ROW($C$3))/86400</s:f>
        <s:v>46247.44024305556</s:v>
      </s:c>
    </s:row>
    <s:row r="819">
      <s:c r="A819" s="0" t="n">
        <s:v>260813</s:v>
      </s:c>
      <s:c r="B819" s="0" t="inlineStr">
        <s:is>
          <s:t>이종훈</s:t>
        </s:is>
      </s:c>
      <s:c r="C819" s="0" t="n">
        <s:v>102022</s:v>
      </s:c>
      <s:c r="D819" s="0" t="n">
        <s:v>2641</s:v>
      </s:c>
      <s:c r="F819" s="24">
        <s:f>'자료구성'!$B$2+TIME(INT($C$3/10000),INT(MOD($C$3,10000)/100),MOD($C$3,100))+(ROW()-ROW($C$3))/86400</s:f>
        <s:v>46247.440254629626</s:v>
      </s:c>
    </s:row>
    <s:row r="820">
      <s:c r="A820" s="0" t="n">
        <s:v>260813</s:v>
      </s:c>
      <s:c r="B820" s="0" t="inlineStr">
        <s:is>
          <s:t>이종훈</s:t>
        </s:is>
      </s:c>
      <s:c r="C820" s="0" t="n">
        <s:v>102022</s:v>
      </s:c>
      <s:c r="D820" s="0" t="n">
        <s:v>2544</s:v>
      </s:c>
      <s:c r="F820" s="24">
        <s:f>'자료구성'!$B$2+TIME(INT($C$3/10000),INT(MOD($C$3,10000)/100),MOD($C$3,100))+(ROW()-ROW($C$3))/86400</s:f>
        <s:v>46247.4402662037</s:v>
      </s:c>
    </s:row>
    <s:row r="821">
      <s:c r="A821" s="0" t="n">
        <s:v>260813</s:v>
      </s:c>
      <s:c r="B821" s="0" t="inlineStr">
        <s:is>
          <s:t>이종훈</s:t>
        </s:is>
      </s:c>
      <s:c r="C821" s="0" t="n">
        <s:v>102022</s:v>
      </s:c>
      <s:c r="D821" s="0" t="n">
        <s:v>2472</s:v>
      </s:c>
      <s:c r="F821" s="24">
        <s:f>'자료구성'!$B$2+TIME(INT($C$3/10000),INT(MOD($C$3,10000)/100),MOD($C$3,100))+(ROW()-ROW($C$3))/86400</s:f>
        <s:v>46247.44027777778</s:v>
      </s:c>
    </s:row>
    <s:row r="822">
      <s:c r="A822" s="0" t="n">
        <s:v>260813</s:v>
      </s:c>
      <s:c r="B822" s="0" t="inlineStr">
        <s:is>
          <s:t>이종훈</s:t>
        </s:is>
      </s:c>
      <s:c r="C822" s="0" t="n">
        <s:v>102022</s:v>
      </s:c>
      <s:c r="D822" s="0" t="n">
        <s:v>2472</s:v>
      </s:c>
      <s:c r="F822" s="24">
        <s:f>'자료구성'!$B$2+TIME(INT($C$3/10000),INT(MOD($C$3,10000)/100),MOD($C$3,100))+(ROW()-ROW($C$3))/86400</s:f>
        <s:v>46247.44028935185</s:v>
      </s:c>
    </s:row>
    <s:row r="823">
      <s:c r="A823" s="0" t="n">
        <s:v>260813</s:v>
      </s:c>
      <s:c r="B823" s="0" t="inlineStr">
        <s:is>
          <s:t>이종훈</s:t>
        </s:is>
      </s:c>
      <s:c r="C823" s="0" t="n">
        <s:v>102022</s:v>
      </s:c>
      <s:c r="D823" s="0" t="n">
        <s:v>2448</s:v>
      </s:c>
      <s:c r="F823" s="24">
        <s:f>'자료구성'!$B$2+TIME(INT($C$3/10000),INT(MOD($C$3,10000)/100),MOD($C$3,100))+(ROW()-ROW($C$3))/86400</s:f>
        <s:v>46247.440300925926</s:v>
      </s:c>
    </s:row>
    <s:row r="824">
      <s:c r="A824" s="0" t="n">
        <s:v>260813</s:v>
      </s:c>
      <s:c r="B824" s="0" t="inlineStr">
        <s:is>
          <s:t>이종훈</s:t>
        </s:is>
      </s:c>
      <s:c r="C824" s="0" t="n">
        <s:v>102022</s:v>
      </s:c>
      <s:c r="D824" s="0" t="n">
        <s:v>2444</s:v>
      </s:c>
      <s:c r="F824" s="24">
        <s:f>'자료구성'!$B$2+TIME(INT($C$3/10000),INT(MOD($C$3,10000)/100),MOD($C$3,100))+(ROW()-ROW($C$3))/86400</s:f>
        <s:v>46247.4403125</s:v>
      </s:c>
    </s:row>
    <s:row r="825">
      <s:c r="A825" s="0" t="n">
        <s:v>260813</s:v>
      </s:c>
      <s:c r="B825" s="0" t="inlineStr">
        <s:is>
          <s:t>이종훈</s:t>
        </s:is>
      </s:c>
      <s:c r="C825" s="0" t="n">
        <s:v>102022</s:v>
      </s:c>
      <s:c r="D825" s="0" t="n">
        <s:v>2417</s:v>
      </s:c>
      <s:c r="F825" s="24">
        <s:f>'자료구성'!$B$2+TIME(INT($C$3/10000),INT(MOD($C$3,10000)/100),MOD($C$3,100))+(ROW()-ROW($C$3))/86400</s:f>
        <s:v>46247.44032407407</s:v>
      </s:c>
    </s:row>
    <s:row r="826">
      <s:c r="A826" s="0" t="n">
        <s:v>260813</s:v>
      </s:c>
      <s:c r="B826" s="0" t="inlineStr">
        <s:is>
          <s:t>이종훈</s:t>
        </s:is>
      </s:c>
      <s:c r="C826" s="0" t="n">
        <s:v>102022</s:v>
      </s:c>
      <s:c r="D826" s="0" t="n">
        <s:v>2420</s:v>
      </s:c>
      <s:c r="F826" s="24">
        <s:f>'자료구성'!$B$2+TIME(INT($C$3/10000),INT(MOD($C$3,10000)/100),MOD($C$3,100))+(ROW()-ROW($C$3))/86400</s:f>
        <s:v>46247.44033564815</s:v>
      </s:c>
    </s:row>
    <s:row r="827">
      <s:c r="A827" s="0" t="n">
        <s:v>260813</s:v>
      </s:c>
      <s:c r="B827" s="0" t="inlineStr">
        <s:is>
          <s:t>이종훈</s:t>
        </s:is>
      </s:c>
      <s:c r="C827" s="0" t="n">
        <s:v>102022</s:v>
      </s:c>
      <s:c r="D827" s="0" t="n">
        <s:v>2450</s:v>
      </s:c>
      <s:c r="F827" s="24">
        <s:f>'자료구성'!$B$2+TIME(INT($C$3/10000),INT(MOD($C$3,10000)/100),MOD($C$3,100))+(ROW()-ROW($C$3))/86400</s:f>
        <s:v>46247.440347222226</s:v>
      </s:c>
    </s:row>
    <s:row r="828">
      <s:c r="A828" s="0" t="n">
        <s:v>260813</s:v>
      </s:c>
      <s:c r="B828" s="0" t="inlineStr">
        <s:is>
          <s:t>이종훈</s:t>
        </s:is>
      </s:c>
      <s:c r="C828" s="0" t="n">
        <s:v>102022</s:v>
      </s:c>
      <s:c r="D828" s="0" t="n">
        <s:v>2469</s:v>
      </s:c>
      <s:c r="F828" s="24">
        <s:f>'자료구성'!$B$2+TIME(INT($C$3/10000),INT(MOD($C$3,10000)/100),MOD($C$3,100))+(ROW()-ROW($C$3))/86400</s:f>
        <s:v>46247.440358796295</s:v>
      </s:c>
    </s:row>
    <s:row r="829">
      <s:c r="A829" s="0" t="n">
        <s:v>260813</s:v>
      </s:c>
      <s:c r="B829" s="0" t="inlineStr">
        <s:is>
          <s:t>이종훈</s:t>
        </s:is>
      </s:c>
      <s:c r="C829" s="0" t="n">
        <s:v>102022</s:v>
      </s:c>
      <s:c r="D829" s="0" t="n">
        <s:v>2480</s:v>
      </s:c>
      <s:c r="F829" s="24">
        <s:f>'자료구성'!$B$2+TIME(INT($C$3/10000),INT(MOD($C$3,10000)/100),MOD($C$3,100))+(ROW()-ROW($C$3))/86400</s:f>
        <s:v>46247.44037037037</s:v>
      </s:c>
    </s:row>
    <s:row r="830">
      <s:c r="A830" s="0" t="n">
        <s:v>260813</s:v>
      </s:c>
      <s:c r="B830" s="0" t="inlineStr">
        <s:is>
          <s:t>이종훈</s:t>
        </s:is>
      </s:c>
      <s:c r="C830" s="0" t="n">
        <s:v>102022</s:v>
      </s:c>
      <s:c r="D830" s="0" t="n">
        <s:v>2532</s:v>
      </s:c>
      <s:c r="F830" s="24">
        <s:f>'자료구성'!$B$2+TIME(INT($C$3/10000),INT(MOD($C$3,10000)/100),MOD($C$3,100))+(ROW()-ROW($C$3))/86400</s:f>
        <s:v>46247.44038194444</s:v>
      </s:c>
    </s:row>
    <s:row r="831">
      <s:c r="A831" s="0" t="n">
        <s:v>260813</s:v>
      </s:c>
      <s:c r="B831" s="0" t="inlineStr">
        <s:is>
          <s:t>이종훈</s:t>
        </s:is>
      </s:c>
      <s:c r="C831" s="0" t="n">
        <s:v>102022</s:v>
      </s:c>
      <s:c r="D831" s="0" t="n">
        <s:v>2561</s:v>
      </s:c>
      <s:c r="F831" s="24">
        <s:f>'자료구성'!$B$2+TIME(INT($C$3/10000),INT(MOD($C$3,10000)/100),MOD($C$3,100))+(ROW()-ROW($C$3))/86400</s:f>
        <s:v>46247.44039351852</s:v>
      </s:c>
    </s:row>
    <s:row r="832">
      <s:c r="A832" s="0" t="n">
        <s:v>260813</s:v>
      </s:c>
      <s:c r="B832" s="0" t="inlineStr">
        <s:is>
          <s:t>이종훈</s:t>
        </s:is>
      </s:c>
      <s:c r="C832" s="0" t="n">
        <s:v>102022</s:v>
      </s:c>
      <s:c r="D832" s="0" t="n">
        <s:v>2582</s:v>
      </s:c>
      <s:c r="F832" s="24">
        <s:f>'자료구성'!$B$2+TIME(INT($C$3/10000),INT(MOD($C$3,10000)/100),MOD($C$3,100))+(ROW()-ROW($C$3))/86400</s:f>
        <s:v>46247.440405092595</s:v>
      </s:c>
    </s:row>
    <s:row r="833">
      <s:c r="A833" s="0" t="n">
        <s:v>260813</s:v>
      </s:c>
      <s:c r="B833" s="0" t="inlineStr">
        <s:is>
          <s:t>이종훈</s:t>
        </s:is>
      </s:c>
      <s:c r="C833" s="0" t="n">
        <s:v>102022</s:v>
      </s:c>
      <s:c r="D833" s="0" t="n">
        <s:v>2636</s:v>
      </s:c>
      <s:c r="F833" s="24">
        <s:f>'자료구성'!$B$2+TIME(INT($C$3/10000),INT(MOD($C$3,10000)/100),MOD($C$3,100))+(ROW()-ROW($C$3))/86400</s:f>
        <s:v>46247.440416666665</s:v>
      </s:c>
    </s:row>
    <s:row r="834">
      <s:c r="A834" s="0" t="n">
        <s:v>260813</s:v>
      </s:c>
      <s:c r="B834" s="0" t="inlineStr">
        <s:is>
          <s:t>이종훈</s:t>
        </s:is>
      </s:c>
      <s:c r="C834" s="0" t="n">
        <s:v>102022</s:v>
      </s:c>
      <s:c r="D834" s="0" t="n">
        <s:v>2648</s:v>
      </s:c>
      <s:c r="F834" s="24">
        <s:f>'자료구성'!$B$2+TIME(INT($C$3/10000),INT(MOD($C$3,10000)/100),MOD($C$3,100))+(ROW()-ROW($C$3))/86400</s:f>
        <s:v>46247.44042824074</s:v>
      </s:c>
    </s:row>
    <s:row r="835">
      <s:c r="A835" s="0" t="n">
        <s:v>260813</s:v>
      </s:c>
      <s:c r="B835" s="0" t="inlineStr">
        <s:is>
          <s:t>이종훈</s:t>
        </s:is>
      </s:c>
      <s:c r="C835" s="0" t="n">
        <s:v>102022</s:v>
      </s:c>
      <s:c r="D835" s="0" t="n">
        <s:v>2708</s:v>
      </s:c>
      <s:c r="F835" s="24">
        <s:f>'자료구성'!$B$2+TIME(INT($C$3/10000),INT(MOD($C$3,10000)/100),MOD($C$3,100))+(ROW()-ROW($C$3))/86400</s:f>
        <s:v>46247.44043981482</s:v>
      </s:c>
    </s:row>
    <s:row r="836">
      <s:c r="A836" s="0" t="n">
        <s:v>260813</s:v>
      </s:c>
      <s:c r="B836" s="0" t="inlineStr">
        <s:is>
          <s:t>이종훈</s:t>
        </s:is>
      </s:c>
      <s:c r="C836" s="0" t="n">
        <s:v>102022</s:v>
      </s:c>
      <s:c r="D836" s="0" t="n">
        <s:v>2759</s:v>
      </s:c>
      <s:c r="F836" s="24">
        <s:f>'자료구성'!$B$2+TIME(INT($C$3/10000),INT(MOD($C$3,10000)/100),MOD($C$3,100))+(ROW()-ROW($C$3))/86400</s:f>
        <s:v>46247.44045138889</s:v>
      </s:c>
    </s:row>
    <s:row r="837">
      <s:c r="A837" s="0" t="n">
        <s:v>260813</s:v>
      </s:c>
      <s:c r="B837" s="0" t="inlineStr">
        <s:is>
          <s:t>이종훈</s:t>
        </s:is>
      </s:c>
      <s:c r="C837" s="0" t="n">
        <s:v>102022</s:v>
      </s:c>
      <s:c r="D837" s="0" t="n">
        <s:v>2753</s:v>
      </s:c>
      <s:c r="F837" s="24">
        <s:f>'자료구성'!$B$2+TIME(INT($C$3/10000),INT(MOD($C$3,10000)/100),MOD($C$3,100))+(ROW()-ROW($C$3))/86400</s:f>
        <s:v>46247.440462962964</s:v>
      </s:c>
    </s:row>
    <s:row r="838">
      <s:c r="A838" s="0" t="n">
        <s:v>260813</s:v>
      </s:c>
      <s:c r="B838" s="0" t="inlineStr">
        <s:is>
          <s:t>이종훈</s:t>
        </s:is>
      </s:c>
      <s:c r="C838" s="0" t="n">
        <s:v>102022</s:v>
      </s:c>
      <s:c r="D838" s="0" t="n">
        <s:v>2728</s:v>
      </s:c>
      <s:c r="F838" s="24">
        <s:f>'자료구성'!$B$2+TIME(INT($C$3/10000),INT(MOD($C$3,10000)/100),MOD($C$3,100))+(ROW()-ROW($C$3))/86400</s:f>
        <s:v>46247.440474537034</s:v>
      </s:c>
    </s:row>
    <s:row r="839">
      <s:c r="A839" s="0" t="n">
        <s:v>260813</s:v>
      </s:c>
      <s:c r="B839" s="0" t="inlineStr">
        <s:is>
          <s:t>이종훈</s:t>
        </s:is>
      </s:c>
      <s:c r="C839" s="0" t="n">
        <s:v>102022</s:v>
      </s:c>
      <s:c r="D839" s="0" t="n">
        <s:v>2708</s:v>
      </s:c>
      <s:c r="F839" s="24">
        <s:f>'자료구성'!$B$2+TIME(INT($C$3/10000),INT(MOD($C$3,10000)/100),MOD($C$3,100))+(ROW()-ROW($C$3))/86400</s:f>
        <s:v>46247.44048611111</s:v>
      </s:c>
    </s:row>
    <s:row r="840">
      <s:c r="A840" s="0" t="n">
        <s:v>260813</s:v>
      </s:c>
      <s:c r="B840" s="0" t="inlineStr">
        <s:is>
          <s:t>이종훈</s:t>
        </s:is>
      </s:c>
      <s:c r="C840" s="0" t="n">
        <s:v>102022</s:v>
      </s:c>
      <s:c r="D840" s="0" t="n">
        <s:v>2686</s:v>
      </s:c>
      <s:c r="F840" s="24">
        <s:f>'자료구성'!$B$2+TIME(INT($C$3/10000),INT(MOD($C$3,10000)/100),MOD($C$3,100))+(ROW()-ROW($C$3))/86400</s:f>
        <s:v>46247.44049768519</s:v>
      </s:c>
    </s:row>
    <s:row r="841">
      <s:c r="A841" s="0" t="n">
        <s:v>260813</s:v>
      </s:c>
      <s:c r="B841" s="0" t="inlineStr">
        <s:is>
          <s:t>이종훈</s:t>
        </s:is>
      </s:c>
      <s:c r="C841" s="0" t="n">
        <s:v>102022</s:v>
      </s:c>
      <s:c r="D841" s="0" t="n">
        <s:v>2645</s:v>
      </s:c>
      <s:c r="F841" s="24">
        <s:f>'자료구성'!$B$2+TIME(INT($C$3/10000),INT(MOD($C$3,10000)/100),MOD($C$3,100))+(ROW()-ROW($C$3))/86400</s:f>
        <s:v>46247.44050925926</s:v>
      </s:c>
    </s:row>
    <s:row r="842">
      <s:c r="A842" s="0" t="n">
        <s:v>260813</s:v>
      </s:c>
      <s:c r="B842" s="0" t="inlineStr">
        <s:is>
          <s:t>이종훈</s:t>
        </s:is>
      </s:c>
      <s:c r="C842" s="0" t="n">
        <s:v>102022</s:v>
      </s:c>
      <s:c r="D842" s="0" t="n">
        <s:v>2614</s:v>
      </s:c>
      <s:c r="F842" s="24">
        <s:f>'자료구성'!$B$2+TIME(INT($C$3/10000),INT(MOD($C$3,10000)/100),MOD($C$3,100))+(ROW()-ROW($C$3))/86400</s:f>
        <s:v>46247.440520833334</s:v>
      </s:c>
    </s:row>
    <s:row r="843">
      <s:c r="A843" s="0" t="n">
        <s:v>260813</s:v>
      </s:c>
      <s:c r="B843" s="0" t="inlineStr">
        <s:is>
          <s:t>이종훈</s:t>
        </s:is>
      </s:c>
      <s:c r="C843" s="0" t="n">
        <s:v>102022</s:v>
      </s:c>
      <s:c r="D843" s="0" t="n">
        <s:v>2625</s:v>
      </s:c>
      <s:c r="F843" s="24">
        <s:f>'자료구성'!$B$2+TIME(INT($C$3/10000),INT(MOD($C$3,10000)/100),MOD($C$3,100))+(ROW()-ROW($C$3))/86400</s:f>
        <s:v>46247.44053240741</s:v>
      </s:c>
    </s:row>
    <s:row r="844">
      <s:c r="A844" s="0" t="n">
        <s:v>260813</s:v>
      </s:c>
      <s:c r="B844" s="0" t="inlineStr">
        <s:is>
          <s:t>이종훈</s:t>
        </s:is>
      </s:c>
      <s:c r="C844" s="0" t="n">
        <s:v>102022</s:v>
      </s:c>
      <s:c r="D844" s="0" t="n">
        <s:v>2718</s:v>
      </s:c>
      <s:c r="F844" s="24">
        <s:f>'자료구성'!$B$2+TIME(INT($C$3/10000),INT(MOD($C$3,10000)/100),MOD($C$3,100))+(ROW()-ROW($C$3))/86400</s:f>
        <s:v>46247.44054398148</s:v>
      </s:c>
    </s:row>
    <s:row r="845">
      <s:c r="A845" s="0" t="n">
        <s:v>260813</s:v>
      </s:c>
      <s:c r="B845" s="0" t="inlineStr">
        <s:is>
          <s:t>이종훈</s:t>
        </s:is>
      </s:c>
      <s:c r="C845" s="0" t="n">
        <s:v>102022</s:v>
      </s:c>
      <s:c r="D845" s="0" t="n">
        <s:v>2755</s:v>
      </s:c>
      <s:c r="F845" s="24">
        <s:f>'자료구성'!$B$2+TIME(INT($C$3/10000),INT(MOD($C$3,10000)/100),MOD($C$3,100))+(ROW()-ROW($C$3))/86400</s:f>
        <s:v>46247.44055555556</s:v>
      </s:c>
    </s:row>
    <s:row r="846">
      <s:c r="A846" s="0" t="n">
        <s:v>260813</s:v>
      </s:c>
      <s:c r="B846" s="0" t="inlineStr">
        <s:is>
          <s:t>이종훈</s:t>
        </s:is>
      </s:c>
      <s:c r="C846" s="0" t="n">
        <s:v>102022</s:v>
      </s:c>
      <s:c r="D846" s="0" t="n">
        <s:v>2789</s:v>
      </s:c>
      <s:c r="F846" s="24">
        <s:f>'자료구성'!$B$2+TIME(INT($C$3/10000),INT(MOD($C$3,10000)/100),MOD($C$3,100))+(ROW()-ROW($C$3))/86400</s:f>
        <s:v>46247.440567129626</s:v>
      </s:c>
    </s:row>
    <s:row r="847">
      <s:c r="A847" s="0" t="n">
        <s:v>260813</s:v>
      </s:c>
      <s:c r="B847" s="0" t="inlineStr">
        <s:is>
          <s:t>이종훈</s:t>
        </s:is>
      </s:c>
      <s:c r="C847" s="0" t="n">
        <s:v>102022</s:v>
      </s:c>
      <s:c r="D847" s="0" t="n">
        <s:v>2760</s:v>
      </s:c>
      <s:c r="F847" s="24">
        <s:f>'자료구성'!$B$2+TIME(INT($C$3/10000),INT(MOD($C$3,10000)/100),MOD($C$3,100))+(ROW()-ROW($C$3))/86400</s:f>
        <s:v>46247.4405787037</s:v>
      </s:c>
    </s:row>
    <s:row r="848">
      <s:c r="A848" s="0" t="n">
        <s:v>260813</s:v>
      </s:c>
      <s:c r="B848" s="0" t="inlineStr">
        <s:is>
          <s:t>이종훈</s:t>
        </s:is>
      </s:c>
      <s:c r="C848" s="0" t="n">
        <s:v>102022</s:v>
      </s:c>
      <s:c r="D848" s="0" t="n">
        <s:v>2819</s:v>
      </s:c>
      <s:c r="F848" s="24">
        <s:f>'자료구성'!$B$2+TIME(INT($C$3/10000),INT(MOD($C$3,10000)/100),MOD($C$3,100))+(ROW()-ROW($C$3))/86400</s:f>
        <s:v>46247.44059027778</s:v>
      </s:c>
    </s:row>
    <s:row r="849">
      <s:c r="A849" s="0" t="n">
        <s:v>260813</s:v>
      </s:c>
      <s:c r="B849" s="0" t="inlineStr">
        <s:is>
          <s:t>이종훈</s:t>
        </s:is>
      </s:c>
      <s:c r="C849" s="0" t="n">
        <s:v>102022</s:v>
      </s:c>
      <s:c r="D849" s="0" t="n">
        <s:v>2897</s:v>
      </s:c>
      <s:c r="F849" s="24">
        <s:f>'자료구성'!$B$2+TIME(INT($C$3/10000),INT(MOD($C$3,10000)/100),MOD($C$3,100))+(ROW()-ROW($C$3))/86400</s:f>
        <s:v>46247.44060185185</s:v>
      </s:c>
    </s:row>
    <s:row r="850">
      <s:c r="A850" s="0" t="n">
        <s:v>260813</s:v>
      </s:c>
      <s:c r="B850" s="0" t="inlineStr">
        <s:is>
          <s:t>이종훈</s:t>
        </s:is>
      </s:c>
      <s:c r="C850" s="0" t="n">
        <s:v>102022</s:v>
      </s:c>
      <s:c r="D850" s="0" t="n">
        <s:v>2950</s:v>
      </s:c>
      <s:c r="F850" s="24">
        <s:f>'자료구성'!$B$2+TIME(INT($C$3/10000),INT(MOD($C$3,10000)/100),MOD($C$3,100))+(ROW()-ROW($C$3))/86400</s:f>
        <s:v>46247.440613425926</s:v>
      </s:c>
    </s:row>
    <s:row r="851">
      <s:c r="A851" s="0" t="n">
        <s:v>260813</s:v>
      </s:c>
      <s:c r="B851" s="0" t="inlineStr">
        <s:is>
          <s:t>이종훈</s:t>
        </s:is>
      </s:c>
      <s:c r="C851" s="0" t="n">
        <s:v>102022</s:v>
      </s:c>
      <s:c r="D851" s="0" t="n">
        <s:v>3016</s:v>
      </s:c>
      <s:c r="F851" s="24">
        <s:f>'자료구성'!$B$2+TIME(INT($C$3/10000),INT(MOD($C$3,10000)/100),MOD($C$3,100))+(ROW()-ROW($C$3))/86400</s:f>
        <s:v>46247.440625</s:v>
      </s:c>
    </s:row>
    <s:row r="852">
      <s:c r="A852" s="0" t="n">
        <s:v>260813</s:v>
      </s:c>
      <s:c r="B852" s="0" t="inlineStr">
        <s:is>
          <s:t>이종훈</s:t>
        </s:is>
      </s:c>
      <s:c r="C852" s="0" t="n">
        <s:v>102022</s:v>
      </s:c>
      <s:c r="D852" s="0" t="n">
        <s:v>3098</s:v>
      </s:c>
      <s:c r="F852" s="24">
        <s:f>'자료구성'!$B$2+TIME(INT($C$3/10000),INT(MOD($C$3,10000)/100),MOD($C$3,100))+(ROW()-ROW($C$3))/86400</s:f>
        <s:v>46247.44063657407</s:v>
      </s:c>
    </s:row>
    <s:row r="853">
      <s:c r="A853" s="0" t="n">
        <s:v>260813</s:v>
      </s:c>
      <s:c r="B853" s="0" t="inlineStr">
        <s:is>
          <s:t>이종훈</s:t>
        </s:is>
      </s:c>
      <s:c r="C853" s="0" t="n">
        <s:v>102022</s:v>
      </s:c>
      <s:c r="D853" s="0" t="n">
        <s:v>3150</s:v>
      </s:c>
      <s:c r="F853" s="24">
        <s:f>'자료구성'!$B$2+TIME(INT($C$3/10000),INT(MOD($C$3,10000)/100),MOD($C$3,100))+(ROW()-ROW($C$3))/86400</s:f>
        <s:v>46247.44064814815</s:v>
      </s:c>
    </s:row>
    <s:row r="854">
      <s:c r="A854" s="0" t="n">
        <s:v>260813</s:v>
      </s:c>
      <s:c r="B854" s="0" t="inlineStr">
        <s:is>
          <s:t>이종훈</s:t>
        </s:is>
      </s:c>
      <s:c r="C854" s="0" t="n">
        <s:v>102022</s:v>
      </s:c>
      <s:c r="D854" s="0" t="n">
        <s:v>3240</s:v>
      </s:c>
      <s:c r="F854" s="24">
        <s:f>'자료구성'!$B$2+TIME(INT($C$3/10000),INT(MOD($C$3,10000)/100),MOD($C$3,100))+(ROW()-ROW($C$3))/86400</s:f>
        <s:v>46247.44065972222</s:v>
      </s:c>
    </s:row>
    <s:row r="855">
      <s:c r="A855" s="0" t="n">
        <s:v>260813</s:v>
      </s:c>
      <s:c r="B855" s="0" t="inlineStr">
        <s:is>
          <s:t>이종훈</s:t>
        </s:is>
      </s:c>
      <s:c r="C855" s="0" t="n">
        <s:v>102022</s:v>
      </s:c>
      <s:c r="D855" s="0" t="n">
        <s:v>3310</s:v>
      </s:c>
      <s:c r="F855" s="24">
        <s:f>'자료구성'!$B$2+TIME(INT($C$3/10000),INT(MOD($C$3,10000)/100),MOD($C$3,100))+(ROW()-ROW($C$3))/86400</s:f>
        <s:v>46247.440671296295</s:v>
      </s:c>
    </s:row>
    <s:row r="856">
      <s:c r="A856" s="0" t="n">
        <s:v>260813</s:v>
      </s:c>
      <s:c r="B856" s="0" t="inlineStr">
        <s:is>
          <s:t>이종훈</s:t>
        </s:is>
      </s:c>
      <s:c r="C856" s="0" t="n">
        <s:v>102022</s:v>
      </s:c>
      <s:c r="D856" s="0" t="n">
        <s:v>3373</s:v>
      </s:c>
      <s:c r="F856" s="24">
        <s:f>'자료구성'!$B$2+TIME(INT($C$3/10000),INT(MOD($C$3,10000)/100),MOD($C$3,100))+(ROW()-ROW($C$3))/86400</s:f>
        <s:v>46247.44068287037</s:v>
      </s:c>
    </s:row>
    <s:row r="857">
      <s:c r="A857" s="0" t="n">
        <s:v>260813</s:v>
      </s:c>
      <s:c r="B857" s="0" t="inlineStr">
        <s:is>
          <s:t>이종훈</s:t>
        </s:is>
      </s:c>
      <s:c r="C857" s="0" t="n">
        <s:v>102022</s:v>
      </s:c>
      <s:c r="D857" s="0" t="n">
        <s:v>3344</s:v>
      </s:c>
      <s:c r="F857" s="24">
        <s:f>'자료구성'!$B$2+TIME(INT($C$3/10000),INT(MOD($C$3,10000)/100),MOD($C$3,100))+(ROW()-ROW($C$3))/86400</s:f>
        <s:v>46247.44069444444</s:v>
      </s:c>
    </s:row>
    <s:row r="858">
      <s:c r="A858" s="0" t="n">
        <s:v>260813</s:v>
      </s:c>
      <s:c r="B858" s="0" t="inlineStr">
        <s:is>
          <s:t>이종훈</s:t>
        </s:is>
      </s:c>
      <s:c r="C858" s="0" t="n">
        <s:v>102022</s:v>
      </s:c>
      <s:c r="D858" s="0" t="n">
        <s:v>3336</s:v>
      </s:c>
      <s:c r="F858" s="24">
        <s:f>'자료구성'!$B$2+TIME(INT($C$3/10000),INT(MOD($C$3,10000)/100),MOD($C$3,100))+(ROW()-ROW($C$3))/86400</s:f>
        <s:v>46247.44070601852</s:v>
      </s:c>
    </s:row>
    <s:row r="859">
      <s:c r="A859" s="0" t="n">
        <s:v>260813</s:v>
      </s:c>
      <s:c r="B859" s="0" t="inlineStr">
        <s:is>
          <s:t>이종훈</s:t>
        </s:is>
      </s:c>
      <s:c r="C859" s="0" t="n">
        <s:v>102022</s:v>
      </s:c>
      <s:c r="D859" s="0" t="n">
        <s:v>3248</s:v>
      </s:c>
      <s:c r="F859" s="24">
        <s:f>'자료구성'!$B$2+TIME(INT($C$3/10000),INT(MOD($C$3,10000)/100),MOD($C$3,100))+(ROW()-ROW($C$3))/86400</s:f>
        <s:v>46247.440717592595</s:v>
      </s:c>
    </s:row>
    <s:row r="860">
      <s:c r="A860" s="0" t="n">
        <s:v>260813</s:v>
      </s:c>
      <s:c r="B860" s="0" t="inlineStr">
        <s:is>
          <s:t>이종훈</s:t>
        </s:is>
      </s:c>
      <s:c r="C860" s="0" t="n">
        <s:v>102022</s:v>
      </s:c>
      <s:c r="D860" s="0" t="n">
        <s:v>3182</s:v>
      </s:c>
      <s:c r="F860" s="24">
        <s:f>'자료구성'!$B$2+TIME(INT($C$3/10000),INT(MOD($C$3,10000)/100),MOD($C$3,100))+(ROW()-ROW($C$3))/86400</s:f>
        <s:v>46247.440729166665</s:v>
      </s:c>
    </s:row>
    <s:row r="861">
      <s:c r="A861" s="0" t="n">
        <s:v>260813</s:v>
      </s:c>
      <s:c r="B861" s="0" t="inlineStr">
        <s:is>
          <s:t>이종훈</s:t>
        </s:is>
      </s:c>
      <s:c r="C861" s="0" t="n">
        <s:v>102022</s:v>
      </s:c>
      <s:c r="D861" s="0" t="n">
        <s:v>3142</s:v>
      </s:c>
      <s:c r="F861" s="24">
        <s:f>'자료구성'!$B$2+TIME(INT($C$3/10000),INT(MOD($C$3,10000)/100),MOD($C$3,100))+(ROW()-ROW($C$3))/86400</s:f>
        <s:v>46247.44074074074</s:v>
      </s:c>
    </s:row>
    <s:row r="862">
      <s:c r="A862" s="0" t="n">
        <s:v>260813</s:v>
      </s:c>
      <s:c r="B862" s="0" t="inlineStr">
        <s:is>
          <s:t>이종훈</s:t>
        </s:is>
      </s:c>
      <s:c r="C862" s="0" t="n">
        <s:v>102022</s:v>
      </s:c>
      <s:c r="D862" s="0" t="n">
        <s:v>3153</s:v>
      </s:c>
      <s:c r="F862" s="24">
        <s:f>'자료구성'!$B$2+TIME(INT($C$3/10000),INT(MOD($C$3,10000)/100),MOD($C$3,100))+(ROW()-ROW($C$3))/86400</s:f>
        <s:v>46247.44075231482</s:v>
      </s:c>
    </s:row>
    <s:row r="863">
      <s:c r="A863" s="0" t="n">
        <s:v>260813</s:v>
      </s:c>
      <s:c r="B863" s="0" t="inlineStr">
        <s:is>
          <s:t>이종훈</s:t>
        </s:is>
      </s:c>
      <s:c r="C863" s="0" t="n">
        <s:v>102022</s:v>
      </s:c>
      <s:c r="D863" s="0" t="n">
        <s:v>3082</s:v>
      </s:c>
      <s:c r="F863" s="24">
        <s:f>'자료구성'!$B$2+TIME(INT($C$3/10000),INT(MOD($C$3,10000)/100),MOD($C$3,100))+(ROW()-ROW($C$3))/86400</s:f>
        <s:v>46247.44076388889</s:v>
      </s:c>
    </s:row>
    <s:row r="864">
      <s:c r="A864" s="0" t="n">
        <s:v>260813</s:v>
      </s:c>
      <s:c r="B864" s="0" t="inlineStr">
        <s:is>
          <s:t>이종훈</s:t>
        </s:is>
      </s:c>
      <s:c r="C864" s="0" t="n">
        <s:v>102022</s:v>
      </s:c>
      <s:c r="D864" s="0" t="n">
        <s:v>2990</s:v>
      </s:c>
      <s:c r="F864" s="24">
        <s:f>'자료구성'!$B$2+TIME(INT($C$3/10000),INT(MOD($C$3,10000)/100),MOD($C$3,100))+(ROW()-ROW($C$3))/86400</s:f>
        <s:v>46247.440775462965</s:v>
      </s:c>
    </s:row>
    <s:row r="865">
      <s:c r="A865" s="0" t="n">
        <s:v>260813</s:v>
      </s:c>
      <s:c r="B865" s="0" t="inlineStr">
        <s:is>
          <s:t>이종훈</s:t>
        </s:is>
      </s:c>
      <s:c r="C865" s="0" t="n">
        <s:v>102022</s:v>
      </s:c>
      <s:c r="D865" s="0" t="n">
        <s:v>2968</s:v>
      </s:c>
      <s:c r="F865" s="24">
        <s:f>'자료구성'!$B$2+TIME(INT($C$3/10000),INT(MOD($C$3,10000)/100),MOD($C$3,100))+(ROW()-ROW($C$3))/86400</s:f>
        <s:v>46247.440787037034</s:v>
      </s:c>
    </s:row>
    <s:row r="866">
      <s:c r="A866" s="0" t="n">
        <s:v>260813</s:v>
      </s:c>
      <s:c r="B866" s="0" t="inlineStr">
        <s:is>
          <s:t>이종훈</s:t>
        </s:is>
      </s:c>
      <s:c r="C866" s="0" t="n">
        <s:v>102022</s:v>
      </s:c>
      <s:c r="D866" s="0" t="n">
        <s:v>3012</s:v>
      </s:c>
      <s:c r="F866" s="24">
        <s:f>'자료구성'!$B$2+TIME(INT($C$3/10000),INT(MOD($C$3,10000)/100),MOD($C$3,100))+(ROW()-ROW($C$3))/86400</s:f>
        <s:v>46247.44079861111</s:v>
      </s:c>
    </s:row>
    <s:row r="867">
      <s:c r="A867" s="0" t="n">
        <s:v>260813</s:v>
      </s:c>
      <s:c r="B867" s="0" t="inlineStr">
        <s:is>
          <s:t>이종훈</s:t>
        </s:is>
      </s:c>
      <s:c r="C867" s="0" t="n">
        <s:v>102022</s:v>
      </s:c>
      <s:c r="D867" s="0" t="n">
        <s:v>2984</s:v>
      </s:c>
      <s:c r="F867" s="24">
        <s:f>'자료구성'!$B$2+TIME(INT($C$3/10000),INT(MOD($C$3,10000)/100),MOD($C$3,100))+(ROW()-ROW($C$3))/86400</s:f>
        <s:v>46247.44081018519</s:v>
      </s:c>
    </s:row>
    <s:row r="868">
      <s:c r="A868" s="0" t="n">
        <s:v>260813</s:v>
      </s:c>
      <s:c r="B868" s="0" t="inlineStr">
        <s:is>
          <s:t>이종훈</s:t>
        </s:is>
      </s:c>
      <s:c r="C868" s="0" t="n">
        <s:v>102022</s:v>
      </s:c>
      <s:c r="D868" s="0" t="n">
        <s:v>2934</s:v>
      </s:c>
      <s:c r="F868" s="24">
        <s:f>'자료구성'!$B$2+TIME(INT($C$3/10000),INT(MOD($C$3,10000)/100),MOD($C$3,100))+(ROW()-ROW($C$3))/86400</s:f>
        <s:v>46247.44082175926</s:v>
      </s:c>
    </s:row>
    <s:row r="869">
      <s:c r="A869" s="0" t="n">
        <s:v>260813</s:v>
      </s:c>
      <s:c r="B869" s="0" t="inlineStr">
        <s:is>
          <s:t>이종훈</s:t>
        </s:is>
      </s:c>
      <s:c r="C869" s="0" t="n">
        <s:v>102022</s:v>
      </s:c>
      <s:c r="D869" s="0" t="n">
        <s:v>2874</s:v>
      </s:c>
      <s:c r="F869" s="24">
        <s:f>'자료구성'!$B$2+TIME(INT($C$3/10000),INT(MOD($C$3,10000)/100),MOD($C$3,100))+(ROW()-ROW($C$3))/86400</s:f>
        <s:v>46247.440833333334</s:v>
      </s:c>
    </s:row>
    <s:row r="870">
      <s:c r="A870" s="0" t="n">
        <s:v>260813</s:v>
      </s:c>
      <s:c r="B870" s="0" t="inlineStr">
        <s:is>
          <s:t>이종훈</s:t>
        </s:is>
      </s:c>
      <s:c r="C870" s="0" t="n">
        <s:v>102022</s:v>
      </s:c>
      <s:c r="D870" s="0" t="n">
        <s:v>2798</s:v>
      </s:c>
      <s:c r="F870" s="24">
        <s:f>'자료구성'!$B$2+TIME(INT($C$3/10000),INT(MOD($C$3,10000)/100),MOD($C$3,100))+(ROW()-ROW($C$3))/86400</s:f>
        <s:v>46247.44084490741</s:v>
      </s:c>
    </s:row>
    <s:row r="871">
      <s:c r="A871" s="0" t="n">
        <s:v>260813</s:v>
      </s:c>
      <s:c r="B871" s="0" t="inlineStr">
        <s:is>
          <s:t>이종훈</s:t>
        </s:is>
      </s:c>
      <s:c r="C871" s="0" t="n">
        <s:v>102022</s:v>
      </s:c>
      <s:c r="D871" s="0" t="n">
        <s:v>2745</s:v>
      </s:c>
      <s:c r="F871" s="24">
        <s:f>'자료구성'!$B$2+TIME(INT($C$3/10000),INT(MOD($C$3,10000)/100),MOD($C$3,100))+(ROW()-ROW($C$3))/86400</s:f>
        <s:v>46247.44085648148</s:v>
      </s:c>
    </s:row>
    <s:row r="872">
      <s:c r="A872" s="0" t="n">
        <s:v>260813</s:v>
      </s:c>
      <s:c r="B872" s="0" t="inlineStr">
        <s:is>
          <s:t>이종훈</s:t>
        </s:is>
      </s:c>
      <s:c r="C872" s="0" t="n">
        <s:v>102022</s:v>
      </s:c>
      <s:c r="D872" s="0" t="n">
        <s:v>2704</s:v>
      </s:c>
      <s:c r="F872" s="24">
        <s:f>'자료구성'!$B$2+TIME(INT($C$3/10000),INT(MOD($C$3,10000)/100),MOD($C$3,100))+(ROW()-ROW($C$3))/86400</s:f>
        <s:v>46247.44086805556</s:v>
      </s:c>
    </s:row>
    <s:row r="873">
      <s:c r="A873" s="0" t="n">
        <s:v>260813</s:v>
      </s:c>
      <s:c r="B873" s="0" t="inlineStr">
        <s:is>
          <s:t>이종훈</s:t>
        </s:is>
      </s:c>
      <s:c r="C873" s="0" t="n">
        <s:v>102022</s:v>
      </s:c>
      <s:c r="D873" s="0" t="n">
        <s:v>2640</s:v>
      </s:c>
      <s:c r="F873" s="24">
        <s:f>'자료구성'!$B$2+TIME(INT($C$3/10000),INT(MOD($C$3,10000)/100),MOD($C$3,100))+(ROW()-ROW($C$3))/86400</s:f>
        <s:v>46247.44087962963</s:v>
      </s:c>
    </s:row>
    <s:row r="874">
      <s:c r="A874" s="0" t="n">
        <s:v>260813</s:v>
      </s:c>
      <s:c r="B874" s="0" t="inlineStr">
        <s:is>
          <s:t>이종훈</s:t>
        </s:is>
      </s:c>
      <s:c r="C874" s="0" t="n">
        <s:v>102022</s:v>
      </s:c>
      <s:c r="D874" s="0" t="n">
        <s:v>2646</s:v>
      </s:c>
      <s:c r="F874" s="24">
        <s:f>'자료구성'!$B$2+TIME(INT($C$3/10000),INT(MOD($C$3,10000)/100),MOD($C$3,100))+(ROW()-ROW($C$3))/86400</s:f>
        <s:v>46247.4408912037</s:v>
      </s:c>
    </s:row>
    <s:row r="875">
      <s:c r="A875" s="0" t="n">
        <s:v>260813</s:v>
      </s:c>
      <s:c r="B875" s="0" t="inlineStr">
        <s:is>
          <s:t>이종훈</s:t>
        </s:is>
      </s:c>
      <s:c r="C875" s="0" t="n">
        <s:v>102022</s:v>
      </s:c>
      <s:c r="D875" s="0" t="n">
        <s:v>2613</s:v>
      </s:c>
      <s:c r="F875" s="24">
        <s:f>'자료구성'!$B$2+TIME(INT($C$3/10000),INT(MOD($C$3,10000)/100),MOD($C$3,100))+(ROW()-ROW($C$3))/86400</s:f>
        <s:v>46247.44090277778</s:v>
      </s:c>
    </s:row>
    <s:row r="876">
      <s:c r="A876" s="0" t="n">
        <s:v>260813</s:v>
      </s:c>
      <s:c r="B876" s="0" t="inlineStr">
        <s:is>
          <s:t>이종훈</s:t>
        </s:is>
      </s:c>
      <s:c r="C876" s="0" t="n">
        <s:v>102022</s:v>
      </s:c>
      <s:c r="D876" s="0" t="n">
        <s:v>2537</s:v>
      </s:c>
      <s:c r="F876" s="24">
        <s:f>'자료구성'!$B$2+TIME(INT($C$3/10000),INT(MOD($C$3,10000)/100),MOD($C$3,100))+(ROW()-ROW($C$3))/86400</s:f>
        <s:v>46247.44091435185</s:v>
      </s:c>
    </s:row>
    <s:row r="877">
      <s:c r="A877" s="0" t="n">
        <s:v>260813</s:v>
      </s:c>
      <s:c r="B877" s="0" t="inlineStr">
        <s:is>
          <s:t>이종훈</s:t>
        </s:is>
      </s:c>
      <s:c r="C877" s="0" t="n">
        <s:v>102022</s:v>
      </s:c>
      <s:c r="D877" s="0" t="n">
        <s:v>2474</s:v>
      </s:c>
      <s:c r="F877" s="24">
        <s:f>'자료구성'!$B$2+TIME(INT($C$3/10000),INT(MOD($C$3,10000)/100),MOD($C$3,100))+(ROW()-ROW($C$3))/86400</s:f>
        <s:v>46247.44092592593</s:v>
      </s:c>
    </s:row>
    <s:row r="878">
      <s:c r="A878" s="0" t="n">
        <s:v>260813</s:v>
      </s:c>
      <s:c r="B878" s="0" t="inlineStr">
        <s:is>
          <s:t>이종훈</s:t>
        </s:is>
      </s:c>
      <s:c r="C878" s="0" t="n">
        <s:v>102022</s:v>
      </s:c>
      <s:c r="D878" s="0" t="n">
        <s:v>2441</s:v>
      </s:c>
      <s:c r="F878" s="24">
        <s:f>'자료구성'!$B$2+TIME(INT($C$3/10000),INT(MOD($C$3,10000)/100),MOD($C$3,100))+(ROW()-ROW($C$3))/86400</s:f>
        <s:v>46247.4409375</s:v>
      </s:c>
    </s:row>
    <s:row r="879">
      <s:c r="A879" s="0" t="n">
        <s:v>260813</s:v>
      </s:c>
      <s:c r="B879" s="0" t="inlineStr">
        <s:is>
          <s:t>이종훈</s:t>
        </s:is>
      </s:c>
      <s:c r="C879" s="0" t="n">
        <s:v>102022</s:v>
      </s:c>
      <s:c r="D879" s="0" t="n">
        <s:v>2407</s:v>
      </s:c>
      <s:c r="F879" s="24">
        <s:f>'자료구성'!$B$2+TIME(INT($C$3/10000),INT(MOD($C$3,10000)/100),MOD($C$3,100))+(ROW()-ROW($C$3))/86400</s:f>
        <s:v>46247.44094907407</s:v>
      </s:c>
    </s:row>
    <s:row r="880">
      <s:c r="A880" s="0" t="n">
        <s:v>260813</s:v>
      </s:c>
      <s:c r="B880" s="0" t="inlineStr">
        <s:is>
          <s:t>이종훈</s:t>
        </s:is>
      </s:c>
      <s:c r="C880" s="0" t="n">
        <s:v>102022</s:v>
      </s:c>
      <s:c r="D880" s="0" t="n">
        <s:v>2413</s:v>
      </s:c>
      <s:c r="F880" s="24">
        <s:f>'자료구성'!$B$2+TIME(INT($C$3/10000),INT(MOD($C$3,10000)/100),MOD($C$3,100))+(ROW()-ROW($C$3))/86400</s:f>
        <s:v>46247.44096064815</s:v>
      </s:c>
    </s:row>
    <s:row r="881">
      <s:c r="A881" s="0" t="n">
        <s:v>260813</s:v>
      </s:c>
      <s:c r="B881" s="0" t="inlineStr">
        <s:is>
          <s:t>이종훈</s:t>
        </s:is>
      </s:c>
      <s:c r="C881" s="0" t="n">
        <s:v>102022</s:v>
      </s:c>
      <s:c r="D881" s="0" t="n">
        <s:v>2384</s:v>
      </s:c>
      <s:c r="F881" s="24">
        <s:f>'자료구성'!$B$2+TIME(INT($C$3/10000),INT(MOD($C$3,10000)/100),MOD($C$3,100))+(ROW()-ROW($C$3))/86400</s:f>
        <s:v>46247.44097222222</s:v>
      </s:c>
    </s:row>
    <s:row r="882">
      <s:c r="A882" s="0" t="n">
        <s:v>260813</s:v>
      </s:c>
      <s:c r="B882" s="0" t="inlineStr">
        <s:is>
          <s:t>이종훈</s:t>
        </s:is>
      </s:c>
      <s:c r="C882" s="0" t="n">
        <s:v>102022</s:v>
      </s:c>
      <s:c r="D882" s="0" t="n">
        <s:v>2359</s:v>
      </s:c>
      <s:c r="F882" s="24">
        <s:f>'자료구성'!$B$2+TIME(INT($C$3/10000),INT(MOD($C$3,10000)/100),MOD($C$3,100))+(ROW()-ROW($C$3))/86400</s:f>
        <s:v>46247.440983796296</s:v>
      </s:c>
    </s:row>
    <s:row r="883">
      <s:c r="A883" s="0" t="n">
        <s:v>260813</s:v>
      </s:c>
      <s:c r="B883" s="0" t="inlineStr">
        <s:is>
          <s:t>이종훈</s:t>
        </s:is>
      </s:c>
      <s:c r="C883" s="0" t="n">
        <s:v>102022</s:v>
      </s:c>
      <s:c r="D883" s="0" t="n">
        <s:v>2309</s:v>
      </s:c>
      <s:c r="F883" s="24">
        <s:f>'자료구성'!$B$2+TIME(INT($C$3/10000),INT(MOD($C$3,10000)/100),MOD($C$3,100))+(ROW()-ROW($C$3))/86400</s:f>
        <s:v>46247.44099537037</s:v>
      </s:c>
    </s:row>
    <s:row r="884">
      <s:c r="A884" s="0" t="n">
        <s:v>260813</s:v>
      </s:c>
      <s:c r="B884" s="0" t="inlineStr">
        <s:is>
          <s:t>이종훈</s:t>
        </s:is>
      </s:c>
      <s:c r="C884" s="0" t="n">
        <s:v>102022</s:v>
      </s:c>
      <s:c r="D884" s="0" t="n">
        <s:v>2300</s:v>
      </s:c>
      <s:c r="F884" s="24">
        <s:f>'자료구성'!$B$2+TIME(INT($C$3/10000),INT(MOD($C$3,10000)/100),MOD($C$3,100))+(ROW()-ROW($C$3))/86400</s:f>
        <s:v>46247.44100694444</s:v>
      </s:c>
    </s:row>
    <s:row r="885">
      <s:c r="A885" s="0" t="n">
        <s:v>260813</s:v>
      </s:c>
      <s:c r="B885" s="0" t="inlineStr">
        <s:is>
          <s:t>이종훈</s:t>
        </s:is>
      </s:c>
      <s:c r="C885" s="0" t="n">
        <s:v>102022</s:v>
      </s:c>
      <s:c r="D885" s="0" t="n">
        <s:v>2297</s:v>
      </s:c>
      <s:c r="F885" s="24">
        <s:f>'자료구성'!$B$2+TIME(INT($C$3/10000),INT(MOD($C$3,10000)/100),MOD($C$3,100))+(ROW()-ROW($C$3))/86400</s:f>
        <s:v>46247.44101851852</s:v>
      </s:c>
    </s:row>
    <s:row r="886">
      <s:c r="A886" s="0" t="n">
        <s:v>260813</s:v>
      </s:c>
      <s:c r="B886" s="0" t="inlineStr">
        <s:is>
          <s:t>이종훈</s:t>
        </s:is>
      </s:c>
      <s:c r="C886" s="0" t="n">
        <s:v>102022</s:v>
      </s:c>
      <s:c r="D886" s="0" t="n">
        <s:v>2265</s:v>
      </s:c>
      <s:c r="F886" s="24">
        <s:f>'자료구성'!$B$2+TIME(INT($C$3/10000),INT(MOD($C$3,10000)/100),MOD($C$3,100))+(ROW()-ROW($C$3))/86400</s:f>
        <s:v>46247.441030092596</s:v>
      </s:c>
    </s:row>
    <s:row r="887">
      <s:c r="A887" s="0" t="n">
        <s:v>260813</s:v>
      </s:c>
      <s:c r="B887" s="0" t="inlineStr">
        <s:is>
          <s:t>이종훈</s:t>
        </s:is>
      </s:c>
      <s:c r="C887" s="0" t="n">
        <s:v>102022</s:v>
      </s:c>
      <s:c r="D887" s="0" t="n">
        <s:v>2234</s:v>
      </s:c>
      <s:c r="F887" s="24">
        <s:f>'자료구성'!$B$2+TIME(INT($C$3/10000),INT(MOD($C$3,10000)/100),MOD($C$3,100))+(ROW()-ROW($C$3))/86400</s:f>
        <s:v>46247.441041666665</s:v>
      </s:c>
    </s:row>
    <s:row r="888">
      <s:c r="A888" s="0" t="n">
        <s:v>260813</s:v>
      </s:c>
      <s:c r="B888" s="0" t="inlineStr">
        <s:is>
          <s:t>이종훈</s:t>
        </s:is>
      </s:c>
      <s:c r="C888" s="0" t="n">
        <s:v>102022</s:v>
      </s:c>
      <s:c r="D888" s="0" t="n">
        <s:v>2229</s:v>
      </s:c>
      <s:c r="F888" s="24">
        <s:f>'자료구성'!$B$2+TIME(INT($C$3/10000),INT(MOD($C$3,10000)/100),MOD($C$3,100))+(ROW()-ROW($C$3))/86400</s:f>
        <s:v>46247.44105324074</s:v>
      </s:c>
    </s:row>
    <s:row r="889">
      <s:c r="A889" s="0" t="n">
        <s:v>260813</s:v>
      </s:c>
      <s:c r="B889" s="0" t="inlineStr">
        <s:is>
          <s:t>이종훈</s:t>
        </s:is>
      </s:c>
      <s:c r="C889" s="0" t="n">
        <s:v>102022</s:v>
      </s:c>
      <s:c r="D889" s="0" t="n">
        <s:v>2259</s:v>
      </s:c>
      <s:c r="F889" s="24">
        <s:f>'자료구성'!$B$2+TIME(INT($C$3/10000),INT(MOD($C$3,10000)/100),MOD($C$3,100))+(ROW()-ROW($C$3))/86400</s:f>
        <s:v>46247.44106481481</s:v>
      </s:c>
    </s:row>
    <s:row r="890">
      <s:c r="A890" s="0" t="n">
        <s:v>260813</s:v>
      </s:c>
      <s:c r="B890" s="0" t="inlineStr">
        <s:is>
          <s:t>이종훈</s:t>
        </s:is>
      </s:c>
      <s:c r="C890" s="0" t="n">
        <s:v>102022</s:v>
      </s:c>
      <s:c r="D890" s="0" t="n">
        <s:v>2265</s:v>
      </s:c>
      <s:c r="F890" s="24">
        <s:f>'자료구성'!$B$2+TIME(INT($C$3/10000),INT(MOD($C$3,10000)/100),MOD($C$3,100))+(ROW()-ROW($C$3))/86400</s:f>
        <s:v>46247.44107638889</s:v>
      </s:c>
    </s:row>
    <s:row r="891">
      <s:c r="A891" s="0" t="n">
        <s:v>260813</s:v>
      </s:c>
      <s:c r="B891" s="0" t="inlineStr">
        <s:is>
          <s:t>이종훈</s:t>
        </s:is>
      </s:c>
      <s:c r="C891" s="0" t="n">
        <s:v>102022</s:v>
      </s:c>
      <s:c r="D891" s="0" t="n">
        <s:v>2268</s:v>
      </s:c>
      <s:c r="F891" s="24">
        <s:f>'자료구성'!$B$2+TIME(INT($C$3/10000),INT(MOD($C$3,10000)/100),MOD($C$3,100))+(ROW()-ROW($C$3))/86400</s:f>
        <s:v>46247.441087962965</s:v>
      </s:c>
    </s:row>
    <s:row r="892">
      <s:c r="A892" s="0" t="n">
        <s:v>260813</s:v>
      </s:c>
      <s:c r="B892" s="0" t="inlineStr">
        <s:is>
          <s:t>이종훈</s:t>
        </s:is>
      </s:c>
      <s:c r="C892" s="0" t="n">
        <s:v>102022</s:v>
      </s:c>
      <s:c r="D892" s="0" t="n">
        <s:v>2287</s:v>
      </s:c>
      <s:c r="F892" s="24">
        <s:f>'자료구성'!$B$2+TIME(INT($C$3/10000),INT(MOD($C$3,10000)/100),MOD($C$3,100))+(ROW()-ROW($C$3))/86400</s:f>
        <s:v>46247.441099537034</s:v>
      </s:c>
    </s:row>
    <s:row r="893">
      <s:c r="A893" s="0" t="n">
        <s:v>260813</s:v>
      </s:c>
      <s:c r="B893" s="0" t="inlineStr">
        <s:is>
          <s:t>이종훈</s:t>
        </s:is>
      </s:c>
      <s:c r="C893" s="0" t="n">
        <s:v>102022</s:v>
      </s:c>
      <s:c r="D893" s="0" t="n">
        <s:v>2314</s:v>
      </s:c>
      <s:c r="F893" s="24">
        <s:f>'자료구성'!$B$2+TIME(INT($C$3/10000),INT(MOD($C$3,10000)/100),MOD($C$3,100))+(ROW()-ROW($C$3))/86400</s:f>
        <s:v>46247.44111111111</s:v>
      </s:c>
    </s:row>
    <s:row r="894">
      <s:c r="A894" s="0" t="n">
        <s:v>260813</s:v>
      </s:c>
      <s:c r="B894" s="0" t="inlineStr">
        <s:is>
          <s:t>이종훈</s:t>
        </s:is>
      </s:c>
      <s:c r="C894" s="0" t="n">
        <s:v>102022</s:v>
      </s:c>
      <s:c r="D894" s="0" t="n">
        <s:v>2304</s:v>
      </s:c>
      <s:c r="F894" s="24">
        <s:f>'자료구성'!$B$2+TIME(INT($C$3/10000),INT(MOD($C$3,10000)/100),MOD($C$3,100))+(ROW()-ROW($C$3))/86400</s:f>
        <s:v>46247.44112268519</s:v>
      </s:c>
    </s:row>
    <s:row r="895">
      <s:c r="A895" s="0" t="n">
        <s:v>260813</s:v>
      </s:c>
      <s:c r="B895" s="0" t="inlineStr">
        <s:is>
          <s:t>이종훈</s:t>
        </s:is>
      </s:c>
      <s:c r="C895" s="0" t="n">
        <s:v>102022</s:v>
      </s:c>
      <s:c r="D895" s="0" t="n">
        <s:v>2284</s:v>
      </s:c>
      <s:c r="F895" s="24">
        <s:f>'자료구성'!$B$2+TIME(INT($C$3/10000),INT(MOD($C$3,10000)/100),MOD($C$3,100))+(ROW()-ROW($C$3))/86400</s:f>
        <s:v>46247.44113425926</s:v>
      </s:c>
    </s:row>
    <s:row r="896">
      <s:c r="A896" s="0" t="n">
        <s:v>260813</s:v>
      </s:c>
      <s:c r="B896" s="0" t="inlineStr">
        <s:is>
          <s:t>이종훈</s:t>
        </s:is>
      </s:c>
      <s:c r="C896" s="0" t="n">
        <s:v>102022</s:v>
      </s:c>
      <s:c r="D896" s="0" t="n">
        <s:v>2343</s:v>
      </s:c>
      <s:c r="F896" s="24">
        <s:f>'자료구성'!$B$2+TIME(INT($C$3/10000),INT(MOD($C$3,10000)/100),MOD($C$3,100))+(ROW()-ROW($C$3))/86400</s:f>
        <s:v>46247.441145833334</s:v>
      </s:c>
    </s:row>
    <s:row r="897">
      <s:c r="A897" s="0" t="n">
        <s:v>260813</s:v>
      </s:c>
      <s:c r="B897" s="0" t="inlineStr">
        <s:is>
          <s:t>이종훈</s:t>
        </s:is>
      </s:c>
      <s:c r="C897" s="0" t="n">
        <s:v>102022</s:v>
      </s:c>
      <s:c r="D897" s="0" t="n">
        <s:v>2341</s:v>
      </s:c>
      <s:c r="F897" s="24">
        <s:f>'자료구성'!$B$2+TIME(INT($C$3/10000),INT(MOD($C$3,10000)/100),MOD($C$3,100))+(ROW()-ROW($C$3))/86400</s:f>
        <s:v>46247.441157407404</s:v>
      </s:c>
    </s:row>
    <s:row r="898">
      <s:c r="A898" s="0" t="n">
        <s:v>260813</s:v>
      </s:c>
      <s:c r="B898" s="0" t="inlineStr">
        <s:is>
          <s:t>이종훈</s:t>
        </s:is>
      </s:c>
      <s:c r="C898" s="0" t="n">
        <s:v>102022</s:v>
      </s:c>
      <s:c r="D898" s="0" t="n">
        <s:v>2344</s:v>
      </s:c>
      <s:c r="F898" s="24">
        <s:f>'자료구성'!$B$2+TIME(INT($C$3/10000),INT(MOD($C$3,10000)/100),MOD($C$3,100))+(ROW()-ROW($C$3))/86400</s:f>
        <s:v>46247.44116898148</s:v>
      </s:c>
    </s:row>
    <s:row r="899">
      <s:c r="A899" s="0" t="n">
        <s:v>260813</s:v>
      </s:c>
      <s:c r="B899" s="0" t="inlineStr">
        <s:is>
          <s:t>이종훈</s:t>
        </s:is>
      </s:c>
      <s:c r="C899" s="0" t="n">
        <s:v>102022</s:v>
      </s:c>
      <s:c r="D899" s="0" t="n">
        <s:v>2292</s:v>
      </s:c>
      <s:c r="F899" s="24">
        <s:f>'자료구성'!$B$2+TIME(INT($C$3/10000),INT(MOD($C$3,10000)/100),MOD($C$3,100))+(ROW()-ROW($C$3))/86400</s:f>
        <s:v>46247.44118055556</s:v>
      </s:c>
    </s:row>
    <s:row r="900">
      <s:c r="A900" s="0" t="n">
        <s:v>260813</s:v>
      </s:c>
      <s:c r="B900" s="0" t="inlineStr">
        <s:is>
          <s:t>이종훈</s:t>
        </s:is>
      </s:c>
      <s:c r="C900" s="0" t="n">
        <s:v>102022</s:v>
      </s:c>
      <s:c r="D900" s="0" t="n">
        <s:v>2276</s:v>
      </s:c>
      <s:c r="F900" s="24">
        <s:f>'자료구성'!$B$2+TIME(INT($C$3/10000),INT(MOD($C$3,10000)/100),MOD($C$3,100))+(ROW()-ROW($C$3))/86400</s:f>
        <s:v>46247.44119212963</s:v>
      </s:c>
    </s:row>
    <s:row r="901">
      <s:c r="A901" s="0" t="n">
        <s:v>260813</s:v>
      </s:c>
      <s:c r="B901" s="0" t="inlineStr">
        <s:is>
          <s:t>이종훈</s:t>
        </s:is>
      </s:c>
      <s:c r="C901" s="0" t="n">
        <s:v>102022</s:v>
      </s:c>
      <s:c r="D901" s="0" t="n">
        <s:v>2242</s:v>
      </s:c>
      <s:c r="F901" s="24">
        <s:f>'자료구성'!$B$2+TIME(INT($C$3/10000),INT(MOD($C$3,10000)/100),MOD($C$3,100))+(ROW()-ROW($C$3))/86400</s:f>
        <s:v>46247.441203703704</s:v>
      </s:c>
    </s:row>
    <s:row r="902">
      <s:c r="A902" s="0" t="n">
        <s:v>260813</s:v>
      </s:c>
      <s:c r="B902" s="0" t="inlineStr">
        <s:is>
          <s:t>이종훈</s:t>
        </s:is>
      </s:c>
      <s:c r="C902" s="0" t="n">
        <s:v>102022</s:v>
      </s:c>
      <s:c r="D902" s="0" t="n">
        <s:v>2218</s:v>
      </s:c>
      <s:c r="F902" s="24">
        <s:f>'자료구성'!$B$2+TIME(INT($C$3/10000),INT(MOD($C$3,10000)/100),MOD($C$3,100))+(ROW()-ROW($C$3))/86400</s:f>
        <s:v>46247.44121527778</s:v>
      </s:c>
    </s:row>
  </s:sheetData>
  <s:mergeCells count="1">
    <s:mergeCell ref="A1:E1"/>
  </s:mergeCells>
  <s:pageMargins left="0.7" right="0.7" top="0.75" bottom="0.75" header="0.3" footer="0.3"/>
  <s:legacyDrawing r:id="anysvml"/>
</s:worksheet>
</file>

<file path=xl/worksheets/sheet8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/>
  </s:sheetPr>
  <s:dimension ref="A1:F902"/>
  <s:sheetViews>
    <s:sheetView workbookViewId="0">
      <s:pane ySplit="2" topLeftCell="A3" activePane="bottomLeft" state="frozen"/>
      <s:selection pane="bottomLeft" activeCell="D902" sqref="D3:D902"/>
    </s:sheetView>
  </s:sheetViews>
  <s:sheetFormatPr baseColWidth="8" defaultRowHeight="16.5"/>
  <s:cols>
    <s:col width="25" customWidth="1" style="7" min="6" max="6"/>
  </s:cols>
  <s:sheetData>
    <s:row r="1">
      <s:c r="A1" s="4" t="inlineStr">
        <s:is>
          <s:t>일본잎갈나무A</s:t>
        </s:is>
      </s:c>
    </s:row>
    <s:row r="2" ht="17.25" customHeight="1" s="7" thickBot="1">
      <s:c r="A2" s="2" t="inlineStr">
        <s:is>
          <s:t>조사일자</s:t>
        </s:is>
      </s:c>
      <s:c r="B2" s="3" t="inlineStr">
        <s:is>
          <s:t>조사자명</s:t>
        </s:is>
      </s:c>
      <s:c r="C2" s="3" t="inlineStr">
        <s:is>
          <s:t>조사시작시간</s:t>
        </s:is>
      </s:c>
      <s:c r="D2" s="3" t="inlineStr">
        <s:is>
          <s:t>음이온발생량</s:t>
        </s:is>
      </s:c>
      <s:c r="E2" s="1" t="inlineStr">
        <s:is>
          <s:t>비고</s:t>
        </s:is>
      </s:c>
      <s:c r="F2" s="3" t="inlineStr">
        <s:is>
          <s:t>측정일시</s:t>
        </s:is>
      </s:c>
    </s:row>
    <s:row r="3">
      <s:c r="A3" s="0" t="n">
        <s:v>260813</s:v>
      </s:c>
      <s:c r="B3" s="0" t="inlineStr">
        <s:is>
          <s:t>이종훈</s:t>
        </s:is>
      </s:c>
      <s:c r="C3" s="0" t="n">
        <s:v>94745</s:v>
      </s:c>
      <s:c r="D3" s="0" t="n">
        <s:v>2483</s:v>
      </s:c>
      <s:c r="F3" s="24">
        <s:f>'자료구성'!$B$2+TIME(INT($C$3/10000),INT(MOD($C$3,10000)/100),MOD($C$3,100))+(ROW()-ROW($C$3))/86400</s:f>
        <s:v>46247.408159722225</s:v>
      </s:c>
    </s:row>
    <s:row r="4">
      <s:c r="A4" s="0" t="n">
        <s:v>260813</s:v>
      </s:c>
      <s:c r="B4" s="0" t="inlineStr">
        <s:is>
          <s:t>이종훈</s:t>
        </s:is>
      </s:c>
      <s:c r="C4" s="0" t="n">
        <s:v>94745</s:v>
      </s:c>
      <s:c r="D4" s="0" t="n">
        <s:v>2553</s:v>
      </s:c>
      <s:c r="F4" s="24">
        <s:f>'자료구성'!$B$2+TIME(INT($C$3/10000),INT(MOD($C$3,10000)/100),MOD($C$3,100))+(ROW()-ROW($C$3))/86400</s:f>
        <s:v>46247.408171296294</s:v>
      </s:c>
    </s:row>
    <s:row r="5">
      <s:c r="A5" s="0" t="n">
        <s:v>260813</s:v>
      </s:c>
      <s:c r="B5" s="0" t="inlineStr">
        <s:is>
          <s:t>이종훈</s:t>
        </s:is>
      </s:c>
      <s:c r="C5" s="0" t="n">
        <s:v>94745</s:v>
      </s:c>
      <s:c r="D5" s="0" t="n">
        <s:v>2621</s:v>
      </s:c>
      <s:c r="F5" s="24">
        <s:f>'자료구성'!$B$2+TIME(INT($C$3/10000),INT(MOD($C$3,10000)/100),MOD($C$3,100))+(ROW()-ROW($C$3))/86400</s:f>
        <s:v>46247.40818287037</s:v>
      </s:c>
    </s:row>
    <s:row r="6">
      <s:c r="A6" s="0" t="n">
        <s:v>260813</s:v>
      </s:c>
      <s:c r="B6" s="0" t="inlineStr">
        <s:is>
          <s:t>이종훈</s:t>
        </s:is>
      </s:c>
      <s:c r="C6" s="0" t="n">
        <s:v>94745</s:v>
      </s:c>
      <s:c r="D6" s="0" t="n">
        <s:v>2732</s:v>
      </s:c>
      <s:c r="F6" s="24">
        <s:f>'자료구성'!$B$2+TIME(INT($C$3/10000),INT(MOD($C$3,10000)/100),MOD($C$3,100))+(ROW()-ROW($C$3))/86400</s:f>
        <s:v>46247.40819444445</s:v>
      </s:c>
    </s:row>
    <s:row r="7">
      <s:c r="A7" s="0" t="n">
        <s:v>260813</s:v>
      </s:c>
      <s:c r="B7" s="0" t="inlineStr">
        <s:is>
          <s:t>이종훈</s:t>
        </s:is>
      </s:c>
      <s:c r="C7" s="0" t="n">
        <s:v>94745</s:v>
      </s:c>
      <s:c r="D7" s="0" t="n">
        <s:v>2867</s:v>
      </s:c>
      <s:c r="F7" s="24">
        <s:f>'자료구성'!$B$2+TIME(INT($C$3/10000),INT(MOD($C$3,10000)/100),MOD($C$3,100))+(ROW()-ROW($C$3))/86400</s:f>
        <s:v>46247.40820601852</s:v>
      </s:c>
    </s:row>
    <s:row r="8">
      <s:c r="A8" s="0" t="n">
        <s:v>260813</s:v>
      </s:c>
      <s:c r="B8" s="0" t="inlineStr">
        <s:is>
          <s:t>이종훈</s:t>
        </s:is>
      </s:c>
      <s:c r="C8" s="0" t="n">
        <s:v>94745</s:v>
      </s:c>
      <s:c r="D8" s="0" t="n">
        <s:v>2987</s:v>
      </s:c>
      <s:c r="F8" s="24">
        <s:f>'자료구성'!$B$2+TIME(INT($C$3/10000),INT(MOD($C$3,10000)/100),MOD($C$3,100))+(ROW()-ROW($C$3))/86400</s:f>
        <s:v>46247.408217592594</s:v>
      </s:c>
    </s:row>
    <s:row r="9">
      <s:c r="A9" s="0" t="n">
        <s:v>260813</s:v>
      </s:c>
      <s:c r="B9" s="0" t="inlineStr">
        <s:is>
          <s:t>이종훈</s:t>
        </s:is>
      </s:c>
      <s:c r="C9" s="0" t="n">
        <s:v>94745</s:v>
      </s:c>
      <s:c r="D9" s="0" t="n">
        <s:v>3073</s:v>
      </s:c>
      <s:c r="F9" s="24">
        <s:f>'자료구성'!$B$2+TIME(INT($C$3/10000),INT(MOD($C$3,10000)/100),MOD($C$3,100))+(ROW()-ROW($C$3))/86400</s:f>
        <s:v>46247.408229166664</s:v>
      </s:c>
    </s:row>
    <s:row r="10">
      <s:c r="A10" s="0" t="n">
        <s:v>260813</s:v>
      </s:c>
      <s:c r="B10" s="0" t="inlineStr">
        <s:is>
          <s:t>이종훈</s:t>
        </s:is>
      </s:c>
      <s:c r="C10" s="0" t="n">
        <s:v>94745</s:v>
      </s:c>
      <s:c r="D10" s="0" t="n">
        <s:v>3101</s:v>
      </s:c>
      <s:c r="F10" s="24">
        <s:f>'자료구성'!$B$2+TIME(INT($C$3/10000),INT(MOD($C$3,10000)/100),MOD($C$3,100))+(ROW()-ROW($C$3))/86400</s:f>
        <s:v>46247.40824074074</s:v>
      </s:c>
    </s:row>
    <s:row r="11">
      <s:c r="A11" s="0" t="n">
        <s:v>260813</s:v>
      </s:c>
      <s:c r="B11" s="0" t="inlineStr">
        <s:is>
          <s:t>이종훈</s:t>
        </s:is>
      </s:c>
      <s:c r="C11" s="0" t="n">
        <s:v>94745</s:v>
      </s:c>
      <s:c r="D11" s="0" t="n">
        <s:v>3139</s:v>
      </s:c>
      <s:c r="F11" s="24">
        <s:f>'자료구성'!$B$2+TIME(INT($C$3/10000),INT(MOD($C$3,10000)/100),MOD($C$3,100))+(ROW()-ROW($C$3))/86400</s:f>
        <s:v>46247.40825231482</s:v>
      </s:c>
    </s:row>
    <s:row r="12">
      <s:c r="A12" s="0" t="n">
        <s:v>260813</s:v>
      </s:c>
      <s:c r="B12" s="0" t="inlineStr">
        <s:is>
          <s:t>이종훈</s:t>
        </s:is>
      </s:c>
      <s:c r="C12" s="0" t="n">
        <s:v>94745</s:v>
      </s:c>
      <s:c r="D12" s="0" t="n">
        <s:v>3154</s:v>
      </s:c>
      <s:c r="F12" s="24">
        <s:f>'자료구성'!$B$2+TIME(INT($C$3/10000),INT(MOD($C$3,10000)/100),MOD($C$3,100))+(ROW()-ROW($C$3))/86400</s:f>
        <s:v>46247.40826388889</s:v>
      </s:c>
    </s:row>
    <s:row r="13">
      <s:c r="A13" s="0" t="n">
        <s:v>260813</s:v>
      </s:c>
      <s:c r="B13" s="0" t="inlineStr">
        <s:is>
          <s:t>이종훈</s:t>
        </s:is>
      </s:c>
      <s:c r="C13" s="0" t="n">
        <s:v>94745</s:v>
      </s:c>
      <s:c r="D13" s="0" t="n">
        <s:v>3111</s:v>
      </s:c>
      <s:c r="F13" s="24">
        <s:f>'자료구성'!$B$2+TIME(INT($C$3/10000),INT(MOD($C$3,10000)/100),MOD($C$3,100))+(ROW()-ROW($C$3))/86400</s:f>
        <s:v>46247.40827546296</s:v>
      </s:c>
    </s:row>
    <s:row r="14">
      <s:c r="A14" s="0" t="n">
        <s:v>260813</s:v>
      </s:c>
      <s:c r="B14" s="0" t="inlineStr">
        <s:is>
          <s:t>이종훈</s:t>
        </s:is>
      </s:c>
      <s:c r="C14" s="0" t="n">
        <s:v>94745</s:v>
      </s:c>
      <s:c r="D14" s="0" t="n">
        <s:v>3040</s:v>
      </s:c>
      <s:c r="F14" s="24">
        <s:f>'자료구성'!$B$2+TIME(INT($C$3/10000),INT(MOD($C$3,10000)/100),MOD($C$3,100))+(ROW()-ROW($C$3))/86400</s:f>
        <s:v>46247.40828703704</s:v>
      </s:c>
    </s:row>
    <s:row r="15">
      <s:c r="A15" s="0" t="n">
        <s:v>260813</s:v>
      </s:c>
      <s:c r="B15" s="0" t="inlineStr">
        <s:is>
          <s:t>이종훈</s:t>
        </s:is>
      </s:c>
      <s:c r="C15" s="0" t="n">
        <s:v>94745</s:v>
      </s:c>
      <s:c r="D15" s="0" t="n">
        <s:v>2940</s:v>
      </s:c>
      <s:c r="F15" s="24">
        <s:f>'자료구성'!$B$2+TIME(INT($C$3/10000),INT(MOD($C$3,10000)/100),MOD($C$3,100))+(ROW()-ROW($C$3))/86400</s:f>
        <s:v>46247.40829861111</s:v>
      </s:c>
    </s:row>
    <s:row r="16">
      <s:c r="A16" s="0" t="n">
        <s:v>260813</s:v>
      </s:c>
      <s:c r="B16" s="0" t="inlineStr">
        <s:is>
          <s:t>이종훈</s:t>
        </s:is>
      </s:c>
      <s:c r="C16" s="0" t="n">
        <s:v>94745</s:v>
      </s:c>
      <s:c r="D16" s="0" t="n">
        <s:v>2885</s:v>
      </s:c>
      <s:c r="F16" s="24">
        <s:f>'자료구성'!$B$2+TIME(INT($C$3/10000),INT(MOD($C$3,10000)/100),MOD($C$3,100))+(ROW()-ROW($C$3))/86400</s:f>
        <s:v>46247.40831018519</s:v>
      </s:c>
    </s:row>
    <s:row r="17">
      <s:c r="A17" s="0" t="n">
        <s:v>260813</s:v>
      </s:c>
      <s:c r="B17" s="0" t="inlineStr">
        <s:is>
          <s:t>이종훈</s:t>
        </s:is>
      </s:c>
      <s:c r="C17" s="0" t="n">
        <s:v>94745</s:v>
      </s:c>
      <s:c r="D17" s="0" t="n">
        <s:v>2877</s:v>
      </s:c>
      <s:c r="F17" s="24">
        <s:f>'자료구성'!$B$2+TIME(INT($C$3/10000),INT(MOD($C$3,10000)/100),MOD($C$3,100))+(ROW()-ROW($C$3))/86400</s:f>
        <s:v>46247.408321759256</s:v>
      </s:c>
    </s:row>
    <s:row r="18">
      <s:c r="A18" s="0" t="n">
        <s:v>260813</s:v>
      </s:c>
      <s:c r="B18" s="0" t="inlineStr">
        <s:is>
          <s:t>이종훈</s:t>
        </s:is>
      </s:c>
      <s:c r="C18" s="0" t="n">
        <s:v>94745</s:v>
      </s:c>
      <s:c r="D18" s="0" t="n">
        <s:v>2841</s:v>
      </s:c>
      <s:c r="F18" s="24">
        <s:f>'자료구성'!$B$2+TIME(INT($C$3/10000),INT(MOD($C$3,10000)/100),MOD($C$3,100))+(ROW()-ROW($C$3))/86400</s:f>
        <s:v>46247.40833333333</s:v>
      </s:c>
    </s:row>
    <s:row r="19">
      <s:c r="A19" s="0" t="n">
        <s:v>260813</s:v>
      </s:c>
      <s:c r="B19" s="0" t="inlineStr">
        <s:is>
          <s:t>이종훈</s:t>
        </s:is>
      </s:c>
      <s:c r="C19" s="0" t="n">
        <s:v>94745</s:v>
      </s:c>
      <s:c r="D19" s="0" t="n">
        <s:v>2869</s:v>
      </s:c>
      <s:c r="F19" s="24">
        <s:f>'자료구성'!$B$2+TIME(INT($C$3/10000),INT(MOD($C$3,10000)/100),MOD($C$3,100))+(ROW()-ROW($C$3))/86400</s:f>
        <s:v>46247.40834490741</s:v>
      </s:c>
    </s:row>
    <s:row r="20">
      <s:c r="A20" s="0" t="n">
        <s:v>260813</s:v>
      </s:c>
      <s:c r="B20" s="0" t="inlineStr">
        <s:is>
          <s:t>이종훈</s:t>
        </s:is>
      </s:c>
      <s:c r="C20" s="0" t="n">
        <s:v>94745</s:v>
      </s:c>
      <s:c r="D20" s="0" t="n">
        <s:v>2948</s:v>
      </s:c>
      <s:c r="F20" s="24">
        <s:f>'자료구성'!$B$2+TIME(INT($C$3/10000),INT(MOD($C$3,10000)/100),MOD($C$3,100))+(ROW()-ROW($C$3))/86400</s:f>
        <s:v>46247.40835648148</s:v>
      </s:c>
    </s:row>
    <s:row r="21">
      <s:c r="A21" s="0" t="n">
        <s:v>260813</s:v>
      </s:c>
      <s:c r="B21" s="0" t="inlineStr">
        <s:is>
          <s:t>이종훈</s:t>
        </s:is>
      </s:c>
      <s:c r="C21" s="0" t="n">
        <s:v>94745</s:v>
      </s:c>
      <s:c r="D21" s="0" t="n">
        <s:v>3007</s:v>
      </s:c>
      <s:c r="F21" s="24">
        <s:f>'자료구성'!$B$2+TIME(INT($C$3/10000),INT(MOD($C$3,10000)/100),MOD($C$3,100))+(ROW()-ROW($C$3))/86400</s:f>
        <s:v>46247.408368055556</s:v>
      </s:c>
    </s:row>
    <s:row r="22">
      <s:c r="A22" s="0" t="n">
        <s:v>260813</s:v>
      </s:c>
      <s:c r="B22" s="0" t="inlineStr">
        <s:is>
          <s:t>이종훈</s:t>
        </s:is>
      </s:c>
      <s:c r="C22" s="0" t="n">
        <s:v>94745</s:v>
      </s:c>
      <s:c r="D22" s="0" t="n">
        <s:v>3098</s:v>
      </s:c>
      <s:c r="F22" s="24">
        <s:f>'자료구성'!$B$2+TIME(INT($C$3/10000),INT(MOD($C$3,10000)/100),MOD($C$3,100))+(ROW()-ROW($C$3))/86400</s:f>
        <s:v>46247.40837962963</s:v>
      </s:c>
    </s:row>
    <s:row r="23">
      <s:c r="A23" s="0" t="n">
        <s:v>260813</s:v>
      </s:c>
      <s:c r="B23" s="0" t="inlineStr">
        <s:is>
          <s:t>이종훈</s:t>
        </s:is>
      </s:c>
      <s:c r="C23" s="0" t="n">
        <s:v>94745</s:v>
      </s:c>
      <s:c r="D23" s="0" t="n">
        <s:v>3166</s:v>
      </s:c>
      <s:c r="F23" s="24">
        <s:f>'자료구성'!$B$2+TIME(INT($C$3/10000),INT(MOD($C$3,10000)/100),MOD($C$3,100))+(ROW()-ROW($C$3))/86400</s:f>
        <s:v>46247.4083912037</s:v>
      </s:c>
    </s:row>
    <s:row r="24">
      <s:c r="A24" s="0" t="n">
        <s:v>260813</s:v>
      </s:c>
      <s:c r="B24" s="0" t="inlineStr">
        <s:is>
          <s:t>이종훈</s:t>
        </s:is>
      </s:c>
      <s:c r="C24" s="0" t="n">
        <s:v>94745</s:v>
      </s:c>
      <s:c r="D24" s="0" t="n">
        <s:v>3221</s:v>
      </s:c>
      <s:c r="F24" s="24">
        <s:f>'자료구성'!$B$2+TIME(INT($C$3/10000),INT(MOD($C$3,10000)/100),MOD($C$3,100))+(ROW()-ROW($C$3))/86400</s:f>
        <s:v>46247.40840277778</s:v>
      </s:c>
    </s:row>
    <s:row r="25">
      <s:c r="A25" s="0" t="n">
        <s:v>260813</s:v>
      </s:c>
      <s:c r="B25" s="0" t="inlineStr">
        <s:is>
          <s:t>이종훈</s:t>
        </s:is>
      </s:c>
      <s:c r="C25" s="0" t="n">
        <s:v>94745</s:v>
      </s:c>
      <s:c r="D25" s="0" t="n">
        <s:v>3322</s:v>
      </s:c>
      <s:c r="F25" s="24">
        <s:f>'자료구성'!$B$2+TIME(INT($C$3/10000),INT(MOD($C$3,10000)/100),MOD($C$3,100))+(ROW()-ROW($C$3))/86400</s:f>
        <s:v>46247.40841435185</s:v>
      </s:c>
    </s:row>
    <s:row r="26">
      <s:c r="A26" s="0" t="n">
        <s:v>260813</s:v>
      </s:c>
      <s:c r="B26" s="0" t="inlineStr">
        <s:is>
          <s:t>이종훈</s:t>
        </s:is>
      </s:c>
      <s:c r="C26" s="0" t="n">
        <s:v>94745</s:v>
      </s:c>
      <s:c r="D26" s="0" t="n">
        <s:v>3398</s:v>
      </s:c>
      <s:c r="F26" s="24">
        <s:f>'자료구성'!$B$2+TIME(INT($C$3/10000),INT(MOD($C$3,10000)/100),MOD($C$3,100))+(ROW()-ROW($C$3))/86400</s:f>
        <s:v>46247.408425925925</s:v>
      </s:c>
    </s:row>
    <s:row r="27">
      <s:c r="A27" s="0" t="n">
        <s:v>260813</s:v>
      </s:c>
      <s:c r="B27" s="0" t="inlineStr">
        <s:is>
          <s:t>이종훈</s:t>
        </s:is>
      </s:c>
      <s:c r="C27" s="0" t="n">
        <s:v>94745</s:v>
      </s:c>
      <s:c r="D27" s="0" t="n">
        <s:v>3296</s:v>
      </s:c>
      <s:c r="F27" s="24">
        <s:f>'자료구성'!$B$2+TIME(INT($C$3/10000),INT(MOD($C$3,10000)/100),MOD($C$3,100))+(ROW()-ROW($C$3))/86400</s:f>
        <s:v>46247.4084375</s:v>
      </s:c>
    </s:row>
    <s:row r="28">
      <s:c r="A28" s="0" t="n">
        <s:v>260813</s:v>
      </s:c>
      <s:c r="B28" s="0" t="inlineStr">
        <s:is>
          <s:t>이종훈</s:t>
        </s:is>
      </s:c>
      <s:c r="C28" s="0" t="n">
        <s:v>94745</s:v>
      </s:c>
      <s:c r="D28" s="0" t="n">
        <s:v>3144</s:v>
      </s:c>
      <s:c r="F28" s="24">
        <s:f>'자료구성'!$B$2+TIME(INT($C$3/10000),INT(MOD($C$3,10000)/100),MOD($C$3,100))+(ROW()-ROW($C$3))/86400</s:f>
        <s:v>46247.40844907407</s:v>
      </s:c>
    </s:row>
    <s:row r="29">
      <s:c r="A29" s="0" t="n">
        <s:v>260813</s:v>
      </s:c>
      <s:c r="B29" s="0" t="inlineStr">
        <s:is>
          <s:t>이종훈</s:t>
        </s:is>
      </s:c>
      <s:c r="C29" s="0" t="n">
        <s:v>94745</s:v>
      </s:c>
      <s:c r="D29" s="0" t="n">
        <s:v>2975</s:v>
      </s:c>
      <s:c r="F29" s="24">
        <s:f>'자료구성'!$B$2+TIME(INT($C$3/10000),INT(MOD($C$3,10000)/100),MOD($C$3,100))+(ROW()-ROW($C$3))/86400</s:f>
        <s:v>46247.40846064815</s:v>
      </s:c>
    </s:row>
    <s:row r="30">
      <s:c r="A30" s="0" t="n">
        <s:v>260813</s:v>
      </s:c>
      <s:c r="B30" s="0" t="inlineStr">
        <s:is>
          <s:t>이종훈</s:t>
        </s:is>
      </s:c>
      <s:c r="C30" s="0" t="n">
        <s:v>94745</s:v>
      </s:c>
      <s:c r="D30" s="0" t="n">
        <s:v>2842</s:v>
      </s:c>
      <s:c r="F30" s="24">
        <s:f>'자료구성'!$B$2+TIME(INT($C$3/10000),INT(MOD($C$3,10000)/100),MOD($C$3,100))+(ROW()-ROW($C$3))/86400</s:f>
        <s:v>46247.408472222225</s:v>
      </s:c>
    </s:row>
    <s:row r="31">
      <s:c r="A31" s="0" t="n">
        <s:v>260813</s:v>
      </s:c>
      <s:c r="B31" s="0" t="inlineStr">
        <s:is>
          <s:t>이종훈</s:t>
        </s:is>
      </s:c>
      <s:c r="C31" s="0" t="n">
        <s:v>94745</s:v>
      </s:c>
      <s:c r="D31" s="0" t="n">
        <s:v>2726</s:v>
      </s:c>
      <s:c r="F31" s="24">
        <s:f>'자료구성'!$B$2+TIME(INT($C$3/10000),INT(MOD($C$3,10000)/100),MOD($C$3,100))+(ROW()-ROW($C$3))/86400</s:f>
        <s:v>46247.408483796295</s:v>
      </s:c>
    </s:row>
    <s:row r="32">
      <s:c r="A32" s="0" t="n">
        <s:v>260813</s:v>
      </s:c>
      <s:c r="B32" s="0" t="inlineStr">
        <s:is>
          <s:t>이종훈</s:t>
        </s:is>
      </s:c>
      <s:c r="C32" s="0" t="n">
        <s:v>94745</s:v>
      </s:c>
      <s:c r="D32" s="0" t="n">
        <s:v>2612</s:v>
      </s:c>
      <s:c r="F32" s="24">
        <s:f>'자료구성'!$B$2+TIME(INT($C$3/10000),INT(MOD($C$3,10000)/100),MOD($C$3,100))+(ROW()-ROW($C$3))/86400</s:f>
        <s:v>46247.40849537037</s:v>
      </s:c>
    </s:row>
    <s:row r="33">
      <s:c r="A33" s="0" t="n">
        <s:v>260813</s:v>
      </s:c>
      <s:c r="B33" s="0" t="inlineStr">
        <s:is>
          <s:t>이종훈</s:t>
        </s:is>
      </s:c>
      <s:c r="C33" s="0" t="n">
        <s:v>94745</s:v>
      </s:c>
      <s:c r="D33" s="0" t="n">
        <s:v>2541</s:v>
      </s:c>
      <s:c r="F33" s="24">
        <s:f>'자료구성'!$B$2+TIME(INT($C$3/10000),INT(MOD($C$3,10000)/100),MOD($C$3,100))+(ROW()-ROW($C$3))/86400</s:f>
        <s:v>46247.40850694444</s:v>
      </s:c>
    </s:row>
    <s:row r="34">
      <s:c r="A34" s="0" t="n">
        <s:v>260813</s:v>
      </s:c>
      <s:c r="B34" s="0" t="inlineStr">
        <s:is>
          <s:t>이종훈</s:t>
        </s:is>
      </s:c>
      <s:c r="C34" s="0" t="n">
        <s:v>94745</s:v>
      </s:c>
      <s:c r="D34" s="0" t="n">
        <s:v>2556</s:v>
      </s:c>
      <s:c r="F34" s="24">
        <s:f>'자료구성'!$B$2+TIME(INT($C$3/10000),INT(MOD($C$3,10000)/100),MOD($C$3,100))+(ROW()-ROW($C$3))/86400</s:f>
        <s:v>46247.40851851852</s:v>
      </s:c>
    </s:row>
    <s:row r="35">
      <s:c r="A35" s="0" t="n">
        <s:v>260813</s:v>
      </s:c>
      <s:c r="B35" s="0" t="inlineStr">
        <s:is>
          <s:t>이종훈</s:t>
        </s:is>
      </s:c>
      <s:c r="C35" s="0" t="n">
        <s:v>94745</s:v>
      </s:c>
      <s:c r="D35" s="0" t="n">
        <s:v>2579</s:v>
      </s:c>
      <s:c r="F35" s="24">
        <s:f>'자료구성'!$B$2+TIME(INT($C$3/10000),INT(MOD($C$3,10000)/100),MOD($C$3,100))+(ROW()-ROW($C$3))/86400</s:f>
        <s:v>46247.408530092594</s:v>
      </s:c>
    </s:row>
    <s:row r="36">
      <s:c r="A36" s="0" t="n">
        <s:v>260813</s:v>
      </s:c>
      <s:c r="B36" s="0" t="inlineStr">
        <s:is>
          <s:t>이종훈</s:t>
        </s:is>
      </s:c>
      <s:c r="C36" s="0" t="n">
        <s:v>94745</s:v>
      </s:c>
      <s:c r="D36" s="0" t="n">
        <s:v>2504</s:v>
      </s:c>
      <s:c r="F36" s="24">
        <s:f>'자료구성'!$B$2+TIME(INT($C$3/10000),INT(MOD($C$3,10000)/100),MOD($C$3,100))+(ROW()-ROW($C$3))/86400</s:f>
        <s:v>46247.408541666664</s:v>
      </s:c>
    </s:row>
    <s:row r="37">
      <s:c r="A37" s="0" t="n">
        <s:v>260813</s:v>
      </s:c>
      <s:c r="B37" s="0" t="inlineStr">
        <s:is>
          <s:t>이종훈</s:t>
        </s:is>
      </s:c>
      <s:c r="C37" s="0" t="n">
        <s:v>94745</s:v>
      </s:c>
      <s:c r="D37" s="0" t="n">
        <s:v>2467</s:v>
      </s:c>
      <s:c r="F37" s="24">
        <s:f>'자료구성'!$B$2+TIME(INT($C$3/10000),INT(MOD($C$3,10000)/100),MOD($C$3,100))+(ROW()-ROW($C$3))/86400</s:f>
        <s:v>46247.40855324074</s:v>
      </s:c>
    </s:row>
    <s:row r="38">
      <s:c r="A38" s="0" t="n">
        <s:v>260813</s:v>
      </s:c>
      <s:c r="B38" s="0" t="inlineStr">
        <s:is>
          <s:t>이종훈</s:t>
        </s:is>
      </s:c>
      <s:c r="C38" s="0" t="n">
        <s:v>94745</s:v>
      </s:c>
      <s:c r="D38" s="0" t="n">
        <s:v>2468</s:v>
      </s:c>
      <s:c r="F38" s="24">
        <s:f>'자료구성'!$B$2+TIME(INT($C$3/10000),INT(MOD($C$3,10000)/100),MOD($C$3,100))+(ROW()-ROW($C$3))/86400</s:f>
        <s:v>46247.40856481482</s:v>
      </s:c>
    </s:row>
    <s:row r="39">
      <s:c r="A39" s="0" t="n">
        <s:v>260813</s:v>
      </s:c>
      <s:c r="B39" s="0" t="inlineStr">
        <s:is>
          <s:t>이종훈</s:t>
        </s:is>
      </s:c>
      <s:c r="C39" s="0" t="n">
        <s:v>94745</s:v>
      </s:c>
      <s:c r="D39" s="0" t="n">
        <s:v>2530</s:v>
      </s:c>
      <s:c r="F39" s="24">
        <s:f>'자료구성'!$B$2+TIME(INT($C$3/10000),INT(MOD($C$3,10000)/100),MOD($C$3,100))+(ROW()-ROW($C$3))/86400</s:f>
        <s:v>46247.40857638889</s:v>
      </s:c>
    </s:row>
    <s:row r="40">
      <s:c r="A40" s="0" t="n">
        <s:v>260813</s:v>
      </s:c>
      <s:c r="B40" s="0" t="inlineStr">
        <s:is>
          <s:t>이종훈</s:t>
        </s:is>
      </s:c>
      <s:c r="C40" s="0" t="n">
        <s:v>94745</s:v>
      </s:c>
      <s:c r="D40" s="0" t="n">
        <s:v>2562</s:v>
      </s:c>
      <s:c r="F40" s="24">
        <s:f>'자료구성'!$B$2+TIME(INT($C$3/10000),INT(MOD($C$3,10000)/100),MOD($C$3,100))+(ROW()-ROW($C$3))/86400</s:f>
        <s:v>46247.408587962964</s:v>
      </s:c>
    </s:row>
    <s:row r="41">
      <s:c r="A41" s="0" t="n">
        <s:v>260813</s:v>
      </s:c>
      <s:c r="B41" s="0" t="inlineStr">
        <s:is>
          <s:t>이종훈</s:t>
        </s:is>
      </s:c>
      <s:c r="C41" s="0" t="n">
        <s:v>94745</s:v>
      </s:c>
      <s:c r="D41" s="0" t="n">
        <s:v>2637</s:v>
      </s:c>
      <s:c r="F41" s="24">
        <s:f>'자료구성'!$B$2+TIME(INT($C$3/10000),INT(MOD($C$3,10000)/100),MOD($C$3,100))+(ROW()-ROW($C$3))/86400</s:f>
        <s:v>46247.40859953704</s:v>
      </s:c>
    </s:row>
    <s:row r="42">
      <s:c r="A42" s="0" t="n">
        <s:v>260813</s:v>
      </s:c>
      <s:c r="B42" s="0" t="inlineStr">
        <s:is>
          <s:t>이종훈</s:t>
        </s:is>
      </s:c>
      <s:c r="C42" s="0" t="n">
        <s:v>94745</s:v>
      </s:c>
      <s:c r="D42" s="0" t="n">
        <s:v>2601</s:v>
      </s:c>
      <s:c r="F42" s="24">
        <s:f>'자료구성'!$B$2+TIME(INT($C$3/10000),INT(MOD($C$3,10000)/100),MOD($C$3,100))+(ROW()-ROW($C$3))/86400</s:f>
        <s:v>46247.40861111111</s:v>
      </s:c>
    </s:row>
    <s:row r="43">
      <s:c r="A43" s="0" t="n">
        <s:v>260813</s:v>
      </s:c>
      <s:c r="B43" s="0" t="inlineStr">
        <s:is>
          <s:t>이종훈</s:t>
        </s:is>
      </s:c>
      <s:c r="C43" s="0" t="n">
        <s:v>94745</s:v>
      </s:c>
      <s:c r="D43" s="0" t="n">
        <s:v>2548</s:v>
      </s:c>
      <s:c r="F43" s="24">
        <s:f>'자료구성'!$B$2+TIME(INT($C$3/10000),INT(MOD($C$3,10000)/100),MOD($C$3,100))+(ROW()-ROW($C$3))/86400</s:f>
        <s:v>46247.40862268519</s:v>
      </s:c>
    </s:row>
    <s:row r="44">
      <s:c r="A44" s="0" t="n">
        <s:v>260813</s:v>
      </s:c>
      <s:c r="B44" s="0" t="inlineStr">
        <s:is>
          <s:t>이종훈</s:t>
        </s:is>
      </s:c>
      <s:c r="C44" s="0" t="n">
        <s:v>94745</s:v>
      </s:c>
      <s:c r="D44" s="0" t="n">
        <s:v>2491</s:v>
      </s:c>
      <s:c r="F44" s="24">
        <s:f>'자료구성'!$B$2+TIME(INT($C$3/10000),INT(MOD($C$3,10000)/100),MOD($C$3,100))+(ROW()-ROW($C$3))/86400</s:f>
        <s:v>46247.408634259256</s:v>
      </s:c>
    </s:row>
    <s:row r="45">
      <s:c r="A45" s="0" t="n">
        <s:v>260813</s:v>
      </s:c>
      <s:c r="B45" s="0" t="inlineStr">
        <s:is>
          <s:t>이종훈</s:t>
        </s:is>
      </s:c>
      <s:c r="C45" s="0" t="n">
        <s:v>94745</s:v>
      </s:c>
      <s:c r="D45" s="0" t="n">
        <s:v>2410</s:v>
      </s:c>
      <s:c r="F45" s="24">
        <s:f>'자료구성'!$B$2+TIME(INT($C$3/10000),INT(MOD($C$3,10000)/100),MOD($C$3,100))+(ROW()-ROW($C$3))/86400</s:f>
        <s:v>46247.40864583333</s:v>
      </s:c>
    </s:row>
    <s:row r="46">
      <s:c r="A46" s="0" t="n">
        <s:v>260813</s:v>
      </s:c>
      <s:c r="B46" s="0" t="inlineStr">
        <s:is>
          <s:t>이종훈</s:t>
        </s:is>
      </s:c>
      <s:c r="C46" s="0" t="n">
        <s:v>94745</s:v>
      </s:c>
      <s:c r="D46" s="0" t="n">
        <s:v>2309</s:v>
      </s:c>
      <s:c r="F46" s="24">
        <s:f>'자료구성'!$B$2+TIME(INT($C$3/10000),INT(MOD($C$3,10000)/100),MOD($C$3,100))+(ROW()-ROW($C$3))/86400</s:f>
        <s:v>46247.40865740741</s:v>
      </s:c>
    </s:row>
    <s:row r="47">
      <s:c r="A47" s="0" t="n">
        <s:v>260813</s:v>
      </s:c>
      <s:c r="B47" s="0" t="inlineStr">
        <s:is>
          <s:t>이종훈</s:t>
        </s:is>
      </s:c>
      <s:c r="C47" s="0" t="n">
        <s:v>94745</s:v>
      </s:c>
      <s:c r="D47" s="0" t="n">
        <s:v>2229</s:v>
      </s:c>
      <s:c r="F47" s="24">
        <s:f>'자료구성'!$B$2+TIME(INT($C$3/10000),INT(MOD($C$3,10000)/100),MOD($C$3,100))+(ROW()-ROW($C$3))/86400</s:f>
        <s:v>46247.40866898148</s:v>
      </s:c>
    </s:row>
    <s:row r="48">
      <s:c r="A48" s="0" t="n">
        <s:v>260813</s:v>
      </s:c>
      <s:c r="B48" s="0" t="inlineStr">
        <s:is>
          <s:t>이종훈</s:t>
        </s:is>
      </s:c>
      <s:c r="C48" s="0" t="n">
        <s:v>94745</s:v>
      </s:c>
      <s:c r="D48" s="0" t="n">
        <s:v>2140</s:v>
      </s:c>
      <s:c r="F48" s="24">
        <s:f>'자료구성'!$B$2+TIME(INT($C$3/10000),INT(MOD($C$3,10000)/100),MOD($C$3,100))+(ROW()-ROW($C$3))/86400</s:f>
        <s:v>46247.408680555556</s:v>
      </s:c>
    </s:row>
    <s:row r="49">
      <s:c r="A49" s="0" t="n">
        <s:v>260813</s:v>
      </s:c>
      <s:c r="B49" s="0" t="inlineStr">
        <s:is>
          <s:t>이종훈</s:t>
        </s:is>
      </s:c>
      <s:c r="C49" s="0" t="n">
        <s:v>94745</s:v>
      </s:c>
      <s:c r="D49" s="0" t="n">
        <s:v>2082</s:v>
      </s:c>
      <s:c r="F49" s="24">
        <s:f>'자료구성'!$B$2+TIME(INT($C$3/10000),INT(MOD($C$3,10000)/100),MOD($C$3,100))+(ROW()-ROW($C$3))/86400</s:f>
        <s:v>46247.40869212963</s:v>
      </s:c>
    </s:row>
    <s:row r="50">
      <s:c r="A50" s="0" t="n">
        <s:v>260813</s:v>
      </s:c>
      <s:c r="B50" s="0" t="inlineStr">
        <s:is>
          <s:t>이종훈</s:t>
        </s:is>
      </s:c>
      <s:c r="C50" s="0" t="n">
        <s:v>94745</s:v>
      </s:c>
      <s:c r="D50" s="0" t="n">
        <s:v>1998</s:v>
      </s:c>
      <s:c r="F50" s="24">
        <s:f>'자료구성'!$B$2+TIME(INT($C$3/10000),INT(MOD($C$3,10000)/100),MOD($C$3,100))+(ROW()-ROW($C$3))/86400</s:f>
        <s:v>46247.4087037037</s:v>
      </s:c>
    </s:row>
    <s:row r="51">
      <s:c r="A51" s="0" t="n">
        <s:v>260813</s:v>
      </s:c>
      <s:c r="B51" s="0" t="inlineStr">
        <s:is>
          <s:t>이종훈</s:t>
        </s:is>
      </s:c>
      <s:c r="C51" s="0" t="n">
        <s:v>94745</s:v>
      </s:c>
      <s:c r="D51" s="0" t="n">
        <s:v>1923</s:v>
      </s:c>
      <s:c r="F51" s="24">
        <s:f>'자료구성'!$B$2+TIME(INT($C$3/10000),INT(MOD($C$3,10000)/100),MOD($C$3,100))+(ROW()-ROW($C$3))/86400</s:f>
        <s:v>46247.40871527778</s:v>
      </s:c>
    </s:row>
    <s:row r="52">
      <s:c r="A52" s="0" t="n">
        <s:v>260813</s:v>
      </s:c>
      <s:c r="B52" s="0" t="inlineStr">
        <s:is>
          <s:t>이종훈</s:t>
        </s:is>
      </s:c>
      <s:c r="C52" s="0" t="n">
        <s:v>94745</s:v>
      </s:c>
      <s:c r="D52" s="0" t="n">
        <s:v>1898</s:v>
      </s:c>
      <s:c r="F52" s="24">
        <s:f>'자료구성'!$B$2+TIME(INT($C$3/10000),INT(MOD($C$3,10000)/100),MOD($C$3,100))+(ROW()-ROW($C$3))/86400</s:f>
        <s:v>46247.40872685185</s:v>
      </s:c>
    </s:row>
    <s:row r="53">
      <s:c r="A53" s="0" t="n">
        <s:v>260813</s:v>
      </s:c>
      <s:c r="B53" s="0" t="inlineStr">
        <s:is>
          <s:t>이종훈</s:t>
        </s:is>
      </s:c>
      <s:c r="C53" s="0" t="n">
        <s:v>94745</s:v>
      </s:c>
      <s:c r="D53" s="0" t="n">
        <s:v>1906</s:v>
      </s:c>
      <s:c r="F53" s="24">
        <s:f>'자료구성'!$B$2+TIME(INT($C$3/10000),INT(MOD($C$3,10000)/100),MOD($C$3,100))+(ROW()-ROW($C$3))/86400</s:f>
        <s:v>46247.408738425926</s:v>
      </s:c>
    </s:row>
    <s:row r="54">
      <s:c r="A54" s="0" t="n">
        <s:v>260813</s:v>
      </s:c>
      <s:c r="B54" s="0" t="inlineStr">
        <s:is>
          <s:t>이종훈</s:t>
        </s:is>
      </s:c>
      <s:c r="C54" s="0" t="n">
        <s:v>94745</s:v>
      </s:c>
      <s:c r="D54" s="0" t="n">
        <s:v>1913</s:v>
      </s:c>
      <s:c r="F54" s="24">
        <s:f>'자료구성'!$B$2+TIME(INT($C$3/10000),INT(MOD($C$3,10000)/100),MOD($C$3,100))+(ROW()-ROW($C$3))/86400</s:f>
        <s:v>46247.40875</s:v>
      </s:c>
    </s:row>
    <s:row r="55">
      <s:c r="A55" s="0" t="n">
        <s:v>260813</s:v>
      </s:c>
      <s:c r="B55" s="0" t="inlineStr">
        <s:is>
          <s:t>이종훈</s:t>
        </s:is>
      </s:c>
      <s:c r="C55" s="0" t="n">
        <s:v>94745</s:v>
      </s:c>
      <s:c r="D55" s="0" t="n">
        <s:v>1911</s:v>
      </s:c>
      <s:c r="F55" s="24">
        <s:f>'자료구성'!$B$2+TIME(INT($C$3/10000),INT(MOD($C$3,10000)/100),MOD($C$3,100))+(ROW()-ROW($C$3))/86400</s:f>
        <s:v>46247.40876157407</s:v>
      </s:c>
    </s:row>
    <s:row r="56">
      <s:c r="A56" s="0" t="n">
        <s:v>260813</s:v>
      </s:c>
      <s:c r="B56" s="0" t="inlineStr">
        <s:is>
          <s:t>이종훈</s:t>
        </s:is>
      </s:c>
      <s:c r="C56" s="0" t="n">
        <s:v>94745</s:v>
      </s:c>
      <s:c r="D56" s="0" t="n">
        <s:v>1893</s:v>
      </s:c>
      <s:c r="F56" s="24">
        <s:f>'자료구성'!$B$2+TIME(INT($C$3/10000),INT(MOD($C$3,10000)/100),MOD($C$3,100))+(ROW()-ROW($C$3))/86400</s:f>
        <s:v>46247.40877314815</s:v>
      </s:c>
    </s:row>
    <s:row r="57">
      <s:c r="A57" s="0" t="n">
        <s:v>260813</s:v>
      </s:c>
      <s:c r="B57" s="0" t="inlineStr">
        <s:is>
          <s:t>이종훈</s:t>
        </s:is>
      </s:c>
      <s:c r="C57" s="0" t="n">
        <s:v>94745</s:v>
      </s:c>
      <s:c r="D57" s="0" t="n">
        <s:v>1899</s:v>
      </s:c>
      <s:c r="F57" s="24">
        <s:f>'자료구성'!$B$2+TIME(INT($C$3/10000),INT(MOD($C$3,10000)/100),MOD($C$3,100))+(ROW()-ROW($C$3))/86400</s:f>
        <s:v>46247.408784722225</s:v>
      </s:c>
    </s:row>
    <s:row r="58">
      <s:c r="A58" s="0" t="n">
        <s:v>260813</s:v>
      </s:c>
      <s:c r="B58" s="0" t="inlineStr">
        <s:is>
          <s:t>이종훈</s:t>
        </s:is>
      </s:c>
      <s:c r="C58" s="0" t="n">
        <s:v>94745</s:v>
      </s:c>
      <s:c r="D58" s="0" t="n">
        <s:v>1916</s:v>
      </s:c>
      <s:c r="F58" s="24">
        <s:f>'자료구성'!$B$2+TIME(INT($C$3/10000),INT(MOD($C$3,10000)/100),MOD($C$3,100))+(ROW()-ROW($C$3))/86400</s:f>
        <s:v>46247.408796296295</s:v>
      </s:c>
    </s:row>
    <s:row r="59">
      <s:c r="A59" s="0" t="n">
        <s:v>260813</s:v>
      </s:c>
      <s:c r="B59" s="0" t="inlineStr">
        <s:is>
          <s:t>이종훈</s:t>
        </s:is>
      </s:c>
      <s:c r="C59" s="0" t="n">
        <s:v>94745</s:v>
      </s:c>
      <s:c r="D59" s="0" t="n">
        <s:v>1932</s:v>
      </s:c>
      <s:c r="F59" s="24">
        <s:f>'자료구성'!$B$2+TIME(INT($C$3/10000),INT(MOD($C$3,10000)/100),MOD($C$3,100))+(ROW()-ROW($C$3))/86400</s:f>
        <s:v>46247.40880787037</s:v>
      </s:c>
    </s:row>
    <s:row r="60">
      <s:c r="A60" s="0" t="n">
        <s:v>260813</s:v>
      </s:c>
      <s:c r="B60" s="0" t="inlineStr">
        <s:is>
          <s:t>이종훈</s:t>
        </s:is>
      </s:c>
      <s:c r="C60" s="0" t="n">
        <s:v>94745</s:v>
      </s:c>
      <s:c r="D60" s="0" t="n">
        <s:v>1974</s:v>
      </s:c>
      <s:c r="F60" s="24">
        <s:f>'자료구성'!$B$2+TIME(INT($C$3/10000),INT(MOD($C$3,10000)/100),MOD($C$3,100))+(ROW()-ROW($C$3))/86400</s:f>
        <s:v>46247.40881944444</s:v>
      </s:c>
    </s:row>
    <s:row r="61">
      <s:c r="A61" s="0" t="n">
        <s:v>260813</s:v>
      </s:c>
      <s:c r="B61" s="0" t="inlineStr">
        <s:is>
          <s:t>이종훈</s:t>
        </s:is>
      </s:c>
      <s:c r="C61" s="0" t="n">
        <s:v>94745</s:v>
      </s:c>
      <s:c r="D61" s="0" t="n">
        <s:v>2045</s:v>
      </s:c>
      <s:c r="F61" s="24">
        <s:f>'자료구성'!$B$2+TIME(INT($C$3/10000),INT(MOD($C$3,10000)/100),MOD($C$3,100))+(ROW()-ROW($C$3))/86400</s:f>
        <s:v>46247.40883101852</s:v>
      </s:c>
    </s:row>
    <s:row r="62">
      <s:c r="A62" s="0" t="n">
        <s:v>260813</s:v>
      </s:c>
      <s:c r="B62" s="0" t="inlineStr">
        <s:is>
          <s:t>이종훈</s:t>
        </s:is>
      </s:c>
      <s:c r="C62" s="0" t="n">
        <s:v>94745</s:v>
      </s:c>
      <s:c r="D62" s="0" t="n">
        <s:v>2106</s:v>
      </s:c>
      <s:c r="F62" s="24">
        <s:f>'자료구성'!$B$2+TIME(INT($C$3/10000),INT(MOD($C$3,10000)/100),MOD($C$3,100))+(ROW()-ROW($C$3))/86400</s:f>
        <s:v>46247.408842592595</s:v>
      </s:c>
    </s:row>
    <s:row r="63">
      <s:c r="A63" s="0" t="n">
        <s:v>260813</s:v>
      </s:c>
      <s:c r="B63" s="0" t="inlineStr">
        <s:is>
          <s:t>이종훈</s:t>
        </s:is>
      </s:c>
      <s:c r="C63" s="0" t="n">
        <s:v>94745</s:v>
      </s:c>
      <s:c r="D63" s="0" t="n">
        <s:v>2134</s:v>
      </s:c>
      <s:c r="F63" s="24">
        <s:f>'자료구성'!$B$2+TIME(INT($C$3/10000),INT(MOD($C$3,10000)/100),MOD($C$3,100))+(ROW()-ROW($C$3))/86400</s:f>
        <s:v>46247.408854166664</s:v>
      </s:c>
    </s:row>
    <s:row r="64">
      <s:c r="A64" s="0" t="n">
        <s:v>260813</s:v>
      </s:c>
      <s:c r="B64" s="0" t="inlineStr">
        <s:is>
          <s:t>이종훈</s:t>
        </s:is>
      </s:c>
      <s:c r="C64" s="0" t="n">
        <s:v>94745</s:v>
      </s:c>
      <s:c r="D64" s="0" t="n">
        <s:v>2176</s:v>
      </s:c>
      <s:c r="F64" s="24">
        <s:f>'자료구성'!$B$2+TIME(INT($C$3/10000),INT(MOD($C$3,10000)/100),MOD($C$3,100))+(ROW()-ROW($C$3))/86400</s:f>
        <s:v>46247.40886574074</s:v>
      </s:c>
    </s:row>
    <s:row r="65">
      <s:c r="A65" s="0" t="n">
        <s:v>260813</s:v>
      </s:c>
      <s:c r="B65" s="0" t="inlineStr">
        <s:is>
          <s:t>이종훈</s:t>
        </s:is>
      </s:c>
      <s:c r="C65" s="0" t="n">
        <s:v>94745</s:v>
      </s:c>
      <s:c r="D65" s="0" t="n">
        <s:v>2226</s:v>
      </s:c>
      <s:c r="F65" s="24">
        <s:f>'자료구성'!$B$2+TIME(INT($C$3/10000),INT(MOD($C$3,10000)/100),MOD($C$3,100))+(ROW()-ROW($C$3))/86400</s:f>
        <s:v>46247.40887731482</s:v>
      </s:c>
    </s:row>
    <s:row r="66">
      <s:c r="A66" s="0" t="n">
        <s:v>260813</s:v>
      </s:c>
      <s:c r="B66" s="0" t="inlineStr">
        <s:is>
          <s:t>이종훈</s:t>
        </s:is>
      </s:c>
      <s:c r="C66" s="0" t="n">
        <s:v>94745</s:v>
      </s:c>
      <s:c r="D66" s="0" t="n">
        <s:v>2267</s:v>
      </s:c>
      <s:c r="F66" s="24">
        <s:f>'자료구성'!$B$2+TIME(INT($C$3/10000),INT(MOD($C$3,10000)/100),MOD($C$3,100))+(ROW()-ROW($C$3))/86400</s:f>
        <s:v>46247.40888888889</s:v>
      </s:c>
    </s:row>
    <s:row r="67">
      <s:c r="A67" s="0" t="n">
        <s:v>260813</s:v>
      </s:c>
      <s:c r="B67" s="0" t="inlineStr">
        <s:is>
          <s:t>이종훈</s:t>
        </s:is>
      </s:c>
      <s:c r="C67" s="0" t="n">
        <s:v>94745</s:v>
      </s:c>
      <s:c r="D67" s="0" t="n">
        <s:v>2303</s:v>
      </s:c>
      <s:c r="F67" s="24">
        <s:f>'자료구성'!$B$2+TIME(INT($C$3/10000),INT(MOD($C$3,10000)/100),MOD($C$3,100))+(ROW()-ROW($C$3))/86400</s:f>
        <s:v>46247.408900462964</s:v>
      </s:c>
    </s:row>
    <s:row r="68">
      <s:c r="A68" s="0" t="n">
        <s:v>260813</s:v>
      </s:c>
      <s:c r="B68" s="0" t="inlineStr">
        <s:is>
          <s:t>이종훈</s:t>
        </s:is>
      </s:c>
      <s:c r="C68" s="0" t="n">
        <s:v>94745</s:v>
      </s:c>
      <s:c r="D68" s="0" t="n">
        <s:v>2312</s:v>
      </s:c>
      <s:c r="F68" s="24">
        <s:f>'자료구성'!$B$2+TIME(INT($C$3/10000),INT(MOD($C$3,10000)/100),MOD($C$3,100))+(ROW()-ROW($C$3))/86400</s:f>
        <s:v>46247.40891203703</s:v>
      </s:c>
    </s:row>
    <s:row r="69">
      <s:c r="A69" s="0" t="n">
        <s:v>260813</s:v>
      </s:c>
      <s:c r="B69" s="0" t="inlineStr">
        <s:is>
          <s:t>이종훈</s:t>
        </s:is>
      </s:c>
      <s:c r="C69" s="0" t="n">
        <s:v>94745</s:v>
      </s:c>
      <s:c r="D69" s="0" t="n">
        <s:v>2345</s:v>
      </s:c>
      <s:c r="F69" s="24">
        <s:f>'자료구성'!$B$2+TIME(INT($C$3/10000),INT(MOD($C$3,10000)/100),MOD($C$3,100))+(ROW()-ROW($C$3))/86400</s:f>
        <s:v>46247.40892361111</s:v>
      </s:c>
    </s:row>
    <s:row r="70">
      <s:c r="A70" s="0" t="n">
        <s:v>260813</s:v>
      </s:c>
      <s:c r="B70" s="0" t="inlineStr">
        <s:is>
          <s:t>이종훈</s:t>
        </s:is>
      </s:c>
      <s:c r="C70" s="0" t="n">
        <s:v>94745</s:v>
      </s:c>
      <s:c r="D70" s="0" t="n">
        <s:v>2373</s:v>
      </s:c>
      <s:c r="F70" s="24">
        <s:f>'자료구성'!$B$2+TIME(INT($C$3/10000),INT(MOD($C$3,10000)/100),MOD($C$3,100))+(ROW()-ROW($C$3))/86400</s:f>
        <s:v>46247.40893518519</s:v>
      </s:c>
    </s:row>
    <s:row r="71">
      <s:c r="A71" s="0" t="n">
        <s:v>260813</s:v>
      </s:c>
      <s:c r="B71" s="0" t="inlineStr">
        <s:is>
          <s:t>이종훈</s:t>
        </s:is>
      </s:c>
      <s:c r="C71" s="0" t="n">
        <s:v>94745</s:v>
      </s:c>
      <s:c r="D71" s="0" t="n">
        <s:v>2436</s:v>
      </s:c>
      <s:c r="F71" s="24">
        <s:f>'자료구성'!$B$2+TIME(INT($C$3/10000),INT(MOD($C$3,10000)/100),MOD($C$3,100))+(ROW()-ROW($C$3))/86400</s:f>
        <s:v>46247.40894675926</s:v>
      </s:c>
    </s:row>
    <s:row r="72">
      <s:c r="A72" s="0" t="n">
        <s:v>260813</s:v>
      </s:c>
      <s:c r="B72" s="0" t="inlineStr">
        <s:is>
          <s:t>이종훈</s:t>
        </s:is>
      </s:c>
      <s:c r="C72" s="0" t="n">
        <s:v>94745</s:v>
      </s:c>
      <s:c r="D72" s="0" t="n">
        <s:v>2458</s:v>
      </s:c>
      <s:c r="F72" s="24">
        <s:f>'자료구성'!$B$2+TIME(INT($C$3/10000),INT(MOD($C$3,10000)/100),MOD($C$3,100))+(ROW()-ROW($C$3))/86400</s:f>
        <s:v>46247.40895833333</s:v>
      </s:c>
    </s:row>
    <s:row r="73">
      <s:c r="A73" s="0" t="n">
        <s:v>260813</s:v>
      </s:c>
      <s:c r="B73" s="0" t="inlineStr">
        <s:is>
          <s:t>이종훈</s:t>
        </s:is>
      </s:c>
      <s:c r="C73" s="0" t="n">
        <s:v>94745</s:v>
      </s:c>
      <s:c r="D73" s="0" t="n">
        <s:v>2440</s:v>
      </s:c>
      <s:c r="F73" s="24">
        <s:f>'자료구성'!$B$2+TIME(INT($C$3/10000),INT(MOD($C$3,10000)/100),MOD($C$3,100))+(ROW()-ROW($C$3))/86400</s:f>
        <s:v>46247.40896990741</s:v>
      </s:c>
    </s:row>
    <s:row r="74">
      <s:c r="A74" s="0" t="n">
        <s:v>260813</s:v>
      </s:c>
      <s:c r="B74" s="0" t="inlineStr">
        <s:is>
          <s:t>이종훈</s:t>
        </s:is>
      </s:c>
      <s:c r="C74" s="0" t="n">
        <s:v>94745</s:v>
      </s:c>
      <s:c r="D74" s="0" t="n">
        <s:v>2409</s:v>
      </s:c>
      <s:c r="F74" s="24">
        <s:f>'자료구성'!$B$2+TIME(INT($C$3/10000),INT(MOD($C$3,10000)/100),MOD($C$3,100))+(ROW()-ROW($C$3))/86400</s:f>
        <s:v>46247.40898148148</s:v>
      </s:c>
    </s:row>
    <s:row r="75">
      <s:c r="A75" s="0" t="n">
        <s:v>260813</s:v>
      </s:c>
      <s:c r="B75" s="0" t="inlineStr">
        <s:is>
          <s:t>이종훈</s:t>
        </s:is>
      </s:c>
      <s:c r="C75" s="0" t="n">
        <s:v>94745</s:v>
      </s:c>
      <s:c r="D75" s="0" t="n">
        <s:v>2400</s:v>
      </s:c>
      <s:c r="F75" s="24">
        <s:f>'자료구성'!$B$2+TIME(INT($C$3/10000),INT(MOD($C$3,10000)/100),MOD($C$3,100))+(ROW()-ROW($C$3))/86400</s:f>
        <s:v>46247.40899305556</s:v>
      </s:c>
    </s:row>
    <s:row r="76">
      <s:c r="A76" s="0" t="n">
        <s:v>260813</s:v>
      </s:c>
      <s:c r="B76" s="0" t="inlineStr">
        <s:is>
          <s:t>이종훈</s:t>
        </s:is>
      </s:c>
      <s:c r="C76" s="0" t="n">
        <s:v>94745</s:v>
      </s:c>
      <s:c r="D76" s="0" t="n">
        <s:v>2398</s:v>
      </s:c>
      <s:c r="F76" s="24">
        <s:f>'자료구성'!$B$2+TIME(INT($C$3/10000),INT(MOD($C$3,10000)/100),MOD($C$3,100))+(ROW()-ROW($C$3))/86400</s:f>
        <s:v>46247.409004629626</s:v>
      </s:c>
    </s:row>
    <s:row r="77">
      <s:c r="A77" s="0" t="n">
        <s:v>260813</s:v>
      </s:c>
      <s:c r="B77" s="0" t="inlineStr">
        <s:is>
          <s:t>이종훈</s:t>
        </s:is>
      </s:c>
      <s:c r="C77" s="0" t="n">
        <s:v>94745</s:v>
      </s:c>
      <s:c r="D77" s="0" t="n">
        <s:v>2417</s:v>
      </s:c>
      <s:c r="F77" s="24">
        <s:f>'자료구성'!$B$2+TIME(INT($C$3/10000),INT(MOD($C$3,10000)/100),MOD($C$3,100))+(ROW()-ROW($C$3))/86400</s:f>
        <s:v>46247.4090162037</s:v>
      </s:c>
    </s:row>
    <s:row r="78">
      <s:c r="A78" s="0" t="n">
        <s:v>260813</s:v>
      </s:c>
      <s:c r="B78" s="0" t="inlineStr">
        <s:is>
          <s:t>이종훈</s:t>
        </s:is>
      </s:c>
      <s:c r="C78" s="0" t="n">
        <s:v>94745</s:v>
      </s:c>
      <s:c r="D78" s="0" t="n">
        <s:v>2459</s:v>
      </s:c>
      <s:c r="F78" s="24">
        <s:f>'자료구성'!$B$2+TIME(INT($C$3/10000),INT(MOD($C$3,10000)/100),MOD($C$3,100))+(ROW()-ROW($C$3))/86400</s:f>
        <s:v>46247.40902777778</s:v>
      </s:c>
    </s:row>
    <s:row r="79">
      <s:c r="A79" s="0" t="n">
        <s:v>260813</s:v>
      </s:c>
      <s:c r="B79" s="0" t="inlineStr">
        <s:is>
          <s:t>이종훈</s:t>
        </s:is>
      </s:c>
      <s:c r="C79" s="0" t="n">
        <s:v>94745</s:v>
      </s:c>
      <s:c r="D79" s="0" t="n">
        <s:v>2444</s:v>
      </s:c>
      <s:c r="F79" s="24">
        <s:f>'자료구성'!$B$2+TIME(INT($C$3/10000),INT(MOD($C$3,10000)/100),MOD($C$3,100))+(ROW()-ROW($C$3))/86400</s:f>
        <s:v>46247.40903935185</s:v>
      </s:c>
    </s:row>
    <s:row r="80">
      <s:c r="A80" s="0" t="n">
        <s:v>260813</s:v>
      </s:c>
      <s:c r="B80" s="0" t="inlineStr">
        <s:is>
          <s:t>이종훈</s:t>
        </s:is>
      </s:c>
      <s:c r="C80" s="0" t="n">
        <s:v>94745</s:v>
      </s:c>
      <s:c r="D80" s="0" t="n">
        <s:v>2435</s:v>
      </s:c>
      <s:c r="F80" s="24">
        <s:f>'자료구성'!$B$2+TIME(INT($C$3/10000),INT(MOD($C$3,10000)/100),MOD($C$3,100))+(ROW()-ROW($C$3))/86400</s:f>
        <s:v>46247.409050925926</s:v>
      </s:c>
    </s:row>
    <s:row r="81">
      <s:c r="A81" s="0" t="n">
        <s:v>260813</s:v>
      </s:c>
      <s:c r="B81" s="0" t="inlineStr">
        <s:is>
          <s:t>이종훈</s:t>
        </s:is>
      </s:c>
      <s:c r="C81" s="0" t="n">
        <s:v>94745</s:v>
      </s:c>
      <s:c r="D81" s="0" t="n">
        <s:v>2429</s:v>
      </s:c>
      <s:c r="F81" s="24">
        <s:f>'자료구성'!$B$2+TIME(INT($C$3/10000),INT(MOD($C$3,10000)/100),MOD($C$3,100))+(ROW()-ROW($C$3))/86400</s:f>
        <s:v>46247.4090625</s:v>
      </s:c>
    </s:row>
    <s:row r="82">
      <s:c r="A82" s="0" t="n">
        <s:v>260813</s:v>
      </s:c>
      <s:c r="B82" s="0" t="inlineStr">
        <s:is>
          <s:t>이종훈</s:t>
        </s:is>
      </s:c>
      <s:c r="C82" s="0" t="n">
        <s:v>94745</s:v>
      </s:c>
      <s:c r="D82" s="0" t="n">
        <s:v>2427</s:v>
      </s:c>
      <s:c r="F82" s="24">
        <s:f>'자료구성'!$B$2+TIME(INT($C$3/10000),INT(MOD($C$3,10000)/100),MOD($C$3,100))+(ROW()-ROW($C$3))/86400</s:f>
        <s:v>46247.40907407407</s:v>
      </s:c>
    </s:row>
    <s:row r="83">
      <s:c r="A83" s="0" t="n">
        <s:v>260813</s:v>
      </s:c>
      <s:c r="B83" s="0" t="inlineStr">
        <s:is>
          <s:t>이종훈</s:t>
        </s:is>
      </s:c>
      <s:c r="C83" s="0" t="n">
        <s:v>94745</s:v>
      </s:c>
      <s:c r="D83" s="0" t="n">
        <s:v>2455</s:v>
      </s:c>
      <s:c r="F83" s="24">
        <s:f>'자료구성'!$B$2+TIME(INT($C$3/10000),INT(MOD($C$3,10000)/100),MOD($C$3,100))+(ROW()-ROW($C$3))/86400</s:f>
        <s:v>46247.40908564815</s:v>
      </s:c>
    </s:row>
    <s:row r="84">
      <s:c r="A84" s="0" t="n">
        <s:v>260813</s:v>
      </s:c>
      <s:c r="B84" s="0" t="inlineStr">
        <s:is>
          <s:t>이종훈</s:t>
        </s:is>
      </s:c>
      <s:c r="C84" s="0" t="n">
        <s:v>94745</s:v>
      </s:c>
      <s:c r="D84" s="0" t="n">
        <s:v>2466</s:v>
      </s:c>
      <s:c r="F84" s="24">
        <s:f>'자료구성'!$B$2+TIME(INT($C$3/10000),INT(MOD($C$3,10000)/100),MOD($C$3,100))+(ROW()-ROW($C$3))/86400</s:f>
        <s:v>46247.409097222226</s:v>
      </s:c>
    </s:row>
    <s:row r="85">
      <s:c r="A85" s="0" t="n">
        <s:v>260813</s:v>
      </s:c>
      <s:c r="B85" s="0" t="inlineStr">
        <s:is>
          <s:t>이종훈</s:t>
        </s:is>
      </s:c>
      <s:c r="C85" s="0" t="n">
        <s:v>94745</s:v>
      </s:c>
      <s:c r="D85" s="0" t="n">
        <s:v>2474</s:v>
      </s:c>
      <s:c r="F85" s="24">
        <s:f>'자료구성'!$B$2+TIME(INT($C$3/10000),INT(MOD($C$3,10000)/100),MOD($C$3,100))+(ROW()-ROW($C$3))/86400</s:f>
        <s:v>46247.409108796295</s:v>
      </s:c>
    </s:row>
    <s:row r="86">
      <s:c r="A86" s="0" t="n">
        <s:v>260813</s:v>
      </s:c>
      <s:c r="B86" s="0" t="inlineStr">
        <s:is>
          <s:t>이종훈</s:t>
        </s:is>
      </s:c>
      <s:c r="C86" s="0" t="n">
        <s:v>94745</s:v>
      </s:c>
      <s:c r="D86" s="0" t="n">
        <s:v>2472</s:v>
      </s:c>
      <s:c r="F86" s="24">
        <s:f>'자료구성'!$B$2+TIME(INT($C$3/10000),INT(MOD($C$3,10000)/100),MOD($C$3,100))+(ROW()-ROW($C$3))/86400</s:f>
        <s:v>46247.40912037037</s:v>
      </s:c>
    </s:row>
    <s:row r="87">
      <s:c r="A87" s="0" t="n">
        <s:v>260813</s:v>
      </s:c>
      <s:c r="B87" s="0" t="inlineStr">
        <s:is>
          <s:t>이종훈</s:t>
        </s:is>
      </s:c>
      <s:c r="C87" s="0" t="n">
        <s:v>94745</s:v>
      </s:c>
      <s:c r="D87" s="0" t="n">
        <s:v>2461</s:v>
      </s:c>
      <s:c r="F87" s="24">
        <s:f>'자료구성'!$B$2+TIME(INT($C$3/10000),INT(MOD($C$3,10000)/100),MOD($C$3,100))+(ROW()-ROW($C$3))/86400</s:f>
        <s:v>46247.40913194444</s:v>
      </s:c>
    </s:row>
    <s:row r="88">
      <s:c r="A88" s="0" t="n">
        <s:v>260813</s:v>
      </s:c>
      <s:c r="B88" s="0" t="inlineStr">
        <s:is>
          <s:t>이종훈</s:t>
        </s:is>
      </s:c>
      <s:c r="C88" s="0" t="n">
        <s:v>94745</s:v>
      </s:c>
      <s:c r="D88" s="0" t="n">
        <s:v>2487</s:v>
      </s:c>
      <s:c r="F88" s="24">
        <s:f>'자료구성'!$B$2+TIME(INT($C$3/10000),INT(MOD($C$3,10000)/100),MOD($C$3,100))+(ROW()-ROW($C$3))/86400</s:f>
        <s:v>46247.40914351852</s:v>
      </s:c>
    </s:row>
    <s:row r="89">
      <s:c r="A89" s="0" t="n">
        <s:v>260813</s:v>
      </s:c>
      <s:c r="B89" s="0" t="inlineStr">
        <s:is>
          <s:t>이종훈</s:t>
        </s:is>
      </s:c>
      <s:c r="C89" s="0" t="n">
        <s:v>94745</s:v>
      </s:c>
      <s:c r="D89" s="0" t="n">
        <s:v>2557</s:v>
      </s:c>
      <s:c r="F89" s="24">
        <s:f>'자료구성'!$B$2+TIME(INT($C$3/10000),INT(MOD($C$3,10000)/100),MOD($C$3,100))+(ROW()-ROW($C$3))/86400</s:f>
        <s:v>46247.409155092595</s:v>
      </s:c>
    </s:row>
    <s:row r="90">
      <s:c r="A90" s="0" t="n">
        <s:v>260813</s:v>
      </s:c>
      <s:c r="B90" s="0" t="inlineStr">
        <s:is>
          <s:t>이종훈</s:t>
        </s:is>
      </s:c>
      <s:c r="C90" s="0" t="n">
        <s:v>94745</s:v>
      </s:c>
      <s:c r="D90" s="0" t="n">
        <s:v>2643</s:v>
      </s:c>
      <s:c r="F90" s="24">
        <s:f>'자료구성'!$B$2+TIME(INT($C$3/10000),INT(MOD($C$3,10000)/100),MOD($C$3,100))+(ROW()-ROW($C$3))/86400</s:f>
        <s:v>46247.409166666665</s:v>
      </s:c>
    </s:row>
    <s:row r="91">
      <s:c r="A91" s="0" t="n">
        <s:v>260813</s:v>
      </s:c>
      <s:c r="B91" s="0" t="inlineStr">
        <s:is>
          <s:t>이종훈</s:t>
        </s:is>
      </s:c>
      <s:c r="C91" s="0" t="n">
        <s:v>94745</s:v>
      </s:c>
      <s:c r="D91" s="0" t="n">
        <s:v>2775</s:v>
      </s:c>
      <s:c r="F91" s="24">
        <s:f>'자료구성'!$B$2+TIME(INT($C$3/10000),INT(MOD($C$3,10000)/100),MOD($C$3,100))+(ROW()-ROW($C$3))/86400</s:f>
        <s:v>46247.40917824074</s:v>
      </s:c>
    </s:row>
    <s:row r="92">
      <s:c r="A92" s="0" t="n">
        <s:v>260813</s:v>
      </s:c>
      <s:c r="B92" s="0" t="inlineStr">
        <s:is>
          <s:t>이종훈</s:t>
        </s:is>
      </s:c>
      <s:c r="C92" s="0" t="n">
        <s:v>94745</s:v>
      </s:c>
      <s:c r="D92" s="0" t="n">
        <s:v>2886</s:v>
      </s:c>
      <s:c r="F92" s="24">
        <s:f>'자료구성'!$B$2+TIME(INT($C$3/10000),INT(MOD($C$3,10000)/100),MOD($C$3,100))+(ROW()-ROW($C$3))/86400</s:f>
        <s:v>46247.40918981482</s:v>
      </s:c>
    </s:row>
    <s:row r="93">
      <s:c r="A93" s="0" t="n">
        <s:v>260813</s:v>
      </s:c>
      <s:c r="B93" s="0" t="inlineStr">
        <s:is>
          <s:t>이종훈</s:t>
        </s:is>
      </s:c>
      <s:c r="C93" s="0" t="n">
        <s:v>94745</s:v>
      </s:c>
      <s:c r="D93" s="0" t="n">
        <s:v>3005</s:v>
      </s:c>
      <s:c r="F93" s="24">
        <s:f>'자료구성'!$B$2+TIME(INT($C$3/10000),INT(MOD($C$3,10000)/100),MOD($C$3,100))+(ROW()-ROW($C$3))/86400</s:f>
        <s:v>46247.40920138889</s:v>
      </s:c>
    </s:row>
    <s:row r="94">
      <s:c r="A94" s="0" t="n">
        <s:v>260813</s:v>
      </s:c>
      <s:c r="B94" s="0" t="inlineStr">
        <s:is>
          <s:t>이종훈</s:t>
        </s:is>
      </s:c>
      <s:c r="C94" s="0" t="n">
        <s:v>94745</s:v>
      </s:c>
      <s:c r="D94" s="0" t="n">
        <s:v>3115</s:v>
      </s:c>
      <s:c r="F94" s="24">
        <s:f>'자료구성'!$B$2+TIME(INT($C$3/10000),INT(MOD($C$3,10000)/100),MOD($C$3,100))+(ROW()-ROW($C$3))/86400</s:f>
        <s:v>46247.409212962964</s:v>
      </s:c>
    </s:row>
    <s:row r="95">
      <s:c r="A95" s="0" t="n">
        <s:v>260813</s:v>
      </s:c>
      <s:c r="B95" s="0" t="inlineStr">
        <s:is>
          <s:t>이종훈</s:t>
        </s:is>
      </s:c>
      <s:c r="C95" s="0" t="n">
        <s:v>94745</s:v>
      </s:c>
      <s:c r="D95" s="0" t="n">
        <s:v>3205</s:v>
      </s:c>
      <s:c r="F95" s="24">
        <s:f>'자료구성'!$B$2+TIME(INT($C$3/10000),INT(MOD($C$3,10000)/100),MOD($C$3,100))+(ROW()-ROW($C$3))/86400</s:f>
        <s:v>46247.409224537034</s:v>
      </s:c>
    </s:row>
    <s:row r="96">
      <s:c r="A96" s="0" t="n">
        <s:v>260813</s:v>
      </s:c>
      <s:c r="B96" s="0" t="inlineStr">
        <s:is>
          <s:t>이종훈</s:t>
        </s:is>
      </s:c>
      <s:c r="C96" s="0" t="n">
        <s:v>94745</s:v>
      </s:c>
      <s:c r="D96" s="0" t="n">
        <s:v>3249</s:v>
      </s:c>
      <s:c r="F96" s="24">
        <s:f>'자료구성'!$B$2+TIME(INT($C$3/10000),INT(MOD($C$3,10000)/100),MOD($C$3,100))+(ROW()-ROW($C$3))/86400</s:f>
        <s:v>46247.40923611111</s:v>
      </s:c>
    </s:row>
    <s:row r="97">
      <s:c r="A97" s="0" t="n">
        <s:v>260813</s:v>
      </s:c>
      <s:c r="B97" s="0" t="inlineStr">
        <s:is>
          <s:t>이종훈</s:t>
        </s:is>
      </s:c>
      <s:c r="C97" s="0" t="n">
        <s:v>94745</s:v>
      </s:c>
      <s:c r="D97" s="0" t="n">
        <s:v>3238</s:v>
      </s:c>
      <s:c r="F97" s="24">
        <s:f>'자료구성'!$B$2+TIME(INT($C$3/10000),INT(MOD($C$3,10000)/100),MOD($C$3,100))+(ROW()-ROW($C$3))/86400</s:f>
        <s:v>46247.40924768519</s:v>
      </s:c>
    </s:row>
    <s:row r="98">
      <s:c r="A98" s="0" t="n">
        <s:v>260813</s:v>
      </s:c>
      <s:c r="B98" s="0" t="inlineStr">
        <s:is>
          <s:t>이종훈</s:t>
        </s:is>
      </s:c>
      <s:c r="C98" s="0" t="n">
        <s:v>94745</s:v>
      </s:c>
      <s:c r="D98" s="0" t="n">
        <s:v>3275</s:v>
      </s:c>
      <s:c r="F98" s="24">
        <s:f>'자료구성'!$B$2+TIME(INT($C$3/10000),INT(MOD($C$3,10000)/100),MOD($C$3,100))+(ROW()-ROW($C$3))/86400</s:f>
        <s:v>46247.40925925926</s:v>
      </s:c>
    </s:row>
    <s:row r="99">
      <s:c r="A99" s="0" t="n">
        <s:v>260813</s:v>
      </s:c>
      <s:c r="B99" s="0" t="inlineStr">
        <s:is>
          <s:t>이종훈</s:t>
        </s:is>
      </s:c>
      <s:c r="C99" s="0" t="n">
        <s:v>94745</s:v>
      </s:c>
      <s:c r="D99" s="0" t="n">
        <s:v>3265</s:v>
      </s:c>
      <s:c r="F99" s="24">
        <s:f>'자료구성'!$B$2+TIME(INT($C$3/10000),INT(MOD($C$3,10000)/100),MOD($C$3,100))+(ROW()-ROW($C$3))/86400</s:f>
        <s:v>46247.409270833334</s:v>
      </s:c>
    </s:row>
    <s:row r="100">
      <s:c r="A100" s="0" t="n">
        <s:v>260813</s:v>
      </s:c>
      <s:c r="B100" s="0" t="inlineStr">
        <s:is>
          <s:t>이종훈</s:t>
        </s:is>
      </s:c>
      <s:c r="C100" s="0" t="n">
        <s:v>94745</s:v>
      </s:c>
      <s:c r="D100" s="0" t="n">
        <s:v>3268</s:v>
      </s:c>
      <s:c r="F100" s="24">
        <s:f>'자료구성'!$B$2+TIME(INT($C$3/10000),INT(MOD($C$3,10000)/100),MOD($C$3,100))+(ROW()-ROW($C$3))/86400</s:f>
        <s:v>46247.40928240741</s:v>
      </s:c>
    </s:row>
    <s:row r="101">
      <s:c r="A101" s="0" t="n">
        <s:v>260813</s:v>
      </s:c>
      <s:c r="B101" s="0" t="inlineStr">
        <s:is>
          <s:t>이종훈</s:t>
        </s:is>
      </s:c>
      <s:c r="C101" s="0" t="n">
        <s:v>94745</s:v>
      </s:c>
      <s:c r="D101" s="0" t="n">
        <s:v>3332</s:v>
      </s:c>
      <s:c r="F101" s="24">
        <s:f>'자료구성'!$B$2+TIME(INT($C$3/10000),INT(MOD($C$3,10000)/100),MOD($C$3,100))+(ROW()-ROW($C$3))/86400</s:f>
        <s:v>46247.40929398148</s:v>
      </s:c>
    </s:row>
    <s:row r="102">
      <s:c r="A102" s="0" t="n">
        <s:v>260813</s:v>
      </s:c>
      <s:c r="B102" s="0" t="inlineStr">
        <s:is>
          <s:t>이종훈</s:t>
        </s:is>
      </s:c>
      <s:c r="C102" s="0" t="n">
        <s:v>94745</s:v>
      </s:c>
      <s:c r="D102" s="0" t="n">
        <s:v>3320</s:v>
      </s:c>
      <s:c r="F102" s="24">
        <s:f>'자료구성'!$B$2+TIME(INT($C$3/10000),INT(MOD($C$3,10000)/100),MOD($C$3,100))+(ROW()-ROW($C$3))/86400</s:f>
        <s:v>46247.40930555556</s:v>
      </s:c>
    </s:row>
    <s:row r="103">
      <s:c r="A103" s="0" t="n">
        <s:v>260813</s:v>
      </s:c>
      <s:c r="B103" s="0" t="inlineStr">
        <s:is>
          <s:t>이종훈</s:t>
        </s:is>
      </s:c>
      <s:c r="C103" s="0" t="n">
        <s:v>94745</s:v>
      </s:c>
      <s:c r="D103" s="0" t="n">
        <s:v>3289</s:v>
      </s:c>
      <s:c r="F103" s="24">
        <s:f>'자료구성'!$B$2+TIME(INT($C$3/10000),INT(MOD($C$3,10000)/100),MOD($C$3,100))+(ROW()-ROW($C$3))/86400</s:f>
        <s:v>46247.409317129626</s:v>
      </s:c>
    </s:row>
    <s:row r="104">
      <s:c r="A104" s="0" t="n">
        <s:v>260813</s:v>
      </s:c>
      <s:c r="B104" s="0" t="inlineStr">
        <s:is>
          <s:t>이종훈</s:t>
        </s:is>
      </s:c>
      <s:c r="C104" s="0" t="n">
        <s:v>94745</s:v>
      </s:c>
      <s:c r="D104" s="0" t="n">
        <s:v>3299</s:v>
      </s:c>
      <s:c r="F104" s="24">
        <s:f>'자료구성'!$B$2+TIME(INT($C$3/10000),INT(MOD($C$3,10000)/100),MOD($C$3,100))+(ROW()-ROW($C$3))/86400</s:f>
        <s:v>46247.4093287037</s:v>
      </s:c>
    </s:row>
    <s:row r="105">
      <s:c r="A105" s="0" t="n">
        <s:v>260813</s:v>
      </s:c>
      <s:c r="B105" s="0" t="inlineStr">
        <s:is>
          <s:t>이종훈</s:t>
        </s:is>
      </s:c>
      <s:c r="C105" s="0" t="n">
        <s:v>94745</s:v>
      </s:c>
      <s:c r="D105" s="0" t="n">
        <s:v>3304</s:v>
      </s:c>
      <s:c r="F105" s="24">
        <s:f>'자료구성'!$B$2+TIME(INT($C$3/10000),INT(MOD($C$3,10000)/100),MOD($C$3,100))+(ROW()-ROW($C$3))/86400</s:f>
        <s:v>46247.40934027778</s:v>
      </s:c>
    </s:row>
    <s:row r="106">
      <s:c r="A106" s="0" t="n">
        <s:v>260813</s:v>
      </s:c>
      <s:c r="B106" s="0" t="inlineStr">
        <s:is>
          <s:t>이종훈</s:t>
        </s:is>
      </s:c>
      <s:c r="C106" s="0" t="n">
        <s:v>94745</s:v>
      </s:c>
      <s:c r="D106" s="0" t="n">
        <s:v>3343</s:v>
      </s:c>
      <s:c r="F106" s="24">
        <s:f>'자료구성'!$B$2+TIME(INT($C$3/10000),INT(MOD($C$3,10000)/100),MOD($C$3,100))+(ROW()-ROW($C$3))/86400</s:f>
        <s:v>46247.40935185185</s:v>
      </s:c>
    </s:row>
    <s:row r="107">
      <s:c r="A107" s="0" t="n">
        <s:v>260813</s:v>
      </s:c>
      <s:c r="B107" s="0" t="inlineStr">
        <s:is>
          <s:t>이종훈</s:t>
        </s:is>
      </s:c>
      <s:c r="C107" s="0" t="n">
        <s:v>94745</s:v>
      </s:c>
      <s:c r="D107" s="0" t="n">
        <s:v>3392</s:v>
      </s:c>
      <s:c r="F107" s="24">
        <s:f>'자료구성'!$B$2+TIME(INT($C$3/10000),INT(MOD($C$3,10000)/100),MOD($C$3,100))+(ROW()-ROW($C$3))/86400</s:f>
        <s:v>46247.409363425926</s:v>
      </s:c>
    </s:row>
    <s:row r="108">
      <s:c r="A108" s="0" t="n">
        <s:v>260813</s:v>
      </s:c>
      <s:c r="B108" s="0" t="inlineStr">
        <s:is>
          <s:t>이종훈</s:t>
        </s:is>
      </s:c>
      <s:c r="C108" s="0" t="n">
        <s:v>94745</s:v>
      </s:c>
      <s:c r="D108" s="0" t="n">
        <s:v>3445</s:v>
      </s:c>
      <s:c r="F108" s="24">
        <s:f>'자료구성'!$B$2+TIME(INT($C$3/10000),INT(MOD($C$3,10000)/100),MOD($C$3,100))+(ROW()-ROW($C$3))/86400</s:f>
        <s:v>46247.409375</s:v>
      </s:c>
    </s:row>
    <s:row r="109">
      <s:c r="A109" s="0" t="n">
        <s:v>260813</s:v>
      </s:c>
      <s:c r="B109" s="0" t="inlineStr">
        <s:is>
          <s:t>이종훈</s:t>
        </s:is>
      </s:c>
      <s:c r="C109" s="0" t="n">
        <s:v>94745</s:v>
      </s:c>
      <s:c r="D109" s="0" t="n">
        <s:v>3499</s:v>
      </s:c>
      <s:c r="F109" s="24">
        <s:f>'자료구성'!$B$2+TIME(INT($C$3/10000),INT(MOD($C$3,10000)/100),MOD($C$3,100))+(ROW()-ROW($C$3))/86400</s:f>
        <s:v>46247.40938657407</s:v>
      </s:c>
    </s:row>
    <s:row r="110">
      <s:c r="A110" s="0" t="n">
        <s:v>260813</s:v>
      </s:c>
      <s:c r="B110" s="0" t="inlineStr">
        <s:is>
          <s:t>이종훈</s:t>
        </s:is>
      </s:c>
      <s:c r="C110" s="0" t="n">
        <s:v>94745</s:v>
      </s:c>
      <s:c r="D110" s="0" t="n">
        <s:v>3562</s:v>
      </s:c>
      <s:c r="F110" s="24">
        <s:f>'자료구성'!$B$2+TIME(INT($C$3/10000),INT(MOD($C$3,10000)/100),MOD($C$3,100))+(ROW()-ROW($C$3))/86400</s:f>
        <s:v>46247.40939814815</s:v>
      </s:c>
    </s:row>
    <s:row r="111">
      <s:c r="A111" s="0" t="n">
        <s:v>260813</s:v>
      </s:c>
      <s:c r="B111" s="0" t="inlineStr">
        <s:is>
          <s:t>이종훈</s:t>
        </s:is>
      </s:c>
      <s:c r="C111" s="0" t="n">
        <s:v>94745</s:v>
      </s:c>
      <s:c r="D111" s="0" t="n">
        <s:v>3662</s:v>
      </s:c>
      <s:c r="F111" s="24">
        <s:f>'자료구성'!$B$2+TIME(INT($C$3/10000),INT(MOD($C$3,10000)/100),MOD($C$3,100))+(ROW()-ROW($C$3))/86400</s:f>
        <s:v>46247.40940972222</s:v>
      </s:c>
    </s:row>
    <s:row r="112">
      <s:c r="A112" s="0" t="n">
        <s:v>260813</s:v>
      </s:c>
      <s:c r="B112" s="0" t="inlineStr">
        <s:is>
          <s:t>이종훈</s:t>
        </s:is>
      </s:c>
      <s:c r="C112" s="0" t="n">
        <s:v>94745</s:v>
      </s:c>
      <s:c r="D112" s="0" t="n">
        <s:v>3807</s:v>
      </s:c>
      <s:c r="F112" s="24">
        <s:f>'자료구성'!$B$2+TIME(INT($C$3/10000),INT(MOD($C$3,10000)/100),MOD($C$3,100))+(ROW()-ROW($C$3))/86400</s:f>
        <s:v>46247.409421296295</s:v>
      </s:c>
    </s:row>
    <s:row r="113">
      <s:c r="A113" s="0" t="n">
        <s:v>260813</s:v>
      </s:c>
      <s:c r="B113" s="0" t="inlineStr">
        <s:is>
          <s:t>이종훈</s:t>
        </s:is>
      </s:c>
      <s:c r="C113" s="0" t="n">
        <s:v>94745</s:v>
      </s:c>
      <s:c r="D113" s="0" t="n">
        <s:v>4023</s:v>
      </s:c>
      <s:c r="F113" s="24">
        <s:f>'자료구성'!$B$2+TIME(INT($C$3/10000),INT(MOD($C$3,10000)/100),MOD($C$3,100))+(ROW()-ROW($C$3))/86400</s:f>
        <s:v>46247.40943287037</s:v>
      </s:c>
    </s:row>
    <s:row r="114">
      <s:c r="A114" s="0" t="n">
        <s:v>260813</s:v>
      </s:c>
      <s:c r="B114" s="0" t="inlineStr">
        <s:is>
          <s:t>이종훈</s:t>
        </s:is>
      </s:c>
      <s:c r="C114" s="0" t="n">
        <s:v>94745</s:v>
      </s:c>
      <s:c r="D114" s="0" t="n">
        <s:v>4377</s:v>
      </s:c>
      <s:c r="F114" s="24">
        <s:f>'자료구성'!$B$2+TIME(INT($C$3/10000),INT(MOD($C$3,10000)/100),MOD($C$3,100))+(ROW()-ROW($C$3))/86400</s:f>
        <s:v>46247.40944444444</s:v>
      </s:c>
    </s:row>
    <s:row r="115">
      <s:c r="A115" s="0" t="n">
        <s:v>260813</s:v>
      </s:c>
      <s:c r="B115" s="0" t="inlineStr">
        <s:is>
          <s:t>이종훈</s:t>
        </s:is>
      </s:c>
      <s:c r="C115" s="0" t="n">
        <s:v>94745</s:v>
      </s:c>
      <s:c r="D115" s="0" t="n">
        <s:v>4853</s:v>
      </s:c>
      <s:c r="F115" s="24">
        <s:f>'자료구성'!$B$2+TIME(INT($C$3/10000),INT(MOD($C$3,10000)/100),MOD($C$3,100))+(ROW()-ROW($C$3))/86400</s:f>
        <s:v>46247.40945601852</s:v>
      </s:c>
    </s:row>
    <s:row r="116">
      <s:c r="A116" s="0" t="n">
        <s:v>260813</s:v>
      </s:c>
      <s:c r="B116" s="0" t="inlineStr">
        <s:is>
          <s:t>이종훈</s:t>
        </s:is>
      </s:c>
      <s:c r="C116" s="0" t="n">
        <s:v>94745</s:v>
      </s:c>
      <s:c r="D116" s="0" t="n">
        <s:v>5408</s:v>
      </s:c>
      <s:c r="F116" s="24">
        <s:f>'자료구성'!$B$2+TIME(INT($C$3/10000),INT(MOD($C$3,10000)/100),MOD($C$3,100))+(ROW()-ROW($C$3))/86400</s:f>
        <s:v>46247.409467592595</s:v>
      </s:c>
    </s:row>
    <s:row r="117">
      <s:c r="A117" s="0" t="n">
        <s:v>260813</s:v>
      </s:c>
      <s:c r="B117" s="0" t="inlineStr">
        <s:is>
          <s:t>이종훈</s:t>
        </s:is>
      </s:c>
      <s:c r="C117" s="0" t="n">
        <s:v>94745</s:v>
      </s:c>
      <s:c r="D117" s="0" t="n">
        <s:v>5894</s:v>
      </s:c>
      <s:c r="F117" s="24">
        <s:f>'자료구성'!$B$2+TIME(INT($C$3/10000),INT(MOD($C$3,10000)/100),MOD($C$3,100))+(ROW()-ROW($C$3))/86400</s:f>
        <s:v>46247.409479166665</s:v>
      </s:c>
    </s:row>
    <s:row r="118">
      <s:c r="A118" s="0" t="n">
        <s:v>260813</s:v>
      </s:c>
      <s:c r="B118" s="0" t="inlineStr">
        <s:is>
          <s:t>이종훈</s:t>
        </s:is>
      </s:c>
      <s:c r="C118" s="0" t="n">
        <s:v>94745</s:v>
      </s:c>
      <s:c r="D118" s="0" t="n">
        <s:v>6203</s:v>
      </s:c>
      <s:c r="F118" s="24">
        <s:f>'자료구성'!$B$2+TIME(INT($C$3/10000),INT(MOD($C$3,10000)/100),MOD($C$3,100))+(ROW()-ROW($C$3))/86400</s:f>
        <s:v>46247.40949074074</s:v>
      </s:c>
    </s:row>
    <s:row r="119">
      <s:c r="A119" s="0" t="n">
        <s:v>260813</s:v>
      </s:c>
      <s:c r="B119" s="0" t="inlineStr">
        <s:is>
          <s:t>이종훈</s:t>
        </s:is>
      </s:c>
      <s:c r="C119" s="0" t="n">
        <s:v>94745</s:v>
      </s:c>
      <s:c r="D119" s="0" t="n">
        <s:v>6430</s:v>
      </s:c>
      <s:c r="F119" s="24">
        <s:f>'자료구성'!$B$2+TIME(INT($C$3/10000),INT(MOD($C$3,10000)/100),MOD($C$3,100))+(ROW()-ROW($C$3))/86400</s:f>
        <s:v>46247.40950231482</s:v>
      </s:c>
    </s:row>
    <s:row r="120">
      <s:c r="A120" s="0" t="n">
        <s:v>260813</s:v>
      </s:c>
      <s:c r="B120" s="0" t="inlineStr">
        <s:is>
          <s:t>이종훈</s:t>
        </s:is>
      </s:c>
      <s:c r="C120" s="0" t="n">
        <s:v>94745</s:v>
      </s:c>
      <s:c r="D120" s="0" t="n">
        <s:v>6710</s:v>
      </s:c>
      <s:c r="F120" s="24">
        <s:f>'자료구성'!$B$2+TIME(INT($C$3/10000),INT(MOD($C$3,10000)/100),MOD($C$3,100))+(ROW()-ROW($C$3))/86400</s:f>
        <s:v>46247.40951388889</s:v>
      </s:c>
    </s:row>
    <s:row r="121">
      <s:c r="A121" s="0" t="n">
        <s:v>260813</s:v>
      </s:c>
      <s:c r="B121" s="0" t="inlineStr">
        <s:is>
          <s:t>이종훈</s:t>
        </s:is>
      </s:c>
      <s:c r="C121" s="0" t="n">
        <s:v>94745</s:v>
      </s:c>
      <s:c r="D121" s="0" t="n">
        <s:v>6833</s:v>
      </s:c>
      <s:c r="F121" s="24">
        <s:f>'자료구성'!$B$2+TIME(INT($C$3/10000),INT(MOD($C$3,10000)/100),MOD($C$3,100))+(ROW()-ROW($C$3))/86400</s:f>
        <s:v>46247.409525462965</s:v>
      </s:c>
    </s:row>
    <s:row r="122">
      <s:c r="A122" s="0" t="n">
        <s:v>260813</s:v>
      </s:c>
      <s:c r="B122" s="0" t="inlineStr">
        <s:is>
          <s:t>이종훈</s:t>
        </s:is>
      </s:c>
      <s:c r="C122" s="0" t="n">
        <s:v>94745</s:v>
      </s:c>
      <s:c r="D122" s="0" t="n">
        <s:v>6857</s:v>
      </s:c>
      <s:c r="F122" s="24">
        <s:f>'자료구성'!$B$2+TIME(INT($C$3/10000),INT(MOD($C$3,10000)/100),MOD($C$3,100))+(ROW()-ROW($C$3))/86400</s:f>
        <s:v>46247.409537037034</s:v>
      </s:c>
    </s:row>
    <s:row r="123">
      <s:c r="A123" s="0" t="n">
        <s:v>260813</s:v>
      </s:c>
      <s:c r="B123" s="0" t="inlineStr">
        <s:is>
          <s:t>이종훈</s:t>
        </s:is>
      </s:c>
      <s:c r="C123" s="0" t="n">
        <s:v>94745</s:v>
      </s:c>
      <s:c r="D123" s="0" t="n">
        <s:v>6836</s:v>
      </s:c>
      <s:c r="F123" s="24">
        <s:f>'자료구성'!$B$2+TIME(INT($C$3/10000),INT(MOD($C$3,10000)/100),MOD($C$3,100))+(ROW()-ROW($C$3))/86400</s:f>
        <s:v>46247.40954861111</s:v>
      </s:c>
    </s:row>
    <s:row r="124">
      <s:c r="A124" s="0" t="n">
        <s:v>260813</s:v>
      </s:c>
      <s:c r="B124" s="0" t="inlineStr">
        <s:is>
          <s:t>이종훈</s:t>
        </s:is>
      </s:c>
      <s:c r="C124" s="0" t="n">
        <s:v>94745</s:v>
      </s:c>
      <s:c r="D124" s="0" t="n">
        <s:v>6860</s:v>
      </s:c>
      <s:c r="F124" s="24">
        <s:f>'자료구성'!$B$2+TIME(INT($C$3/10000),INT(MOD($C$3,10000)/100),MOD($C$3,100))+(ROW()-ROW($C$3))/86400</s:f>
        <s:v>46247.40956018519</s:v>
      </s:c>
    </s:row>
    <s:row r="125">
      <s:c r="A125" s="0" t="n">
        <s:v>260813</s:v>
      </s:c>
      <s:c r="B125" s="0" t="inlineStr">
        <s:is>
          <s:t>이종훈</s:t>
        </s:is>
      </s:c>
      <s:c r="C125" s="0" t="n">
        <s:v>94745</s:v>
      </s:c>
      <s:c r="D125" s="0" t="n">
        <s:v>6903</s:v>
      </s:c>
      <s:c r="F125" s="24">
        <s:f>'자료구성'!$B$2+TIME(INT($C$3/10000),INT(MOD($C$3,10000)/100),MOD($C$3,100))+(ROW()-ROW($C$3))/86400</s:f>
        <s:v>46247.40957175926</s:v>
      </s:c>
    </s:row>
    <s:row r="126">
      <s:c r="A126" s="0" t="n">
        <s:v>260813</s:v>
      </s:c>
      <s:c r="B126" s="0" t="inlineStr">
        <s:is>
          <s:t>이종훈</s:t>
        </s:is>
      </s:c>
      <s:c r="C126" s="0" t="n">
        <s:v>94745</s:v>
      </s:c>
      <s:c r="D126" s="0" t="n">
        <s:v>6846</s:v>
      </s:c>
      <s:c r="F126" s="24">
        <s:f>'자료구성'!$B$2+TIME(INT($C$3/10000),INT(MOD($C$3,10000)/100),MOD($C$3,100))+(ROW()-ROW($C$3))/86400</s:f>
        <s:v>46247.409583333334</s:v>
      </s:c>
    </s:row>
    <s:row r="127">
      <s:c r="A127" s="0" t="n">
        <s:v>260813</s:v>
      </s:c>
      <s:c r="B127" s="0" t="inlineStr">
        <s:is>
          <s:t>이종훈</s:t>
        </s:is>
      </s:c>
      <s:c r="C127" s="0" t="n">
        <s:v>94745</s:v>
      </s:c>
      <s:c r="D127" s="0" t="n">
        <s:v>6695</s:v>
      </s:c>
      <s:c r="F127" s="24">
        <s:f>'자료구성'!$B$2+TIME(INT($C$3/10000),INT(MOD($C$3,10000)/100),MOD($C$3,100))+(ROW()-ROW($C$3))/86400</s:f>
        <s:v>46247.40959490741</s:v>
      </s:c>
    </s:row>
    <s:row r="128">
      <s:c r="A128" s="0" t="n">
        <s:v>260813</s:v>
      </s:c>
      <s:c r="B128" s="0" t="inlineStr">
        <s:is>
          <s:t>이종훈</s:t>
        </s:is>
      </s:c>
      <s:c r="C128" s="0" t="n">
        <s:v>94745</s:v>
      </s:c>
      <s:c r="D128" s="0" t="n">
        <s:v>6313</s:v>
      </s:c>
      <s:c r="F128" s="24">
        <s:f>'자료구성'!$B$2+TIME(INT($C$3/10000),INT(MOD($C$3,10000)/100),MOD($C$3,100))+(ROW()-ROW($C$3))/86400</s:f>
        <s:v>46247.40960648148</s:v>
      </s:c>
    </s:row>
    <s:row r="129">
      <s:c r="A129" s="0" t="n">
        <s:v>260813</s:v>
      </s:c>
      <s:c r="B129" s="0" t="inlineStr">
        <s:is>
          <s:t>이종훈</s:t>
        </s:is>
      </s:c>
      <s:c r="C129" s="0" t="n">
        <s:v>94745</s:v>
      </s:c>
      <s:c r="D129" s="0" t="n">
        <s:v>6313</s:v>
      </s:c>
      <s:c r="F129" s="24">
        <s:f>'자료구성'!$B$2+TIME(INT($C$3/10000),INT(MOD($C$3,10000)/100),MOD($C$3,100))+(ROW()-ROW($C$3))/86400</s:f>
        <s:v>46247.40961805556</s:v>
      </s:c>
    </s:row>
    <s:row r="130">
      <s:c r="A130" s="0" t="n">
        <s:v>260813</s:v>
      </s:c>
      <s:c r="B130" s="0" t="inlineStr">
        <s:is>
          <s:t>이종훈</s:t>
        </s:is>
      </s:c>
      <s:c r="C130" s="0" t="n">
        <s:v>94745</s:v>
      </s:c>
      <s:c r="D130" s="0" t="n">
        <s:v>5974</s:v>
      </s:c>
      <s:c r="F130" s="24">
        <s:f>'자료구성'!$B$2+TIME(INT($C$3/10000),INT(MOD($C$3,10000)/100),MOD($C$3,100))+(ROW()-ROW($C$3))/86400</s:f>
        <s:v>46247.40962962963</s:v>
      </s:c>
    </s:row>
    <s:row r="131">
      <s:c r="A131" s="0" t="n">
        <s:v>260813</s:v>
      </s:c>
      <s:c r="B131" s="0" t="inlineStr">
        <s:is>
          <s:t>이종훈</s:t>
        </s:is>
      </s:c>
      <s:c r="C131" s="0" t="n">
        <s:v>94745</s:v>
      </s:c>
      <s:c r="D131" s="0" t="n">
        <s:v>5796</s:v>
      </s:c>
      <s:c r="F131" s="24">
        <s:f>'자료구성'!$B$2+TIME(INT($C$3/10000),INT(MOD($C$3,10000)/100),MOD($C$3,100))+(ROW()-ROW($C$3))/86400</s:f>
        <s:v>46247.4096412037</s:v>
      </s:c>
    </s:row>
    <s:row r="132">
      <s:c r="A132" s="0" t="n">
        <s:v>260813</s:v>
      </s:c>
      <s:c r="B132" s="0" t="inlineStr">
        <s:is>
          <s:t>이종훈</s:t>
        </s:is>
      </s:c>
      <s:c r="C132" s="0" t="n">
        <s:v>94745</s:v>
      </s:c>
      <s:c r="D132" s="0" t="n">
        <s:v>5531</s:v>
      </s:c>
      <s:c r="F132" s="24">
        <s:f>'자료구성'!$B$2+TIME(INT($C$3/10000),INT(MOD($C$3,10000)/100),MOD($C$3,100))+(ROW()-ROW($C$3))/86400</s:f>
        <s:v>46247.40965277778</s:v>
      </s:c>
    </s:row>
    <s:row r="133">
      <s:c r="A133" s="0" t="n">
        <s:v>260813</s:v>
      </s:c>
      <s:c r="B133" s="0" t="inlineStr">
        <s:is>
          <s:t>이종훈</s:t>
        </s:is>
      </s:c>
      <s:c r="C133" s="0" t="n">
        <s:v>94745</s:v>
      </s:c>
      <s:c r="D133" s="0" t="n">
        <s:v>5094</s:v>
      </s:c>
      <s:c r="F133" s="24">
        <s:f>'자료구성'!$B$2+TIME(INT($C$3/10000),INT(MOD($C$3,10000)/100),MOD($C$3,100))+(ROW()-ROW($C$3))/86400</s:f>
        <s:v>46247.40966435185</s:v>
      </s:c>
    </s:row>
    <s:row r="134">
      <s:c r="A134" s="0" t="n">
        <s:v>260813</s:v>
      </s:c>
      <s:c r="B134" s="0" t="inlineStr">
        <s:is>
          <s:t>이종훈</s:t>
        </s:is>
      </s:c>
      <s:c r="C134" s="0" t="n">
        <s:v>94745</s:v>
      </s:c>
      <s:c r="D134" s="0" t="n">
        <s:v>4654</s:v>
      </s:c>
      <s:c r="F134" s="24">
        <s:f>'자료구성'!$B$2+TIME(INT($C$3/10000),INT(MOD($C$3,10000)/100),MOD($C$3,100))+(ROW()-ROW($C$3))/86400</s:f>
        <s:v>46247.40967592593</s:v>
      </s:c>
    </s:row>
    <s:row r="135">
      <s:c r="A135" s="0" t="n">
        <s:v>260813</s:v>
      </s:c>
      <s:c r="B135" s="0" t="inlineStr">
        <s:is>
          <s:t>이종훈</s:t>
        </s:is>
      </s:c>
      <s:c r="C135" s="0" t="n">
        <s:v>94745</s:v>
      </s:c>
      <s:c r="D135" s="0" t="n">
        <s:v>4259</s:v>
      </s:c>
      <s:c r="F135" s="24">
        <s:f>'자료구성'!$B$2+TIME(INT($C$3/10000),INT(MOD($C$3,10000)/100),MOD($C$3,100))+(ROW()-ROW($C$3))/86400</s:f>
        <s:v>46247.4096875</s:v>
      </s:c>
    </s:row>
    <s:row r="136">
      <s:c r="A136" s="0" t="n">
        <s:v>260813</s:v>
      </s:c>
      <s:c r="B136" s="0" t="inlineStr">
        <s:is>
          <s:t>이종훈</s:t>
        </s:is>
      </s:c>
      <s:c r="C136" s="0" t="n">
        <s:v>94745</s:v>
      </s:c>
      <s:c r="D136" s="0" t="n">
        <s:v>3922</s:v>
      </s:c>
      <s:c r="F136" s="24">
        <s:f>'자료구성'!$B$2+TIME(INT($C$3/10000),INT(MOD($C$3,10000)/100),MOD($C$3,100))+(ROW()-ROW($C$3))/86400</s:f>
        <s:v>46247.40969907407</s:v>
      </s:c>
    </s:row>
    <s:row r="137">
      <s:c r="A137" s="0" t="n">
        <s:v>260813</s:v>
      </s:c>
      <s:c r="B137" s="0" t="inlineStr">
        <s:is>
          <s:t>이종훈</s:t>
        </s:is>
      </s:c>
      <s:c r="C137" s="0" t="n">
        <s:v>94745</s:v>
      </s:c>
      <s:c r="D137" s="0" t="n">
        <s:v>3626</s:v>
      </s:c>
      <s:c r="F137" s="24">
        <s:f>'자료구성'!$B$2+TIME(INT($C$3/10000),INT(MOD($C$3,10000)/100),MOD($C$3,100))+(ROW()-ROW($C$3))/86400</s:f>
        <s:v>46247.40971064815</s:v>
      </s:c>
    </s:row>
    <s:row r="138">
      <s:c r="A138" s="0" t="n">
        <s:v>260813</s:v>
      </s:c>
      <s:c r="B138" s="0" t="inlineStr">
        <s:is>
          <s:t>이종훈</s:t>
        </s:is>
      </s:c>
      <s:c r="C138" s="0" t="n">
        <s:v>94745</s:v>
      </s:c>
      <s:c r="D138" s="0" t="n">
        <s:v>3205</s:v>
      </s:c>
      <s:c r="F138" s="24">
        <s:f>'자료구성'!$B$2+TIME(INT($C$3/10000),INT(MOD($C$3,10000)/100),MOD($C$3,100))+(ROW()-ROW($C$3))/86400</s:f>
        <s:v>46247.40972222222</s:v>
      </s:c>
    </s:row>
    <s:row r="139">
      <s:c r="A139" s="0" t="n">
        <s:v>260813</s:v>
      </s:c>
      <s:c r="B139" s="0" t="inlineStr">
        <s:is>
          <s:t>이종훈</s:t>
        </s:is>
      </s:c>
      <s:c r="C139" s="0" t="n">
        <s:v>94745</s:v>
      </s:c>
      <s:c r="D139" s="0" t="n">
        <s:v>3163</s:v>
      </s:c>
      <s:c r="F139" s="24">
        <s:f>'자료구성'!$B$2+TIME(INT($C$3/10000),INT(MOD($C$3,10000)/100),MOD($C$3,100))+(ROW()-ROW($C$3))/86400</s:f>
        <s:v>46247.409733796296</s:v>
      </s:c>
    </s:row>
    <s:row r="140">
      <s:c r="A140" s="0" t="n">
        <s:v>260813</s:v>
      </s:c>
      <s:c r="B140" s="0" t="inlineStr">
        <s:is>
          <s:t>이종훈</s:t>
        </s:is>
      </s:c>
      <s:c r="C140" s="0" t="n">
        <s:v>94745</s:v>
      </s:c>
      <s:c r="D140" s="0" t="n">
        <s:v>3148</s:v>
      </s:c>
      <s:c r="F140" s="24">
        <s:f>'자료구성'!$B$2+TIME(INT($C$3/10000),INT(MOD($C$3,10000)/100),MOD($C$3,100))+(ROW()-ROW($C$3))/86400</s:f>
        <s:v>46247.40974537037</s:v>
      </s:c>
    </s:row>
    <s:row r="141">
      <s:c r="A141" s="0" t="n">
        <s:v>260813</s:v>
      </s:c>
      <s:c r="B141" s="0" t="inlineStr">
        <s:is>
          <s:t>이종훈</s:t>
        </s:is>
      </s:c>
      <s:c r="C141" s="0" t="n">
        <s:v>94745</s:v>
      </s:c>
      <s:c r="D141" s="0" t="n">
        <s:v>3128</s:v>
      </s:c>
      <s:c r="F141" s="24">
        <s:f>'자료구성'!$B$2+TIME(INT($C$3/10000),INT(MOD($C$3,10000)/100),MOD($C$3,100))+(ROW()-ROW($C$3))/86400</s:f>
        <s:v>46247.40975694444</s:v>
      </s:c>
    </s:row>
    <s:row r="142">
      <s:c r="A142" s="0" t="n">
        <s:v>260813</s:v>
      </s:c>
      <s:c r="B142" s="0" t="inlineStr">
        <s:is>
          <s:t>이종훈</s:t>
        </s:is>
      </s:c>
      <s:c r="C142" s="0" t="n">
        <s:v>94745</s:v>
      </s:c>
      <s:c r="D142" s="0" t="n">
        <s:v>3050</s:v>
      </s:c>
      <s:c r="F142" s="24">
        <s:f>'자료구성'!$B$2+TIME(INT($C$3/10000),INT(MOD($C$3,10000)/100),MOD($C$3,100))+(ROW()-ROW($C$3))/86400</s:f>
        <s:v>46247.40976851852</s:v>
      </s:c>
    </s:row>
    <s:row r="143">
      <s:c r="A143" s="0" t="n">
        <s:v>260813</s:v>
      </s:c>
      <s:c r="B143" s="0" t="inlineStr">
        <s:is>
          <s:t>이종훈</s:t>
        </s:is>
      </s:c>
      <s:c r="C143" s="0" t="n">
        <s:v>94745</s:v>
      </s:c>
      <s:c r="D143" s="0" t="n">
        <s:v>3043</s:v>
      </s:c>
      <s:c r="F143" s="24">
        <s:f>'자료구성'!$B$2+TIME(INT($C$3/10000),INT(MOD($C$3,10000)/100),MOD($C$3,100))+(ROW()-ROW($C$3))/86400</s:f>
        <s:v>46247.409780092596</s:v>
      </s:c>
    </s:row>
    <s:row r="144">
      <s:c r="A144" s="0" t="n">
        <s:v>260813</s:v>
      </s:c>
      <s:c r="B144" s="0" t="inlineStr">
        <s:is>
          <s:t>이종훈</s:t>
        </s:is>
      </s:c>
      <s:c r="C144" s="0" t="n">
        <s:v>94745</s:v>
      </s:c>
      <s:c r="D144" s="0" t="n">
        <s:v>3039</s:v>
      </s:c>
      <s:c r="F144" s="24">
        <s:f>'자료구성'!$B$2+TIME(INT($C$3/10000),INT(MOD($C$3,10000)/100),MOD($C$3,100))+(ROW()-ROW($C$3))/86400</s:f>
        <s:v>46247.409791666665</s:v>
      </s:c>
    </s:row>
    <s:row r="145">
      <s:c r="A145" s="0" t="n">
        <s:v>260813</s:v>
      </s:c>
      <s:c r="B145" s="0" t="inlineStr">
        <s:is>
          <s:t>이종훈</s:t>
        </s:is>
      </s:c>
      <s:c r="C145" s="0" t="n">
        <s:v>94745</s:v>
      </s:c>
      <s:c r="D145" s="0" t="n">
        <s:v>3024</s:v>
      </s:c>
      <s:c r="F145" s="24">
        <s:f>'자료구성'!$B$2+TIME(INT($C$3/10000),INT(MOD($C$3,10000)/100),MOD($C$3,100))+(ROW()-ROW($C$3))/86400</s:f>
        <s:v>46247.40980324074</s:v>
      </s:c>
    </s:row>
    <s:row r="146">
      <s:c r="A146" s="0" t="n">
        <s:v>260813</s:v>
      </s:c>
      <s:c r="B146" s="0" t="inlineStr">
        <s:is>
          <s:t>이종훈</s:t>
        </s:is>
      </s:c>
      <s:c r="C146" s="0" t="n">
        <s:v>94745</s:v>
      </s:c>
      <s:c r="D146" s="0" t="n">
        <s:v>3005</s:v>
      </s:c>
      <s:c r="F146" s="24">
        <s:f>'자료구성'!$B$2+TIME(INT($C$3/10000),INT(MOD($C$3,10000)/100),MOD($C$3,100))+(ROW()-ROW($C$3))/86400</s:f>
        <s:v>46247.40981481481</s:v>
      </s:c>
    </s:row>
    <s:row r="147">
      <s:c r="A147" s="0" t="n">
        <s:v>260813</s:v>
      </s:c>
      <s:c r="B147" s="0" t="inlineStr">
        <s:is>
          <s:t>이종훈</s:t>
        </s:is>
      </s:c>
      <s:c r="C147" s="0" t="n">
        <s:v>94745</s:v>
      </s:c>
      <s:c r="D147" s="0" t="n">
        <s:v>3056</s:v>
      </s:c>
      <s:c r="F147" s="24">
        <s:f>'자료구성'!$B$2+TIME(INT($C$3/10000),INT(MOD($C$3,10000)/100),MOD($C$3,100))+(ROW()-ROW($C$3))/86400</s:f>
        <s:v>46247.40982638889</s:v>
      </s:c>
    </s:row>
    <s:row r="148">
      <s:c r="A148" s="0" t="n">
        <s:v>260813</s:v>
      </s:c>
      <s:c r="B148" s="0" t="inlineStr">
        <s:is>
          <s:t>이종훈</s:t>
        </s:is>
      </s:c>
      <s:c r="C148" s="0" t="n">
        <s:v>94745</s:v>
      </s:c>
      <s:c r="D148" s="0" t="n">
        <s:v>3238</s:v>
      </s:c>
      <s:c r="F148" s="24">
        <s:f>'자료구성'!$B$2+TIME(INT($C$3/10000),INT(MOD($C$3,10000)/100),MOD($C$3,100))+(ROW()-ROW($C$3))/86400</s:f>
        <s:v>46247.409837962965</s:v>
      </s:c>
    </s:row>
    <s:row r="149">
      <s:c r="A149" s="0" t="n">
        <s:v>260813</s:v>
      </s:c>
      <s:c r="B149" s="0" t="inlineStr">
        <s:is>
          <s:t>이종훈</s:t>
        </s:is>
      </s:c>
      <s:c r="C149" s="0" t="n">
        <s:v>94745</s:v>
      </s:c>
      <s:c r="D149" s="0" t="n">
        <s:v>3413</s:v>
      </s:c>
      <s:c r="F149" s="24">
        <s:f>'자료구성'!$B$2+TIME(INT($C$3/10000),INT(MOD($C$3,10000)/100),MOD($C$3,100))+(ROW()-ROW($C$3))/86400</s:f>
        <s:v>46247.409849537034</s:v>
      </s:c>
    </s:row>
    <s:row r="150">
      <s:c r="A150" s="0" t="n">
        <s:v>260813</s:v>
      </s:c>
      <s:c r="B150" s="0" t="inlineStr">
        <s:is>
          <s:t>이종훈</s:t>
        </s:is>
      </s:c>
      <s:c r="C150" s="0" t="n">
        <s:v>94745</s:v>
      </s:c>
      <s:c r="D150" s="0" t="n">
        <s:v>3517</s:v>
      </s:c>
      <s:c r="F150" s="24">
        <s:f>'자료구성'!$B$2+TIME(INT($C$3/10000),INT(MOD($C$3,10000)/100),MOD($C$3,100))+(ROW()-ROW($C$3))/86400</s:f>
        <s:v>46247.40986111111</s:v>
      </s:c>
    </s:row>
    <s:row r="151">
      <s:c r="A151" s="0" t="n">
        <s:v>260813</s:v>
      </s:c>
      <s:c r="B151" s="0" t="inlineStr">
        <s:is>
          <s:t>이종훈</s:t>
        </s:is>
      </s:c>
      <s:c r="C151" s="0" t="n">
        <s:v>94745</s:v>
      </s:c>
      <s:c r="D151" s="0" t="n">
        <s:v>3547</s:v>
      </s:c>
      <s:c r="F151" s="24">
        <s:f>'자료구성'!$B$2+TIME(INT($C$3/10000),INT(MOD($C$3,10000)/100),MOD($C$3,100))+(ROW()-ROW($C$3))/86400</s:f>
        <s:v>46247.40987268519</s:v>
      </s:c>
    </s:row>
    <s:row r="152">
      <s:c r="A152" s="0" t="n">
        <s:v>260813</s:v>
      </s:c>
      <s:c r="B152" s="0" t="inlineStr">
        <s:is>
          <s:t>이종훈</s:t>
        </s:is>
      </s:c>
      <s:c r="C152" s="0" t="n">
        <s:v>94745</s:v>
      </s:c>
      <s:c r="D152" s="0" t="n">
        <s:v>3532</s:v>
      </s:c>
      <s:c r="F152" s="24">
        <s:f>'자료구성'!$B$2+TIME(INT($C$3/10000),INT(MOD($C$3,10000)/100),MOD($C$3,100))+(ROW()-ROW($C$3))/86400</s:f>
        <s:v>46247.40988425926</s:v>
      </s:c>
    </s:row>
    <s:row r="153">
      <s:c r="A153" s="0" t="n">
        <s:v>260813</s:v>
      </s:c>
      <s:c r="B153" s="0" t="inlineStr">
        <s:is>
          <s:t>이종훈</s:t>
        </s:is>
      </s:c>
      <s:c r="C153" s="0" t="n">
        <s:v>94745</s:v>
      </s:c>
      <s:c r="D153" s="0" t="n">
        <s:v>3466</s:v>
      </s:c>
      <s:c r="F153" s="24">
        <s:f>'자료구성'!$B$2+TIME(INT($C$3/10000),INT(MOD($C$3,10000)/100),MOD($C$3,100))+(ROW()-ROW($C$3))/86400</s:f>
        <s:v>46247.409895833334</s:v>
      </s:c>
    </s:row>
    <s:row r="154">
      <s:c r="A154" s="0" t="n">
        <s:v>260813</s:v>
      </s:c>
      <s:c r="B154" s="0" t="inlineStr">
        <s:is>
          <s:t>이종훈</s:t>
        </s:is>
      </s:c>
      <s:c r="C154" s="0" t="n">
        <s:v>94745</s:v>
      </s:c>
      <s:c r="D154" s="0" t="n">
        <s:v>3523</s:v>
      </s:c>
      <s:c r="F154" s="24">
        <s:f>'자료구성'!$B$2+TIME(INT($C$3/10000),INT(MOD($C$3,10000)/100),MOD($C$3,100))+(ROW()-ROW($C$3))/86400</s:f>
        <s:v>46247.409907407404</s:v>
      </s:c>
    </s:row>
    <s:row r="155">
      <s:c r="A155" s="0" t="n">
        <s:v>260813</s:v>
      </s:c>
      <s:c r="B155" s="0" t="inlineStr">
        <s:is>
          <s:t>이종훈</s:t>
        </s:is>
      </s:c>
      <s:c r="C155" s="0" t="n">
        <s:v>94745</s:v>
      </s:c>
      <s:c r="D155" s="0" t="n">
        <s:v>3642</s:v>
      </s:c>
      <s:c r="F155" s="24">
        <s:f>'자료구성'!$B$2+TIME(INT($C$3/10000),INT(MOD($C$3,10000)/100),MOD($C$3,100))+(ROW()-ROW($C$3))/86400</s:f>
        <s:v>46247.40991898148</s:v>
      </s:c>
    </s:row>
    <s:row r="156">
      <s:c r="A156" s="0" t="n">
        <s:v>260813</s:v>
      </s:c>
      <s:c r="B156" s="0" t="inlineStr">
        <s:is>
          <s:t>이종훈</s:t>
        </s:is>
      </s:c>
      <s:c r="C156" s="0" t="n">
        <s:v>94745</s:v>
      </s:c>
      <s:c r="D156" s="0" t="n">
        <s:v>3708</s:v>
      </s:c>
      <s:c r="F156" s="24">
        <s:f>'자료구성'!$B$2+TIME(INT($C$3/10000),INT(MOD($C$3,10000)/100),MOD($C$3,100))+(ROW()-ROW($C$3))/86400</s:f>
        <s:v>46247.40993055556</s:v>
      </s:c>
    </s:row>
    <s:row r="157">
      <s:c r="A157" s="0" t="n">
        <s:v>260813</s:v>
      </s:c>
      <s:c r="B157" s="0" t="inlineStr">
        <s:is>
          <s:t>이종훈</s:t>
        </s:is>
      </s:c>
      <s:c r="C157" s="0" t="n">
        <s:v>94745</s:v>
      </s:c>
      <s:c r="D157" s="0" t="n">
        <s:v>3809</s:v>
      </s:c>
      <s:c r="F157" s="24">
        <s:f>'자료구성'!$B$2+TIME(INT($C$3/10000),INT(MOD($C$3,10000)/100),MOD($C$3,100))+(ROW()-ROW($C$3))/86400</s:f>
        <s:v>46247.40994212963</s:v>
      </s:c>
    </s:row>
    <s:row r="158">
      <s:c r="A158" s="0" t="n">
        <s:v>260813</s:v>
      </s:c>
      <s:c r="B158" s="0" t="inlineStr">
        <s:is>
          <s:t>이종훈</s:t>
        </s:is>
      </s:c>
      <s:c r="C158" s="0" t="n">
        <s:v>94745</s:v>
      </s:c>
      <s:c r="D158" s="0" t="n">
        <s:v>3878</s:v>
      </s:c>
      <s:c r="F158" s="24">
        <s:f>'자료구성'!$B$2+TIME(INT($C$3/10000),INT(MOD($C$3,10000)/100),MOD($C$3,100))+(ROW()-ROW($C$3))/86400</s:f>
        <s:v>46247.409953703704</s:v>
      </s:c>
    </s:row>
    <s:row r="159">
      <s:c r="A159" s="0" t="n">
        <s:v>260813</s:v>
      </s:c>
      <s:c r="B159" s="0" t="inlineStr">
        <s:is>
          <s:t>이종훈</s:t>
        </s:is>
      </s:c>
      <s:c r="C159" s="0" t="n">
        <s:v>94745</s:v>
      </s:c>
      <s:c r="D159" s="0" t="n">
        <s:v>3889</s:v>
      </s:c>
      <s:c r="F159" s="24">
        <s:f>'자료구성'!$B$2+TIME(INT($C$3/10000),INT(MOD($C$3,10000)/100),MOD($C$3,100))+(ROW()-ROW($C$3))/86400</s:f>
        <s:v>46247.40996527778</s:v>
      </s:c>
    </s:row>
    <s:row r="160">
      <s:c r="A160" s="0" t="n">
        <s:v>260813</s:v>
      </s:c>
      <s:c r="B160" s="0" t="inlineStr">
        <s:is>
          <s:t>이종훈</s:t>
        </s:is>
      </s:c>
      <s:c r="C160" s="0" t="n">
        <s:v>94745</s:v>
      </s:c>
      <s:c r="D160" s="0" t="n">
        <s:v>3875</s:v>
      </s:c>
      <s:c r="F160" s="24">
        <s:f>'자료구성'!$B$2+TIME(INT($C$3/10000),INT(MOD($C$3,10000)/100),MOD($C$3,100))+(ROW()-ROW($C$3))/86400</s:f>
        <s:v>46247.40997685185</s:v>
      </s:c>
    </s:row>
    <s:row r="161">
      <s:c r="A161" s="0" t="n">
        <s:v>260813</s:v>
      </s:c>
      <s:c r="B161" s="0" t="inlineStr">
        <s:is>
          <s:t>이종훈</s:t>
        </s:is>
      </s:c>
      <s:c r="C161" s="0" t="n">
        <s:v>94745</s:v>
      </s:c>
      <s:c r="D161" s="0" t="n">
        <s:v>3827</s:v>
      </s:c>
      <s:c r="F161" s="24">
        <s:f>'자료구성'!$B$2+TIME(INT($C$3/10000),INT(MOD($C$3,10000)/100),MOD($C$3,100))+(ROW()-ROW($C$3))/86400</s:f>
        <s:v>46247.40998842593</s:v>
      </s:c>
    </s:row>
    <s:row r="162">
      <s:c r="A162" s="0" t="n">
        <s:v>260813</s:v>
      </s:c>
      <s:c r="B162" s="0" t="inlineStr">
        <s:is>
          <s:t>이종훈</s:t>
        </s:is>
      </s:c>
      <s:c r="C162" s="0" t="n">
        <s:v>94745</s:v>
      </s:c>
      <s:c r="D162" s="0" t="n">
        <s:v>3803</s:v>
      </s:c>
      <s:c r="F162" s="24">
        <s:f>'자료구성'!$B$2+TIME(INT($C$3/10000),INT(MOD($C$3,10000)/100),MOD($C$3,100))+(ROW()-ROW($C$3))/86400</s:f>
        <s:v>46247.41</s:v>
      </s:c>
    </s:row>
    <s:row r="163">
      <s:c r="A163" s="0" t="n">
        <s:v>260813</s:v>
      </s:c>
      <s:c r="B163" s="0" t="inlineStr">
        <s:is>
          <s:t>이종훈</s:t>
        </s:is>
      </s:c>
      <s:c r="C163" s="0" t="n">
        <s:v>94745</s:v>
      </s:c>
      <s:c r="D163" s="0" t="n">
        <s:v>3794</s:v>
      </s:c>
      <s:c r="F163" s="24">
        <s:f>'자료구성'!$B$2+TIME(INT($C$3/10000),INT(MOD($C$3,10000)/100),MOD($C$3,100))+(ROW()-ROW($C$3))/86400</s:f>
        <s:v>46247.41001157407</s:v>
      </s:c>
    </s:row>
    <s:row r="164">
      <s:c r="A164" s="0" t="n">
        <s:v>260813</s:v>
      </s:c>
      <s:c r="B164" s="0" t="inlineStr">
        <s:is>
          <s:t>이종훈</s:t>
        </s:is>
      </s:c>
      <s:c r="C164" s="0" t="n">
        <s:v>94745</s:v>
      </s:c>
      <s:c r="D164" s="0" t="n">
        <s:v>3695</s:v>
      </s:c>
      <s:c r="F164" s="24">
        <s:f>'자료구성'!$B$2+TIME(INT($C$3/10000),INT(MOD($C$3,10000)/100),MOD($C$3,100))+(ROW()-ROW($C$3))/86400</s:f>
        <s:v>46247.41002314815</s:v>
      </s:c>
    </s:row>
    <s:row r="165">
      <s:c r="A165" s="0" t="n">
        <s:v>260813</s:v>
      </s:c>
      <s:c r="B165" s="0" t="inlineStr">
        <s:is>
          <s:t>이종훈</s:t>
        </s:is>
      </s:c>
      <s:c r="C165" s="0" t="n">
        <s:v>94745</s:v>
      </s:c>
      <s:c r="D165" s="0" t="n">
        <s:v>3555</s:v>
      </s:c>
      <s:c r="F165" s="24">
        <s:f>'자료구성'!$B$2+TIME(INT($C$3/10000),INT(MOD($C$3,10000)/100),MOD($C$3,100))+(ROW()-ROW($C$3))/86400</s:f>
        <s:v>46247.41003472222</s:v>
      </s:c>
    </s:row>
    <s:row r="166">
      <s:c r="A166" s="0" t="n">
        <s:v>260813</s:v>
      </s:c>
      <s:c r="B166" s="0" t="inlineStr">
        <s:is>
          <s:t>이종훈</s:t>
        </s:is>
      </s:c>
      <s:c r="C166" s="0" t="n">
        <s:v>94745</s:v>
      </s:c>
      <s:c r="D166" s="0" t="n">
        <s:v>3476</s:v>
      </s:c>
      <s:c r="F166" s="24">
        <s:f>'자료구성'!$B$2+TIME(INT($C$3/10000),INT(MOD($C$3,10000)/100),MOD($C$3,100))+(ROW()-ROW($C$3))/86400</s:f>
        <s:v>46247.410046296296</s:v>
      </s:c>
    </s:row>
    <s:row r="167">
      <s:c r="A167" s="0" t="n">
        <s:v>260813</s:v>
      </s:c>
      <s:c r="B167" s="0" t="inlineStr">
        <s:is>
          <s:t>이종훈</s:t>
        </s:is>
      </s:c>
      <s:c r="C167" s="0" t="n">
        <s:v>94745</s:v>
      </s:c>
      <s:c r="D167" s="0" t="n">
        <s:v>3386</s:v>
      </s:c>
      <s:c r="F167" s="24">
        <s:f>'자료구성'!$B$2+TIME(INT($C$3/10000),INT(MOD($C$3,10000)/100),MOD($C$3,100))+(ROW()-ROW($C$3))/86400</s:f>
        <s:v>46247.41005787037</s:v>
      </s:c>
    </s:row>
    <s:row r="168">
      <s:c r="A168" s="0" t="n">
        <s:v>260813</s:v>
      </s:c>
      <s:c r="B168" s="0" t="inlineStr">
        <s:is>
          <s:t>이종훈</s:t>
        </s:is>
      </s:c>
      <s:c r="C168" s="0" t="n">
        <s:v>94745</s:v>
      </s:c>
      <s:c r="D168" s="0" t="n">
        <s:v>3320</s:v>
      </s:c>
      <s:c r="F168" s="24">
        <s:f>'자료구성'!$B$2+TIME(INT($C$3/10000),INT(MOD($C$3,10000)/100),MOD($C$3,100))+(ROW()-ROW($C$3))/86400</s:f>
        <s:v>46247.41006944444</s:v>
      </s:c>
    </s:row>
    <s:row r="169">
      <s:c r="A169" s="0" t="n">
        <s:v>260813</s:v>
      </s:c>
      <s:c r="B169" s="0" t="inlineStr">
        <s:is>
          <s:t>이종훈</s:t>
        </s:is>
      </s:c>
      <s:c r="C169" s="0" t="n">
        <s:v>94745</s:v>
      </s:c>
      <s:c r="D169" s="0" t="n">
        <s:v>3466</s:v>
      </s:c>
      <s:c r="F169" s="24">
        <s:f>'자료구성'!$B$2+TIME(INT($C$3/10000),INT(MOD($C$3,10000)/100),MOD($C$3,100))+(ROW()-ROW($C$3))/86400</s:f>
        <s:v>46247.41008101852</s:v>
      </s:c>
    </s:row>
    <s:row r="170">
      <s:c r="A170" s="0" t="n">
        <s:v>260813</s:v>
      </s:c>
      <s:c r="B170" s="0" t="inlineStr">
        <s:is>
          <s:t>이종훈</s:t>
        </s:is>
      </s:c>
      <s:c r="C170" s="0" t="n">
        <s:v>94745</s:v>
      </s:c>
      <s:c r="D170" s="0" t="n">
        <s:v>3849</s:v>
      </s:c>
      <s:c r="F170" s="24">
        <s:f>'자료구성'!$B$2+TIME(INT($C$3/10000),INT(MOD($C$3,10000)/100),MOD($C$3,100))+(ROW()-ROW($C$3))/86400</s:f>
        <s:v>46247.410092592596</s:v>
      </s:c>
    </s:row>
    <s:row r="171">
      <s:c r="A171" s="0" t="n">
        <s:v>260813</s:v>
      </s:c>
      <s:c r="B171" s="0" t="inlineStr">
        <s:is>
          <s:t>이종훈</s:t>
        </s:is>
      </s:c>
      <s:c r="C171" s="0" t="n">
        <s:v>94745</s:v>
      </s:c>
      <s:c r="D171" s="0" t="n">
        <s:v>4164</s:v>
      </s:c>
      <s:c r="F171" s="24">
        <s:f>'자료구성'!$B$2+TIME(INT($C$3/10000),INT(MOD($C$3,10000)/100),MOD($C$3,100))+(ROW()-ROW($C$3))/86400</s:f>
        <s:v>46247.410104166665</s:v>
      </s:c>
    </s:row>
    <s:row r="172">
      <s:c r="A172" s="0" t="n">
        <s:v>260813</s:v>
      </s:c>
      <s:c r="B172" s="0" t="inlineStr">
        <s:is>
          <s:t>이종훈</s:t>
        </s:is>
      </s:c>
      <s:c r="C172" s="0" t="n">
        <s:v>94745</s:v>
      </s:c>
      <s:c r="D172" s="0" t="n">
        <s:v>4428</s:v>
      </s:c>
      <s:c r="F172" s="24">
        <s:f>'자료구성'!$B$2+TIME(INT($C$3/10000),INT(MOD($C$3,10000)/100),MOD($C$3,100))+(ROW()-ROW($C$3))/86400</s:f>
        <s:v>46247.41011574074</s:v>
      </s:c>
    </s:row>
    <s:row r="173">
      <s:c r="A173" s="0" t="n">
        <s:v>260813</s:v>
      </s:c>
      <s:c r="B173" s="0" t="inlineStr">
        <s:is>
          <s:t>이종훈</s:t>
        </s:is>
      </s:c>
      <s:c r="C173" s="0" t="n">
        <s:v>94745</s:v>
      </s:c>
      <s:c r="D173" s="0" t="n">
        <s:v>4430</s:v>
      </s:c>
      <s:c r="F173" s="24">
        <s:f>'자료구성'!$B$2+TIME(INT($C$3/10000),INT(MOD($C$3,10000)/100),MOD($C$3,100))+(ROW()-ROW($C$3))/86400</s:f>
        <s:v>46247.41012731481</s:v>
      </s:c>
    </s:row>
    <s:row r="174">
      <s:c r="A174" s="0" t="n">
        <s:v>260813</s:v>
      </s:c>
      <s:c r="B174" s="0" t="inlineStr">
        <s:is>
          <s:t>이종훈</s:t>
        </s:is>
      </s:c>
      <s:c r="C174" s="0" t="n">
        <s:v>94745</s:v>
      </s:c>
      <s:c r="D174" s="0" t="n">
        <s:v>4292</s:v>
      </s:c>
      <s:c r="F174" s="24">
        <s:f>'자료구성'!$B$2+TIME(INT($C$3/10000),INT(MOD($C$3,10000)/100),MOD($C$3,100))+(ROW()-ROW($C$3))/86400</s:f>
        <s:v>46247.41013888889</s:v>
      </s:c>
    </s:row>
    <s:row r="175">
      <s:c r="A175" s="0" t="n">
        <s:v>260813</s:v>
      </s:c>
      <s:c r="B175" s="0" t="inlineStr">
        <s:is>
          <s:t>이종훈</s:t>
        </s:is>
      </s:c>
      <s:c r="C175" s="0" t="n">
        <s:v>94745</s:v>
      </s:c>
      <s:c r="D175" s="0" t="n">
        <s:v>4175</s:v>
      </s:c>
      <s:c r="F175" s="24">
        <s:f>'자료구성'!$B$2+TIME(INT($C$3/10000),INT(MOD($C$3,10000)/100),MOD($C$3,100))+(ROW()-ROW($C$3))/86400</s:f>
        <s:v>46247.410150462965</s:v>
      </s:c>
    </s:row>
    <s:row r="176">
      <s:c r="A176" s="0" t="n">
        <s:v>260813</s:v>
      </s:c>
      <s:c r="B176" s="0" t="inlineStr">
        <s:is>
          <s:t>이종훈</s:t>
        </s:is>
      </s:c>
      <s:c r="C176" s="0" t="n">
        <s:v>94745</s:v>
      </s:c>
      <s:c r="D176" s="0" t="n">
        <s:v>4025</s:v>
      </s:c>
      <s:c r="F176" s="24">
        <s:f>'자료구성'!$B$2+TIME(INT($C$3/10000),INT(MOD($C$3,10000)/100),MOD($C$3,100))+(ROW()-ROW($C$3))/86400</s:f>
        <s:v>46247.410162037035</s:v>
      </s:c>
    </s:row>
    <s:row r="177">
      <s:c r="A177" s="0" t="n">
        <s:v>260813</s:v>
      </s:c>
      <s:c r="B177" s="0" t="inlineStr">
        <s:is>
          <s:t>이종훈</s:t>
        </s:is>
      </s:c>
      <s:c r="C177" s="0" t="n">
        <s:v>94745</s:v>
      </s:c>
      <s:c r="D177" s="0" t="n">
        <s:v>3877</s:v>
      </s:c>
      <s:c r="F177" s="24">
        <s:f>'자료구성'!$B$2+TIME(INT($C$3/10000),INT(MOD($C$3,10000)/100),MOD($C$3,100))+(ROW()-ROW($C$3))/86400</s:f>
        <s:v>46247.41017361111</s:v>
      </s:c>
    </s:row>
    <s:row r="178">
      <s:c r="A178" s="0" t="n">
        <s:v>260813</s:v>
      </s:c>
      <s:c r="B178" s="0" t="inlineStr">
        <s:is>
          <s:t>이종훈</s:t>
        </s:is>
      </s:c>
      <s:c r="C178" s="0" t="n">
        <s:v>94745</s:v>
      </s:c>
      <s:c r="D178" s="0" t="n">
        <s:v>3859</s:v>
      </s:c>
      <s:c r="F178" s="24">
        <s:f>'자료구성'!$B$2+TIME(INT($C$3/10000),INT(MOD($C$3,10000)/100),MOD($C$3,100))+(ROW()-ROW($C$3))/86400</s:f>
        <s:v>46247.41018518519</s:v>
      </s:c>
    </s:row>
    <s:row r="179">
      <s:c r="A179" s="0" t="n">
        <s:v>260813</s:v>
      </s:c>
      <s:c r="B179" s="0" t="inlineStr">
        <s:is>
          <s:t>이종훈</s:t>
        </s:is>
      </s:c>
      <s:c r="C179" s="0" t="n">
        <s:v>94745</s:v>
      </s:c>
      <s:c r="D179" s="0" t="n">
        <s:v>3824</s:v>
      </s:c>
      <s:c r="F179" s="24">
        <s:f>'자료구성'!$B$2+TIME(INT($C$3/10000),INT(MOD($C$3,10000)/100),MOD($C$3,100))+(ROW()-ROW($C$3))/86400</s:f>
        <s:v>46247.41019675926</s:v>
      </s:c>
    </s:row>
    <s:row r="180">
      <s:c r="A180" s="0" t="n">
        <s:v>260813</s:v>
      </s:c>
      <s:c r="B180" s="0" t="inlineStr">
        <s:is>
          <s:t>이종훈</s:t>
        </s:is>
      </s:c>
      <s:c r="C180" s="0" t="n">
        <s:v>94745</s:v>
      </s:c>
      <s:c r="D180" s="0" t="n">
        <s:v>3850</s:v>
      </s:c>
      <s:c r="F180" s="24">
        <s:f>'자료구성'!$B$2+TIME(INT($C$3/10000),INT(MOD($C$3,10000)/100),MOD($C$3,100))+(ROW()-ROW($C$3))/86400</s:f>
        <s:v>46247.410208333335</s:v>
      </s:c>
    </s:row>
    <s:row r="181">
      <s:c r="A181" s="0" t="n">
        <s:v>260813</s:v>
      </s:c>
      <s:c r="B181" s="0" t="inlineStr">
        <s:is>
          <s:t>이종훈</s:t>
        </s:is>
      </s:c>
      <s:c r="C181" s="0" t="n">
        <s:v>94745</s:v>
      </s:c>
      <s:c r="D181" s="0" t="n">
        <s:v>3852</s:v>
      </s:c>
      <s:c r="F181" s="24">
        <s:f>'자료구성'!$B$2+TIME(INT($C$3/10000),INT(MOD($C$3,10000)/100),MOD($C$3,100))+(ROW()-ROW($C$3))/86400</s:f>
        <s:v>46247.410219907404</s:v>
      </s:c>
    </s:row>
    <s:row r="182">
      <s:c r="A182" s="0" t="n">
        <s:v>260813</s:v>
      </s:c>
      <s:c r="B182" s="0" t="inlineStr">
        <s:is>
          <s:t>이종훈</s:t>
        </s:is>
      </s:c>
      <s:c r="C182" s="0" t="n">
        <s:v>94745</s:v>
      </s:c>
      <s:c r="D182" s="0" t="n">
        <s:v>3917</s:v>
      </s:c>
      <s:c r="F182" s="24">
        <s:f>'자료구성'!$B$2+TIME(INT($C$3/10000),INT(MOD($C$3,10000)/100),MOD($C$3,100))+(ROW()-ROW($C$3))/86400</s:f>
        <s:v>46247.41023148148</s:v>
      </s:c>
    </s:row>
    <s:row r="183">
      <s:c r="A183" s="0" t="n">
        <s:v>260813</s:v>
      </s:c>
      <s:c r="B183" s="0" t="inlineStr">
        <s:is>
          <s:t>이종훈</s:t>
        </s:is>
      </s:c>
      <s:c r="C183" s="0" t="n">
        <s:v>94745</s:v>
      </s:c>
      <s:c r="D183" s="0" t="n">
        <s:v>4100</s:v>
      </s:c>
      <s:c r="F183" s="24">
        <s:f>'자료구성'!$B$2+TIME(INT($C$3/10000),INT(MOD($C$3,10000)/100),MOD($C$3,100))+(ROW()-ROW($C$3))/86400</s:f>
        <s:v>46247.41024305556</s:v>
      </s:c>
    </s:row>
    <s:row r="184">
      <s:c r="A184" s="0" t="n">
        <s:v>260813</s:v>
      </s:c>
      <s:c r="B184" s="0" t="inlineStr">
        <s:is>
          <s:t>이종훈</s:t>
        </s:is>
      </s:c>
      <s:c r="C184" s="0" t="n">
        <s:v>94745</s:v>
      </s:c>
      <s:c r="D184" s="0" t="n">
        <s:v>4367</s:v>
      </s:c>
      <s:c r="F184" s="24">
        <s:f>'자료구성'!$B$2+TIME(INT($C$3/10000),INT(MOD($C$3,10000)/100),MOD($C$3,100))+(ROW()-ROW($C$3))/86400</s:f>
        <s:v>46247.41025462963</s:v>
      </s:c>
    </s:row>
    <s:row r="185">
      <s:c r="A185" s="0" t="n">
        <s:v>260813</s:v>
      </s:c>
      <s:c r="B185" s="0" t="inlineStr">
        <s:is>
          <s:t>이종훈</s:t>
        </s:is>
      </s:c>
      <s:c r="C185" s="0" t="n">
        <s:v>94745</s:v>
      </s:c>
      <s:c r="D185" s="0" t="n">
        <s:v>4557</s:v>
      </s:c>
      <s:c r="F185" s="24">
        <s:f>'자료구성'!$B$2+TIME(INT($C$3/10000),INT(MOD($C$3,10000)/100),MOD($C$3,100))+(ROW()-ROW($C$3))/86400</s:f>
        <s:v>46247.410266203704</s:v>
      </s:c>
    </s:row>
    <s:row r="186">
      <s:c r="A186" s="0" t="n">
        <s:v>260813</s:v>
      </s:c>
      <s:c r="B186" s="0" t="inlineStr">
        <s:is>
          <s:t>이종훈</s:t>
        </s:is>
      </s:c>
      <s:c r="C186" s="0" t="n">
        <s:v>94745</s:v>
      </s:c>
      <s:c r="D186" s="0" t="n">
        <s:v>4546</s:v>
      </s:c>
      <s:c r="F186" s="24">
        <s:f>'자료구성'!$B$2+TIME(INT($C$3/10000),INT(MOD($C$3,10000)/100),MOD($C$3,100))+(ROW()-ROW($C$3))/86400</s:f>
        <s:v>46247.41027777778</s:v>
      </s:c>
    </s:row>
    <s:row r="187">
      <s:c r="A187" s="0" t="n">
        <s:v>260813</s:v>
      </s:c>
      <s:c r="B187" s="0" t="inlineStr">
        <s:is>
          <s:t>이종훈</s:t>
        </s:is>
      </s:c>
      <s:c r="C187" s="0" t="n">
        <s:v>94745</s:v>
      </s:c>
      <s:c r="D187" s="0" t="n">
        <s:v>4584</s:v>
      </s:c>
      <s:c r="F187" s="24">
        <s:f>'자료구성'!$B$2+TIME(INT($C$3/10000),INT(MOD($C$3,10000)/100),MOD($C$3,100))+(ROW()-ROW($C$3))/86400</s:f>
        <s:v>46247.41028935185</s:v>
      </s:c>
    </s:row>
    <s:row r="188">
      <s:c r="A188" s="0" t="n">
        <s:v>260813</s:v>
      </s:c>
      <s:c r="B188" s="0" t="inlineStr">
        <s:is>
          <s:t>이종훈</s:t>
        </s:is>
      </s:c>
      <s:c r="C188" s="0" t="n">
        <s:v>94745</s:v>
      </s:c>
      <s:c r="D188" s="0" t="n">
        <s:v>4579</s:v>
      </s:c>
      <s:c r="F188" s="24">
        <s:f>'자료구성'!$B$2+TIME(INT($C$3/10000),INT(MOD($C$3,10000)/100),MOD($C$3,100))+(ROW()-ROW($C$3))/86400</s:f>
        <s:v>46247.41030092593</s:v>
      </s:c>
    </s:row>
    <s:row r="189">
      <s:c r="A189" s="0" t="n">
        <s:v>260813</s:v>
      </s:c>
      <s:c r="B189" s="0" t="inlineStr">
        <s:is>
          <s:t>이종훈</s:t>
        </s:is>
      </s:c>
      <s:c r="C189" s="0" t="n">
        <s:v>94745</s:v>
      </s:c>
      <s:c r="D189" s="0" t="n">
        <s:v>4540</s:v>
      </s:c>
      <s:c r="F189" s="24">
        <s:f>'자료구성'!$B$2+TIME(INT($C$3/10000),INT(MOD($C$3,10000)/100),MOD($C$3,100))+(ROW()-ROW($C$3))/86400</s:f>
        <s:v>46247.4103125</s:v>
      </s:c>
    </s:row>
    <s:row r="190">
      <s:c r="A190" s="0" t="n">
        <s:v>260813</s:v>
      </s:c>
      <s:c r="B190" s="0" t="inlineStr">
        <s:is>
          <s:t>이종훈</s:t>
        </s:is>
      </s:c>
      <s:c r="C190" s="0" t="n">
        <s:v>94745</s:v>
      </s:c>
      <s:c r="D190" s="0" t="n">
        <s:v>4528</s:v>
      </s:c>
      <s:c r="F190" s="24">
        <s:f>'자료구성'!$B$2+TIME(INT($C$3/10000),INT(MOD($C$3,10000)/100),MOD($C$3,100))+(ROW()-ROW($C$3))/86400</s:f>
        <s:v>46247.41032407407</s:v>
      </s:c>
    </s:row>
    <s:row r="191">
      <s:c r="A191" s="0" t="n">
        <s:v>260813</s:v>
      </s:c>
      <s:c r="B191" s="0" t="inlineStr">
        <s:is>
          <s:t>이종훈</s:t>
        </s:is>
      </s:c>
      <s:c r="C191" s="0" t="n">
        <s:v>94745</s:v>
      </s:c>
      <s:c r="D191" s="0" t="n">
        <s:v>4491</s:v>
      </s:c>
      <s:c r="F191" s="24">
        <s:f>'자료구성'!$B$2+TIME(INT($C$3/10000),INT(MOD($C$3,10000)/100),MOD($C$3,100))+(ROW()-ROW($C$3))/86400</s:f>
        <s:v>46247.41033564815</s:v>
      </s:c>
    </s:row>
    <s:row r="192">
      <s:c r="A192" s="0" t="n">
        <s:v>260813</s:v>
      </s:c>
      <s:c r="B192" s="0" t="inlineStr">
        <s:is>
          <s:t>이종훈</s:t>
        </s:is>
      </s:c>
      <s:c r="C192" s="0" t="n">
        <s:v>94745</s:v>
      </s:c>
      <s:c r="D192" s="0" t="n">
        <s:v>4451</s:v>
      </s:c>
      <s:c r="F192" s="24">
        <s:f>'자료구성'!$B$2+TIME(INT($C$3/10000),INT(MOD($C$3,10000)/100),MOD($C$3,100))+(ROW()-ROW($C$3))/86400</s:f>
        <s:v>46247.41034722222</s:v>
      </s:c>
    </s:row>
    <s:row r="193">
      <s:c r="A193" s="0" t="n">
        <s:v>260813</s:v>
      </s:c>
      <s:c r="B193" s="0" t="inlineStr">
        <s:is>
          <s:t>이종훈</s:t>
        </s:is>
      </s:c>
      <s:c r="C193" s="0" t="n">
        <s:v>94745</s:v>
      </s:c>
      <s:c r="D193" s="0" t="n">
        <s:v>4372</s:v>
      </s:c>
      <s:c r="F193" s="24">
        <s:f>'자료구성'!$B$2+TIME(INT($C$3/10000),INT(MOD($C$3,10000)/100),MOD($C$3,100))+(ROW()-ROW($C$3))/86400</s:f>
        <s:v>46247.410358796296</s:v>
      </s:c>
    </s:row>
    <s:row r="194">
      <s:c r="A194" s="0" t="n">
        <s:v>260813</s:v>
      </s:c>
      <s:c r="B194" s="0" t="inlineStr">
        <s:is>
          <s:t>이종훈</s:t>
        </s:is>
      </s:c>
      <s:c r="C194" s="0" t="n">
        <s:v>94745</s:v>
      </s:c>
      <s:c r="D194" s="0" t="n">
        <s:v>4339</s:v>
      </s:c>
      <s:c r="F194" s="24">
        <s:f>'자료구성'!$B$2+TIME(INT($C$3/10000),INT(MOD($C$3,10000)/100),MOD($C$3,100))+(ROW()-ROW($C$3))/86400</s:f>
        <s:v>46247.41037037037</s:v>
      </s:c>
    </s:row>
    <s:row r="195">
      <s:c r="A195" s="0" t="n">
        <s:v>260813</s:v>
      </s:c>
      <s:c r="B195" s="0" t="inlineStr">
        <s:is>
          <s:t>이종훈</s:t>
        </s:is>
      </s:c>
      <s:c r="C195" s="0" t="n">
        <s:v>94745</s:v>
      </s:c>
      <s:c r="D195" s="0" t="n">
        <s:v>4384</s:v>
      </s:c>
      <s:c r="F195" s="24">
        <s:f>'자료구성'!$B$2+TIME(INT($C$3/10000),INT(MOD($C$3,10000)/100),MOD($C$3,100))+(ROW()-ROW($C$3))/86400</s:f>
        <s:v>46247.41038194444</s:v>
      </s:c>
    </s:row>
    <s:row r="196">
      <s:c r="A196" s="0" t="n">
        <s:v>260813</s:v>
      </s:c>
      <s:c r="B196" s="0" t="inlineStr">
        <s:is>
          <s:t>이종훈</s:t>
        </s:is>
      </s:c>
      <s:c r="C196" s="0" t="n">
        <s:v>94745</s:v>
      </s:c>
      <s:c r="D196" s="0" t="n">
        <s:v>4419</s:v>
      </s:c>
      <s:c r="F196" s="24">
        <s:f>'자료구성'!$B$2+TIME(INT($C$3/10000),INT(MOD($C$3,10000)/100),MOD($C$3,100))+(ROW()-ROW($C$3))/86400</s:f>
        <s:v>46247.41039351852</s:v>
      </s:c>
    </s:row>
    <s:row r="197">
      <s:c r="A197" s="0" t="n">
        <s:v>260813</s:v>
      </s:c>
      <s:c r="B197" s="0" t="inlineStr">
        <s:is>
          <s:t>이종훈</s:t>
        </s:is>
      </s:c>
      <s:c r="C197" s="0" t="n">
        <s:v>94745</s:v>
      </s:c>
      <s:c r="D197" s="0" t="n">
        <s:v>4462</s:v>
      </s:c>
      <s:c r="F197" s="24">
        <s:f>'자료구성'!$B$2+TIME(INT($C$3/10000),INT(MOD($C$3,10000)/100),MOD($C$3,100))+(ROW()-ROW($C$3))/86400</s:f>
        <s:v>46247.410405092596</s:v>
      </s:c>
    </s:row>
    <s:row r="198">
      <s:c r="A198" s="0" t="n">
        <s:v>260813</s:v>
      </s:c>
      <s:c r="B198" s="0" t="inlineStr">
        <s:is>
          <s:t>이종훈</s:t>
        </s:is>
      </s:c>
      <s:c r="C198" s="0" t="n">
        <s:v>94745</s:v>
      </s:c>
      <s:c r="D198" s="0" t="n">
        <s:v>4457</s:v>
      </s:c>
      <s:c r="F198" s="24">
        <s:f>'자료구성'!$B$2+TIME(INT($C$3/10000),INT(MOD($C$3,10000)/100),MOD($C$3,100))+(ROW()-ROW($C$3))/86400</s:f>
        <s:v>46247.410416666666</s:v>
      </s:c>
    </s:row>
    <s:row r="199">
      <s:c r="A199" s="0" t="n">
        <s:v>260813</s:v>
      </s:c>
      <s:c r="B199" s="0" t="inlineStr">
        <s:is>
          <s:t>이종훈</s:t>
        </s:is>
      </s:c>
      <s:c r="C199" s="0" t="n">
        <s:v>94745</s:v>
      </s:c>
      <s:c r="D199" s="0" t="n">
        <s:v>4456</s:v>
      </s:c>
      <s:c r="F199" s="24">
        <s:f>'자료구성'!$B$2+TIME(INT($C$3/10000),INT(MOD($C$3,10000)/100),MOD($C$3,100))+(ROW()-ROW($C$3))/86400</s:f>
        <s:v>46247.41042824074</s:v>
      </s:c>
    </s:row>
    <s:row r="200">
      <s:c r="A200" s="0" t="n">
        <s:v>260813</s:v>
      </s:c>
      <s:c r="B200" s="0" t="inlineStr">
        <s:is>
          <s:t>이종훈</s:t>
        </s:is>
      </s:c>
      <s:c r="C200" s="0" t="n">
        <s:v>94745</s:v>
      </s:c>
      <s:c r="D200" s="0" t="n">
        <s:v>4555</s:v>
      </s:c>
      <s:c r="F200" s="24">
        <s:f>'자료구성'!$B$2+TIME(INT($C$3/10000),INT(MOD($C$3,10000)/100),MOD($C$3,100))+(ROW()-ROW($C$3))/86400</s:f>
        <s:v>46247.41043981481</s:v>
      </s:c>
    </s:row>
    <s:row r="201">
      <s:c r="A201" s="0" t="n">
        <s:v>260813</s:v>
      </s:c>
      <s:c r="B201" s="0" t="inlineStr">
        <s:is>
          <s:t>이종훈</s:t>
        </s:is>
      </s:c>
      <s:c r="C201" s="0" t="n">
        <s:v>94745</s:v>
      </s:c>
      <s:c r="D201" s="0" t="n">
        <s:v>4601</s:v>
      </s:c>
      <s:c r="F201" s="24">
        <s:f>'자료구성'!$B$2+TIME(INT($C$3/10000),INT(MOD($C$3,10000)/100),MOD($C$3,100))+(ROW()-ROW($C$3))/86400</s:f>
        <s:v>46247.41045138889</s:v>
      </s:c>
    </s:row>
    <s:row r="202">
      <s:c r="A202" s="0" t="n">
        <s:v>260813</s:v>
      </s:c>
      <s:c r="B202" s="0" t="inlineStr">
        <s:is>
          <s:t>이종훈</s:t>
        </s:is>
      </s:c>
      <s:c r="C202" s="0" t="n">
        <s:v>94745</s:v>
      </s:c>
      <s:c r="D202" s="0" t="n">
        <s:v>4628</s:v>
      </s:c>
      <s:c r="F202" s="24">
        <s:f>'자료구성'!$B$2+TIME(INT($C$3/10000),INT(MOD($C$3,10000)/100),MOD($C$3,100))+(ROW()-ROW($C$3))/86400</s:f>
        <s:v>46247.410462962966</s:v>
      </s:c>
    </s:row>
    <s:row r="203">
      <s:c r="A203" s="0" t="n">
        <s:v>260813</s:v>
      </s:c>
      <s:c r="B203" s="0" t="inlineStr">
        <s:is>
          <s:t>이종훈</s:t>
        </s:is>
      </s:c>
      <s:c r="C203" s="0" t="n">
        <s:v>94745</s:v>
      </s:c>
      <s:c r="D203" s="0" t="n">
        <s:v>4718</s:v>
      </s:c>
      <s:c r="F203" s="24">
        <s:f>'자료구성'!$B$2+TIME(INT($C$3/10000),INT(MOD($C$3,10000)/100),MOD($C$3,100))+(ROW()-ROW($C$3))/86400</s:f>
        <s:v>46247.410474537035</s:v>
      </s:c>
    </s:row>
    <s:row r="204">
      <s:c r="A204" s="0" t="n">
        <s:v>260813</s:v>
      </s:c>
      <s:c r="B204" s="0" t="inlineStr">
        <s:is>
          <s:t>이종훈</s:t>
        </s:is>
      </s:c>
      <s:c r="C204" s="0" t="n">
        <s:v>94745</s:v>
      </s:c>
      <s:c r="D204" s="0" t="n">
        <s:v>4662</s:v>
      </s:c>
      <s:c r="F204" s="24">
        <s:f>'자료구성'!$B$2+TIME(INT($C$3/10000),INT(MOD($C$3,10000)/100),MOD($C$3,100))+(ROW()-ROW($C$3))/86400</s:f>
        <s:v>46247.41048611111</s:v>
      </s:c>
    </s:row>
    <s:row r="205">
      <s:c r="A205" s="0" t="n">
        <s:v>260813</s:v>
      </s:c>
      <s:c r="B205" s="0" t="inlineStr">
        <s:is>
          <s:t>이종훈</s:t>
        </s:is>
      </s:c>
      <s:c r="C205" s="0" t="n">
        <s:v>94745</s:v>
      </s:c>
      <s:c r="D205" s="0" t="n">
        <s:v>4579</s:v>
      </s:c>
      <s:c r="F205" s="24">
        <s:f>'자료구성'!$B$2+TIME(INT($C$3/10000),INT(MOD($C$3,10000)/100),MOD($C$3,100))+(ROW()-ROW($C$3))/86400</s:f>
        <s:v>46247.41049768519</s:v>
      </s:c>
    </s:row>
    <s:row r="206">
      <s:c r="A206" s="0" t="n">
        <s:v>260813</s:v>
      </s:c>
      <s:c r="B206" s="0" t="inlineStr">
        <s:is>
          <s:t>이종훈</s:t>
        </s:is>
      </s:c>
      <s:c r="C206" s="0" t="n">
        <s:v>94745</s:v>
      </s:c>
      <s:c r="D206" s="0" t="n">
        <s:v>4570</s:v>
      </s:c>
      <s:c r="F206" s="24">
        <s:f>'자료구성'!$B$2+TIME(INT($C$3/10000),INT(MOD($C$3,10000)/100),MOD($C$3,100))+(ROW()-ROW($C$3))/86400</s:f>
        <s:v>46247.41050925926</s:v>
      </s:c>
    </s:row>
    <s:row r="207">
      <s:c r="A207" s="0" t="n">
        <s:v>260813</s:v>
      </s:c>
      <s:c r="B207" s="0" t="inlineStr">
        <s:is>
          <s:t>이종훈</s:t>
        </s:is>
      </s:c>
      <s:c r="C207" s="0" t="n">
        <s:v>94745</s:v>
      </s:c>
      <s:c r="D207" s="0" t="n">
        <s:v>4619</s:v>
      </s:c>
      <s:c r="F207" s="24">
        <s:f>'자료구성'!$B$2+TIME(INT($C$3/10000),INT(MOD($C$3,10000)/100),MOD($C$3,100))+(ROW()-ROW($C$3))/86400</s:f>
        <s:v>46247.410520833335</s:v>
      </s:c>
    </s:row>
    <s:row r="208">
      <s:c r="A208" s="0" t="n">
        <s:v>260813</s:v>
      </s:c>
      <s:c r="B208" s="0" t="inlineStr">
        <s:is>
          <s:t>이종훈</s:t>
        </s:is>
      </s:c>
      <s:c r="C208" s="0" t="n">
        <s:v>94745</s:v>
      </s:c>
      <s:c r="D208" s="0" t="n">
        <s:v>4500</s:v>
      </s:c>
      <s:c r="F208" s="24">
        <s:f>'자료구성'!$B$2+TIME(INT($C$3/10000),INT(MOD($C$3,10000)/100),MOD($C$3,100))+(ROW()-ROW($C$3))/86400</s:f>
        <s:v>46247.410532407404</s:v>
      </s:c>
    </s:row>
    <s:row r="209">
      <s:c r="A209" s="0" t="n">
        <s:v>260813</s:v>
      </s:c>
      <s:c r="B209" s="0" t="inlineStr">
        <s:is>
          <s:t>이종훈</s:t>
        </s:is>
      </s:c>
      <s:c r="C209" s="0" t="n">
        <s:v>94745</s:v>
      </s:c>
      <s:c r="D209" s="0" t="n">
        <s:v>4392</s:v>
      </s:c>
      <s:c r="F209" s="24">
        <s:f>'자료구성'!$B$2+TIME(INT($C$3/10000),INT(MOD($C$3,10000)/100),MOD($C$3,100))+(ROW()-ROW($C$3))/86400</s:f>
        <s:v>46247.41054398148</s:v>
      </s:c>
    </s:row>
    <s:row r="210">
      <s:c r="A210" s="0" t="n">
        <s:v>260813</s:v>
      </s:c>
      <s:c r="B210" s="0" t="inlineStr">
        <s:is>
          <s:t>이종훈</s:t>
        </s:is>
      </s:c>
      <s:c r="C210" s="0" t="n">
        <s:v>94745</s:v>
      </s:c>
      <s:c r="D210" s="0" t="n">
        <s:v>4301</s:v>
      </s:c>
      <s:c r="F210" s="24">
        <s:f>'자료구성'!$B$2+TIME(INT($C$3/10000),INT(MOD($C$3,10000)/100),MOD($C$3,100))+(ROW()-ROW($C$3))/86400</s:f>
        <s:v>46247.41055555556</s:v>
      </s:c>
    </s:row>
    <s:row r="211">
      <s:c r="A211" s="0" t="n">
        <s:v>260813</s:v>
      </s:c>
      <s:c r="B211" s="0" t="inlineStr">
        <s:is>
          <s:t>이종훈</s:t>
        </s:is>
      </s:c>
      <s:c r="C211" s="0" t="n">
        <s:v>94745</s:v>
      </s:c>
      <s:c r="D211" s="0" t="n">
        <s:v>4187</s:v>
      </s:c>
      <s:c r="F211" s="24">
        <s:f>'자료구성'!$B$2+TIME(INT($C$3/10000),INT(MOD($C$3,10000)/100),MOD($C$3,100))+(ROW()-ROW($C$3))/86400</s:f>
        <s:v>46247.41056712963</s:v>
      </s:c>
    </s:row>
    <s:row r="212">
      <s:c r="A212" s="0" t="n">
        <s:v>260813</s:v>
      </s:c>
      <s:c r="B212" s="0" t="inlineStr">
        <s:is>
          <s:t>이종훈</s:t>
        </s:is>
      </s:c>
      <s:c r="C212" s="0" t="n">
        <s:v>94745</s:v>
      </s:c>
      <s:c r="D212" s="0" t="n">
        <s:v>4288</s:v>
      </s:c>
      <s:c r="F212" s="24">
        <s:f>'자료구성'!$B$2+TIME(INT($C$3/10000),INT(MOD($C$3,10000)/100),MOD($C$3,100))+(ROW()-ROW($C$3))/86400</s:f>
        <s:v>46247.410578703704</s:v>
      </s:c>
    </s:row>
    <s:row r="213">
      <s:c r="A213" s="0" t="n">
        <s:v>260813</s:v>
      </s:c>
      <s:c r="B213" s="0" t="inlineStr">
        <s:is>
          <s:t>이종훈</s:t>
        </s:is>
      </s:c>
      <s:c r="C213" s="0" t="n">
        <s:v>94745</s:v>
      </s:c>
      <s:c r="D213" s="0" t="n">
        <s:v>4416</s:v>
      </s:c>
      <s:c r="F213" s="24">
        <s:f>'자료구성'!$B$2+TIME(INT($C$3/10000),INT(MOD($C$3,10000)/100),MOD($C$3,100))+(ROW()-ROW($C$3))/86400</s:f>
        <s:v>46247.41059027778</s:v>
      </s:c>
    </s:row>
    <s:row r="214">
      <s:c r="A214" s="0" t="n">
        <s:v>260813</s:v>
      </s:c>
      <s:c r="B214" s="0" t="inlineStr">
        <s:is>
          <s:t>이종훈</s:t>
        </s:is>
      </s:c>
      <s:c r="C214" s="0" t="n">
        <s:v>94745</s:v>
      </s:c>
      <s:c r="D214" s="0" t="n">
        <s:v>4385</s:v>
      </s:c>
      <s:c r="F214" s="24">
        <s:f>'자료구성'!$B$2+TIME(INT($C$3/10000),INT(MOD($C$3,10000)/100),MOD($C$3,100))+(ROW()-ROW($C$3))/86400</s:f>
        <s:v>46247.41060185185</s:v>
      </s:c>
    </s:row>
    <s:row r="215">
      <s:c r="A215" s="0" t="n">
        <s:v>260813</s:v>
      </s:c>
      <s:c r="B215" s="0" t="inlineStr">
        <s:is>
          <s:t>이종훈</s:t>
        </s:is>
      </s:c>
      <s:c r="C215" s="0" t="n">
        <s:v>94745</s:v>
      </s:c>
      <s:c r="D215" s="0" t="n">
        <s:v>4351</s:v>
      </s:c>
      <s:c r="F215" s="24">
        <s:f>'자료구성'!$B$2+TIME(INT($C$3/10000),INT(MOD($C$3,10000)/100),MOD($C$3,100))+(ROW()-ROW($C$3))/86400</s:f>
        <s:v>46247.41061342593</s:v>
      </s:c>
    </s:row>
    <s:row r="216">
      <s:c r="A216" s="0" t="n">
        <s:v>260813</s:v>
      </s:c>
      <s:c r="B216" s="0" t="inlineStr">
        <s:is>
          <s:t>이종훈</s:t>
        </s:is>
      </s:c>
      <s:c r="C216" s="0" t="n">
        <s:v>94745</s:v>
      </s:c>
      <s:c r="D216" s="0" t="n">
        <s:v>4355</s:v>
      </s:c>
      <s:c r="F216" s="24">
        <s:f>'자료구성'!$B$2+TIME(INT($C$3/10000),INT(MOD($C$3,10000)/100),MOD($C$3,100))+(ROW()-ROW($C$3))/86400</s:f>
        <s:v>46247.410625</s:v>
      </s:c>
    </s:row>
    <s:row r="217">
      <s:c r="A217" s="0" t="n">
        <s:v>260813</s:v>
      </s:c>
      <s:c r="B217" s="0" t="inlineStr">
        <s:is>
          <s:t>이종훈</s:t>
        </s:is>
      </s:c>
      <s:c r="C217" s="0" t="n">
        <s:v>94745</s:v>
      </s:c>
      <s:c r="D217" s="0" t="n">
        <s:v>4348</s:v>
      </s:c>
      <s:c r="F217" s="24">
        <s:f>'자료구성'!$B$2+TIME(INT($C$3/10000),INT(MOD($C$3,10000)/100),MOD($C$3,100))+(ROW()-ROW($C$3))/86400</s:f>
        <s:v>46247.41063657407</s:v>
      </s:c>
    </s:row>
    <s:row r="218">
      <s:c r="A218" s="0" t="n">
        <s:v>260813</s:v>
      </s:c>
      <s:c r="B218" s="0" t="inlineStr">
        <s:is>
          <s:t>이종훈</s:t>
        </s:is>
      </s:c>
      <s:c r="C218" s="0" t="n">
        <s:v>94745</s:v>
      </s:c>
      <s:c r="D218" s="0" t="n">
        <s:v>4324</s:v>
      </s:c>
      <s:c r="F218" s="24">
        <s:f>'자료구성'!$B$2+TIME(INT($C$3/10000),INT(MOD($C$3,10000)/100),MOD($C$3,100))+(ROW()-ROW($C$3))/86400</s:f>
        <s:v>46247.41064814815</s:v>
      </s:c>
    </s:row>
    <s:row r="219">
      <s:c r="A219" s="0" t="n">
        <s:v>260813</s:v>
      </s:c>
      <s:c r="B219" s="0" t="inlineStr">
        <s:is>
          <s:t>이종훈</s:t>
        </s:is>
      </s:c>
      <s:c r="C219" s="0" t="n">
        <s:v>94745</s:v>
      </s:c>
      <s:c r="D219" s="0" t="n">
        <s:v>4408</s:v>
      </s:c>
      <s:c r="F219" s="24">
        <s:f>'자료구성'!$B$2+TIME(INT($C$3/10000),INT(MOD($C$3,10000)/100),MOD($C$3,100))+(ROW()-ROW($C$3))/86400</s:f>
        <s:v>46247.41065972222</s:v>
      </s:c>
    </s:row>
    <s:row r="220">
      <s:c r="A220" s="0" t="n">
        <s:v>260813</s:v>
      </s:c>
      <s:c r="B220" s="0" t="inlineStr">
        <s:is>
          <s:t>이종훈</s:t>
        </s:is>
      </s:c>
      <s:c r="C220" s="0" t="n">
        <s:v>94745</s:v>
      </s:c>
      <s:c r="D220" s="0" t="n">
        <s:v>4555</s:v>
      </s:c>
      <s:c r="F220" s="24">
        <s:f>'자료구성'!$B$2+TIME(INT($C$3/10000),INT(MOD($C$3,10000)/100),MOD($C$3,100))+(ROW()-ROW($C$3))/86400</s:f>
        <s:v>46247.4106712963</s:v>
      </s:c>
    </s:row>
    <s:row r="221">
      <s:c r="A221" s="0" t="n">
        <s:v>260813</s:v>
      </s:c>
      <s:c r="B221" s="0" t="inlineStr">
        <s:is>
          <s:t>이종훈</s:t>
        </s:is>
      </s:c>
      <s:c r="C221" s="0" t="n">
        <s:v>94745</s:v>
      </s:c>
      <s:c r="D221" s="0" t="n">
        <s:v>4607</s:v>
      </s:c>
      <s:c r="F221" s="24">
        <s:f>'자료구성'!$B$2+TIME(INT($C$3/10000),INT(MOD($C$3,10000)/100),MOD($C$3,100))+(ROW()-ROW($C$3))/86400</s:f>
        <s:v>46247.41068287037</s:v>
      </s:c>
    </s:row>
    <s:row r="222">
      <s:c r="A222" s="0" t="n">
        <s:v>260813</s:v>
      </s:c>
      <s:c r="B222" s="0" t="inlineStr">
        <s:is>
          <s:t>이종훈</s:t>
        </s:is>
      </s:c>
      <s:c r="C222" s="0" t="n">
        <s:v>94745</s:v>
      </s:c>
      <s:c r="D222" s="0" t="n">
        <s:v>4571</s:v>
      </s:c>
      <s:c r="F222" s="24">
        <s:f>'자료구성'!$B$2+TIME(INT($C$3/10000),INT(MOD($C$3,10000)/100),MOD($C$3,100))+(ROW()-ROW($C$3))/86400</s:f>
        <s:v>46247.41069444444</s:v>
      </s:c>
    </s:row>
    <s:row r="223">
      <s:c r="A223" s="0" t="n">
        <s:v>260813</s:v>
      </s:c>
      <s:c r="B223" s="0" t="inlineStr">
        <s:is>
          <s:t>이종훈</s:t>
        </s:is>
      </s:c>
      <s:c r="C223" s="0" t="n">
        <s:v>94745</s:v>
      </s:c>
      <s:c r="D223" s="0" t="n">
        <s:v>4521</s:v>
      </s:c>
      <s:c r="F223" s="24">
        <s:f>'자료구성'!$B$2+TIME(INT($C$3/10000),INT(MOD($C$3,10000)/100),MOD($C$3,100))+(ROW()-ROW($C$3))/86400</s:f>
        <s:v>46247.41070601852</s:v>
      </s:c>
    </s:row>
    <s:row r="224">
      <s:c r="A224" s="0" t="n">
        <s:v>260813</s:v>
      </s:c>
      <s:c r="B224" s="0" t="inlineStr">
        <s:is>
          <s:t>이종훈</s:t>
        </s:is>
      </s:c>
      <s:c r="C224" s="0" t="n">
        <s:v>94745</s:v>
      </s:c>
      <s:c r="D224" s="0" t="n">
        <s:v>4457</s:v>
      </s:c>
      <s:c r="F224" s="24">
        <s:f>'자료구성'!$B$2+TIME(INT($C$3/10000),INT(MOD($C$3,10000)/100),MOD($C$3,100))+(ROW()-ROW($C$3))/86400</s:f>
        <s:v>46247.41071759259</s:v>
      </s:c>
    </s:row>
    <s:row r="225">
      <s:c r="A225" s="0" t="n">
        <s:v>260813</s:v>
      </s:c>
      <s:c r="B225" s="0" t="inlineStr">
        <s:is>
          <s:t>이종훈</s:t>
        </s:is>
      </s:c>
      <s:c r="C225" s="0" t="n">
        <s:v>94745</s:v>
      </s:c>
      <s:c r="D225" s="0" t="n">
        <s:v>4384</s:v>
      </s:c>
      <s:c r="F225" s="24">
        <s:f>'자료구성'!$B$2+TIME(INT($C$3/10000),INT(MOD($C$3,10000)/100),MOD($C$3,100))+(ROW()-ROW($C$3))/86400</s:f>
        <s:v>46247.410729166666</s:v>
      </s:c>
    </s:row>
    <s:row r="226">
      <s:c r="A226" s="0" t="n">
        <s:v>260813</s:v>
      </s:c>
      <s:c r="B226" s="0" t="inlineStr">
        <s:is>
          <s:t>이종훈</s:t>
        </s:is>
      </s:c>
      <s:c r="C226" s="0" t="n">
        <s:v>94745</s:v>
      </s:c>
      <s:c r="D226" s="0" t="n">
        <s:v>4298</s:v>
      </s:c>
      <s:c r="F226" s="24">
        <s:f>'자료구성'!$B$2+TIME(INT($C$3/10000),INT(MOD($C$3,10000)/100),MOD($C$3,100))+(ROW()-ROW($C$3))/86400</s:f>
        <s:v>46247.41074074074</s:v>
      </s:c>
    </s:row>
    <s:row r="227">
      <s:c r="A227" s="0" t="n">
        <s:v>260813</s:v>
      </s:c>
      <s:c r="B227" s="0" t="inlineStr">
        <s:is>
          <s:t>이종훈</s:t>
        </s:is>
      </s:c>
      <s:c r="C227" s="0" t="n">
        <s:v>94745</s:v>
      </s:c>
      <s:c r="D227" s="0" t="n">
        <s:v>4283</s:v>
      </s:c>
      <s:c r="F227" s="24">
        <s:f>'자료구성'!$B$2+TIME(INT($C$3/10000),INT(MOD($C$3,10000)/100),MOD($C$3,100))+(ROW()-ROW($C$3))/86400</s:f>
        <s:v>46247.41075231481</s:v>
      </s:c>
    </s:row>
    <s:row r="228">
      <s:c r="A228" s="0" t="n">
        <s:v>260813</s:v>
      </s:c>
      <s:c r="B228" s="0" t="inlineStr">
        <s:is>
          <s:t>이종훈</s:t>
        </s:is>
      </s:c>
      <s:c r="C228" s="0" t="n">
        <s:v>94745</s:v>
      </s:c>
      <s:c r="D228" s="0" t="n">
        <s:v>4275</s:v>
      </s:c>
      <s:c r="F228" s="24">
        <s:f>'자료구성'!$B$2+TIME(INT($C$3/10000),INT(MOD($C$3,10000)/100),MOD($C$3,100))+(ROW()-ROW($C$3))/86400</s:f>
        <s:v>46247.41076388889</s:v>
      </s:c>
    </s:row>
    <s:row r="229">
      <s:c r="A229" s="0" t="n">
        <s:v>260813</s:v>
      </s:c>
      <s:c r="B229" s="0" t="inlineStr">
        <s:is>
          <s:t>이종훈</s:t>
        </s:is>
      </s:c>
      <s:c r="C229" s="0" t="n">
        <s:v>94745</s:v>
      </s:c>
      <s:c r="D229" s="0" t="n">
        <s:v>4183</s:v>
      </s:c>
      <s:c r="F229" s="24">
        <s:f>'자료구성'!$B$2+TIME(INT($C$3/10000),INT(MOD($C$3,10000)/100),MOD($C$3,100))+(ROW()-ROW($C$3))/86400</s:f>
        <s:v>46247.410775462966</s:v>
      </s:c>
    </s:row>
    <s:row r="230">
      <s:c r="A230" s="0" t="n">
        <s:v>260813</s:v>
      </s:c>
      <s:c r="B230" s="0" t="inlineStr">
        <s:is>
          <s:t>이종훈</s:t>
        </s:is>
      </s:c>
      <s:c r="C230" s="0" t="n">
        <s:v>94745</s:v>
      </s:c>
      <s:c r="D230" s="0" t="n">
        <s:v>4152</s:v>
      </s:c>
      <s:c r="F230" s="24">
        <s:f>'자료구성'!$B$2+TIME(INT($C$3/10000),INT(MOD($C$3,10000)/100),MOD($C$3,100))+(ROW()-ROW($C$3))/86400</s:f>
        <s:v>46247.410787037035</s:v>
      </s:c>
    </s:row>
    <s:row r="231">
      <s:c r="A231" s="0" t="n">
        <s:v>260813</s:v>
      </s:c>
      <s:c r="B231" s="0" t="inlineStr">
        <s:is>
          <s:t>이종훈</s:t>
        </s:is>
      </s:c>
      <s:c r="C231" s="0" t="n">
        <s:v>94745</s:v>
      </s:c>
      <s:c r="D231" s="0" t="n">
        <s:v>4127</s:v>
      </s:c>
      <s:c r="F231" s="24">
        <s:f>'자료구성'!$B$2+TIME(INT($C$3/10000),INT(MOD($C$3,10000)/100),MOD($C$3,100))+(ROW()-ROW($C$3))/86400</s:f>
        <s:v>46247.41079861111</s:v>
      </s:c>
    </s:row>
    <s:row r="232">
      <s:c r="A232" s="0" t="n">
        <s:v>260813</s:v>
      </s:c>
      <s:c r="B232" s="0" t="inlineStr">
        <s:is>
          <s:t>이종훈</s:t>
        </s:is>
      </s:c>
      <s:c r="C232" s="0" t="n">
        <s:v>94745</s:v>
      </s:c>
      <s:c r="D232" s="0" t="n">
        <s:v>3978</s:v>
      </s:c>
      <s:c r="F232" s="24">
        <s:f>'자료구성'!$B$2+TIME(INT($C$3/10000),INT(MOD($C$3,10000)/100),MOD($C$3,100))+(ROW()-ROW($C$3))/86400</s:f>
        <s:v>46247.41081018518</s:v>
      </s:c>
    </s:row>
    <s:row r="233">
      <s:c r="A233" s="0" t="n">
        <s:v>260813</s:v>
      </s:c>
      <s:c r="B233" s="0" t="inlineStr">
        <s:is>
          <s:t>이종훈</s:t>
        </s:is>
      </s:c>
      <s:c r="C233" s="0" t="n">
        <s:v>94745</s:v>
      </s:c>
      <s:c r="D233" s="0" t="n">
        <s:v>3830</s:v>
      </s:c>
      <s:c r="F233" s="24">
        <s:f>'자료구성'!$B$2+TIME(INT($C$3/10000),INT(MOD($C$3,10000)/100),MOD($C$3,100))+(ROW()-ROW($C$3))/86400</s:f>
        <s:v>46247.41082175926</s:v>
      </s:c>
    </s:row>
    <s:row r="234">
      <s:c r="A234" s="0" t="n">
        <s:v>260813</s:v>
      </s:c>
      <s:c r="B234" s="0" t="inlineStr">
        <s:is>
          <s:t>이종훈</s:t>
        </s:is>
      </s:c>
      <s:c r="C234" s="0" t="n">
        <s:v>94745</s:v>
      </s:c>
      <s:c r="D234" s="0" t="n">
        <s:v>3695</s:v>
      </s:c>
      <s:c r="F234" s="24">
        <s:f>'자료구성'!$B$2+TIME(INT($C$3/10000),INT(MOD($C$3,10000)/100),MOD($C$3,100))+(ROW()-ROW($C$3))/86400</s:f>
        <s:v>46247.410833333335</s:v>
      </s:c>
    </s:row>
    <s:row r="235">
      <s:c r="A235" s="0" t="n">
        <s:v>260813</s:v>
      </s:c>
      <s:c r="B235" s="0" t="inlineStr">
        <s:is>
          <s:t>이종훈</s:t>
        </s:is>
      </s:c>
      <s:c r="C235" s="0" t="n">
        <s:v>94745</s:v>
      </s:c>
      <s:c r="D235" s="0" t="n">
        <s:v>3559</s:v>
      </s:c>
      <s:c r="F235" s="24">
        <s:f>'자료구성'!$B$2+TIME(INT($C$3/10000),INT(MOD($C$3,10000)/100),MOD($C$3,100))+(ROW()-ROW($C$3))/86400</s:f>
        <s:v>46247.410844907405</s:v>
      </s:c>
    </s:row>
    <s:row r="236">
      <s:c r="A236" s="0" t="n">
        <s:v>260813</s:v>
      </s:c>
      <s:c r="B236" s="0" t="inlineStr">
        <s:is>
          <s:t>이종훈</s:t>
        </s:is>
      </s:c>
      <s:c r="C236" s="0" t="n">
        <s:v>94745</s:v>
      </s:c>
      <s:c r="D236" s="0" t="n">
        <s:v>3438</s:v>
      </s:c>
      <s:c r="F236" s="24">
        <s:f>'자료구성'!$B$2+TIME(INT($C$3/10000),INT(MOD($C$3,10000)/100),MOD($C$3,100))+(ROW()-ROW($C$3))/86400</s:f>
        <s:v>46247.41085648148</s:v>
      </s:c>
    </s:row>
    <s:row r="237">
      <s:c r="A237" s="0" t="n">
        <s:v>260813</s:v>
      </s:c>
      <s:c r="B237" s="0" t="inlineStr">
        <s:is>
          <s:t>이종훈</s:t>
        </s:is>
      </s:c>
      <s:c r="C237" s="0" t="n">
        <s:v>94745</s:v>
      </s:c>
      <s:c r="D237" s="0" t="n">
        <s:v>3355</s:v>
      </s:c>
      <s:c r="F237" s="24">
        <s:f>'자료구성'!$B$2+TIME(INT($C$3/10000),INT(MOD($C$3,10000)/100),MOD($C$3,100))+(ROW()-ROW($C$3))/86400</s:f>
        <s:v>46247.41086805556</s:v>
      </s:c>
    </s:row>
    <s:row r="238">
      <s:c r="A238" s="0" t="n">
        <s:v>260813</s:v>
      </s:c>
      <s:c r="B238" s="0" t="inlineStr">
        <s:is>
          <s:t>이종훈</s:t>
        </s:is>
      </s:c>
      <s:c r="C238" s="0" t="n">
        <s:v>94745</s:v>
      </s:c>
      <s:c r="D238" s="0" t="n">
        <s:v>3281</s:v>
      </s:c>
      <s:c r="F238" s="24">
        <s:f>'자료구성'!$B$2+TIME(INT($C$3/10000),INT(MOD($C$3,10000)/100),MOD($C$3,100))+(ROW()-ROW($C$3))/86400</s:f>
        <s:v>46247.41087962963</s:v>
      </s:c>
    </s:row>
    <s:row r="239">
      <s:c r="A239" s="0" t="n">
        <s:v>260813</s:v>
      </s:c>
      <s:c r="B239" s="0" t="inlineStr">
        <s:is>
          <s:t>이종훈</s:t>
        </s:is>
      </s:c>
      <s:c r="C239" s="0" t="n">
        <s:v>94745</s:v>
      </s:c>
      <s:c r="D239" s="0" t="n">
        <s:v>3211</s:v>
      </s:c>
      <s:c r="F239" s="24">
        <s:f>'자료구성'!$B$2+TIME(INT($C$3/10000),INT(MOD($C$3,10000)/100),MOD($C$3,100))+(ROW()-ROW($C$3))/86400</s:f>
        <s:v>46247.410891203705</s:v>
      </s:c>
    </s:row>
    <s:row r="240">
      <s:c r="A240" s="0" t="n">
        <s:v>260813</s:v>
      </s:c>
      <s:c r="B240" s="0" t="inlineStr">
        <s:is>
          <s:t>이종훈</s:t>
        </s:is>
      </s:c>
      <s:c r="C240" s="0" t="n">
        <s:v>94745</s:v>
      </s:c>
      <s:c r="D240" s="0" t="n">
        <s:v>3148</s:v>
      </s:c>
      <s:c r="F240" s="24">
        <s:f>'자료구성'!$B$2+TIME(INT($C$3/10000),INT(MOD($C$3,10000)/100),MOD($C$3,100))+(ROW()-ROW($C$3))/86400</s:f>
        <s:v>46247.41090277778</s:v>
      </s:c>
    </s:row>
    <s:row r="241">
      <s:c r="A241" s="0" t="n">
        <s:v>260813</s:v>
      </s:c>
      <s:c r="B241" s="0" t="inlineStr">
        <s:is>
          <s:t>이종훈</s:t>
        </s:is>
      </s:c>
      <s:c r="C241" s="0" t="n">
        <s:v>94745</s:v>
      </s:c>
      <s:c r="D241" s="0" t="n">
        <s:v>3063</s:v>
      </s:c>
      <s:c r="F241" s="24">
        <s:f>'자료구성'!$B$2+TIME(INT($C$3/10000),INT(MOD($C$3,10000)/100),MOD($C$3,100))+(ROW()-ROW($C$3))/86400</s:f>
        <s:v>46247.41091435185</s:v>
      </s:c>
    </s:row>
    <s:row r="242">
      <s:c r="A242" s="0" t="n">
        <s:v>260813</s:v>
      </s:c>
      <s:c r="B242" s="0" t="inlineStr">
        <s:is>
          <s:t>이종훈</s:t>
        </s:is>
      </s:c>
      <s:c r="C242" s="0" t="n">
        <s:v>94745</s:v>
      </s:c>
      <s:c r="D242" s="0" t="n">
        <s:v>3004</s:v>
      </s:c>
      <s:c r="F242" s="24">
        <s:f>'자료구성'!$B$2+TIME(INT($C$3/10000),INT(MOD($C$3,10000)/100),MOD($C$3,100))+(ROW()-ROW($C$3))/86400</s:f>
        <s:v>46247.41092592593</s:v>
      </s:c>
    </s:row>
    <s:row r="243">
      <s:c r="A243" s="0" t="n">
        <s:v>260813</s:v>
      </s:c>
      <s:c r="B243" s="0" t="inlineStr">
        <s:is>
          <s:t>이종훈</s:t>
        </s:is>
      </s:c>
      <s:c r="C243" s="0" t="n">
        <s:v>94745</s:v>
      </s:c>
      <s:c r="D243" s="0" t="n">
        <s:v>2963</s:v>
      </s:c>
      <s:c r="F243" s="24">
        <s:f>'자료구성'!$B$2+TIME(INT($C$3/10000),INT(MOD($C$3,10000)/100),MOD($C$3,100))+(ROW()-ROW($C$3))/86400</s:f>
        <s:v>46247.4109375</s:v>
      </s:c>
    </s:row>
    <s:row r="244">
      <s:c r="A244" s="0" t="n">
        <s:v>260813</s:v>
      </s:c>
      <s:c r="B244" s="0" t="inlineStr">
        <s:is>
          <s:t>이종훈</s:t>
        </s:is>
      </s:c>
      <s:c r="C244" s="0" t="n">
        <s:v>94745</s:v>
      </s:c>
      <s:c r="D244" s="0" t="n">
        <s:v>2926</s:v>
      </s:c>
      <s:c r="F244" s="24">
        <s:f>'자료구성'!$B$2+TIME(INT($C$3/10000),INT(MOD($C$3,10000)/100),MOD($C$3,100))+(ROW()-ROW($C$3))/86400</s:f>
        <s:v>46247.410949074074</s:v>
      </s:c>
    </s:row>
    <s:row r="245">
      <s:c r="A245" s="0" t="n">
        <s:v>260813</s:v>
      </s:c>
      <s:c r="B245" s="0" t="inlineStr">
        <s:is>
          <s:t>이종훈</s:t>
        </s:is>
      </s:c>
      <s:c r="C245" s="0" t="n">
        <s:v>94745</s:v>
      </s:c>
      <s:c r="D245" s="0" t="n">
        <s:v>2893</s:v>
      </s:c>
      <s:c r="F245" s="24">
        <s:f>'자료구성'!$B$2+TIME(INT($C$3/10000),INT(MOD($C$3,10000)/100),MOD($C$3,100))+(ROW()-ROW($C$3))/86400</s:f>
        <s:v>46247.41096064815</s:v>
      </s:c>
    </s:row>
    <s:row r="246">
      <s:c r="A246" s="0" t="n">
        <s:v>260813</s:v>
      </s:c>
      <s:c r="B246" s="0" t="inlineStr">
        <s:is>
          <s:t>이종훈</s:t>
        </s:is>
      </s:c>
      <s:c r="C246" s="0" t="n">
        <s:v>94745</s:v>
      </s:c>
      <s:c r="D246" s="0" t="n">
        <s:v>2845</s:v>
      </s:c>
      <s:c r="F246" s="24">
        <s:f>'자료구성'!$B$2+TIME(INT($C$3/10000),INT(MOD($C$3,10000)/100),MOD($C$3,100))+(ROW()-ROW($C$3))/86400</s:f>
        <s:v>46247.41097222222</s:v>
      </s:c>
    </s:row>
    <s:row r="247">
      <s:c r="A247" s="0" t="n">
        <s:v>260813</s:v>
      </s:c>
      <s:c r="B247" s="0" t="inlineStr">
        <s:is>
          <s:t>이종훈</s:t>
        </s:is>
      </s:c>
      <s:c r="C247" s="0" t="n">
        <s:v>94745</s:v>
      </s:c>
      <s:c r="D247" s="0" t="n">
        <s:v>2780</s:v>
      </s:c>
      <s:c r="F247" s="24">
        <s:f>'자료구성'!$B$2+TIME(INT($C$3/10000),INT(MOD($C$3,10000)/100),MOD($C$3,100))+(ROW()-ROW($C$3))/86400</s:f>
        <s:v>46247.4109837963</s:v>
      </s:c>
    </s:row>
    <s:row r="248">
      <s:c r="A248" s="0" t="n">
        <s:v>260813</s:v>
      </s:c>
      <s:c r="B248" s="0" t="inlineStr">
        <s:is>
          <s:t>이종훈</s:t>
        </s:is>
      </s:c>
      <s:c r="C248" s="0" t="n">
        <s:v>94745</s:v>
      </s:c>
      <s:c r="D248" s="0" t="n">
        <s:v>2771</s:v>
      </s:c>
      <s:c r="F248" s="24">
        <s:f>'자료구성'!$B$2+TIME(INT($C$3/10000),INT(MOD($C$3,10000)/100),MOD($C$3,100))+(ROW()-ROW($C$3))/86400</s:f>
        <s:v>46247.410995370374</s:v>
      </s:c>
    </s:row>
    <s:row r="249">
      <s:c r="A249" s="0" t="n">
        <s:v>260813</s:v>
      </s:c>
      <s:c r="B249" s="0" t="inlineStr">
        <s:is>
          <s:t>이종훈</s:t>
        </s:is>
      </s:c>
      <s:c r="C249" s="0" t="n">
        <s:v>94745</s:v>
      </s:c>
      <s:c r="D249" s="0" t="n">
        <s:v>2864</s:v>
      </s:c>
      <s:c r="F249" s="24">
        <s:f>'자료구성'!$B$2+TIME(INT($C$3/10000),INT(MOD($C$3,10000)/100),MOD($C$3,100))+(ROW()-ROW($C$3))/86400</s:f>
        <s:v>46247.41100694444</s:v>
      </s:c>
    </s:row>
    <s:row r="250">
      <s:c r="A250" s="0" t="n">
        <s:v>260813</s:v>
      </s:c>
      <s:c r="B250" s="0" t="inlineStr">
        <s:is>
          <s:t>이종훈</s:t>
        </s:is>
      </s:c>
      <s:c r="C250" s="0" t="n">
        <s:v>94745</s:v>
      </s:c>
      <s:c r="D250" s="0" t="n">
        <s:v>2969</s:v>
      </s:c>
      <s:c r="F250" s="24">
        <s:f>'자료구성'!$B$2+TIME(INT($C$3/10000),INT(MOD($C$3,10000)/100),MOD($C$3,100))+(ROW()-ROW($C$3))/86400</s:f>
        <s:v>46247.41101851852</s:v>
      </s:c>
    </s:row>
    <s:row r="251">
      <s:c r="A251" s="0" t="n">
        <s:v>260813</s:v>
      </s:c>
      <s:c r="B251" s="0" t="inlineStr">
        <s:is>
          <s:t>이종훈</s:t>
        </s:is>
      </s:c>
      <s:c r="C251" s="0" t="n">
        <s:v>94745</s:v>
      </s:c>
      <s:c r="D251" s="0" t="n">
        <s:v>3067</s:v>
      </s:c>
      <s:c r="F251" s="24">
        <s:f>'자료구성'!$B$2+TIME(INT($C$3/10000),INT(MOD($C$3,10000)/100),MOD($C$3,100))+(ROW()-ROW($C$3))/86400</s:f>
        <s:v>46247.41103009259</s:v>
      </s:c>
    </s:row>
    <s:row r="252">
      <s:c r="A252" s="0" t="n">
        <s:v>260813</s:v>
      </s:c>
      <s:c r="B252" s="0" t="inlineStr">
        <s:is>
          <s:t>이종훈</s:t>
        </s:is>
      </s:c>
      <s:c r="C252" s="0" t="n">
        <s:v>94745</s:v>
      </s:c>
      <s:c r="D252" s="0" t="n">
        <s:v>3129</s:v>
      </s:c>
      <s:c r="F252" s="24">
        <s:f>'자료구성'!$B$2+TIME(INT($C$3/10000),INT(MOD($C$3,10000)/100),MOD($C$3,100))+(ROW()-ROW($C$3))/86400</s:f>
        <s:v>46247.411041666666</s:v>
      </s:c>
    </s:row>
    <s:row r="253">
      <s:c r="A253" s="0" t="n">
        <s:v>260813</s:v>
      </s:c>
      <s:c r="B253" s="0" t="inlineStr">
        <s:is>
          <s:t>이종훈</s:t>
        </s:is>
      </s:c>
      <s:c r="C253" s="0" t="n">
        <s:v>94745</s:v>
      </s:c>
      <s:c r="D253" s="0" t="n">
        <s:v>3205</s:v>
      </s:c>
      <s:c r="F253" s="24">
        <s:f>'자료구성'!$B$2+TIME(INT($C$3/10000),INT(MOD($C$3,10000)/100),MOD($C$3,100))+(ROW()-ROW($C$3))/86400</s:f>
        <s:v>46247.41105324074</s:v>
      </s:c>
    </s:row>
    <s:row r="254">
      <s:c r="A254" s="0" t="n">
        <s:v>260813</s:v>
      </s:c>
      <s:c r="B254" s="0" t="inlineStr">
        <s:is>
          <s:t>이종훈</s:t>
        </s:is>
      </s:c>
      <s:c r="C254" s="0" t="n">
        <s:v>94745</s:v>
      </s:c>
      <s:c r="D254" s="0" t="n">
        <s:v>3299</s:v>
      </s:c>
      <s:c r="F254" s="24">
        <s:f>'자료구성'!$B$2+TIME(INT($C$3/10000),INT(MOD($C$3,10000)/100),MOD($C$3,100))+(ROW()-ROW($C$3))/86400</s:f>
        <s:v>46247.41106481481</s:v>
      </s:c>
    </s:row>
    <s:row r="255">
      <s:c r="A255" s="0" t="n">
        <s:v>260813</s:v>
      </s:c>
      <s:c r="B255" s="0" t="inlineStr">
        <s:is>
          <s:t>이종훈</s:t>
        </s:is>
      </s:c>
      <s:c r="C255" s="0" t="n">
        <s:v>94745</s:v>
      </s:c>
      <s:c r="D255" s="0" t="n">
        <s:v>3299</s:v>
      </s:c>
      <s:c r="F255" s="24">
        <s:f>'자료구성'!$B$2+TIME(INT($C$3/10000),INT(MOD($C$3,10000)/100),MOD($C$3,100))+(ROW()-ROW($C$3))/86400</s:f>
        <s:v>46247.41107638889</s:v>
      </s:c>
    </s:row>
    <s:row r="256">
      <s:c r="A256" s="0" t="n">
        <s:v>260813</s:v>
      </s:c>
      <s:c r="B256" s="0" t="inlineStr">
        <s:is>
          <s:t>이종훈</s:t>
        </s:is>
      </s:c>
      <s:c r="C256" s="0" t="n">
        <s:v>94745</s:v>
      </s:c>
      <s:c r="D256" s="0" t="n">
        <s:v>3382</s:v>
      </s:c>
      <s:c r="F256" s="24">
        <s:f>'자료구성'!$B$2+TIME(INT($C$3/10000),INT(MOD($C$3,10000)/100),MOD($C$3,100))+(ROW()-ROW($C$3))/86400</s:f>
        <s:v>46247.411087962966</s:v>
      </s:c>
    </s:row>
    <s:row r="257">
      <s:c r="A257" s="0" t="n">
        <s:v>260813</s:v>
      </s:c>
      <s:c r="B257" s="0" t="inlineStr">
        <s:is>
          <s:t>이종훈</s:t>
        </s:is>
      </s:c>
      <s:c r="C257" s="0" t="n">
        <s:v>94745</s:v>
      </s:c>
      <s:c r="D257" s="0" t="n">
        <s:v>3503</s:v>
      </s:c>
      <s:c r="F257" s="24">
        <s:f>'자료구성'!$B$2+TIME(INT($C$3/10000),INT(MOD($C$3,10000)/100),MOD($C$3,100))+(ROW()-ROW($C$3))/86400</s:f>
        <s:v>46247.411099537036</s:v>
      </s:c>
    </s:row>
    <s:row r="258">
      <s:c r="A258" s="0" t="n">
        <s:v>260813</s:v>
      </s:c>
      <s:c r="B258" s="0" t="inlineStr">
        <s:is>
          <s:t>이종훈</s:t>
        </s:is>
      </s:c>
      <s:c r="C258" s="0" t="n">
        <s:v>94745</s:v>
      </s:c>
      <s:c r="D258" s="0" t="n">
        <s:v>3573</s:v>
      </s:c>
      <s:c r="F258" s="24">
        <s:f>'자료구성'!$B$2+TIME(INT($C$3/10000),INT(MOD($C$3,10000)/100),MOD($C$3,100))+(ROW()-ROW($C$3))/86400</s:f>
        <s:v>46247.41111111111</s:v>
      </s:c>
    </s:row>
    <s:row r="259">
      <s:c r="A259" s="0" t="n">
        <s:v>260813</s:v>
      </s:c>
      <s:c r="B259" s="0" t="inlineStr">
        <s:is>
          <s:t>이종훈</s:t>
        </s:is>
      </s:c>
      <s:c r="C259" s="0" t="n">
        <s:v>94745</s:v>
      </s:c>
      <s:c r="D259" s="0" t="n">
        <s:v>3653</s:v>
      </s:c>
      <s:c r="F259" s="24">
        <s:f>'자료구성'!$B$2+TIME(INT($C$3/10000),INT(MOD($C$3,10000)/100),MOD($C$3,100))+(ROW()-ROW($C$3))/86400</s:f>
        <s:v>46247.41112268518</s:v>
      </s:c>
    </s:row>
    <s:row r="260">
      <s:c r="A260" s="0" t="n">
        <s:v>260813</s:v>
      </s:c>
      <s:c r="B260" s="0" t="inlineStr">
        <s:is>
          <s:t>이종훈</s:t>
        </s:is>
      </s:c>
      <s:c r="C260" s="0" t="n">
        <s:v>94745</s:v>
      </s:c>
      <s:c r="D260" s="0" t="n">
        <s:v>3681</s:v>
      </s:c>
      <s:c r="F260" s="24">
        <s:f>'자료구성'!$B$2+TIME(INT($C$3/10000),INT(MOD($C$3,10000)/100),MOD($C$3,100))+(ROW()-ROW($C$3))/86400</s:f>
        <s:v>46247.41113425926</s:v>
      </s:c>
    </s:row>
    <s:row r="261">
      <s:c r="A261" s="0" t="n">
        <s:v>260813</s:v>
      </s:c>
      <s:c r="B261" s="0" t="inlineStr">
        <s:is>
          <s:t>이종훈</s:t>
        </s:is>
      </s:c>
      <s:c r="C261" s="0" t="n">
        <s:v>94745</s:v>
      </s:c>
      <s:c r="D261" s="0" t="n">
        <s:v>3683</s:v>
      </s:c>
      <s:c r="F261" s="24">
        <s:f>'자료구성'!$B$2+TIME(INT($C$3/10000),INT(MOD($C$3,10000)/100),MOD($C$3,100))+(ROW()-ROW($C$3))/86400</s:f>
        <s:v>46247.411145833335</s:v>
      </s:c>
    </s:row>
    <s:row r="262">
      <s:c r="A262" s="0" t="n">
        <s:v>260813</s:v>
      </s:c>
      <s:c r="B262" s="0" t="inlineStr">
        <s:is>
          <s:t>이종훈</s:t>
        </s:is>
      </s:c>
      <s:c r="C262" s="0" t="n">
        <s:v>94745</s:v>
      </s:c>
      <s:c r="D262" s="0" t="n">
        <s:v>3715</s:v>
      </s:c>
      <s:c r="F262" s="24">
        <s:f>'자료구성'!$B$2+TIME(INT($C$3/10000),INT(MOD($C$3,10000)/100),MOD($C$3,100))+(ROW()-ROW($C$3))/86400</s:f>
        <s:v>46247.411157407405</s:v>
      </s:c>
    </s:row>
    <s:row r="263">
      <s:c r="A263" s="0" t="n">
        <s:v>260813</s:v>
      </s:c>
      <s:c r="B263" s="0" t="inlineStr">
        <s:is>
          <s:t>이종훈</s:t>
        </s:is>
      </s:c>
      <s:c r="C263" s="0" t="n">
        <s:v>94745</s:v>
      </s:c>
      <s:c r="D263" s="0" t="n">
        <s:v>3685</s:v>
      </s:c>
      <s:c r="F263" s="24">
        <s:f>'자료구성'!$B$2+TIME(INT($C$3/10000),INT(MOD($C$3,10000)/100),MOD($C$3,100))+(ROW()-ROW($C$3))/86400</s:f>
        <s:v>46247.41116898148</s:v>
      </s:c>
    </s:row>
    <s:row r="264">
      <s:c r="A264" s="0" t="n">
        <s:v>260813</s:v>
      </s:c>
      <s:c r="B264" s="0" t="inlineStr">
        <s:is>
          <s:t>이종훈</s:t>
        </s:is>
      </s:c>
      <s:c r="C264" s="0" t="n">
        <s:v>94745</s:v>
      </s:c>
      <s:c r="D264" s="0" t="n">
        <s:v>3560</s:v>
      </s:c>
      <s:c r="F264" s="24">
        <s:f>'자료구성'!$B$2+TIME(INT($C$3/10000),INT(MOD($C$3,10000)/100),MOD($C$3,100))+(ROW()-ROW($C$3))/86400</s:f>
        <s:v>46247.41118055556</s:v>
      </s:c>
    </s:row>
    <s:row r="265">
      <s:c r="A265" s="0" t="n">
        <s:v>260813</s:v>
      </s:c>
      <s:c r="B265" s="0" t="inlineStr">
        <s:is>
          <s:t>이종훈</s:t>
        </s:is>
      </s:c>
      <s:c r="C265" s="0" t="n">
        <s:v>94745</s:v>
      </s:c>
      <s:c r="D265" s="0" t="n">
        <s:v>3477</s:v>
      </s:c>
      <s:c r="F265" s="24">
        <s:f>'자료구성'!$B$2+TIME(INT($C$3/10000),INT(MOD($C$3,10000)/100),MOD($C$3,100))+(ROW()-ROW($C$3))/86400</s:f>
        <s:v>46247.41119212963</s:v>
      </s:c>
    </s:row>
    <s:row r="266">
      <s:c r="A266" s="0" t="n">
        <s:v>260813</s:v>
      </s:c>
      <s:c r="B266" s="0" t="inlineStr">
        <s:is>
          <s:t>이종훈</s:t>
        </s:is>
      </s:c>
      <s:c r="C266" s="0" t="n">
        <s:v>94745</s:v>
      </s:c>
      <s:c r="D266" s="0" t="n">
        <s:v>3455</s:v>
      </s:c>
      <s:c r="F266" s="24">
        <s:f>'자료구성'!$B$2+TIME(INT($C$3/10000),INT(MOD($C$3,10000)/100),MOD($C$3,100))+(ROW()-ROW($C$3))/86400</s:f>
        <s:v>46247.411203703705</s:v>
      </s:c>
    </s:row>
    <s:row r="267">
      <s:c r="A267" s="0" t="n">
        <s:v>260813</s:v>
      </s:c>
      <s:c r="B267" s="0" t="inlineStr">
        <s:is>
          <s:t>이종훈</s:t>
        </s:is>
      </s:c>
      <s:c r="C267" s="0" t="n">
        <s:v>94745</s:v>
      </s:c>
      <s:c r="D267" s="0" t="n">
        <s:v>3479</s:v>
      </s:c>
      <s:c r="F267" s="24">
        <s:f>'자료구성'!$B$2+TIME(INT($C$3/10000),INT(MOD($C$3,10000)/100),MOD($C$3,100))+(ROW()-ROW($C$3))/86400</s:f>
        <s:v>46247.411215277774</s:v>
      </s:c>
    </s:row>
    <s:row r="268">
      <s:c r="A268" s="0" t="n">
        <s:v>260813</s:v>
      </s:c>
      <s:c r="B268" s="0" t="inlineStr">
        <s:is>
          <s:t>이종훈</s:t>
        </s:is>
      </s:c>
      <s:c r="C268" s="0" t="n">
        <s:v>94745</s:v>
      </s:c>
      <s:c r="D268" s="0" t="n">
        <s:v>3467</s:v>
      </s:c>
      <s:c r="F268" s="24">
        <s:f>'자료구성'!$B$2+TIME(INT($C$3/10000),INT(MOD($C$3,10000)/100),MOD($C$3,100))+(ROW()-ROW($C$3))/86400</s:f>
        <s:v>46247.41122685185</s:v>
      </s:c>
    </s:row>
    <s:row r="269">
      <s:c r="A269" s="0" t="n">
        <s:v>260813</s:v>
      </s:c>
      <s:c r="B269" s="0" t="inlineStr">
        <s:is>
          <s:t>이종훈</s:t>
        </s:is>
      </s:c>
      <s:c r="C269" s="0" t="n">
        <s:v>94745</s:v>
      </s:c>
      <s:c r="D269" s="0" t="n">
        <s:v>3453</s:v>
      </s:c>
      <s:c r="F269" s="24">
        <s:f>'자료구성'!$B$2+TIME(INT($C$3/10000),INT(MOD($C$3,10000)/100),MOD($C$3,100))+(ROW()-ROW($C$3))/86400</s:f>
        <s:v>46247.41123842593</s:v>
      </s:c>
    </s:row>
    <s:row r="270">
      <s:c r="A270" s="0" t="n">
        <s:v>260813</s:v>
      </s:c>
      <s:c r="B270" s="0" t="inlineStr">
        <s:is>
          <s:t>이종훈</s:t>
        </s:is>
      </s:c>
      <s:c r="C270" s="0" t="n">
        <s:v>94745</s:v>
      </s:c>
      <s:c r="D270" s="0" t="n">
        <s:v>3395</s:v>
      </s:c>
      <s:c r="F270" s="24">
        <s:f>'자료구성'!$B$2+TIME(INT($C$3/10000),INT(MOD($C$3,10000)/100),MOD($C$3,100))+(ROW()-ROW($C$3))/86400</s:f>
        <s:v>46247.41125</s:v>
      </s:c>
    </s:row>
    <s:row r="271">
      <s:c r="A271" s="0" t="n">
        <s:v>260813</s:v>
      </s:c>
      <s:c r="B271" s="0" t="inlineStr">
        <s:is>
          <s:t>이종훈</s:t>
        </s:is>
      </s:c>
      <s:c r="C271" s="0" t="n">
        <s:v>94745</s:v>
      </s:c>
      <s:c r="D271" s="0" t="n">
        <s:v>3306</s:v>
      </s:c>
      <s:c r="F271" s="24">
        <s:f>'자료구성'!$B$2+TIME(INT($C$3/10000),INT(MOD($C$3,10000)/100),MOD($C$3,100))+(ROW()-ROW($C$3))/86400</s:f>
        <s:v>46247.411261574074</s:v>
      </s:c>
    </s:row>
    <s:row r="272">
      <s:c r="A272" s="0" t="n">
        <s:v>260813</s:v>
      </s:c>
      <s:c r="B272" s="0" t="inlineStr">
        <s:is>
          <s:t>이종훈</s:t>
        </s:is>
      </s:c>
      <s:c r="C272" s="0" t="n">
        <s:v>94745</s:v>
      </s:c>
      <s:c r="D272" s="0" t="n">
        <s:v>3244</s:v>
      </s:c>
      <s:c r="F272" s="24">
        <s:f>'자료구성'!$B$2+TIME(INT($C$3/10000),INT(MOD($C$3,10000)/100),MOD($C$3,100))+(ROW()-ROW($C$3))/86400</s:f>
        <s:v>46247.41127314815</s:v>
      </s:c>
    </s:row>
    <s:row r="273">
      <s:c r="A273" s="0" t="n">
        <s:v>260813</s:v>
      </s:c>
      <s:c r="B273" s="0" t="inlineStr">
        <s:is>
          <s:t>이종훈</s:t>
        </s:is>
      </s:c>
      <s:c r="C273" s="0" t="n">
        <s:v>94745</s:v>
      </s:c>
      <s:c r="D273" s="0" t="n">
        <s:v>3196</s:v>
      </s:c>
      <s:c r="F273" s="24">
        <s:f>'자료구성'!$B$2+TIME(INT($C$3/10000),INT(MOD($C$3,10000)/100),MOD($C$3,100))+(ROW()-ROW($C$3))/86400</s:f>
        <s:v>46247.41128472222</s:v>
      </s:c>
    </s:row>
    <s:row r="274">
      <s:c r="A274" s="0" t="n">
        <s:v>260813</s:v>
      </s:c>
      <s:c r="B274" s="0" t="inlineStr">
        <s:is>
          <s:t>이종훈</s:t>
        </s:is>
      </s:c>
      <s:c r="C274" s="0" t="n">
        <s:v>94745</s:v>
      </s:c>
      <s:c r="D274" s="0" t="n">
        <s:v>3180</s:v>
      </s:c>
      <s:c r="F274" s="24">
        <s:f>'자료구성'!$B$2+TIME(INT($C$3/10000),INT(MOD($C$3,10000)/100),MOD($C$3,100))+(ROW()-ROW($C$3))/86400</s:f>
        <s:v>46247.4112962963</s:v>
      </s:c>
    </s:row>
    <s:row r="275">
      <s:c r="A275" s="0" t="n">
        <s:v>260813</s:v>
      </s:c>
      <s:c r="B275" s="0" t="inlineStr">
        <s:is>
          <s:t>이종훈</s:t>
        </s:is>
      </s:c>
      <s:c r="C275" s="0" t="n">
        <s:v>94745</s:v>
      </s:c>
      <s:c r="D275" s="0" t="n">
        <s:v>3101</s:v>
      </s:c>
      <s:c r="F275" s="24">
        <s:f>'자료구성'!$B$2+TIME(INT($C$3/10000),INT(MOD($C$3,10000)/100),MOD($C$3,100))+(ROW()-ROW($C$3))/86400</s:f>
        <s:v>46247.411307870374</s:v>
      </s:c>
    </s:row>
    <s:row r="276">
      <s:c r="A276" s="0" t="n">
        <s:v>260813</s:v>
      </s:c>
      <s:c r="B276" s="0" t="inlineStr">
        <s:is>
          <s:t>이종훈</s:t>
        </s:is>
      </s:c>
      <s:c r="C276" s="0" t="n">
        <s:v>94745</s:v>
      </s:c>
      <s:c r="D276" s="0" t="n">
        <s:v>3040</s:v>
      </s:c>
      <s:c r="F276" s="24">
        <s:f>'자료구성'!$B$2+TIME(INT($C$3/10000),INT(MOD($C$3,10000)/100),MOD($C$3,100))+(ROW()-ROW($C$3))/86400</s:f>
        <s:v>46247.41131944444</s:v>
      </s:c>
    </s:row>
    <s:row r="277">
      <s:c r="A277" s="0" t="n">
        <s:v>260813</s:v>
      </s:c>
      <s:c r="B277" s="0" t="inlineStr">
        <s:is>
          <s:t>이종훈</s:t>
        </s:is>
      </s:c>
      <s:c r="C277" s="0" t="n">
        <s:v>94745</s:v>
      </s:c>
      <s:c r="D277" s="0" t="n">
        <s:v>3033</s:v>
      </s:c>
      <s:c r="F277" s="24">
        <s:f>'자료구성'!$B$2+TIME(INT($C$3/10000),INT(MOD($C$3,10000)/100),MOD($C$3,100))+(ROW()-ROW($C$3))/86400</s:f>
        <s:v>46247.41133101852</s:v>
      </s:c>
    </s:row>
    <s:row r="278">
      <s:c r="A278" s="0" t="n">
        <s:v>260813</s:v>
      </s:c>
      <s:c r="B278" s="0" t="inlineStr">
        <s:is>
          <s:t>이종훈</s:t>
        </s:is>
      </s:c>
      <s:c r="C278" s="0" t="n">
        <s:v>94745</s:v>
      </s:c>
      <s:c r="D278" s="0" t="n">
        <s:v>3016</s:v>
      </s:c>
      <s:c r="F278" s="24">
        <s:f>'자료구성'!$B$2+TIME(INT($C$3/10000),INT(MOD($C$3,10000)/100),MOD($C$3,100))+(ROW()-ROW($C$3))/86400</s:f>
        <s:v>46247.41134259259</s:v>
      </s:c>
    </s:row>
    <s:row r="279">
      <s:c r="A279" s="0" t="n">
        <s:v>260813</s:v>
      </s:c>
      <s:c r="B279" s="0" t="inlineStr">
        <s:is>
          <s:t>이종훈</s:t>
        </s:is>
      </s:c>
      <s:c r="C279" s="0" t="n">
        <s:v>94745</s:v>
      </s:c>
      <s:c r="D279" s="0" t="n">
        <s:v>3013</s:v>
      </s:c>
      <s:c r="F279" s="24">
        <s:f>'자료구성'!$B$2+TIME(INT($C$3/10000),INT(MOD($C$3,10000)/100),MOD($C$3,100))+(ROW()-ROW($C$3))/86400</s:f>
        <s:v>46247.41135416667</s:v>
      </s:c>
    </s:row>
    <s:row r="280">
      <s:c r="A280" s="0" t="n">
        <s:v>260813</s:v>
      </s:c>
      <s:c r="B280" s="0" t="inlineStr">
        <s:is>
          <s:t>이종훈</s:t>
        </s:is>
      </s:c>
      <s:c r="C280" s="0" t="n">
        <s:v>94745</s:v>
      </s:c>
      <s:c r="D280" s="0" t="n">
        <s:v>2995</s:v>
      </s:c>
      <s:c r="F280" s="24">
        <s:f>'자료구성'!$B$2+TIME(INT($C$3/10000),INT(MOD($C$3,10000)/100),MOD($C$3,100))+(ROW()-ROW($C$3))/86400</s:f>
        <s:v>46247.41136574074</s:v>
      </s:c>
    </s:row>
    <s:row r="281">
      <s:c r="A281" s="0" t="n">
        <s:v>260813</s:v>
      </s:c>
      <s:c r="B281" s="0" t="inlineStr">
        <s:is>
          <s:t>이종훈</s:t>
        </s:is>
      </s:c>
      <s:c r="C281" s="0" t="n">
        <s:v>94745</s:v>
      </s:c>
      <s:c r="D281" s="0" t="n">
        <s:v>2973</s:v>
      </s:c>
      <s:c r="F281" s="24">
        <s:f>'자료구성'!$B$2+TIME(INT($C$3/10000),INT(MOD($C$3,10000)/100),MOD($C$3,100))+(ROW()-ROW($C$3))/86400</s:f>
        <s:v>46247.41137731481</s:v>
      </s:c>
    </s:row>
    <s:row r="282">
      <s:c r="A282" s="0" t="n">
        <s:v>260813</s:v>
      </s:c>
      <s:c r="B282" s="0" t="inlineStr">
        <s:is>
          <s:t>이종훈</s:t>
        </s:is>
      </s:c>
      <s:c r="C282" s="0" t="n">
        <s:v>94745</s:v>
      </s:c>
      <s:c r="D282" s="0" t="n">
        <s:v>3043</s:v>
      </s:c>
      <s:c r="F282" s="24">
        <s:f>'자료구성'!$B$2+TIME(INT($C$3/10000),INT(MOD($C$3,10000)/100),MOD($C$3,100))+(ROW()-ROW($C$3))/86400</s:f>
        <s:v>46247.41138888889</s:v>
      </s:c>
    </s:row>
    <s:row r="283">
      <s:c r="A283" s="0" t="n">
        <s:v>260813</s:v>
      </s:c>
      <s:c r="B283" s="0" t="inlineStr">
        <s:is>
          <s:t>이종훈</s:t>
        </s:is>
      </s:c>
      <s:c r="C283" s="0" t="n">
        <s:v>94745</s:v>
      </s:c>
      <s:c r="D283" s="0" t="n">
        <s:v>3194</s:v>
      </s:c>
      <s:c r="F283" s="24">
        <s:f>'자료구성'!$B$2+TIME(INT($C$3/10000),INT(MOD($C$3,10000)/100),MOD($C$3,100))+(ROW()-ROW($C$3))/86400</s:f>
        <s:v>46247.41140046297</s:v>
      </s:c>
    </s:row>
    <s:row r="284">
      <s:c r="A284" s="0" t="n">
        <s:v>260813</s:v>
      </s:c>
      <s:c r="B284" s="0" t="inlineStr">
        <s:is>
          <s:t>이종훈</s:t>
        </s:is>
      </s:c>
      <s:c r="C284" s="0" t="n">
        <s:v>94745</s:v>
      </s:c>
      <s:c r="D284" s="0" t="n">
        <s:v>3326</s:v>
      </s:c>
      <s:c r="F284" s="24">
        <s:f>'자료구성'!$B$2+TIME(INT($C$3/10000),INT(MOD($C$3,10000)/100),MOD($C$3,100))+(ROW()-ROW($C$3))/86400</s:f>
        <s:v>46247.411412037036</s:v>
      </s:c>
    </s:row>
    <s:row r="285">
      <s:c r="A285" s="0" t="n">
        <s:v>260813</s:v>
      </s:c>
      <s:c r="B285" s="0" t="inlineStr">
        <s:is>
          <s:t>이종훈</s:t>
        </s:is>
      </s:c>
      <s:c r="C285" s="0" t="n">
        <s:v>94745</s:v>
      </s:c>
      <s:c r="D285" s="0" t="n">
        <s:v>3366</s:v>
      </s:c>
      <s:c r="F285" s="24">
        <s:f>'자료구성'!$B$2+TIME(INT($C$3/10000),INT(MOD($C$3,10000)/100),MOD($C$3,100))+(ROW()-ROW($C$3))/86400</s:f>
        <s:v>46247.41142361111</s:v>
      </s:c>
    </s:row>
    <s:row r="286">
      <s:c r="A286" s="0" t="n">
        <s:v>260813</s:v>
      </s:c>
      <s:c r="B286" s="0" t="inlineStr">
        <s:is>
          <s:t>이종훈</s:t>
        </s:is>
      </s:c>
      <s:c r="C286" s="0" t="n">
        <s:v>94745</s:v>
      </s:c>
      <s:c r="D286" s="0" t="n">
        <s:v>3271</s:v>
      </s:c>
      <s:c r="F286" s="24">
        <s:f>'자료구성'!$B$2+TIME(INT($C$3/10000),INT(MOD($C$3,10000)/100),MOD($C$3,100))+(ROW()-ROW($C$3))/86400</s:f>
        <s:v>46247.41143518518</s:v>
      </s:c>
    </s:row>
    <s:row r="287">
      <s:c r="A287" s="0" t="n">
        <s:v>260813</s:v>
      </s:c>
      <s:c r="B287" s="0" t="inlineStr">
        <s:is>
          <s:t>이종훈</s:t>
        </s:is>
      </s:c>
      <s:c r="C287" s="0" t="n">
        <s:v>94745</s:v>
      </s:c>
      <s:c r="D287" s="0" t="n">
        <s:v>3156</s:v>
      </s:c>
      <s:c r="F287" s="24">
        <s:f>'자료구성'!$B$2+TIME(INT($C$3/10000),INT(MOD($C$3,10000)/100),MOD($C$3,100))+(ROW()-ROW($C$3))/86400</s:f>
        <s:v>46247.41144675926</s:v>
      </s:c>
    </s:row>
    <s:row r="288">
      <s:c r="A288" s="0" t="n">
        <s:v>260813</s:v>
      </s:c>
      <s:c r="B288" s="0" t="inlineStr">
        <s:is>
          <s:t>이종훈</s:t>
        </s:is>
      </s:c>
      <s:c r="C288" s="0" t="n">
        <s:v>94745</s:v>
      </s:c>
      <s:c r="D288" s="0" t="n">
        <s:v>3027</s:v>
      </s:c>
      <s:c r="F288" s="24">
        <s:f>'자료구성'!$B$2+TIME(INT($C$3/10000),INT(MOD($C$3,10000)/100),MOD($C$3,100))+(ROW()-ROW($C$3))/86400</s:f>
        <s:v>46247.411458333336</s:v>
      </s:c>
    </s:row>
    <s:row r="289">
      <s:c r="A289" s="0" t="n">
        <s:v>260813</s:v>
      </s:c>
      <s:c r="B289" s="0" t="inlineStr">
        <s:is>
          <s:t>이종훈</s:t>
        </s:is>
      </s:c>
      <s:c r="C289" s="0" t="n">
        <s:v>94745</s:v>
      </s:c>
      <s:c r="D289" s="0" t="n">
        <s:v>2915</s:v>
      </s:c>
      <s:c r="F289" s="24">
        <s:f>'자료구성'!$B$2+TIME(INT($C$3/10000),INT(MOD($C$3,10000)/100),MOD($C$3,100))+(ROW()-ROW($C$3))/86400</s:f>
        <s:v>46247.411469907405</s:v>
      </s:c>
    </s:row>
    <s:row r="290">
      <s:c r="A290" s="0" t="n">
        <s:v>260813</s:v>
      </s:c>
      <s:c r="B290" s="0" t="inlineStr">
        <s:is>
          <s:t>이종훈</s:t>
        </s:is>
      </s:c>
      <s:c r="C290" s="0" t="n">
        <s:v>94745</s:v>
      </s:c>
      <s:c r="D290" s="0" t="n">
        <s:v>2833</s:v>
      </s:c>
      <s:c r="F290" s="24">
        <s:f>'자료구성'!$B$2+TIME(INT($C$3/10000),INT(MOD($C$3,10000)/100),MOD($C$3,100))+(ROW()-ROW($C$3))/86400</s:f>
        <s:v>46247.41148148148</s:v>
      </s:c>
    </s:row>
    <s:row r="291">
      <s:c r="A291" s="0" t="n">
        <s:v>260813</s:v>
      </s:c>
      <s:c r="B291" s="0" t="inlineStr">
        <s:is>
          <s:t>이종훈</s:t>
        </s:is>
      </s:c>
      <s:c r="C291" s="0" t="n">
        <s:v>94745</s:v>
      </s:c>
      <s:c r="D291" s="0" t="n">
        <s:v>2782</s:v>
      </s:c>
      <s:c r="F291" s="24">
        <s:f>'자료구성'!$B$2+TIME(INT($C$3/10000),INT(MOD($C$3,10000)/100),MOD($C$3,100))+(ROW()-ROW($C$3))/86400</s:f>
        <s:v>46247.41149305556</s:v>
      </s:c>
    </s:row>
    <s:row r="292">
      <s:c r="A292" s="0" t="n">
        <s:v>260813</s:v>
      </s:c>
      <s:c r="B292" s="0" t="inlineStr">
        <s:is>
          <s:t>이종훈</s:t>
        </s:is>
      </s:c>
      <s:c r="C292" s="0" t="n">
        <s:v>94745</s:v>
      </s:c>
      <s:c r="D292" s="0" t="n">
        <s:v>2744</s:v>
      </s:c>
      <s:c r="F292" s="24">
        <s:f>'자료구성'!$B$2+TIME(INT($C$3/10000),INT(MOD($C$3,10000)/100),MOD($C$3,100))+(ROW()-ROW($C$3))/86400</s:f>
        <s:v>46247.41150462963</s:v>
      </s:c>
    </s:row>
    <s:row r="293">
      <s:c r="A293" s="0" t="n">
        <s:v>260813</s:v>
      </s:c>
      <s:c r="B293" s="0" t="inlineStr">
        <s:is>
          <s:t>이종훈</s:t>
        </s:is>
      </s:c>
      <s:c r="C293" s="0" t="n">
        <s:v>94745</s:v>
      </s:c>
      <s:c r="D293" s="0" t="n">
        <s:v>2617</s:v>
      </s:c>
      <s:c r="F293" s="24">
        <s:f>'자료구성'!$B$2+TIME(INT($C$3/10000),INT(MOD($C$3,10000)/100),MOD($C$3,100))+(ROW()-ROW($C$3))/86400</s:f>
        <s:v>46247.411516203705</s:v>
      </s:c>
    </s:row>
    <s:row r="294">
      <s:c r="A294" s="0" t="n">
        <s:v>260813</s:v>
      </s:c>
      <s:c r="B294" s="0" t="inlineStr">
        <s:is>
          <s:t>이종훈</s:t>
        </s:is>
      </s:c>
      <s:c r="C294" s="0" t="n">
        <s:v>94745</s:v>
      </s:c>
      <s:c r="D294" s="0" t="n">
        <s:v>2489</s:v>
      </s:c>
      <s:c r="F294" s="24">
        <s:f>'자료구성'!$B$2+TIME(INT($C$3/10000),INT(MOD($C$3,10000)/100),MOD($C$3,100))+(ROW()-ROW($C$3))/86400</s:f>
        <s:v>46247.411527777775</s:v>
      </s:c>
    </s:row>
    <s:row r="295">
      <s:c r="A295" s="0" t="n">
        <s:v>260813</s:v>
      </s:c>
      <s:c r="B295" s="0" t="inlineStr">
        <s:is>
          <s:t>이종훈</s:t>
        </s:is>
      </s:c>
      <s:c r="C295" s="0" t="n">
        <s:v>94745</s:v>
      </s:c>
      <s:c r="D295" s="0" t="n">
        <s:v>2353</s:v>
      </s:c>
      <s:c r="F295" s="24">
        <s:f>'자료구성'!$B$2+TIME(INT($C$3/10000),INT(MOD($C$3,10000)/100),MOD($C$3,100))+(ROW()-ROW($C$3))/86400</s:f>
        <s:v>46247.41153935185</s:v>
      </s:c>
    </s:row>
    <s:row r="296">
      <s:c r="A296" s="0" t="n">
        <s:v>260813</s:v>
      </s:c>
      <s:c r="B296" s="0" t="inlineStr">
        <s:is>
          <s:t>이종훈</s:t>
        </s:is>
      </s:c>
      <s:c r="C296" s="0" t="n">
        <s:v>94745</s:v>
      </s:c>
      <s:c r="D296" s="0" t="n">
        <s:v>2268</s:v>
      </s:c>
      <s:c r="F296" s="24">
        <s:f>'자료구성'!$B$2+TIME(INT($C$3/10000),INT(MOD($C$3,10000)/100),MOD($C$3,100))+(ROW()-ROW($C$3))/86400</s:f>
        <s:v>46247.41155092593</s:v>
      </s:c>
    </s:row>
    <s:row r="297">
      <s:c r="A297" s="0" t="n">
        <s:v>260813</s:v>
      </s:c>
      <s:c r="B297" s="0" t="inlineStr">
        <s:is>
          <s:t>이종훈</s:t>
        </s:is>
      </s:c>
      <s:c r="C297" s="0" t="n">
        <s:v>94745</s:v>
      </s:c>
      <s:c r="D297" s="0" t="n">
        <s:v>2255</s:v>
      </s:c>
      <s:c r="F297" s="24">
        <s:f>'자료구성'!$B$2+TIME(INT($C$3/10000),INT(MOD($C$3,10000)/100),MOD($C$3,100))+(ROW()-ROW($C$3))/86400</s:f>
        <s:v>46247.4115625</s:v>
      </s:c>
    </s:row>
    <s:row r="298">
      <s:c r="A298" s="0" t="n">
        <s:v>260813</s:v>
      </s:c>
      <s:c r="B298" s="0" t="inlineStr">
        <s:is>
          <s:t>이종훈</s:t>
        </s:is>
      </s:c>
      <s:c r="C298" s="0" t="n">
        <s:v>94745</s:v>
      </s:c>
      <s:c r="D298" s="0" t="n">
        <s:v>2205</s:v>
      </s:c>
      <s:c r="F298" s="24">
        <s:f>'자료구성'!$B$2+TIME(INT($C$3/10000),INT(MOD($C$3,10000)/100),MOD($C$3,100))+(ROW()-ROW($C$3))/86400</s:f>
        <s:v>46247.411574074074</s:v>
      </s:c>
    </s:row>
    <s:row r="299">
      <s:c r="A299" s="0" t="n">
        <s:v>260813</s:v>
      </s:c>
      <s:c r="B299" s="0" t="inlineStr">
        <s:is>
          <s:t>이종훈</s:t>
        </s:is>
      </s:c>
      <s:c r="C299" s="0" t="n">
        <s:v>94745</s:v>
      </s:c>
      <s:c r="D299" s="0" t="n">
        <s:v>2146</s:v>
      </s:c>
      <s:c r="F299" s="24">
        <s:f>'자료구성'!$B$2+TIME(INT($C$3/10000),INT(MOD($C$3,10000)/100),MOD($C$3,100))+(ROW()-ROW($C$3))/86400</s:f>
        <s:v>46247.41158564815</s:v>
      </s:c>
    </s:row>
    <s:row r="300">
      <s:c r="A300" s="0" t="n">
        <s:v>260813</s:v>
      </s:c>
      <s:c r="B300" s="0" t="inlineStr">
        <s:is>
          <s:t>이종훈</s:t>
        </s:is>
      </s:c>
      <s:c r="C300" s="0" t="n">
        <s:v>94745</s:v>
      </s:c>
      <s:c r="D300" s="0" t="n">
        <s:v>2084</s:v>
      </s:c>
      <s:c r="F300" s="24">
        <s:f>'자료구성'!$B$2+TIME(INT($C$3/10000),INT(MOD($C$3,10000)/100),MOD($C$3,100))+(ROW()-ROW($C$3))/86400</s:f>
        <s:v>46247.41159722222</s:v>
      </s:c>
    </s:row>
    <s:row r="301">
      <s:c r="A301" s="0" t="n">
        <s:v>260813</s:v>
      </s:c>
      <s:c r="B301" s="0" t="inlineStr">
        <s:is>
          <s:t>이종훈</s:t>
        </s:is>
      </s:c>
      <s:c r="C301" s="0" t="n">
        <s:v>94745</s:v>
      </s:c>
      <s:c r="D301" s="0" t="n">
        <s:v>2065</s:v>
      </s:c>
      <s:c r="F301" s="24">
        <s:f>'자료구성'!$B$2+TIME(INT($C$3/10000),INT(MOD($C$3,10000)/100),MOD($C$3,100))+(ROW()-ROW($C$3))/86400</s:f>
        <s:v>46247.4116087963</s:v>
      </s:c>
    </s:row>
    <s:row r="302">
      <s:c r="A302" s="0" t="n">
        <s:v>260813</s:v>
      </s:c>
      <s:c r="B302" s="0" t="inlineStr">
        <s:is>
          <s:t>이종훈</s:t>
        </s:is>
      </s:c>
      <s:c r="C302" s="0" t="n">
        <s:v>94745</s:v>
      </s:c>
      <s:c r="D302" s="0" t="n">
        <s:v>2028</s:v>
      </s:c>
      <s:c r="F302" s="24">
        <s:f>'자료구성'!$B$2+TIME(INT($C$3/10000),INT(MOD($C$3,10000)/100),MOD($C$3,100))+(ROW()-ROW($C$3))/86400</s:f>
        <s:v>46247.41162037037</s:v>
      </s:c>
    </s:row>
    <s:row r="303">
      <s:c r="A303" s="0" t="n">
        <s:v>260813</s:v>
      </s:c>
      <s:c r="B303" s="0" t="inlineStr">
        <s:is>
          <s:t>이종훈</s:t>
        </s:is>
      </s:c>
      <s:c r="C303" s="0" t="n">
        <s:v>94745</s:v>
      </s:c>
      <s:c r="D303" s="0" t="n">
        <s:v>1995</s:v>
      </s:c>
      <s:c r="F303" s="24">
        <s:f>'자료구성'!$B$2+TIME(INT($C$3/10000),INT(MOD($C$3,10000)/100),MOD($C$3,100))+(ROW()-ROW($C$3))/86400</s:f>
        <s:v>46247.411631944444</s:v>
      </s:c>
    </s:row>
    <s:row r="304">
      <s:c r="A304" s="0" t="n">
        <s:v>260813</s:v>
      </s:c>
      <s:c r="B304" s="0" t="inlineStr">
        <s:is>
          <s:t>이종훈</s:t>
        </s:is>
      </s:c>
      <s:c r="C304" s="0" t="n">
        <s:v>94745</s:v>
      </s:c>
      <s:c r="D304" s="0" t="n">
        <s:v>1971</s:v>
      </s:c>
      <s:c r="F304" s="24">
        <s:f>'자료구성'!$B$2+TIME(INT($C$3/10000),INT(MOD($C$3,10000)/100),MOD($C$3,100))+(ROW()-ROW($C$3))/86400</s:f>
        <s:v>46247.41164351852</s:v>
      </s:c>
    </s:row>
    <s:row r="305">
      <s:c r="A305" s="0" t="n">
        <s:v>260813</s:v>
      </s:c>
      <s:c r="B305" s="0" t="inlineStr">
        <s:is>
          <s:t>이종훈</s:t>
        </s:is>
      </s:c>
      <s:c r="C305" s="0" t="n">
        <s:v>94745</s:v>
      </s:c>
      <s:c r="D305" s="0" t="n">
        <s:v>1948</s:v>
      </s:c>
      <s:c r="F305" s="24">
        <s:f>'자료구성'!$B$2+TIME(INT($C$3/10000),INT(MOD($C$3,10000)/100),MOD($C$3,100))+(ROW()-ROW($C$3))/86400</s:f>
        <s:v>46247.41165509259</s:v>
      </s:c>
    </s:row>
    <s:row r="306">
      <s:c r="A306" s="0" t="n">
        <s:v>260813</s:v>
      </s:c>
      <s:c r="B306" s="0" t="inlineStr">
        <s:is>
          <s:t>이종훈</s:t>
        </s:is>
      </s:c>
      <s:c r="C306" s="0" t="n">
        <s:v>94745</s:v>
      </s:c>
      <s:c r="D306" s="0" t="n">
        <s:v>1909</s:v>
      </s:c>
      <s:c r="F306" s="24">
        <s:f>'자료구성'!$B$2+TIME(INT($C$3/10000),INT(MOD($C$3,10000)/100),MOD($C$3,100))+(ROW()-ROW($C$3))/86400</s:f>
        <s:v>46247.41166666667</s:v>
      </s:c>
    </s:row>
    <s:row r="307">
      <s:c r="A307" s="0" t="n">
        <s:v>260813</s:v>
      </s:c>
      <s:c r="B307" s="0" t="inlineStr">
        <s:is>
          <s:t>이종훈</s:t>
        </s:is>
      </s:c>
      <s:c r="C307" s="0" t="n">
        <s:v>94745</s:v>
      </s:c>
      <s:c r="D307" s="0" t="n">
        <s:v>1900</s:v>
      </s:c>
      <s:c r="F307" s="24">
        <s:f>'자료구성'!$B$2+TIME(INT($C$3/10000),INT(MOD($C$3,10000)/100),MOD($C$3,100))+(ROW()-ROW($C$3))/86400</s:f>
        <s:v>46247.411678240744</s:v>
      </s:c>
    </s:row>
    <s:row r="308">
      <s:c r="A308" s="0" t="n">
        <s:v>260813</s:v>
      </s:c>
      <s:c r="B308" s="0" t="inlineStr">
        <s:is>
          <s:t>이종훈</s:t>
        </s:is>
      </s:c>
      <s:c r="C308" s="0" t="n">
        <s:v>94745</s:v>
      </s:c>
      <s:c r="D308" s="0" t="n">
        <s:v>1902</s:v>
      </s:c>
      <s:c r="F308" s="24">
        <s:f>'자료구성'!$B$2+TIME(INT($C$3/10000),INT(MOD($C$3,10000)/100),MOD($C$3,100))+(ROW()-ROW($C$3))/86400</s:f>
        <s:v>46247.41168981481</s:v>
      </s:c>
    </s:row>
    <s:row r="309">
      <s:c r="A309" s="0" t="n">
        <s:v>260813</s:v>
      </s:c>
      <s:c r="B309" s="0" t="inlineStr">
        <s:is>
          <s:t>이종훈</s:t>
        </s:is>
      </s:c>
      <s:c r="C309" s="0" t="n">
        <s:v>94745</s:v>
      </s:c>
      <s:c r="D309" s="0" t="n">
        <s:v>1934</s:v>
      </s:c>
      <s:c r="F309" s="24">
        <s:f>'자료구성'!$B$2+TIME(INT($C$3/10000),INT(MOD($C$3,10000)/100),MOD($C$3,100))+(ROW()-ROW($C$3))/86400</s:f>
        <s:v>46247.41170138889</s:v>
      </s:c>
    </s:row>
    <s:row r="310">
      <s:c r="A310" s="0" t="n">
        <s:v>260813</s:v>
      </s:c>
      <s:c r="B310" s="0" t="inlineStr">
        <s:is>
          <s:t>이종훈</s:t>
        </s:is>
      </s:c>
      <s:c r="C310" s="0" t="n">
        <s:v>94745</s:v>
      </s:c>
      <s:c r="D310" s="0" t="n">
        <s:v>1933</s:v>
      </s:c>
      <s:c r="F310" s="24">
        <s:f>'자료구성'!$B$2+TIME(INT($C$3/10000),INT(MOD($C$3,10000)/100),MOD($C$3,100))+(ROW()-ROW($C$3))/86400</s:f>
        <s:v>46247.41171296296</s:v>
      </s:c>
    </s:row>
    <s:row r="311">
      <s:c r="A311" s="0" t="n">
        <s:v>260813</s:v>
      </s:c>
      <s:c r="B311" s="0" t="inlineStr">
        <s:is>
          <s:t>이종훈</s:t>
        </s:is>
      </s:c>
      <s:c r="C311" s="0" t="n">
        <s:v>94745</s:v>
      </s:c>
      <s:c r="D311" s="0" t="n">
        <s:v>1930</s:v>
      </s:c>
      <s:c r="F311" s="24">
        <s:f>'자료구성'!$B$2+TIME(INT($C$3/10000),INT(MOD($C$3,10000)/100),MOD($C$3,100))+(ROW()-ROW($C$3))/86400</s:f>
        <s:v>46247.411724537036</s:v>
      </s:c>
    </s:row>
    <s:row r="312">
      <s:c r="A312" s="0" t="n">
        <s:v>260813</s:v>
      </s:c>
      <s:c r="B312" s="0" t="inlineStr">
        <s:is>
          <s:t>이종훈</s:t>
        </s:is>
      </s:c>
      <s:c r="C312" s="0" t="n">
        <s:v>94745</s:v>
      </s:c>
      <s:c r="D312" s="0" t="n">
        <s:v>1945</s:v>
      </s:c>
      <s:c r="F312" s="24">
        <s:f>'자료구성'!$B$2+TIME(INT($C$3/10000),INT(MOD($C$3,10000)/100),MOD($C$3,100))+(ROW()-ROW($C$3))/86400</s:f>
        <s:v>46247.41173611111</s:v>
      </s:c>
    </s:row>
    <s:row r="313">
      <s:c r="A313" s="0" t="n">
        <s:v>260813</s:v>
      </s:c>
      <s:c r="B313" s="0" t="inlineStr">
        <s:is>
          <s:t>이종훈</s:t>
        </s:is>
      </s:c>
      <s:c r="C313" s="0" t="n">
        <s:v>94745</s:v>
      </s:c>
      <s:c r="D313" s="0" t="n">
        <s:v>1959</s:v>
      </s:c>
      <s:c r="F313" s="24">
        <s:f>'자료구성'!$B$2+TIME(INT($C$3/10000),INT(MOD($C$3,10000)/100),MOD($C$3,100))+(ROW()-ROW($C$3))/86400</s:f>
        <s:v>46247.41174768518</s:v>
      </s:c>
    </s:row>
    <s:row r="314">
      <s:c r="A314" s="0" t="n">
        <s:v>260813</s:v>
      </s:c>
      <s:c r="B314" s="0" t="inlineStr">
        <s:is>
          <s:t>이종훈</s:t>
        </s:is>
      </s:c>
      <s:c r="C314" s="0" t="n">
        <s:v>94745</s:v>
      </s:c>
      <s:c r="D314" s="0" t="n">
        <s:v>1961</s:v>
      </s:c>
      <s:c r="F314" s="24">
        <s:f>'자료구성'!$B$2+TIME(INT($C$3/10000),INT(MOD($C$3,10000)/100),MOD($C$3,100))+(ROW()-ROW($C$3))/86400</s:f>
        <s:v>46247.41175925926</s:v>
      </s:c>
    </s:row>
    <s:row r="315">
      <s:c r="A315" s="0" t="n">
        <s:v>260813</s:v>
      </s:c>
      <s:c r="B315" s="0" t="inlineStr">
        <s:is>
          <s:t>이종훈</s:t>
        </s:is>
      </s:c>
      <s:c r="C315" s="0" t="n">
        <s:v>94745</s:v>
      </s:c>
      <s:c r="D315" s="0" t="n">
        <s:v>1963</s:v>
      </s:c>
      <s:c r="F315" s="24">
        <s:f>'자료구성'!$B$2+TIME(INT($C$3/10000),INT(MOD($C$3,10000)/100),MOD($C$3,100))+(ROW()-ROW($C$3))/86400</s:f>
        <s:v>46247.411770833336</s:v>
      </s:c>
    </s:row>
    <s:row r="316">
      <s:c r="A316" s="0" t="n">
        <s:v>260813</s:v>
      </s:c>
      <s:c r="B316" s="0" t="inlineStr">
        <s:is>
          <s:t>이종훈</s:t>
        </s:is>
      </s:c>
      <s:c r="C316" s="0" t="n">
        <s:v>94745</s:v>
      </s:c>
      <s:c r="D316" s="0" t="n">
        <s:v>1973</s:v>
      </s:c>
      <s:c r="F316" s="24">
        <s:f>'자료구성'!$B$2+TIME(INT($C$3/10000),INT(MOD($C$3,10000)/100),MOD($C$3,100))+(ROW()-ROW($C$3))/86400</s:f>
        <s:v>46247.411782407406</s:v>
      </s:c>
    </s:row>
    <s:row r="317">
      <s:c r="A317" s="0" t="n">
        <s:v>260813</s:v>
      </s:c>
      <s:c r="B317" s="0" t="inlineStr">
        <s:is>
          <s:t>이종훈</s:t>
        </s:is>
      </s:c>
      <s:c r="C317" s="0" t="n">
        <s:v>94745</s:v>
      </s:c>
      <s:c r="D317" s="0" t="n">
        <s:v>2032</s:v>
      </s:c>
      <s:c r="F317" s="24">
        <s:f>'자료구성'!$B$2+TIME(INT($C$3/10000),INT(MOD($C$3,10000)/100),MOD($C$3,100))+(ROW()-ROW($C$3))/86400</s:f>
        <s:v>46247.41179398148</s:v>
      </s:c>
    </s:row>
    <s:row r="318">
      <s:c r="A318" s="0" t="n">
        <s:v>260813</s:v>
      </s:c>
      <s:c r="B318" s="0" t="inlineStr">
        <s:is>
          <s:t>이종훈</s:t>
        </s:is>
      </s:c>
      <s:c r="C318" s="0" t="n">
        <s:v>94745</s:v>
      </s:c>
      <s:c r="D318" s="0" t="n">
        <s:v>2096</s:v>
      </s:c>
      <s:c r="F318" s="24">
        <s:f>'자료구성'!$B$2+TIME(INT($C$3/10000),INT(MOD($C$3,10000)/100),MOD($C$3,100))+(ROW()-ROW($C$3))/86400</s:f>
        <s:v>46247.41180555556</s:v>
      </s:c>
    </s:row>
    <s:row r="319">
      <s:c r="A319" s="0" t="n">
        <s:v>260813</s:v>
      </s:c>
      <s:c r="B319" s="0" t="inlineStr">
        <s:is>
          <s:t>이종훈</s:t>
        </s:is>
      </s:c>
      <s:c r="C319" s="0" t="n">
        <s:v>94745</s:v>
      </s:c>
      <s:c r="D319" s="0" t="n">
        <s:v>2138</s:v>
      </s:c>
      <s:c r="F319" s="24">
        <s:f>'자료구성'!$B$2+TIME(INT($C$3/10000),INT(MOD($C$3,10000)/100),MOD($C$3,100))+(ROW()-ROW($C$3))/86400</s:f>
        <s:v>46247.41181712963</s:v>
      </s:c>
    </s:row>
    <s:row r="320">
      <s:c r="A320" s="0" t="n">
        <s:v>260813</s:v>
      </s:c>
      <s:c r="B320" s="0" t="inlineStr">
        <s:is>
          <s:t>이종훈</s:t>
        </s:is>
      </s:c>
      <s:c r="C320" s="0" t="n">
        <s:v>94745</s:v>
      </s:c>
      <s:c r="D320" s="0" t="n">
        <s:v>2132</s:v>
      </s:c>
      <s:c r="F320" s="24">
        <s:f>'자료구성'!$B$2+TIME(INT($C$3/10000),INT(MOD($C$3,10000)/100),MOD($C$3,100))+(ROW()-ROW($C$3))/86400</s:f>
        <s:v>46247.411828703705</s:v>
      </s:c>
    </s:row>
    <s:row r="321">
      <s:c r="A321" s="0" t="n">
        <s:v>260813</s:v>
      </s:c>
      <s:c r="B321" s="0" t="inlineStr">
        <s:is>
          <s:t>이종훈</s:t>
        </s:is>
      </s:c>
      <s:c r="C321" s="0" t="n">
        <s:v>94745</s:v>
      </s:c>
      <s:c r="D321" s="0" t="n">
        <s:v>2124</s:v>
      </s:c>
      <s:c r="F321" s="24">
        <s:f>'자료구성'!$B$2+TIME(INT($C$3/10000),INT(MOD($C$3,10000)/100),MOD($C$3,100))+(ROW()-ROW($C$3))/86400</s:f>
        <s:v>46247.411840277775</s:v>
      </s:c>
    </s:row>
    <s:row r="322">
      <s:c r="A322" s="0" t="n">
        <s:v>260813</s:v>
      </s:c>
      <s:c r="B322" s="0" t="inlineStr">
        <s:is>
          <s:t>이종훈</s:t>
        </s:is>
      </s:c>
      <s:c r="C322" s="0" t="n">
        <s:v>94745</s:v>
      </s:c>
      <s:c r="D322" s="0" t="n">
        <s:v>2152</s:v>
      </s:c>
      <s:c r="F322" s="24">
        <s:f>'자료구성'!$B$2+TIME(INT($C$3/10000),INT(MOD($C$3,10000)/100),MOD($C$3,100))+(ROW()-ROW($C$3))/86400</s:f>
        <s:v>46247.41185185185</s:v>
      </s:c>
    </s:row>
    <s:row r="323">
      <s:c r="A323" s="0" t="n">
        <s:v>260813</s:v>
      </s:c>
      <s:c r="B323" s="0" t="inlineStr">
        <s:is>
          <s:t>이종훈</s:t>
        </s:is>
      </s:c>
      <s:c r="C323" s="0" t="n">
        <s:v>94745</s:v>
      </s:c>
      <s:c r="D323" s="0" t="n">
        <s:v>2215</s:v>
      </s:c>
      <s:c r="F323" s="24">
        <s:f>'자료구성'!$B$2+TIME(INT($C$3/10000),INT(MOD($C$3,10000)/100),MOD($C$3,100))+(ROW()-ROW($C$3))/86400</s:f>
        <s:v>46247.41186342593</s:v>
      </s:c>
    </s:row>
    <s:row r="324">
      <s:c r="A324" s="0" t="n">
        <s:v>260813</s:v>
      </s:c>
      <s:c r="B324" s="0" t="inlineStr">
        <s:is>
          <s:t>이종훈</s:t>
        </s:is>
      </s:c>
      <s:c r="C324" s="0" t="n">
        <s:v>94745</s:v>
      </s:c>
      <s:c r="D324" s="0" t="n">
        <s:v>2330</s:v>
      </s:c>
      <s:c r="F324" s="24">
        <s:f>'자료구성'!$B$2+TIME(INT($C$3/10000),INT(MOD($C$3,10000)/100),MOD($C$3,100))+(ROW()-ROW($C$3))/86400</s:f>
        <s:v>46247.411875</s:v>
      </s:c>
    </s:row>
    <s:row r="325">
      <s:c r="A325" s="0" t="n">
        <s:v>260813</s:v>
      </s:c>
      <s:c r="B325" s="0" t="inlineStr">
        <s:is>
          <s:t>이종훈</s:t>
        </s:is>
      </s:c>
      <s:c r="C325" s="0" t="n">
        <s:v>94745</s:v>
      </s:c>
      <s:c r="D325" s="0" t="n">
        <s:v>2479</s:v>
      </s:c>
      <s:c r="F325" s="24">
        <s:f>'자료구성'!$B$2+TIME(INT($C$3/10000),INT(MOD($C$3,10000)/100),MOD($C$3,100))+(ROW()-ROW($C$3))/86400</s:f>
        <s:v>46247.411886574075</s:v>
      </s:c>
    </s:row>
    <s:row r="326">
      <s:c r="A326" s="0" t="n">
        <s:v>260813</s:v>
      </s:c>
      <s:c r="B326" s="0" t="inlineStr">
        <s:is>
          <s:t>이종훈</s:t>
        </s:is>
      </s:c>
      <s:c r="C326" s="0" t="n">
        <s:v>94745</s:v>
      </s:c>
      <s:c r="D326" s="0" t="n">
        <s:v>2668</s:v>
      </s:c>
      <s:c r="F326" s="24">
        <s:f>'자료구성'!$B$2+TIME(INT($C$3/10000),INT(MOD($C$3,10000)/100),MOD($C$3,100))+(ROW()-ROW($C$3))/86400</s:f>
        <s:v>46247.41189814815</s:v>
      </s:c>
    </s:row>
    <s:row r="327">
      <s:c r="A327" s="0" t="n">
        <s:v>260813</s:v>
      </s:c>
      <s:c r="B327" s="0" t="inlineStr">
        <s:is>
          <s:t>이종훈</s:t>
        </s:is>
      </s:c>
      <s:c r="C327" s="0" t="n">
        <s:v>94745</s:v>
      </s:c>
      <s:c r="D327" s="0" t="n">
        <s:v>2911</s:v>
      </s:c>
      <s:c r="F327" s="24">
        <s:f>'자료구성'!$B$2+TIME(INT($C$3/10000),INT(MOD($C$3,10000)/100),MOD($C$3,100))+(ROW()-ROW($C$3))/86400</s:f>
        <s:v>46247.41190972222</s:v>
      </s:c>
    </s:row>
    <s:row r="328">
      <s:c r="A328" s="0" t="n">
        <s:v>260813</s:v>
      </s:c>
      <s:c r="B328" s="0" t="inlineStr">
        <s:is>
          <s:t>이종훈</s:t>
        </s:is>
      </s:c>
      <s:c r="C328" s="0" t="n">
        <s:v>94745</s:v>
      </s:c>
      <s:c r="D328" s="0" t="n">
        <s:v>3143</s:v>
      </s:c>
      <s:c r="F328" s="24">
        <s:f>'자료구성'!$B$2+TIME(INT($C$3/10000),INT(MOD($C$3,10000)/100),MOD($C$3,100))+(ROW()-ROW($C$3))/86400</s:f>
        <s:v>46247.4119212963</s:v>
      </s:c>
    </s:row>
    <s:row r="329">
      <s:c r="A329" s="0" t="n">
        <s:v>260813</s:v>
      </s:c>
      <s:c r="B329" s="0" t="inlineStr">
        <s:is>
          <s:t>이종훈</s:t>
        </s:is>
      </s:c>
      <s:c r="C329" s="0" t="n">
        <s:v>94745</s:v>
      </s:c>
      <s:c r="D329" s="0" t="n">
        <s:v>3264</s:v>
      </s:c>
      <s:c r="F329" s="24">
        <s:f>'자료구성'!$B$2+TIME(INT($C$3/10000),INT(MOD($C$3,10000)/100),MOD($C$3,100))+(ROW()-ROW($C$3))/86400</s:f>
        <s:v>46247.41193287037</s:v>
      </s:c>
    </s:row>
    <s:row r="330">
      <s:c r="A330" s="0" t="n">
        <s:v>260813</s:v>
      </s:c>
      <s:c r="B330" s="0" t="inlineStr">
        <s:is>
          <s:t>이종훈</s:t>
        </s:is>
      </s:c>
      <s:c r="C330" s="0" t="n">
        <s:v>94745</s:v>
      </s:c>
      <s:c r="D330" s="0" t="n">
        <s:v>3322</s:v>
      </s:c>
      <s:c r="F330" s="24">
        <s:f>'자료구성'!$B$2+TIME(INT($C$3/10000),INT(MOD($C$3,10000)/100),MOD($C$3,100))+(ROW()-ROW($C$3))/86400</s:f>
        <s:v>46247.411944444444</s:v>
      </s:c>
    </s:row>
    <s:row r="331">
      <s:c r="A331" s="0" t="n">
        <s:v>260813</s:v>
      </s:c>
      <s:c r="B331" s="0" t="inlineStr">
        <s:is>
          <s:t>이종훈</s:t>
        </s:is>
      </s:c>
      <s:c r="C331" s="0" t="n">
        <s:v>94745</s:v>
      </s:c>
      <s:c r="D331" s="0" t="n">
        <s:v>3430</s:v>
      </s:c>
      <s:c r="F331" s="24">
        <s:f>'자료구성'!$B$2+TIME(INT($C$3/10000),INT(MOD($C$3,10000)/100),MOD($C$3,100))+(ROW()-ROW($C$3))/86400</s:f>
        <s:v>46247.41195601852</s:v>
      </s:c>
    </s:row>
    <s:row r="332">
      <s:c r="A332" s="0" t="n">
        <s:v>260813</s:v>
      </s:c>
      <s:c r="B332" s="0" t="inlineStr">
        <s:is>
          <s:t>이종훈</s:t>
        </s:is>
      </s:c>
      <s:c r="C332" s="0" t="n">
        <s:v>94745</s:v>
      </s:c>
      <s:c r="D332" s="0" t="n">
        <s:v>3589</s:v>
      </s:c>
      <s:c r="F332" s="24">
        <s:f>'자료구성'!$B$2+TIME(INT($C$3/10000),INT(MOD($C$3,10000)/100),MOD($C$3,100))+(ROW()-ROW($C$3))/86400</s:f>
        <s:v>46247.41196759259</s:v>
      </s:c>
    </s:row>
    <s:row r="333">
      <s:c r="A333" s="0" t="n">
        <s:v>260813</s:v>
      </s:c>
      <s:c r="B333" s="0" t="inlineStr">
        <s:is>
          <s:t>이종훈</s:t>
        </s:is>
      </s:c>
      <s:c r="C333" s="0" t="n">
        <s:v>94745</s:v>
      </s:c>
      <s:c r="D333" s="0" t="n">
        <s:v>3790</s:v>
      </s:c>
      <s:c r="F333" s="24">
        <s:f>'자료구성'!$B$2+TIME(INT($C$3/10000),INT(MOD($C$3,10000)/100),MOD($C$3,100))+(ROW()-ROW($C$3))/86400</s:f>
        <s:v>46247.41197916667</s:v>
      </s:c>
    </s:row>
    <s:row r="334">
      <s:c r="A334" s="0" t="n">
        <s:v>260813</s:v>
      </s:c>
      <s:c r="B334" s="0" t="inlineStr">
        <s:is>
          <s:t>이종훈</s:t>
        </s:is>
      </s:c>
      <s:c r="C334" s="0" t="n">
        <s:v>94745</s:v>
      </s:c>
      <s:c r="D334" s="0" t="n">
        <s:v>4063</s:v>
      </s:c>
      <s:c r="F334" s="24">
        <s:f>'자료구성'!$B$2+TIME(INT($C$3/10000),INT(MOD($C$3,10000)/100),MOD($C$3,100))+(ROW()-ROW($C$3))/86400</s:f>
        <s:v>46247.411990740744</s:v>
      </s:c>
    </s:row>
    <s:row r="335">
      <s:c r="A335" s="0" t="n">
        <s:v>260813</s:v>
      </s:c>
      <s:c r="B335" s="0" t="inlineStr">
        <s:is>
          <s:t>이종훈</s:t>
        </s:is>
      </s:c>
      <s:c r="C335" s="0" t="n">
        <s:v>94745</s:v>
      </s:c>
      <s:c r="D335" s="0" t="n">
        <s:v>4169</s:v>
      </s:c>
      <s:c r="F335" s="24">
        <s:f>'자료구성'!$B$2+TIME(INT($C$3/10000),INT(MOD($C$3,10000)/100),MOD($C$3,100))+(ROW()-ROW($C$3))/86400</s:f>
        <s:v>46247.41200231481</s:v>
      </s:c>
    </s:row>
    <s:row r="336">
      <s:c r="A336" s="0" t="n">
        <s:v>260813</s:v>
      </s:c>
      <s:c r="B336" s="0" t="inlineStr">
        <s:is>
          <s:t>이종훈</s:t>
        </s:is>
      </s:c>
      <s:c r="C336" s="0" t="n">
        <s:v>94745</s:v>
      </s:c>
      <s:c r="D336" s="0" t="n">
        <s:v>4266</s:v>
      </s:c>
      <s:c r="F336" s="24">
        <s:f>'자료구성'!$B$2+TIME(INT($C$3/10000),INT(MOD($C$3,10000)/100),MOD($C$3,100))+(ROW()-ROW($C$3))/86400</s:f>
        <s:v>46247.41201388889</s:v>
      </s:c>
    </s:row>
    <s:row r="337">
      <s:c r="A337" s="0" t="n">
        <s:v>260813</s:v>
      </s:c>
      <s:c r="B337" s="0" t="inlineStr">
        <s:is>
          <s:t>이종훈</s:t>
        </s:is>
      </s:c>
      <s:c r="C337" s="0" t="n">
        <s:v>94745</s:v>
      </s:c>
      <s:c r="D337" s="0" t="n">
        <s:v>4362</s:v>
      </s:c>
      <s:c r="F337" s="24">
        <s:f>'자료구성'!$B$2+TIME(INT($C$3/10000),INT(MOD($C$3,10000)/100),MOD($C$3,100))+(ROW()-ROW($C$3))/86400</s:f>
        <s:v>46247.41202546296</s:v>
      </s:c>
    </s:row>
    <s:row r="338">
      <s:c r="A338" s="0" t="n">
        <s:v>260813</s:v>
      </s:c>
      <s:c r="B338" s="0" t="inlineStr">
        <s:is>
          <s:t>이종훈</s:t>
        </s:is>
      </s:c>
      <s:c r="C338" s="0" t="n">
        <s:v>94745</s:v>
      </s:c>
      <s:c r="D338" s="0" t="n">
        <s:v>4456</s:v>
      </s:c>
      <s:c r="F338" s="24">
        <s:f>'자료구성'!$B$2+TIME(INT($C$3/10000),INT(MOD($C$3,10000)/100),MOD($C$3,100))+(ROW()-ROW($C$3))/86400</s:f>
        <s:v>46247.41203703704</s:v>
      </s:c>
    </s:row>
    <s:row r="339">
      <s:c r="A339" s="0" t="n">
        <s:v>260813</s:v>
      </s:c>
      <s:c r="B339" s="0" t="inlineStr">
        <s:is>
          <s:t>이종훈</s:t>
        </s:is>
      </s:c>
      <s:c r="C339" s="0" t="n">
        <s:v>94745</s:v>
      </s:c>
      <s:c r="D339" s="0" t="n">
        <s:v>4477</s:v>
      </s:c>
      <s:c r="F339" s="24">
        <s:f>'자료구성'!$B$2+TIME(INT($C$3/10000),INT(MOD($C$3,10000)/100),MOD($C$3,100))+(ROW()-ROW($C$3))/86400</s:f>
        <s:v>46247.41204861111</s:v>
      </s:c>
    </s:row>
    <s:row r="340">
      <s:c r="A340" s="0" t="n">
        <s:v>260813</s:v>
      </s:c>
      <s:c r="B340" s="0" t="inlineStr">
        <s:is>
          <s:t>이종훈</s:t>
        </s:is>
      </s:c>
      <s:c r="C340" s="0" t="n">
        <s:v>94745</s:v>
      </s:c>
      <s:c r="D340" s="0" t="n">
        <s:v>4488</s:v>
      </s:c>
      <s:c r="F340" s="24">
        <s:f>'자료구성'!$B$2+TIME(INT($C$3/10000),INT(MOD($C$3,10000)/100),MOD($C$3,100))+(ROW()-ROW($C$3))/86400</s:f>
        <s:v>46247.41206018518</s:v>
      </s:c>
    </s:row>
    <s:row r="341">
      <s:c r="A341" s="0" t="n">
        <s:v>260813</s:v>
      </s:c>
      <s:c r="B341" s="0" t="inlineStr">
        <s:is>
          <s:t>이종훈</s:t>
        </s:is>
      </s:c>
      <s:c r="C341" s="0" t="n">
        <s:v>94745</s:v>
      </s:c>
      <s:c r="D341" s="0" t="n">
        <s:v>4494</s:v>
      </s:c>
      <s:c r="F341" s="24">
        <s:f>'자료구성'!$B$2+TIME(INT($C$3/10000),INT(MOD($C$3,10000)/100),MOD($C$3,100))+(ROW()-ROW($C$3))/86400</s:f>
        <s:v>46247.41207175926</s:v>
      </s:c>
    </s:row>
    <s:row r="342">
      <s:c r="A342" s="0" t="n">
        <s:v>260813</s:v>
      </s:c>
      <s:c r="B342" s="0" t="inlineStr">
        <s:is>
          <s:t>이종훈</s:t>
        </s:is>
      </s:c>
      <s:c r="C342" s="0" t="n">
        <s:v>94745</s:v>
      </s:c>
      <s:c r="D342" s="0" t="n">
        <s:v>4427</s:v>
      </s:c>
      <s:c r="F342" s="24">
        <s:f>'자료구성'!$B$2+TIME(INT($C$3/10000),INT(MOD($C$3,10000)/100),MOD($C$3,100))+(ROW()-ROW($C$3))/86400</s:f>
        <s:v>46247.412083333336</s:v>
      </s:c>
    </s:row>
    <s:row r="343">
      <s:c r="A343" s="0" t="n">
        <s:v>260813</s:v>
      </s:c>
      <s:c r="B343" s="0" t="inlineStr">
        <s:is>
          <s:t>이종훈</s:t>
        </s:is>
      </s:c>
      <s:c r="C343" s="0" t="n">
        <s:v>94745</s:v>
      </s:c>
      <s:c r="D343" s="0" t="n">
        <s:v>4278</s:v>
      </s:c>
      <s:c r="F343" s="24">
        <s:f>'자료구성'!$B$2+TIME(INT($C$3/10000),INT(MOD($C$3,10000)/100),MOD($C$3,100))+(ROW()-ROW($C$3))/86400</s:f>
        <s:v>46247.412094907406</s:v>
      </s:c>
    </s:row>
    <s:row r="344">
      <s:c r="A344" s="0" t="n">
        <s:v>260813</s:v>
      </s:c>
      <s:c r="B344" s="0" t="inlineStr">
        <s:is>
          <s:t>이종훈</s:t>
        </s:is>
      </s:c>
      <s:c r="C344" s="0" t="n">
        <s:v>94745</s:v>
      </s:c>
      <s:c r="D344" s="0" t="n">
        <s:v>4107</s:v>
      </s:c>
      <s:c r="F344" s="24">
        <s:f>'자료구성'!$B$2+TIME(INT($C$3/10000),INT(MOD($C$3,10000)/100),MOD($C$3,100))+(ROW()-ROW($C$3))/86400</s:f>
        <s:v>46247.41210648148</s:v>
      </s:c>
    </s:row>
    <s:row r="345">
      <s:c r="A345" s="0" t="n">
        <s:v>260813</s:v>
      </s:c>
      <s:c r="B345" s="0" t="inlineStr">
        <s:is>
          <s:t>이종훈</s:t>
        </s:is>
      </s:c>
      <s:c r="C345" s="0" t="n">
        <s:v>94745</s:v>
      </s:c>
      <s:c r="D345" s="0" t="n">
        <s:v>4038</s:v>
      </s:c>
      <s:c r="F345" s="24">
        <s:f>'자료구성'!$B$2+TIME(INT($C$3/10000),INT(MOD($C$3,10000)/100),MOD($C$3,100))+(ROW()-ROW($C$3))/86400</s:f>
        <s:v>46247.41211805555</s:v>
      </s:c>
    </s:row>
    <s:row r="346">
      <s:c r="A346" s="0" t="n">
        <s:v>260813</s:v>
      </s:c>
      <s:c r="B346" s="0" t="inlineStr">
        <s:is>
          <s:t>이종훈</s:t>
        </s:is>
      </s:c>
      <s:c r="C346" s="0" t="n">
        <s:v>94745</s:v>
      </s:c>
      <s:c r="D346" s="0" t="n">
        <s:v>3907</s:v>
      </s:c>
      <s:c r="F346" s="24">
        <s:f>'자료구성'!$B$2+TIME(INT($C$3/10000),INT(MOD($C$3,10000)/100),MOD($C$3,100))+(ROW()-ROW($C$3))/86400</s:f>
        <s:v>46247.41212962963</s:v>
      </s:c>
    </s:row>
    <s:row r="347">
      <s:c r="A347" s="0" t="n">
        <s:v>260813</s:v>
      </s:c>
      <s:c r="B347" s="0" t="inlineStr">
        <s:is>
          <s:t>이종훈</s:t>
        </s:is>
      </s:c>
      <s:c r="C347" s="0" t="n">
        <s:v>94745</s:v>
      </s:c>
      <s:c r="D347" s="0" t="n">
        <s:v>3808</s:v>
      </s:c>
      <s:c r="F347" s="24">
        <s:f>'자료구성'!$B$2+TIME(INT($C$3/10000),INT(MOD($C$3,10000)/100),MOD($C$3,100))+(ROW()-ROW($C$3))/86400</s:f>
        <s:v>46247.412141203706</s:v>
      </s:c>
    </s:row>
    <s:row r="348">
      <s:c r="A348" s="0" t="n">
        <s:v>260813</s:v>
      </s:c>
      <s:c r="B348" s="0" t="inlineStr">
        <s:is>
          <s:t>이종훈</s:t>
        </s:is>
      </s:c>
      <s:c r="C348" s="0" t="n">
        <s:v>94745</s:v>
      </s:c>
      <s:c r="D348" s="0" t="n">
        <s:v>3755</s:v>
      </s:c>
      <s:c r="F348" s="24">
        <s:f>'자료구성'!$B$2+TIME(INT($C$3/10000),INT(MOD($C$3,10000)/100),MOD($C$3,100))+(ROW()-ROW($C$3))/86400</s:f>
        <s:v>46247.412152777775</s:v>
      </s:c>
    </s:row>
    <s:row r="349">
      <s:c r="A349" s="0" t="n">
        <s:v>260813</s:v>
      </s:c>
      <s:c r="B349" s="0" t="inlineStr">
        <s:is>
          <s:t>이종훈</s:t>
        </s:is>
      </s:c>
      <s:c r="C349" s="0" t="n">
        <s:v>94745</s:v>
      </s:c>
      <s:c r="D349" s="0" t="n">
        <s:v>3662</s:v>
      </s:c>
      <s:c r="F349" s="24">
        <s:f>'자료구성'!$B$2+TIME(INT($C$3/10000),INT(MOD($C$3,10000)/100),MOD($C$3,100))+(ROW()-ROW($C$3))/86400</s:f>
        <s:v>46247.41216435185</s:v>
      </s:c>
    </s:row>
    <s:row r="350">
      <s:c r="A350" s="0" t="n">
        <s:v>260813</s:v>
      </s:c>
      <s:c r="B350" s="0" t="inlineStr">
        <s:is>
          <s:t>이종훈</s:t>
        </s:is>
      </s:c>
      <s:c r="C350" s="0" t="n">
        <s:v>94745</s:v>
      </s:c>
      <s:c r="D350" s="0" t="n">
        <s:v>3570</s:v>
      </s:c>
      <s:c r="F350" s="24">
        <s:f>'자료구성'!$B$2+TIME(INT($C$3/10000),INT(MOD($C$3,10000)/100),MOD($C$3,100))+(ROW()-ROW($C$3))/86400</s:f>
        <s:v>46247.41217592593</s:v>
      </s:c>
    </s:row>
    <s:row r="351">
      <s:c r="A351" s="0" t="n">
        <s:v>260813</s:v>
      </s:c>
      <s:c r="B351" s="0" t="inlineStr">
        <s:is>
          <s:t>이종훈</s:t>
        </s:is>
      </s:c>
      <s:c r="C351" s="0" t="n">
        <s:v>94745</s:v>
      </s:c>
      <s:c r="D351" s="0" t="n">
        <s:v>3554</s:v>
      </s:c>
      <s:c r="F351" s="24">
        <s:f>'자료구성'!$B$2+TIME(INT($C$3/10000),INT(MOD($C$3,10000)/100),MOD($C$3,100))+(ROW()-ROW($C$3))/86400</s:f>
        <s:v>46247.4121875</s:v>
      </s:c>
    </s:row>
    <s:row r="352">
      <s:c r="A352" s="0" t="n">
        <s:v>260813</s:v>
      </s:c>
      <s:c r="B352" s="0" t="inlineStr">
        <s:is>
          <s:t>이종훈</s:t>
        </s:is>
      </s:c>
      <s:c r="C352" s="0" t="n">
        <s:v>94745</s:v>
      </s:c>
      <s:c r="D352" s="0" t="n">
        <s:v>3540</s:v>
      </s:c>
      <s:c r="F352" s="24">
        <s:f>'자료구성'!$B$2+TIME(INT($C$3/10000),INT(MOD($C$3,10000)/100),MOD($C$3,100))+(ROW()-ROW($C$3))/86400</s:f>
        <s:v>46247.412199074075</s:v>
      </s:c>
    </s:row>
    <s:row r="353">
      <s:c r="A353" s="0" t="n">
        <s:v>260813</s:v>
      </s:c>
      <s:c r="B353" s="0" t="inlineStr">
        <s:is>
          <s:t>이종훈</s:t>
        </s:is>
      </s:c>
      <s:c r="C353" s="0" t="n">
        <s:v>94745</s:v>
      </s:c>
      <s:c r="D353" s="0" t="n">
        <s:v>3524</s:v>
      </s:c>
      <s:c r="F353" s="24">
        <s:f>'자료구성'!$B$2+TIME(INT($C$3/10000),INT(MOD($C$3,10000)/100),MOD($C$3,100))+(ROW()-ROW($C$3))/86400</s:f>
        <s:v>46247.412210648145</s:v>
      </s:c>
    </s:row>
    <s:row r="354">
      <s:c r="A354" s="0" t="n">
        <s:v>260813</s:v>
      </s:c>
      <s:c r="B354" s="0" t="inlineStr">
        <s:is>
          <s:t>이종훈</s:t>
        </s:is>
      </s:c>
      <s:c r="C354" s="0" t="n">
        <s:v>94745</s:v>
      </s:c>
      <s:c r="D354" s="0" t="n">
        <s:v>3479</s:v>
      </s:c>
      <s:c r="F354" s="24">
        <s:f>'자료구성'!$B$2+TIME(INT($C$3/10000),INT(MOD($C$3,10000)/100),MOD($C$3,100))+(ROW()-ROW($C$3))/86400</s:f>
        <s:v>46247.41222222222</s:v>
      </s:c>
    </s:row>
    <s:row r="355">
      <s:c r="A355" s="0" t="n">
        <s:v>260813</s:v>
      </s:c>
      <s:c r="B355" s="0" t="inlineStr">
        <s:is>
          <s:t>이종훈</s:t>
        </s:is>
      </s:c>
      <s:c r="C355" s="0" t="n">
        <s:v>94745</s:v>
      </s:c>
      <s:c r="D355" s="0" t="n">
        <s:v>3481</s:v>
      </s:c>
      <s:c r="F355" s="24">
        <s:f>'자료구성'!$B$2+TIME(INT($C$3/10000),INT(MOD($C$3,10000)/100),MOD($C$3,100))+(ROW()-ROW($C$3))/86400</s:f>
        <s:v>46247.4122337963</s:v>
      </s:c>
    </s:row>
    <s:row r="356">
      <s:c r="A356" s="0" t="n">
        <s:v>260813</s:v>
      </s:c>
      <s:c r="B356" s="0" t="inlineStr">
        <s:is>
          <s:t>이종훈</s:t>
        </s:is>
      </s:c>
      <s:c r="C356" s="0" t="n">
        <s:v>94745</s:v>
      </s:c>
      <s:c r="D356" s="0" t="n">
        <s:v>3761</s:v>
      </s:c>
      <s:c r="F356" s="24">
        <s:f>'자료구성'!$B$2+TIME(INT($C$3/10000),INT(MOD($C$3,10000)/100),MOD($C$3,100))+(ROW()-ROW($C$3))/86400</s:f>
        <s:v>46247.41224537037</s:v>
      </s:c>
    </s:row>
    <s:row r="357">
      <s:c r="A357" s="0" t="n">
        <s:v>260813</s:v>
      </s:c>
      <s:c r="B357" s="0" t="inlineStr">
        <s:is>
          <s:t>이종훈</s:t>
        </s:is>
      </s:c>
      <s:c r="C357" s="0" t="n">
        <s:v>94745</s:v>
      </s:c>
      <s:c r="D357" s="0" t="n">
        <s:v>4105</s:v>
      </s:c>
      <s:c r="F357" s="24">
        <s:f>'자료구성'!$B$2+TIME(INT($C$3/10000),INT(MOD($C$3,10000)/100),MOD($C$3,100))+(ROW()-ROW($C$3))/86400</s:f>
        <s:v>46247.412256944444</s:v>
      </s:c>
    </s:row>
    <s:row r="358">
      <s:c r="A358" s="0" t="n">
        <s:v>260813</s:v>
      </s:c>
      <s:c r="B358" s="0" t="inlineStr">
        <s:is>
          <s:t>이종훈</s:t>
        </s:is>
      </s:c>
      <s:c r="C358" s="0" t="n">
        <s:v>94745</s:v>
      </s:c>
      <s:c r="D358" s="0" t="n">
        <s:v>4462</s:v>
      </s:c>
      <s:c r="F358" s="24">
        <s:f>'자료구성'!$B$2+TIME(INT($C$3/10000),INT(MOD($C$3,10000)/100),MOD($C$3,100))+(ROW()-ROW($C$3))/86400</s:f>
        <s:v>46247.41226851852</s:v>
      </s:c>
    </s:row>
    <s:row r="359">
      <s:c r="A359" s="0" t="n">
        <s:v>260813</s:v>
      </s:c>
      <s:c r="B359" s="0" t="inlineStr">
        <s:is>
          <s:t>이종훈</s:t>
        </s:is>
      </s:c>
      <s:c r="C359" s="0" t="n">
        <s:v>94745</s:v>
      </s:c>
      <s:c r="D359" s="0" t="n">
        <s:v>4630</s:v>
      </s:c>
      <s:c r="F359" s="24">
        <s:f>'자료구성'!$B$2+TIME(INT($C$3/10000),INT(MOD($C$3,10000)/100),MOD($C$3,100))+(ROW()-ROW($C$3))/86400</s:f>
        <s:v>46247.41228009259</s:v>
      </s:c>
    </s:row>
    <s:row r="360">
      <s:c r="A360" s="0" t="n">
        <s:v>260813</s:v>
      </s:c>
      <s:c r="B360" s="0" t="inlineStr">
        <s:is>
          <s:t>이종훈</s:t>
        </s:is>
      </s:c>
      <s:c r="C360" s="0" t="n">
        <s:v>94745</s:v>
      </s:c>
      <s:c r="D360" s="0" t="n">
        <s:v>4742</s:v>
      </s:c>
      <s:c r="F360" s="24">
        <s:f>'자료구성'!$B$2+TIME(INT($C$3/10000),INT(MOD($C$3,10000)/100),MOD($C$3,100))+(ROW()-ROW($C$3))/86400</s:f>
        <s:v>46247.41229166667</s:v>
      </s:c>
    </s:row>
    <s:row r="361">
      <s:c r="A361" s="0" t="n">
        <s:v>260813</s:v>
      </s:c>
      <s:c r="B361" s="0" t="inlineStr">
        <s:is>
          <s:t>이종훈</s:t>
        </s:is>
      </s:c>
      <s:c r="C361" s="0" t="n">
        <s:v>94745</s:v>
      </s:c>
      <s:c r="D361" s="0" t="n">
        <s:v>4869</s:v>
      </s:c>
      <s:c r="F361" s="24">
        <s:f>'자료구성'!$B$2+TIME(INT($C$3/10000),INT(MOD($C$3,10000)/100),MOD($C$3,100))+(ROW()-ROW($C$3))/86400</s:f>
        <s:v>46247.412303240744</s:v>
      </s:c>
    </s:row>
    <s:row r="362">
      <s:c r="A362" s="0" t="n">
        <s:v>260813</s:v>
      </s:c>
      <s:c r="B362" s="0" t="inlineStr">
        <s:is>
          <s:t>이종훈</s:t>
        </s:is>
      </s:c>
      <s:c r="C362" s="0" t="n">
        <s:v>94745</s:v>
      </s:c>
      <s:c r="D362" s="0" t="n">
        <s:v>4923</s:v>
      </s:c>
      <s:c r="F362" s="24">
        <s:f>'자료구성'!$B$2+TIME(INT($C$3/10000),INT(MOD($C$3,10000)/100),MOD($C$3,100))+(ROW()-ROW($C$3))/86400</s:f>
        <s:v>46247.412314814814</s:v>
      </s:c>
    </s:row>
    <s:row r="363">
      <s:c r="A363" s="0" t="n">
        <s:v>260813</s:v>
      </s:c>
      <s:c r="B363" s="0" t="inlineStr">
        <s:is>
          <s:t>이종훈</s:t>
        </s:is>
      </s:c>
      <s:c r="C363" s="0" t="n">
        <s:v>94745</s:v>
      </s:c>
      <s:c r="D363" s="0" t="n">
        <s:v>4983</s:v>
      </s:c>
      <s:c r="F363" s="24">
        <s:f>'자료구성'!$B$2+TIME(INT($C$3/10000),INT(MOD($C$3,10000)/100),MOD($C$3,100))+(ROW()-ROW($C$3))/86400</s:f>
        <s:v>46247.41232638889</s:v>
      </s:c>
    </s:row>
    <s:row r="364">
      <s:c r="A364" s="0" t="n">
        <s:v>260813</s:v>
      </s:c>
      <s:c r="B364" s="0" t="inlineStr">
        <s:is>
          <s:t>이종훈</s:t>
        </s:is>
      </s:c>
      <s:c r="C364" s="0" t="n">
        <s:v>94745</s:v>
      </s:c>
      <s:c r="D364" s="0" t="n">
        <s:v>5063</s:v>
      </s:c>
      <s:c r="F364" s="24">
        <s:f>'자료구성'!$B$2+TIME(INT($C$3/10000),INT(MOD($C$3,10000)/100),MOD($C$3,100))+(ROW()-ROW($C$3))/86400</s:f>
        <s:v>46247.41233796296</s:v>
      </s:c>
    </s:row>
    <s:row r="365">
      <s:c r="A365" s="0" t="n">
        <s:v>260813</s:v>
      </s:c>
      <s:c r="B365" s="0" t="inlineStr">
        <s:is>
          <s:t>이종훈</s:t>
        </s:is>
      </s:c>
      <s:c r="C365" s="0" t="n">
        <s:v>94745</s:v>
      </s:c>
      <s:c r="D365" s="0" t="n">
        <s:v>5048</s:v>
      </s:c>
      <s:c r="F365" s="24">
        <s:f>'자료구성'!$B$2+TIME(INT($C$3/10000),INT(MOD($C$3,10000)/100),MOD($C$3,100))+(ROW()-ROW($C$3))/86400</s:f>
        <s:v>46247.41234953704</s:v>
      </s:c>
    </s:row>
    <s:row r="366">
      <s:c r="A366" s="0" t="n">
        <s:v>260813</s:v>
      </s:c>
      <s:c r="B366" s="0" t="inlineStr">
        <s:is>
          <s:t>이종훈</s:t>
        </s:is>
      </s:c>
      <s:c r="C366" s="0" t="n">
        <s:v>94745</s:v>
      </s:c>
      <s:c r="D366" s="0" t="n">
        <s:v>5023</s:v>
      </s:c>
      <s:c r="F366" s="24">
        <s:f>'자료구성'!$B$2+TIME(INT($C$3/10000),INT(MOD($C$3,10000)/100),MOD($C$3,100))+(ROW()-ROW($C$3))/86400</s:f>
        <s:v>46247.41236111111</s:v>
      </s:c>
    </s:row>
    <s:row r="367">
      <s:c r="A367" s="0" t="n">
        <s:v>260813</s:v>
      </s:c>
      <s:c r="B367" s="0" t="inlineStr">
        <s:is>
          <s:t>이종훈</s:t>
        </s:is>
      </s:c>
      <s:c r="C367" s="0" t="n">
        <s:v>94745</s:v>
      </s:c>
      <s:c r="D367" s="0" t="n">
        <s:v>4921</s:v>
      </s:c>
      <s:c r="F367" s="24">
        <s:f>'자료구성'!$B$2+TIME(INT($C$3/10000),INT(MOD($C$3,10000)/100),MOD($C$3,100))+(ROW()-ROW($C$3))/86400</s:f>
        <s:v>46247.41237268518</s:v>
      </s:c>
    </s:row>
    <s:row r="368">
      <s:c r="A368" s="0" t="n">
        <s:v>260813</s:v>
      </s:c>
      <s:c r="B368" s="0" t="inlineStr">
        <s:is>
          <s:t>이종훈</s:t>
        </s:is>
      </s:c>
      <s:c r="C368" s="0" t="n">
        <s:v>94745</s:v>
      </s:c>
      <s:c r="D368" s="0" t="n">
        <s:v>4794</s:v>
      </s:c>
      <s:c r="F368" s="24">
        <s:f>'자료구성'!$B$2+TIME(INT($C$3/10000),INT(MOD($C$3,10000)/100),MOD($C$3,100))+(ROW()-ROW($C$3))/86400</s:f>
        <s:v>46247.41238425926</s:v>
      </s:c>
    </s:row>
    <s:row r="369">
      <s:c r="A369" s="0" t="n">
        <s:v>260813</s:v>
      </s:c>
      <s:c r="B369" s="0" t="inlineStr">
        <s:is>
          <s:t>이종훈</s:t>
        </s:is>
      </s:c>
      <s:c r="C369" s="0" t="n">
        <s:v>94745</s:v>
      </s:c>
      <s:c r="D369" s="0" t="n">
        <s:v>4628</s:v>
      </s:c>
      <s:c r="F369" s="24">
        <s:f>'자료구성'!$B$2+TIME(INT($C$3/10000),INT(MOD($C$3,10000)/100),MOD($C$3,100))+(ROW()-ROW($C$3))/86400</s:f>
        <s:v>46247.41239583334</s:v>
      </s:c>
    </s:row>
    <s:row r="370">
      <s:c r="A370" s="0" t="n">
        <s:v>260813</s:v>
      </s:c>
      <s:c r="B370" s="0" t="inlineStr">
        <s:is>
          <s:t>이종훈</s:t>
        </s:is>
      </s:c>
      <s:c r="C370" s="0" t="n">
        <s:v>94745</s:v>
      </s:c>
      <s:c r="D370" s="0" t="n">
        <s:v>4525</s:v>
      </s:c>
      <s:c r="F370" s="24">
        <s:f>'자료구성'!$B$2+TIME(INT($C$3/10000),INT(MOD($C$3,10000)/100),MOD($C$3,100))+(ROW()-ROW($C$3))/86400</s:f>
        <s:v>46247.412407407406</s:v>
      </s:c>
    </s:row>
    <s:row r="371">
      <s:c r="A371" s="0" t="n">
        <s:v>260813</s:v>
      </s:c>
      <s:c r="B371" s="0" t="inlineStr">
        <s:is>
          <s:t>이종훈</s:t>
        </s:is>
      </s:c>
      <s:c r="C371" s="0" t="n">
        <s:v>94745</s:v>
      </s:c>
      <s:c r="D371" s="0" t="n">
        <s:v>4568</s:v>
      </s:c>
      <s:c r="F371" s="24">
        <s:f>'자료구성'!$B$2+TIME(INT($C$3/10000),INT(MOD($C$3,10000)/100),MOD($C$3,100))+(ROW()-ROW($C$3))/86400</s:f>
        <s:v>46247.41241898148</s:v>
      </s:c>
    </s:row>
    <s:row r="372">
      <s:c r="A372" s="0" t="n">
        <s:v>260813</s:v>
      </s:c>
      <s:c r="B372" s="0" t="inlineStr">
        <s:is>
          <s:t>이종훈</s:t>
        </s:is>
      </s:c>
      <s:c r="C372" s="0" t="n">
        <s:v>94745</s:v>
      </s:c>
      <s:c r="D372" s="0" t="n">
        <s:v>4751</s:v>
      </s:c>
      <s:c r="F372" s="24">
        <s:f>'자료구성'!$B$2+TIME(INT($C$3/10000),INT(MOD($C$3,10000)/100),MOD($C$3,100))+(ROW()-ROW($C$3))/86400</s:f>
        <s:v>46247.41243055555</s:v>
      </s:c>
    </s:row>
    <s:row r="373">
      <s:c r="A373" s="0" t="n">
        <s:v>260813</s:v>
      </s:c>
      <s:c r="B373" s="0" t="inlineStr">
        <s:is>
          <s:t>이종훈</s:t>
        </s:is>
      </s:c>
      <s:c r="C373" s="0" t="n">
        <s:v>94745</s:v>
      </s:c>
      <s:c r="D373" s="0" t="n">
        <s:v>4941</s:v>
      </s:c>
      <s:c r="F373" s="24">
        <s:f>'자료구성'!$B$2+TIME(INT($C$3/10000),INT(MOD($C$3,10000)/100),MOD($C$3,100))+(ROW()-ROW($C$3))/86400</s:f>
        <s:v>46247.41244212963</s:v>
      </s:c>
    </s:row>
    <s:row r="374">
      <s:c r="A374" s="0" t="n">
        <s:v>260813</s:v>
      </s:c>
      <s:c r="B374" s="0" t="inlineStr">
        <s:is>
          <s:t>이종훈</s:t>
        </s:is>
      </s:c>
      <s:c r="C374" s="0" t="n">
        <s:v>94745</s:v>
      </s:c>
      <s:c r="D374" s="0" t="n">
        <s:v>5004</s:v>
      </s:c>
      <s:c r="F374" s="24">
        <s:f>'자료구성'!$B$2+TIME(INT($C$3/10000),INT(MOD($C$3,10000)/100),MOD($C$3,100))+(ROW()-ROW($C$3))/86400</s:f>
        <s:v>46247.412453703706</s:v>
      </s:c>
    </s:row>
    <s:row r="375">
      <s:c r="A375" s="0" t="n">
        <s:v>260813</s:v>
      </s:c>
      <s:c r="B375" s="0" t="inlineStr">
        <s:is>
          <s:t>이종훈</s:t>
        </s:is>
      </s:c>
      <s:c r="C375" s="0" t="n">
        <s:v>94745</s:v>
      </s:c>
      <s:c r="D375" s="0" t="n">
        <s:v>4969</s:v>
      </s:c>
      <s:c r="F375" s="24">
        <s:f>'자료구성'!$B$2+TIME(INT($C$3/10000),INT(MOD($C$3,10000)/100),MOD($C$3,100))+(ROW()-ROW($C$3))/86400</s:f>
        <s:v>46247.412465277775</s:v>
      </s:c>
    </s:row>
    <s:row r="376">
      <s:c r="A376" s="0" t="n">
        <s:v>260813</s:v>
      </s:c>
      <s:c r="B376" s="0" t="inlineStr">
        <s:is>
          <s:t>이종훈</s:t>
        </s:is>
      </s:c>
      <s:c r="C376" s="0" t="n">
        <s:v>94745</s:v>
      </s:c>
      <s:c r="D376" s="0" t="n">
        <s:v>4886</s:v>
      </s:c>
      <s:c r="F376" s="24">
        <s:f>'자료구성'!$B$2+TIME(INT($C$3/10000),INT(MOD($C$3,10000)/100),MOD($C$3,100))+(ROW()-ROW($C$3))/86400</s:f>
        <s:v>46247.41247685185</s:v>
      </s:c>
    </s:row>
    <s:row r="377">
      <s:c r="A377" s="0" t="n">
        <s:v>260813</s:v>
      </s:c>
      <s:c r="B377" s="0" t="inlineStr">
        <s:is>
          <s:t>이종훈</s:t>
        </s:is>
      </s:c>
      <s:c r="C377" s="0" t="n">
        <s:v>94745</s:v>
      </s:c>
      <s:c r="D377" s="0" t="n">
        <s:v>4808</s:v>
      </s:c>
      <s:c r="F377" s="24">
        <s:f>'자료구성'!$B$2+TIME(INT($C$3/10000),INT(MOD($C$3,10000)/100),MOD($C$3,100))+(ROW()-ROW($C$3))/86400</s:f>
        <s:v>46247.41248842593</s:v>
      </s:c>
    </s:row>
    <s:row r="378">
      <s:c r="A378" s="0" t="n">
        <s:v>260813</s:v>
      </s:c>
      <s:c r="B378" s="0" t="inlineStr">
        <s:is>
          <s:t>이종훈</s:t>
        </s:is>
      </s:c>
      <s:c r="C378" s="0" t="n">
        <s:v>94745</s:v>
      </s:c>
      <s:c r="D378" s="0" t="n">
        <s:v>4764</s:v>
      </s:c>
      <s:c r="F378" s="24">
        <s:f>'자료구성'!$B$2+TIME(INT($C$3/10000),INT(MOD($C$3,10000)/100),MOD($C$3,100))+(ROW()-ROW($C$3))/86400</s:f>
        <s:v>46247.4125</s:v>
      </s:c>
    </s:row>
    <s:row r="379">
      <s:c r="A379" s="0" t="n">
        <s:v>260813</s:v>
      </s:c>
      <s:c r="B379" s="0" t="inlineStr">
        <s:is>
          <s:t>이종훈</s:t>
        </s:is>
      </s:c>
      <s:c r="C379" s="0" t="n">
        <s:v>94745</s:v>
      </s:c>
      <s:c r="D379" s="0" t="n">
        <s:v>4727</s:v>
      </s:c>
      <s:c r="F379" s="24">
        <s:f>'자료구성'!$B$2+TIME(INT($C$3/10000),INT(MOD($C$3,10000)/100),MOD($C$3,100))+(ROW()-ROW($C$3))/86400</s:f>
        <s:v>46247.412511574075</s:v>
      </s:c>
    </s:row>
    <s:row r="380">
      <s:c r="A380" s="0" t="n">
        <s:v>260813</s:v>
      </s:c>
      <s:c r="B380" s="0" t="inlineStr">
        <s:is>
          <s:t>이종훈</s:t>
        </s:is>
      </s:c>
      <s:c r="C380" s="0" t="n">
        <s:v>94745</s:v>
      </s:c>
      <s:c r="D380" s="0" t="n">
        <s:v>4622</s:v>
      </s:c>
      <s:c r="F380" s="24">
        <s:f>'자료구성'!$B$2+TIME(INT($C$3/10000),INT(MOD($C$3,10000)/100),MOD($C$3,100))+(ROW()-ROW($C$3))/86400</s:f>
        <s:v>46247.412523148145</s:v>
      </s:c>
    </s:row>
    <s:row r="381">
      <s:c r="A381" s="0" t="n">
        <s:v>260813</s:v>
      </s:c>
      <s:c r="B381" s="0" t="inlineStr">
        <s:is>
          <s:t>이종훈</s:t>
        </s:is>
      </s:c>
      <s:c r="C381" s="0" t="n">
        <s:v>94745</s:v>
      </s:c>
      <s:c r="D381" s="0" t="n">
        <s:v>4508</s:v>
      </s:c>
      <s:c r="F381" s="24">
        <s:f>'자료구성'!$B$2+TIME(INT($C$3/10000),INT(MOD($C$3,10000)/100),MOD($C$3,100))+(ROW()-ROW($C$3))/86400</s:f>
        <s:v>46247.41253472222</s:v>
      </s:c>
    </s:row>
    <s:row r="382">
      <s:c r="A382" s="0" t="n">
        <s:v>260813</s:v>
      </s:c>
      <s:c r="B382" s="0" t="inlineStr">
        <s:is>
          <s:t>이종훈</s:t>
        </s:is>
      </s:c>
      <s:c r="C382" s="0" t="n">
        <s:v>94745</s:v>
      </s:c>
      <s:c r="D382" s="0" t="n">
        <s:v>4442</s:v>
      </s:c>
      <s:c r="F382" s="24">
        <s:f>'자료구성'!$B$2+TIME(INT($C$3/10000),INT(MOD($C$3,10000)/100),MOD($C$3,100))+(ROW()-ROW($C$3))/86400</s:f>
        <s:v>46247.4125462963</s:v>
      </s:c>
    </s:row>
    <s:row r="383">
      <s:c r="A383" s="0" t="n">
        <s:v>260813</s:v>
      </s:c>
      <s:c r="B383" s="0" t="inlineStr">
        <s:is>
          <s:t>이종훈</s:t>
        </s:is>
      </s:c>
      <s:c r="C383" s="0" t="n">
        <s:v>94745</s:v>
      </s:c>
      <s:c r="D383" s="0" t="n">
        <s:v>4382</s:v>
      </s:c>
      <s:c r="F383" s="24">
        <s:f>'자료구성'!$B$2+TIME(INT($C$3/10000),INT(MOD($C$3,10000)/100),MOD($C$3,100))+(ROW()-ROW($C$3))/86400</s:f>
        <s:v>46247.41255787037</s:v>
      </s:c>
    </s:row>
    <s:row r="384">
      <s:c r="A384" s="0" t="n">
        <s:v>260813</s:v>
      </s:c>
      <s:c r="B384" s="0" t="inlineStr">
        <s:is>
          <s:t>이종훈</s:t>
        </s:is>
      </s:c>
      <s:c r="C384" s="0" t="n">
        <s:v>94745</s:v>
      </s:c>
      <s:c r="D384" s="0" t="n">
        <s:v>4448</s:v>
      </s:c>
      <s:c r="F384" s="24">
        <s:f>'자료구성'!$B$2+TIME(INT($C$3/10000),INT(MOD($C$3,10000)/100),MOD($C$3,100))+(ROW()-ROW($C$3))/86400</s:f>
        <s:v>46247.412569444445</s:v>
      </s:c>
    </s:row>
    <s:row r="385">
      <s:c r="A385" s="0" t="n">
        <s:v>260813</s:v>
      </s:c>
      <s:c r="B385" s="0" t="inlineStr">
        <s:is>
          <s:t>이종훈</s:t>
        </s:is>
      </s:c>
      <s:c r="C385" s="0" t="n">
        <s:v>94745</s:v>
      </s:c>
      <s:c r="D385" s="0" t="n">
        <s:v>4463</s:v>
      </s:c>
      <s:c r="F385" s="24">
        <s:f>'자료구성'!$B$2+TIME(INT($C$3/10000),INT(MOD($C$3,10000)/100),MOD($C$3,100))+(ROW()-ROW($C$3))/86400</s:f>
        <s:v>46247.41258101852</s:v>
      </s:c>
    </s:row>
    <s:row r="386">
      <s:c r="A386" s="0" t="n">
        <s:v>260813</s:v>
      </s:c>
      <s:c r="B386" s="0" t="inlineStr">
        <s:is>
          <s:t>이종훈</s:t>
        </s:is>
      </s:c>
      <s:c r="C386" s="0" t="n">
        <s:v>94745</s:v>
      </s:c>
      <s:c r="D386" s="0" t="n">
        <s:v>4417</s:v>
      </s:c>
      <s:c r="F386" s="24">
        <s:f>'자료구성'!$B$2+TIME(INT($C$3/10000),INT(MOD($C$3,10000)/100),MOD($C$3,100))+(ROW()-ROW($C$3))/86400</s:f>
        <s:v>46247.41259259259</s:v>
      </s:c>
    </s:row>
    <s:row r="387">
      <s:c r="A387" s="0" t="n">
        <s:v>260813</s:v>
      </s:c>
      <s:c r="B387" s="0" t="inlineStr">
        <s:is>
          <s:t>이종훈</s:t>
        </s:is>
      </s:c>
      <s:c r="C387" s="0" t="n">
        <s:v>94745</s:v>
      </s:c>
      <s:c r="D387" s="0" t="n">
        <s:v>4360</s:v>
      </s:c>
      <s:c r="F387" s="24">
        <s:f>'자료구성'!$B$2+TIME(INT($C$3/10000),INT(MOD($C$3,10000)/100),MOD($C$3,100))+(ROW()-ROW($C$3))/86400</s:f>
        <s:v>46247.41260416667</s:v>
      </s:c>
    </s:row>
    <s:row r="388">
      <s:c r="A388" s="0" t="n">
        <s:v>260813</s:v>
      </s:c>
      <s:c r="B388" s="0" t="inlineStr">
        <s:is>
          <s:t>이종훈</s:t>
        </s:is>
      </s:c>
      <s:c r="C388" s="0" t="n">
        <s:v>94745</s:v>
      </s:c>
      <s:c r="D388" s="0" t="n">
        <s:v>4272</s:v>
      </s:c>
      <s:c r="F388" s="24">
        <s:f>'자료구성'!$B$2+TIME(INT($C$3/10000),INT(MOD($C$3,10000)/100),MOD($C$3,100))+(ROW()-ROW($C$3))/86400</s:f>
        <s:v>46247.41261574074</s:v>
      </s:c>
    </s:row>
    <s:row r="389">
      <s:c r="A389" s="0" t="n">
        <s:v>260813</s:v>
      </s:c>
      <s:c r="B389" s="0" t="inlineStr">
        <s:is>
          <s:t>이종훈</s:t>
        </s:is>
      </s:c>
      <s:c r="C389" s="0" t="n">
        <s:v>94745</s:v>
      </s:c>
      <s:c r="D389" s="0" t="n">
        <s:v>4231</s:v>
      </s:c>
      <s:c r="F389" s="24">
        <s:f>'자료구성'!$B$2+TIME(INT($C$3/10000),INT(MOD($C$3,10000)/100),MOD($C$3,100))+(ROW()-ROW($C$3))/86400</s:f>
        <s:v>46247.412627314814</s:v>
      </s:c>
    </s:row>
    <s:row r="390">
      <s:c r="A390" s="0" t="n">
        <s:v>260813</s:v>
      </s:c>
      <s:c r="B390" s="0" t="inlineStr">
        <s:is>
          <s:t>이종훈</s:t>
        </s:is>
      </s:c>
      <s:c r="C390" s="0" t="n">
        <s:v>94745</s:v>
      </s:c>
      <s:c r="D390" s="0" t="n">
        <s:v>4255</s:v>
      </s:c>
      <s:c r="F390" s="24">
        <s:f>'자료구성'!$B$2+TIME(INT($C$3/10000),INT(MOD($C$3,10000)/100),MOD($C$3,100))+(ROW()-ROW($C$3))/86400</s:f>
        <s:v>46247.41263888889</s:v>
      </s:c>
    </s:row>
    <s:row r="391">
      <s:c r="A391" s="0" t="n">
        <s:v>260813</s:v>
      </s:c>
      <s:c r="B391" s="0" t="inlineStr">
        <s:is>
          <s:t>이종훈</s:t>
        </s:is>
      </s:c>
      <s:c r="C391" s="0" t="n">
        <s:v>94745</s:v>
      </s:c>
      <s:c r="D391" s="0" t="n">
        <s:v>4289</s:v>
      </s:c>
      <s:c r="F391" s="24">
        <s:f>'자료구성'!$B$2+TIME(INT($C$3/10000),INT(MOD($C$3,10000)/100),MOD($C$3,100))+(ROW()-ROW($C$3))/86400</s:f>
        <s:v>46247.41265046296</s:v>
      </s:c>
    </s:row>
    <s:row r="392">
      <s:c r="A392" s="0" t="n">
        <s:v>260813</s:v>
      </s:c>
      <s:c r="B392" s="0" t="inlineStr">
        <s:is>
          <s:t>이종훈</s:t>
        </s:is>
      </s:c>
      <s:c r="C392" s="0" t="n">
        <s:v>94745</s:v>
      </s:c>
      <s:c r="D392" s="0" t="n">
        <s:v>4322</s:v>
      </s:c>
      <s:c r="F392" s="24">
        <s:f>'자료구성'!$B$2+TIME(INT($C$3/10000),INT(MOD($C$3,10000)/100),MOD($C$3,100))+(ROW()-ROW($C$3))/86400</s:f>
        <s:v>46247.41266203704</s:v>
      </s:c>
    </s:row>
    <s:row r="393">
      <s:c r="A393" s="0" t="n">
        <s:v>260813</s:v>
      </s:c>
      <s:c r="B393" s="0" t="inlineStr">
        <s:is>
          <s:t>이종훈</s:t>
        </s:is>
      </s:c>
      <s:c r="C393" s="0" t="n">
        <s:v>94745</s:v>
      </s:c>
      <s:c r="D393" s="0" t="n">
        <s:v>4326</s:v>
      </s:c>
      <s:c r="F393" s="24">
        <s:f>'자료구성'!$B$2+TIME(INT($C$3/10000),INT(MOD($C$3,10000)/100),MOD($C$3,100))+(ROW()-ROW($C$3))/86400</s:f>
        <s:v>46247.412673611114</s:v>
      </s:c>
    </s:row>
    <s:row r="394">
      <s:c r="A394" s="0" t="n">
        <s:v>260813</s:v>
      </s:c>
      <s:c r="B394" s="0" t="inlineStr">
        <s:is>
          <s:t>이종훈</s:t>
        </s:is>
      </s:c>
      <s:c r="C394" s="0" t="n">
        <s:v>94745</s:v>
      </s:c>
      <s:c r="D394" s="0" t="n">
        <s:v>4327</s:v>
      </s:c>
      <s:c r="F394" s="24">
        <s:f>'자료구성'!$B$2+TIME(INT($C$3/10000),INT(MOD($C$3,10000)/100),MOD($C$3,100))+(ROW()-ROW($C$3))/86400</s:f>
        <s:v>46247.41268518518</s:v>
      </s:c>
    </s:row>
    <s:row r="395">
      <s:c r="A395" s="0" t="n">
        <s:v>260813</s:v>
      </s:c>
      <s:c r="B395" s="0" t="inlineStr">
        <s:is>
          <s:t>이종훈</s:t>
        </s:is>
      </s:c>
      <s:c r="C395" s="0" t="n">
        <s:v>94745</s:v>
      </s:c>
      <s:c r="D395" s="0" t="n">
        <s:v>4201</s:v>
      </s:c>
      <s:c r="F395" s="24">
        <s:f>'자료구성'!$B$2+TIME(INT($C$3/10000),INT(MOD($C$3,10000)/100),MOD($C$3,100))+(ROW()-ROW($C$3))/86400</s:f>
        <s:v>46247.41269675926</s:v>
      </s:c>
    </s:row>
    <s:row r="396">
      <s:c r="A396" s="0" t="n">
        <s:v>260813</s:v>
      </s:c>
      <s:c r="B396" s="0" t="inlineStr">
        <s:is>
          <s:t>이종훈</s:t>
        </s:is>
      </s:c>
      <s:c r="C396" s="0" t="n">
        <s:v>94745</s:v>
      </s:c>
      <s:c r="D396" s="0" t="n">
        <s:v>4109</s:v>
      </s:c>
      <s:c r="F396" s="24">
        <s:f>'자료구성'!$B$2+TIME(INT($C$3/10000),INT(MOD($C$3,10000)/100),MOD($C$3,100))+(ROW()-ROW($C$3))/86400</s:f>
        <s:v>46247.41270833334</s:v>
      </s:c>
    </s:row>
    <s:row r="397">
      <s:c r="A397" s="0" t="n">
        <s:v>260813</s:v>
      </s:c>
      <s:c r="B397" s="0" t="inlineStr">
        <s:is>
          <s:t>이종훈</s:t>
        </s:is>
      </s:c>
      <s:c r="C397" s="0" t="n">
        <s:v>94745</s:v>
      </s:c>
      <s:c r="D397" s="0" t="n">
        <s:v>4064</s:v>
      </s:c>
      <s:c r="F397" s="24">
        <s:f>'자료구성'!$B$2+TIME(INT($C$3/10000),INT(MOD($C$3,10000)/100),MOD($C$3,100))+(ROW()-ROW($C$3))/86400</s:f>
        <s:v>46247.41271990741</s:v>
      </s:c>
    </s:row>
    <s:row r="398">
      <s:c r="A398" s="0" t="n">
        <s:v>260813</s:v>
      </s:c>
      <s:c r="B398" s="0" t="inlineStr">
        <s:is>
          <s:t>이종훈</s:t>
        </s:is>
      </s:c>
      <s:c r="C398" s="0" t="n">
        <s:v>94745</s:v>
      </s:c>
      <s:c r="D398" s="0" t="n">
        <s:v>4048</s:v>
      </s:c>
      <s:c r="F398" s="24">
        <s:f>'자료구성'!$B$2+TIME(INT($C$3/10000),INT(MOD($C$3,10000)/100),MOD($C$3,100))+(ROW()-ROW($C$3))/86400</s:f>
        <s:v>46247.41273148148</s:v>
      </s:c>
    </s:row>
    <s:row r="399">
      <s:c r="A399" s="0" t="n">
        <s:v>260813</s:v>
      </s:c>
      <s:c r="B399" s="0" t="inlineStr">
        <s:is>
          <s:t>이종훈</s:t>
        </s:is>
      </s:c>
      <s:c r="C399" s="0" t="n">
        <s:v>94745</s:v>
      </s:c>
      <s:c r="D399" s="0" t="n">
        <s:v>4048</s:v>
      </s:c>
      <s:c r="F399" s="24">
        <s:f>'자료구성'!$B$2+TIME(INT($C$3/10000),INT(MOD($C$3,10000)/100),MOD($C$3,100))+(ROW()-ROW($C$3))/86400</s:f>
        <s:v>46247.41274305555</s:v>
      </s:c>
    </s:row>
    <s:row r="400">
      <s:c r="A400" s="0" t="n">
        <s:v>260813</s:v>
      </s:c>
      <s:c r="B400" s="0" t="inlineStr">
        <s:is>
          <s:t>이종훈</s:t>
        </s:is>
      </s:c>
      <s:c r="C400" s="0" t="n">
        <s:v>94745</s:v>
      </s:c>
      <s:c r="D400" s="0" t="n">
        <s:v>3897</s:v>
      </s:c>
      <s:c r="F400" s="24">
        <s:f>'자료구성'!$B$2+TIME(INT($C$3/10000),INT(MOD($C$3,10000)/100),MOD($C$3,100))+(ROW()-ROW($C$3))/86400</s:f>
        <s:v>46247.41275462963</s:v>
      </s:c>
    </s:row>
    <s:row r="401">
      <s:c r="A401" s="0" t="n">
        <s:v>260813</s:v>
      </s:c>
      <s:c r="B401" s="0" t="inlineStr">
        <s:is>
          <s:t>이종훈</s:t>
        </s:is>
      </s:c>
      <s:c r="C401" s="0" t="n">
        <s:v>94745</s:v>
      </s:c>
      <s:c r="D401" s="0" t="n">
        <s:v>3754</s:v>
      </s:c>
      <s:c r="F401" s="24">
        <s:f>'자료구성'!$B$2+TIME(INT($C$3/10000),INT(MOD($C$3,10000)/100),MOD($C$3,100))+(ROW()-ROW($C$3))/86400</s:f>
        <s:v>46247.412766203706</s:v>
      </s:c>
    </s:row>
    <s:row r="402">
      <s:c r="A402" s="0" t="n">
        <s:v>260813</s:v>
      </s:c>
      <s:c r="B402" s="0" t="inlineStr">
        <s:is>
          <s:t>이종훈</s:t>
        </s:is>
      </s:c>
      <s:c r="C402" s="0" t="n">
        <s:v>94745</s:v>
      </s:c>
      <s:c r="D402" s="0" t="n">
        <s:v>3672</s:v>
      </s:c>
      <s:c r="F402" s="24">
        <s:f>'자료구성'!$B$2+TIME(INT($C$3/10000),INT(MOD($C$3,10000)/100),MOD($C$3,100))+(ROW()-ROW($C$3))/86400</s:f>
        <s:v>46247.412777777776</s:v>
      </s:c>
    </s:row>
    <s:row r="403">
      <s:c r="A403" s="0" t="n">
        <s:v>260813</s:v>
      </s:c>
      <s:c r="B403" s="0" t="inlineStr">
        <s:is>
          <s:t>이종훈</s:t>
        </s:is>
      </s:c>
      <s:c r="C403" s="0" t="n">
        <s:v>94745</s:v>
      </s:c>
      <s:c r="D403" s="0" t="n">
        <s:v>3566</s:v>
      </s:c>
      <s:c r="F403" s="24">
        <s:f>'자료구성'!$B$2+TIME(INT($C$3/10000),INT(MOD($C$3,10000)/100),MOD($C$3,100))+(ROW()-ROW($C$3))/86400</s:f>
        <s:v>46247.41278935185</s:v>
      </s:c>
    </s:row>
    <s:row r="404">
      <s:c r="A404" s="0" t="n">
        <s:v>260813</s:v>
      </s:c>
      <s:c r="B404" s="0" t="inlineStr">
        <s:is>
          <s:t>이종훈</s:t>
        </s:is>
      </s:c>
      <s:c r="C404" s="0" t="n">
        <s:v>94745</s:v>
      </s:c>
      <s:c r="D404" s="0" t="n">
        <s:v>3574</s:v>
      </s:c>
      <s:c r="F404" s="24">
        <s:f>'자료구성'!$B$2+TIME(INT($C$3/10000),INT(MOD($C$3,10000)/100),MOD($C$3,100))+(ROW()-ROW($C$3))/86400</s:f>
        <s:v>46247.41280092593</s:v>
      </s:c>
    </s:row>
    <s:row r="405">
      <s:c r="A405" s="0" t="n">
        <s:v>260813</s:v>
      </s:c>
      <s:c r="B405" s="0" t="inlineStr">
        <s:is>
          <s:t>이종훈</s:t>
        </s:is>
      </s:c>
      <s:c r="C405" s="0" t="n">
        <s:v>94745</s:v>
      </s:c>
      <s:c r="D405" s="0" t="n">
        <s:v>3668</s:v>
      </s:c>
      <s:c r="F405" s="24">
        <s:f>'자료구성'!$B$2+TIME(INT($C$3/10000),INT(MOD($C$3,10000)/100),MOD($C$3,100))+(ROW()-ROW($C$3))/86400</s:f>
        <s:v>46247.4128125</s:v>
      </s:c>
    </s:row>
    <s:row r="406">
      <s:c r="A406" s="0" t="n">
        <s:v>260813</s:v>
      </s:c>
      <s:c r="B406" s="0" t="inlineStr">
        <s:is>
          <s:t>이종훈</s:t>
        </s:is>
      </s:c>
      <s:c r="C406" s="0" t="n">
        <s:v>94745</s:v>
      </s:c>
      <s:c r="D406" s="0" t="n">
        <s:v>3757</s:v>
      </s:c>
      <s:c r="F406" s="24">
        <s:f>'자료구성'!$B$2+TIME(INT($C$3/10000),INT(MOD($C$3,10000)/100),MOD($C$3,100))+(ROW()-ROW($C$3))/86400</s:f>
        <s:v>46247.412824074076</s:v>
      </s:c>
    </s:row>
    <s:row r="407">
      <s:c r="A407" s="0" t="n">
        <s:v>260813</s:v>
      </s:c>
      <s:c r="B407" s="0" t="inlineStr">
        <s:is>
          <s:t>이종훈</s:t>
        </s:is>
      </s:c>
      <s:c r="C407" s="0" t="n">
        <s:v>94745</s:v>
      </s:c>
      <s:c r="D407" s="0" t="n">
        <s:v>3910</s:v>
      </s:c>
      <s:c r="F407" s="24">
        <s:f>'자료구성'!$B$2+TIME(INT($C$3/10000),INT(MOD($C$3,10000)/100),MOD($C$3,100))+(ROW()-ROW($C$3))/86400</s:f>
        <s:v>46247.412835648145</s:v>
      </s:c>
    </s:row>
    <s:row r="408">
      <s:c r="A408" s="0" t="n">
        <s:v>260813</s:v>
      </s:c>
      <s:c r="B408" s="0" t="inlineStr">
        <s:is>
          <s:t>이종훈</s:t>
        </s:is>
      </s:c>
      <s:c r="C408" s="0" t="n">
        <s:v>94745</s:v>
      </s:c>
      <s:c r="D408" s="0" t="n">
        <s:v>3998</s:v>
      </s:c>
      <s:c r="F408" s="24">
        <s:f>'자료구성'!$B$2+TIME(INT($C$3/10000),INT(MOD($C$3,10000)/100),MOD($C$3,100))+(ROW()-ROW($C$3))/86400</s:f>
        <s:v>46247.41284722222</s:v>
      </s:c>
    </s:row>
    <s:row r="409">
      <s:c r="A409" s="0" t="n">
        <s:v>260813</s:v>
      </s:c>
      <s:c r="B409" s="0" t="inlineStr">
        <s:is>
          <s:t>이종훈</s:t>
        </s:is>
      </s:c>
      <s:c r="C409" s="0" t="n">
        <s:v>94745</s:v>
      </s:c>
      <s:c r="D409" s="0" t="n">
        <s:v>4082</s:v>
      </s:c>
      <s:c r="F409" s="24">
        <s:f>'자료구성'!$B$2+TIME(INT($C$3/10000),INT(MOD($C$3,10000)/100),MOD($C$3,100))+(ROW()-ROW($C$3))/86400</s:f>
        <s:v>46247.4128587963</s:v>
      </s:c>
    </s:row>
    <s:row r="410">
      <s:c r="A410" s="0" t="n">
        <s:v>260813</s:v>
      </s:c>
      <s:c r="B410" s="0" t="inlineStr">
        <s:is>
          <s:t>이종훈</s:t>
        </s:is>
      </s:c>
      <s:c r="C410" s="0" t="n">
        <s:v>94745</s:v>
      </s:c>
      <s:c r="D410" s="0" t="n">
        <s:v>4158</s:v>
      </s:c>
      <s:c r="F410" s="24">
        <s:f>'자료구성'!$B$2+TIME(INT($C$3/10000),INT(MOD($C$3,10000)/100),MOD($C$3,100))+(ROW()-ROW($C$3))/86400</s:f>
        <s:v>46247.41287037037</s:v>
      </s:c>
    </s:row>
    <s:row r="411">
      <s:c r="A411" s="0" t="n">
        <s:v>260813</s:v>
      </s:c>
      <s:c r="B411" s="0" t="inlineStr">
        <s:is>
          <s:t>이종훈</s:t>
        </s:is>
      </s:c>
      <s:c r="C411" s="0" t="n">
        <s:v>94745</s:v>
      </s:c>
      <s:c r="D411" s="0" t="n">
        <s:v>4159</s:v>
      </s:c>
      <s:c r="F411" s="24">
        <s:f>'자료구성'!$B$2+TIME(INT($C$3/10000),INT(MOD($C$3,10000)/100),MOD($C$3,100))+(ROW()-ROW($C$3))/86400</s:f>
        <s:v>46247.412881944445</s:v>
      </s:c>
    </s:row>
    <s:row r="412">
      <s:c r="A412" s="0" t="n">
        <s:v>260813</s:v>
      </s:c>
      <s:c r="B412" s="0" t="inlineStr">
        <s:is>
          <s:t>이종훈</s:t>
        </s:is>
      </s:c>
      <s:c r="C412" s="0" t="n">
        <s:v>94745</s:v>
      </s:c>
      <s:c r="D412" s="0" t="n">
        <s:v>4121</s:v>
      </s:c>
      <s:c r="F412" s="24">
        <s:f>'자료구성'!$B$2+TIME(INT($C$3/10000),INT(MOD($C$3,10000)/100),MOD($C$3,100))+(ROW()-ROW($C$3))/86400</s:f>
        <s:v>46247.41289351852</s:v>
      </s:c>
    </s:row>
    <s:row r="413">
      <s:c r="A413" s="0" t="n">
        <s:v>260813</s:v>
      </s:c>
      <s:c r="B413" s="0" t="inlineStr">
        <s:is>
          <s:t>이종훈</s:t>
        </s:is>
      </s:c>
      <s:c r="C413" s="0" t="n">
        <s:v>94745</s:v>
      </s:c>
      <s:c r="D413" s="0" t="n">
        <s:v>4138</s:v>
      </s:c>
      <s:c r="F413" s="24">
        <s:f>'자료구성'!$B$2+TIME(INT($C$3/10000),INT(MOD($C$3,10000)/100),MOD($C$3,100))+(ROW()-ROW($C$3))/86400</s:f>
        <s:v>46247.41290509259</s:v>
      </s:c>
    </s:row>
    <s:row r="414">
      <s:c r="A414" s="0" t="n">
        <s:v>260813</s:v>
      </s:c>
      <s:c r="B414" s="0" t="inlineStr">
        <s:is>
          <s:t>이종훈</s:t>
        </s:is>
      </s:c>
      <s:c r="C414" s="0" t="n">
        <s:v>94745</s:v>
      </s:c>
      <s:c r="D414" s="0" t="n">
        <s:v>4148</s:v>
      </s:c>
      <s:c r="F414" s="24">
        <s:f>'자료구성'!$B$2+TIME(INT($C$3/10000),INT(MOD($C$3,10000)/100),MOD($C$3,100))+(ROW()-ROW($C$3))/86400</s:f>
        <s:v>46247.41291666667</s:v>
      </s:c>
    </s:row>
    <s:row r="415">
      <s:c r="A415" s="0" t="n">
        <s:v>260813</s:v>
      </s:c>
      <s:c r="B415" s="0" t="inlineStr">
        <s:is>
          <s:t>이종훈</s:t>
        </s:is>
      </s:c>
      <s:c r="C415" s="0" t="n">
        <s:v>94745</s:v>
      </s:c>
      <s:c r="D415" s="0" t="n">
        <s:v>4081</s:v>
      </s:c>
      <s:c r="F415" s="24">
        <s:f>'자료구성'!$B$2+TIME(INT($C$3/10000),INT(MOD($C$3,10000)/100),MOD($C$3,100))+(ROW()-ROW($C$3))/86400</s:f>
        <s:v>46247.41292824074</s:v>
      </s:c>
    </s:row>
    <s:row r="416">
      <s:c r="A416" s="0" t="n">
        <s:v>260813</s:v>
      </s:c>
      <s:c r="B416" s="0" t="inlineStr">
        <s:is>
          <s:t>이종훈</s:t>
        </s:is>
      </s:c>
      <s:c r="C416" s="0" t="n">
        <s:v>94745</s:v>
      </s:c>
      <s:c r="D416" s="0" t="n">
        <s:v>3983</s:v>
      </s:c>
      <s:c r="F416" s="24">
        <s:f>'자료구성'!$B$2+TIME(INT($C$3/10000),INT(MOD($C$3,10000)/100),MOD($C$3,100))+(ROW()-ROW($C$3))/86400</s:f>
        <s:v>46247.412939814814</s:v>
      </s:c>
    </s:row>
    <s:row r="417">
      <s:c r="A417" s="0" t="n">
        <s:v>260813</s:v>
      </s:c>
      <s:c r="B417" s="0" t="inlineStr">
        <s:is>
          <s:t>이종훈</s:t>
        </s:is>
      </s:c>
      <s:c r="C417" s="0" t="n">
        <s:v>94745</s:v>
      </s:c>
      <s:c r="D417" s="0" t="n">
        <s:v>3983</s:v>
      </s:c>
      <s:c r="F417" s="24">
        <s:f>'자료구성'!$B$2+TIME(INT($C$3/10000),INT(MOD($C$3,10000)/100),MOD($C$3,100))+(ROW()-ROW($C$3))/86400</s:f>
        <s:v>46247.41295138889</s:v>
      </s:c>
    </s:row>
    <s:row r="418">
      <s:c r="A418" s="0" t="n">
        <s:v>260813</s:v>
      </s:c>
      <s:c r="B418" s="0" t="inlineStr">
        <s:is>
          <s:t>이종훈</s:t>
        </s:is>
      </s:c>
      <s:c r="C418" s="0" t="n">
        <s:v>94745</s:v>
      </s:c>
      <s:c r="D418" s="0" t="n">
        <s:v>3911</s:v>
      </s:c>
      <s:c r="F418" s="24">
        <s:f>'자료구성'!$B$2+TIME(INT($C$3/10000),INT(MOD($C$3,10000)/100),MOD($C$3,100))+(ROW()-ROW($C$3))/86400</s:f>
        <s:v>46247.41296296296</s:v>
      </s:c>
    </s:row>
    <s:row r="419">
      <s:c r="A419" s="0" t="n">
        <s:v>260813</s:v>
      </s:c>
      <s:c r="B419" s="0" t="inlineStr">
        <s:is>
          <s:t>이종훈</s:t>
        </s:is>
      </s:c>
      <s:c r="C419" s="0" t="n">
        <s:v>94745</s:v>
      </s:c>
      <s:c r="D419" s="0" t="n">
        <s:v>3842</s:v>
      </s:c>
      <s:c r="F419" s="24">
        <s:f>'자료구성'!$B$2+TIME(INT($C$3/10000),INT(MOD($C$3,10000)/100),MOD($C$3,100))+(ROW()-ROW($C$3))/86400</s:f>
        <s:v>46247.41297453704</s:v>
      </s:c>
    </s:row>
    <s:row r="420">
      <s:c r="A420" s="0" t="n">
        <s:v>260813</s:v>
      </s:c>
      <s:c r="B420" s="0" t="inlineStr">
        <s:is>
          <s:t>이종훈</s:t>
        </s:is>
      </s:c>
      <s:c r="C420" s="0" t="n">
        <s:v>94745</s:v>
      </s:c>
      <s:c r="D420" s="0" t="n">
        <s:v>3751</s:v>
      </s:c>
      <s:c r="F420" s="24">
        <s:f>'자료구성'!$B$2+TIME(INT($C$3/10000),INT(MOD($C$3,10000)/100),MOD($C$3,100))+(ROW()-ROW($C$3))/86400</s:f>
        <s:v>46247.412986111114</s:v>
      </s:c>
    </s:row>
    <s:row r="421">
      <s:c r="A421" s="0" t="n">
        <s:v>260813</s:v>
      </s:c>
      <s:c r="B421" s="0" t="inlineStr">
        <s:is>
          <s:t>이종훈</s:t>
        </s:is>
      </s:c>
      <s:c r="C421" s="0" t="n">
        <s:v>94745</s:v>
      </s:c>
      <s:c r="D421" s="0" t="n">
        <s:v>3788</s:v>
      </s:c>
      <s:c r="F421" s="24">
        <s:f>'자료구성'!$B$2+TIME(INT($C$3/10000),INT(MOD($C$3,10000)/100),MOD($C$3,100))+(ROW()-ROW($C$3))/86400</s:f>
        <s:v>46247.412997685184</s:v>
      </s:c>
    </s:row>
    <s:row r="422">
      <s:c r="A422" s="0" t="n">
        <s:v>260813</s:v>
      </s:c>
      <s:c r="B422" s="0" t="inlineStr">
        <s:is>
          <s:t>이종훈</s:t>
        </s:is>
      </s:c>
      <s:c r="C422" s="0" t="n">
        <s:v>94745</s:v>
      </s:c>
      <s:c r="D422" s="0" t="n">
        <s:v>3880</s:v>
      </s:c>
      <s:c r="F422" s="24">
        <s:f>'자료구성'!$B$2+TIME(INT($C$3/10000),INT(MOD($C$3,10000)/100),MOD($C$3,100))+(ROW()-ROW($C$3))/86400</s:f>
        <s:v>46247.41300925926</s:v>
      </s:c>
    </s:row>
    <s:row r="423">
      <s:c r="A423" s="0" t="n">
        <s:v>260813</s:v>
      </s:c>
      <s:c r="B423" s="0" t="inlineStr">
        <s:is>
          <s:t>이종훈</s:t>
        </s:is>
      </s:c>
      <s:c r="C423" s="0" t="n">
        <s:v>94745</s:v>
      </s:c>
      <s:c r="D423" s="0" t="n">
        <s:v>4070</s:v>
      </s:c>
      <s:c r="F423" s="24">
        <s:f>'자료구성'!$B$2+TIME(INT($C$3/10000),INT(MOD($C$3,10000)/100),MOD($C$3,100))+(ROW()-ROW($C$3))/86400</s:f>
        <s:v>46247.41302083333</s:v>
      </s:c>
    </s:row>
    <s:row r="424">
      <s:c r="A424" s="0" t="n">
        <s:v>260813</s:v>
      </s:c>
      <s:c r="B424" s="0" t="inlineStr">
        <s:is>
          <s:t>이종훈</s:t>
        </s:is>
      </s:c>
      <s:c r="C424" s="0" t="n">
        <s:v>94745</s:v>
      </s:c>
      <s:c r="D424" s="0" t="n">
        <s:v>3885</s:v>
      </s:c>
      <s:c r="F424" s="24">
        <s:f>'자료구성'!$B$2+TIME(INT($C$3/10000),INT(MOD($C$3,10000)/100),MOD($C$3,100))+(ROW()-ROW($C$3))/86400</s:f>
        <s:v>46247.41303240741</s:v>
      </s:c>
    </s:row>
    <s:row r="425">
      <s:c r="A425" s="0" t="n">
        <s:v>260813</s:v>
      </s:c>
      <s:c r="B425" s="0" t="inlineStr">
        <s:is>
          <s:t>이종훈</s:t>
        </s:is>
      </s:c>
      <s:c r="C425" s="0" t="n">
        <s:v>94745</s:v>
      </s:c>
      <s:c r="D425" s="0" t="n">
        <s:v>3885</s:v>
      </s:c>
      <s:c r="F425" s="24">
        <s:f>'자료구성'!$B$2+TIME(INT($C$3/10000),INT(MOD($C$3,10000)/100),MOD($C$3,100))+(ROW()-ROW($C$3))/86400</s:f>
        <s:v>46247.41304398148</s:v>
      </s:c>
    </s:row>
    <s:row r="426">
      <s:c r="A426" s="0" t="n">
        <s:v>260813</s:v>
      </s:c>
      <s:c r="B426" s="0" t="inlineStr">
        <s:is>
          <s:t>이종훈</s:t>
        </s:is>
      </s:c>
      <s:c r="C426" s="0" t="n">
        <s:v>94745</s:v>
      </s:c>
      <s:c r="D426" s="0" t="n">
        <s:v>3669</s:v>
      </s:c>
      <s:c r="F426" s="24">
        <s:f>'자료구성'!$B$2+TIME(INT($C$3/10000),INT(MOD($C$3,10000)/100),MOD($C$3,100))+(ROW()-ROW($C$3))/86400</s:f>
        <s:v>46247.41305555555</s:v>
      </s:c>
    </s:row>
    <s:row r="427">
      <s:c r="A427" s="0" t="n">
        <s:v>260813</s:v>
      </s:c>
      <s:c r="B427" s="0" t="inlineStr">
        <s:is>
          <s:t>이종훈</s:t>
        </s:is>
      </s:c>
      <s:c r="C427" s="0" t="n">
        <s:v>94745</s:v>
      </s:c>
      <s:c r="D427" s="0" t="n">
        <s:v>3570</s:v>
      </s:c>
      <s:c r="F427" s="24">
        <s:f>'자료구성'!$B$2+TIME(INT($C$3/10000),INT(MOD($C$3,10000)/100),MOD($C$3,100))+(ROW()-ROW($C$3))/86400</s:f>
        <s:v>46247.41306712963</s:v>
      </s:c>
    </s:row>
    <s:row r="428">
      <s:c r="A428" s="0" t="n">
        <s:v>260813</s:v>
      </s:c>
      <s:c r="B428" s="0" t="inlineStr">
        <s:is>
          <s:t>이종훈</s:t>
        </s:is>
      </s:c>
      <s:c r="C428" s="0" t="n">
        <s:v>94745</s:v>
      </s:c>
      <s:c r="D428" s="0" t="n">
        <s:v>3552</s:v>
      </s:c>
      <s:c r="F428" s="24">
        <s:f>'자료구성'!$B$2+TIME(INT($C$3/10000),INT(MOD($C$3,10000)/100),MOD($C$3,100))+(ROW()-ROW($C$3))/86400</s:f>
        <s:v>46247.41307870371</s:v>
      </s:c>
    </s:row>
    <s:row r="429">
      <s:c r="A429" s="0" t="n">
        <s:v>260813</s:v>
      </s:c>
      <s:c r="B429" s="0" t="inlineStr">
        <s:is>
          <s:t>이종훈</s:t>
        </s:is>
      </s:c>
      <s:c r="C429" s="0" t="n">
        <s:v>94745</s:v>
      </s:c>
      <s:c r="D429" s="0" t="n">
        <s:v>3586</s:v>
      </s:c>
      <s:c r="F429" s="24">
        <s:f>'자료구성'!$B$2+TIME(INT($C$3/10000),INT(MOD($C$3,10000)/100),MOD($C$3,100))+(ROW()-ROW($C$3))/86400</s:f>
        <s:v>46247.413090277776</s:v>
      </s:c>
    </s:row>
    <s:row r="430">
      <s:c r="A430" s="0" t="n">
        <s:v>260813</s:v>
      </s:c>
      <s:c r="B430" s="0" t="inlineStr">
        <s:is>
          <s:t>이종훈</s:t>
        </s:is>
      </s:c>
      <s:c r="C430" s="0" t="n">
        <s:v>94745</s:v>
      </s:c>
      <s:c r="D430" s="0" t="n">
        <s:v>3630</s:v>
      </s:c>
      <s:c r="F430" s="24">
        <s:f>'자료구성'!$B$2+TIME(INT($C$3/10000),INT(MOD($C$3,10000)/100),MOD($C$3,100))+(ROW()-ROW($C$3))/86400</s:f>
        <s:v>46247.41310185185</s:v>
      </s:c>
    </s:row>
    <s:row r="431">
      <s:c r="A431" s="0" t="n">
        <s:v>260813</s:v>
      </s:c>
      <s:c r="B431" s="0" t="inlineStr">
        <s:is>
          <s:t>이종훈</s:t>
        </s:is>
      </s:c>
      <s:c r="C431" s="0" t="n">
        <s:v>94745</s:v>
      </s:c>
      <s:c r="D431" s="0" t="n">
        <s:v>3654</s:v>
      </s:c>
      <s:c r="F431" s="24">
        <s:f>'자료구성'!$B$2+TIME(INT($C$3/10000),INT(MOD($C$3,10000)/100),MOD($C$3,100))+(ROW()-ROW($C$3))/86400</s:f>
        <s:v>46247.41311342592</s:v>
      </s:c>
    </s:row>
    <s:row r="432">
      <s:c r="A432" s="0" t="n">
        <s:v>260813</s:v>
      </s:c>
      <s:c r="B432" s="0" t="inlineStr">
        <s:is>
          <s:t>이종훈</s:t>
        </s:is>
      </s:c>
      <s:c r="C432" s="0" t="n">
        <s:v>94745</s:v>
      </s:c>
      <s:c r="D432" s="0" t="n">
        <s:v>3789</s:v>
      </s:c>
      <s:c r="F432" s="24">
        <s:f>'자료구성'!$B$2+TIME(INT($C$3/10000),INT(MOD($C$3,10000)/100),MOD($C$3,100))+(ROW()-ROW($C$3))/86400</s:f>
        <s:v>46247.413125</s:v>
      </s:c>
    </s:row>
    <s:row r="433">
      <s:c r="A433" s="0" t="n">
        <s:v>260813</s:v>
      </s:c>
      <s:c r="B433" s="0" t="inlineStr">
        <s:is>
          <s:t>이종훈</s:t>
        </s:is>
      </s:c>
      <s:c r="C433" s="0" t="n">
        <s:v>94745</s:v>
      </s:c>
      <s:c r="D433" s="0" t="n">
        <s:v>3810</s:v>
      </s:c>
      <s:c r="F433" s="24">
        <s:f>'자료구성'!$B$2+TIME(INT($C$3/10000),INT(MOD($C$3,10000)/100),MOD($C$3,100))+(ROW()-ROW($C$3))/86400</s:f>
        <s:v>46247.413136574076</s:v>
      </s:c>
    </s:row>
    <s:row r="434">
      <s:c r="A434" s="0" t="n">
        <s:v>260813</s:v>
      </s:c>
      <s:c r="B434" s="0" t="inlineStr">
        <s:is>
          <s:t>이종훈</s:t>
        </s:is>
      </s:c>
      <s:c r="C434" s="0" t="n">
        <s:v>94745</s:v>
      </s:c>
      <s:c r="D434" s="0" t="n">
        <s:v>3811</s:v>
      </s:c>
      <s:c r="F434" s="24">
        <s:f>'자료구성'!$B$2+TIME(INT($C$3/10000),INT(MOD($C$3,10000)/100),MOD($C$3,100))+(ROW()-ROW($C$3))/86400</s:f>
        <s:v>46247.413148148145</s:v>
      </s:c>
    </s:row>
    <s:row r="435">
      <s:c r="A435" s="0" t="n">
        <s:v>260813</s:v>
      </s:c>
      <s:c r="B435" s="0" t="inlineStr">
        <s:is>
          <s:t>이종훈</s:t>
        </s:is>
      </s:c>
      <s:c r="C435" s="0" t="n">
        <s:v>94745</s:v>
      </s:c>
      <s:c r="D435" s="0" t="n">
        <s:v>3844</s:v>
      </s:c>
      <s:c r="F435" s="24">
        <s:f>'자료구성'!$B$2+TIME(INT($C$3/10000),INT(MOD($C$3,10000)/100),MOD($C$3,100))+(ROW()-ROW($C$3))/86400</s:f>
        <s:v>46247.41315972222</s:v>
      </s:c>
    </s:row>
    <s:row r="436">
      <s:c r="A436" s="0" t="n">
        <s:v>260813</s:v>
      </s:c>
      <s:c r="B436" s="0" t="inlineStr">
        <s:is>
          <s:t>이종훈</s:t>
        </s:is>
      </s:c>
      <s:c r="C436" s="0" t="n">
        <s:v>94745</s:v>
      </s:c>
      <s:c r="D436" s="0" t="n">
        <s:v>3990</s:v>
      </s:c>
      <s:c r="F436" s="24">
        <s:f>'자료구성'!$B$2+TIME(INT($C$3/10000),INT(MOD($C$3,10000)/100),MOD($C$3,100))+(ROW()-ROW($C$3))/86400</s:f>
        <s:v>46247.4131712963</s:v>
      </s:c>
    </s:row>
    <s:row r="437">
      <s:c r="A437" s="0" t="n">
        <s:v>260813</s:v>
      </s:c>
      <s:c r="B437" s="0" t="inlineStr">
        <s:is>
          <s:t>이종훈</s:t>
        </s:is>
      </s:c>
      <s:c r="C437" s="0" t="n">
        <s:v>94745</s:v>
      </s:c>
      <s:c r="D437" s="0" t="n">
        <s:v>4153</s:v>
      </s:c>
      <s:c r="F437" s="24">
        <s:f>'자료구성'!$B$2+TIME(INT($C$3/10000),INT(MOD($C$3,10000)/100),MOD($C$3,100))+(ROW()-ROW($C$3))/86400</s:f>
        <s:v>46247.41318287037</s:v>
      </s:c>
    </s:row>
    <s:row r="438">
      <s:c r="A438" s="0" t="n">
        <s:v>260813</s:v>
      </s:c>
      <s:c r="B438" s="0" t="inlineStr">
        <s:is>
          <s:t>이종훈</s:t>
        </s:is>
      </s:c>
      <s:c r="C438" s="0" t="n">
        <s:v>94745</s:v>
      </s:c>
      <s:c r="D438" s="0" t="n">
        <s:v>4191</s:v>
      </s:c>
      <s:c r="F438" s="24">
        <s:f>'자료구성'!$B$2+TIME(INT($C$3/10000),INT(MOD($C$3,10000)/100),MOD($C$3,100))+(ROW()-ROW($C$3))/86400</s:f>
        <s:v>46247.413194444445</s:v>
      </s:c>
    </s:row>
    <s:row r="439">
      <s:c r="A439" s="0" t="n">
        <s:v>260813</s:v>
      </s:c>
      <s:c r="B439" s="0" t="inlineStr">
        <s:is>
          <s:t>이종훈</s:t>
        </s:is>
      </s:c>
      <s:c r="C439" s="0" t="n">
        <s:v>94745</s:v>
      </s:c>
      <s:c r="D439" s="0" t="n">
        <s:v>4205</s:v>
      </s:c>
      <s:c r="F439" s="24">
        <s:f>'자료구성'!$B$2+TIME(INT($C$3/10000),INT(MOD($C$3,10000)/100),MOD($C$3,100))+(ROW()-ROW($C$3))/86400</s:f>
        <s:v>46247.41320601852</s:v>
      </s:c>
    </s:row>
    <s:row r="440">
      <s:c r="A440" s="0" t="n">
        <s:v>260813</s:v>
      </s:c>
      <s:c r="B440" s="0" t="inlineStr">
        <s:is>
          <s:t>이종훈</s:t>
        </s:is>
      </s:c>
      <s:c r="C440" s="0" t="n">
        <s:v>94745</s:v>
      </s:c>
      <s:c r="D440" s="0" t="n">
        <s:v>4142</s:v>
      </s:c>
      <s:c r="F440" s="24">
        <s:f>'자료구성'!$B$2+TIME(INT($C$3/10000),INT(MOD($C$3,10000)/100),MOD($C$3,100))+(ROW()-ROW($C$3))/86400</s:f>
        <s:v>46247.41321759259</s:v>
      </s:c>
    </s:row>
    <s:row r="441">
      <s:c r="A441" s="0" t="n">
        <s:v>260813</s:v>
      </s:c>
      <s:c r="B441" s="0" t="inlineStr">
        <s:is>
          <s:t>이종훈</s:t>
        </s:is>
      </s:c>
      <s:c r="C441" s="0" t="n">
        <s:v>94745</s:v>
      </s:c>
      <s:c r="D441" s="0" t="n">
        <s:v>3937</s:v>
      </s:c>
      <s:c r="F441" s="24">
        <s:f>'자료구성'!$B$2+TIME(INT($C$3/10000),INT(MOD($C$3,10000)/100),MOD($C$3,100))+(ROW()-ROW($C$3))/86400</s:f>
        <s:v>46247.41322916667</s:v>
      </s:c>
    </s:row>
    <s:row r="442">
      <s:c r="A442" s="0" t="n">
        <s:v>260813</s:v>
      </s:c>
      <s:c r="B442" s="0" t="inlineStr">
        <s:is>
          <s:t>이종훈</s:t>
        </s:is>
      </s:c>
      <s:c r="C442" s="0" t="n">
        <s:v>94745</s:v>
      </s:c>
      <s:c r="D442" s="0" t="n">
        <s:v>3872</s:v>
      </s:c>
      <s:c r="F442" s="24">
        <s:f>'자료구성'!$B$2+TIME(INT($C$3/10000),INT(MOD($C$3,10000)/100),MOD($C$3,100))+(ROW()-ROW($C$3))/86400</s:f>
        <s:v>46247.41324074074</s:v>
      </s:c>
    </s:row>
    <s:row r="443">
      <s:c r="A443" s="0" t="n">
        <s:v>260813</s:v>
      </s:c>
      <s:c r="B443" s="0" t="inlineStr">
        <s:is>
          <s:t>이종훈</s:t>
        </s:is>
      </s:c>
      <s:c r="C443" s="0" t="n">
        <s:v>94745</s:v>
      </s:c>
      <s:c r="D443" s="0" t="n">
        <s:v>3773</s:v>
      </s:c>
      <s:c r="F443" s="24">
        <s:f>'자료구성'!$B$2+TIME(INT($C$3/10000),INT(MOD($C$3,10000)/100),MOD($C$3,100))+(ROW()-ROW($C$3))/86400</s:f>
        <s:v>46247.413252314815</s:v>
      </s:c>
    </s:row>
    <s:row r="444">
      <s:c r="A444" s="0" t="n">
        <s:v>260813</s:v>
      </s:c>
      <s:c r="B444" s="0" t="inlineStr">
        <s:is>
          <s:t>이종훈</s:t>
        </s:is>
      </s:c>
      <s:c r="C444" s="0" t="n">
        <s:v>94745</s:v>
      </s:c>
      <s:c r="D444" s="0" t="n">
        <s:v>3573</s:v>
      </s:c>
      <s:c r="F444" s="24">
        <s:f>'자료구성'!$B$2+TIME(INT($C$3/10000),INT(MOD($C$3,10000)/100),MOD($C$3,100))+(ROW()-ROW($C$3))/86400</s:f>
        <s:v>46247.41326388889</s:v>
      </s:c>
    </s:row>
    <s:row r="445">
      <s:c r="A445" s="0" t="n">
        <s:v>260813</s:v>
      </s:c>
      <s:c r="B445" s="0" t="inlineStr">
        <s:is>
          <s:t>이종훈</s:t>
        </s:is>
      </s:c>
      <s:c r="C445" s="0" t="n">
        <s:v>94745</s:v>
      </s:c>
      <s:c r="D445" s="0" t="n">
        <s:v>3374</s:v>
      </s:c>
      <s:c r="F445" s="24">
        <s:f>'자료구성'!$B$2+TIME(INT($C$3/10000),INT(MOD($C$3,10000)/100),MOD($C$3,100))+(ROW()-ROW($C$3))/86400</s:f>
        <s:v>46247.41327546296</s:v>
      </s:c>
    </s:row>
    <s:row r="446">
      <s:c r="A446" s="0" t="n">
        <s:v>260813</s:v>
      </s:c>
      <s:c r="B446" s="0" t="inlineStr">
        <s:is>
          <s:t>이종훈</s:t>
        </s:is>
      </s:c>
      <s:c r="C446" s="0" t="n">
        <s:v>94745</s:v>
      </s:c>
      <s:c r="D446" s="0" t="n">
        <s:v>3257</s:v>
      </s:c>
      <s:c r="F446" s="24">
        <s:f>'자료구성'!$B$2+TIME(INT($C$3/10000),INT(MOD($C$3,10000)/100),MOD($C$3,100))+(ROW()-ROW($C$3))/86400</s:f>
        <s:v>46247.41328703704</s:v>
      </s:c>
    </s:row>
    <s:row r="447">
      <s:c r="A447" s="0" t="n">
        <s:v>260813</s:v>
      </s:c>
      <s:c r="B447" s="0" t="inlineStr">
        <s:is>
          <s:t>이종훈</s:t>
        </s:is>
      </s:c>
      <s:c r="C447" s="0" t="n">
        <s:v>94745</s:v>
      </s:c>
      <s:c r="D447" s="0" t="n">
        <s:v>3174</s:v>
      </s:c>
      <s:c r="F447" s="24">
        <s:f>'자료구성'!$B$2+TIME(INT($C$3/10000),INT(MOD($C$3,10000)/100),MOD($C$3,100))+(ROW()-ROW($C$3))/86400</s:f>
        <s:v>46247.413298611114</s:v>
      </s:c>
    </s:row>
    <s:row r="448">
      <s:c r="A448" s="0" t="n">
        <s:v>260813</s:v>
      </s:c>
      <s:c r="B448" s="0" t="inlineStr">
        <s:is>
          <s:t>이종훈</s:t>
        </s:is>
      </s:c>
      <s:c r="C448" s="0" t="n">
        <s:v>94745</s:v>
      </s:c>
      <s:c r="D448" s="0" t="n">
        <s:v>3121</s:v>
      </s:c>
      <s:c r="F448" s="24">
        <s:f>'자료구성'!$B$2+TIME(INT($C$3/10000),INT(MOD($C$3,10000)/100),MOD($C$3,100))+(ROW()-ROW($C$3))/86400</s:f>
        <s:v>46247.413310185184</s:v>
      </s:c>
    </s:row>
    <s:row r="449">
      <s:c r="A449" s="0" t="n">
        <s:v>260813</s:v>
      </s:c>
      <s:c r="B449" s="0" t="inlineStr">
        <s:is>
          <s:t>이종훈</s:t>
        </s:is>
      </s:c>
      <s:c r="C449" s="0" t="n">
        <s:v>94745</s:v>
      </s:c>
      <s:c r="D449" s="0" t="n">
        <s:v>3070</s:v>
      </s:c>
      <s:c r="F449" s="24">
        <s:f>'자료구성'!$B$2+TIME(INT($C$3/10000),INT(MOD($C$3,10000)/100),MOD($C$3,100))+(ROW()-ROW($C$3))/86400</s:f>
        <s:v>46247.41332175926</s:v>
      </s:c>
    </s:row>
    <s:row r="450">
      <s:c r="A450" s="0" t="n">
        <s:v>260813</s:v>
      </s:c>
      <s:c r="B450" s="0" t="inlineStr">
        <s:is>
          <s:t>이종훈</s:t>
        </s:is>
      </s:c>
      <s:c r="C450" s="0" t="n">
        <s:v>94745</s:v>
      </s:c>
      <s:c r="D450" s="0" t="n">
        <s:v>3006</s:v>
      </s:c>
      <s:c r="F450" s="24">
        <s:f>'자료구성'!$B$2+TIME(INT($C$3/10000),INT(MOD($C$3,10000)/100),MOD($C$3,100))+(ROW()-ROW($C$3))/86400</s:f>
        <s:v>46247.41333333333</s:v>
      </s:c>
    </s:row>
    <s:row r="451">
      <s:c r="A451" s="0" t="n">
        <s:v>260813</s:v>
      </s:c>
      <s:c r="B451" s="0" t="inlineStr">
        <s:is>
          <s:t>이종훈</s:t>
        </s:is>
      </s:c>
      <s:c r="C451" s="0" t="n">
        <s:v>94745</s:v>
      </s:c>
      <s:c r="D451" s="0" t="n">
        <s:v>3087</s:v>
      </s:c>
      <s:c r="F451" s="24">
        <s:f>'자료구성'!$B$2+TIME(INT($C$3/10000),INT(MOD($C$3,10000)/100),MOD($C$3,100))+(ROW()-ROW($C$3))/86400</s:f>
        <s:v>46247.41334490741</s:v>
      </s:c>
    </s:row>
    <s:row r="452">
      <s:c r="A452" s="0" t="n">
        <s:v>260813</s:v>
      </s:c>
      <s:c r="B452" s="0" t="inlineStr">
        <s:is>
          <s:t>이종훈</s:t>
        </s:is>
      </s:c>
      <s:c r="C452" s="0" t="n">
        <s:v>94745</s:v>
      </s:c>
      <s:c r="D452" s="0" t="n">
        <s:v>3205</s:v>
      </s:c>
      <s:c r="F452" s="24">
        <s:f>'자료구성'!$B$2+TIME(INT($C$3/10000),INT(MOD($C$3,10000)/100),MOD($C$3,100))+(ROW()-ROW($C$3))/86400</s:f>
        <s:v>46247.413356481484</s:v>
      </s:c>
    </s:row>
    <s:row r="453">
      <s:c r="A453" s="0" t="n">
        <s:v>260813</s:v>
      </s:c>
      <s:c r="B453" s="0" t="inlineStr">
        <s:is>
          <s:t>이종훈</s:t>
        </s:is>
      </s:c>
      <s:c r="C453" s="0" t="n">
        <s:v>94745</s:v>
      </s:c>
      <s:c r="D453" s="0" t="n">
        <s:v>3384</s:v>
      </s:c>
      <s:c r="F453" s="24">
        <s:f>'자료구성'!$B$2+TIME(INT($C$3/10000),INT(MOD($C$3,10000)/100),MOD($C$3,100))+(ROW()-ROW($C$3))/86400</s:f>
        <s:v>46247.41336805555</s:v>
      </s:c>
    </s:row>
    <s:row r="454">
      <s:c r="A454" s="0" t="n">
        <s:v>260813</s:v>
      </s:c>
      <s:c r="B454" s="0" t="inlineStr">
        <s:is>
          <s:t>이종훈</s:t>
        </s:is>
      </s:c>
      <s:c r="C454" s="0" t="n">
        <s:v>94745</s:v>
      </s:c>
      <s:c r="D454" s="0" t="n">
        <s:v>3586</s:v>
      </s:c>
      <s:c r="F454" s="24">
        <s:f>'자료구성'!$B$2+TIME(INT($C$3/10000),INT(MOD($C$3,10000)/100),MOD($C$3,100))+(ROW()-ROW($C$3))/86400</s:f>
        <s:v>46247.41337962963</s:v>
      </s:c>
    </s:row>
    <s:row r="455">
      <s:c r="A455" s="0" t="n">
        <s:v>260813</s:v>
      </s:c>
      <s:c r="B455" s="0" t="inlineStr">
        <s:is>
          <s:t>이종훈</s:t>
        </s:is>
      </s:c>
      <s:c r="C455" s="0" t="n">
        <s:v>94745</s:v>
      </s:c>
      <s:c r="D455" s="0" t="n">
        <s:v>3730</s:v>
      </s:c>
      <s:c r="F455" s="24">
        <s:f>'자료구성'!$B$2+TIME(INT($C$3/10000),INT(MOD($C$3,10000)/100),MOD($C$3,100))+(ROW()-ROW($C$3))/86400</s:f>
        <s:v>46247.41339120371</s:v>
      </s:c>
    </s:row>
    <s:row r="456">
      <s:c r="A456" s="0" t="n">
        <s:v>260813</s:v>
      </s:c>
      <s:c r="B456" s="0" t="inlineStr">
        <s:is>
          <s:t>이종훈</s:t>
        </s:is>
      </s:c>
      <s:c r="C456" s="0" t="n">
        <s:v>94745</s:v>
      </s:c>
      <s:c r="D456" s="0" t="n">
        <s:v>3904</s:v>
      </s:c>
      <s:c r="F456" s="24">
        <s:f>'자료구성'!$B$2+TIME(INT($C$3/10000),INT(MOD($C$3,10000)/100),MOD($C$3,100))+(ROW()-ROW($C$3))/86400</s:f>
        <s:v>46247.413402777776</s:v>
      </s:c>
    </s:row>
    <s:row r="457">
      <s:c r="A457" s="0" t="n">
        <s:v>260813</s:v>
      </s:c>
      <s:c r="B457" s="0" t="inlineStr">
        <s:is>
          <s:t>이종훈</s:t>
        </s:is>
      </s:c>
      <s:c r="C457" s="0" t="n">
        <s:v>94745</s:v>
      </s:c>
      <s:c r="D457" s="0" t="n">
        <s:v>3966</s:v>
      </s:c>
      <s:c r="F457" s="24">
        <s:f>'자료구성'!$B$2+TIME(INT($C$3/10000),INT(MOD($C$3,10000)/100),MOD($C$3,100))+(ROW()-ROW($C$3))/86400</s:f>
        <s:v>46247.41341435185</s:v>
      </s:c>
    </s:row>
    <s:row r="458">
      <s:c r="A458" s="0" t="n">
        <s:v>260813</s:v>
      </s:c>
      <s:c r="B458" s="0" t="inlineStr">
        <s:is>
          <s:t>이종훈</s:t>
        </s:is>
      </s:c>
      <s:c r="C458" s="0" t="n">
        <s:v>94745</s:v>
      </s:c>
      <s:c r="D458" s="0" t="n">
        <s:v>4000</s:v>
      </s:c>
      <s:c r="F458" s="24">
        <s:f>'자료구성'!$B$2+TIME(INT($C$3/10000),INT(MOD($C$3,10000)/100),MOD($C$3,100))+(ROW()-ROW($C$3))/86400</s:f>
        <s:v>46247.41342592592</s:v>
      </s:c>
    </s:row>
    <s:row r="459">
      <s:c r="A459" s="0" t="n">
        <s:v>260813</s:v>
      </s:c>
      <s:c r="B459" s="0" t="inlineStr">
        <s:is>
          <s:t>이종훈</s:t>
        </s:is>
      </s:c>
      <s:c r="C459" s="0" t="n">
        <s:v>94745</s:v>
      </s:c>
      <s:c r="D459" s="0" t="n">
        <s:v>4031</s:v>
      </s:c>
      <s:c r="F459" s="24">
        <s:f>'자료구성'!$B$2+TIME(INT($C$3/10000),INT(MOD($C$3,10000)/100),MOD($C$3,100))+(ROW()-ROW($C$3))/86400</s:f>
        <s:v>46247.4134375</s:v>
      </s:c>
    </s:row>
    <s:row r="460">
      <s:c r="A460" s="0" t="n">
        <s:v>260813</s:v>
      </s:c>
      <s:c r="B460" s="0" t="inlineStr">
        <s:is>
          <s:t>이종훈</s:t>
        </s:is>
      </s:c>
      <s:c r="C460" s="0" t="n">
        <s:v>94745</s:v>
      </s:c>
      <s:c r="D460" s="0" t="n">
        <s:v>3926</s:v>
      </s:c>
      <s:c r="F460" s="24">
        <s:f>'자료구성'!$B$2+TIME(INT($C$3/10000),INT(MOD($C$3,10000)/100),MOD($C$3,100))+(ROW()-ROW($C$3))/86400</s:f>
        <s:v>46247.413449074076</s:v>
      </s:c>
    </s:row>
    <s:row r="461">
      <s:c r="A461" s="0" t="n">
        <s:v>260813</s:v>
      </s:c>
      <s:c r="B461" s="0" t="inlineStr">
        <s:is>
          <s:t>이종훈</s:t>
        </s:is>
      </s:c>
      <s:c r="C461" s="0" t="n">
        <s:v>94745</s:v>
      </s:c>
      <s:c r="D461" s="0" t="n">
        <s:v>3828</s:v>
      </s:c>
      <s:c r="F461" s="24">
        <s:f>'자료구성'!$B$2+TIME(INT($C$3/10000),INT(MOD($C$3,10000)/100),MOD($C$3,100))+(ROW()-ROW($C$3))/86400</s:f>
        <s:v>46247.413460648146</s:v>
      </s:c>
    </s:row>
    <s:row r="462">
      <s:c r="A462" s="0" t="n">
        <s:v>260813</s:v>
      </s:c>
      <s:c r="B462" s="0" t="inlineStr">
        <s:is>
          <s:t>이종훈</s:t>
        </s:is>
      </s:c>
      <s:c r="C462" s="0" t="n">
        <s:v>94745</s:v>
      </s:c>
      <s:c r="D462" s="0" t="n">
        <s:v>3783</s:v>
      </s:c>
      <s:c r="F462" s="24">
        <s:f>'자료구성'!$B$2+TIME(INT($C$3/10000),INT(MOD($C$3,10000)/100),MOD($C$3,100))+(ROW()-ROW($C$3))/86400</s:f>
        <s:v>46247.41347222222</s:v>
      </s:c>
    </s:row>
    <s:row r="463">
      <s:c r="A463" s="0" t="n">
        <s:v>260813</s:v>
      </s:c>
      <s:c r="B463" s="0" t="inlineStr">
        <s:is>
          <s:t>이종훈</s:t>
        </s:is>
      </s:c>
      <s:c r="C463" s="0" t="n">
        <s:v>94745</s:v>
      </s:c>
      <s:c r="D463" s="0" t="n">
        <s:v>3771</s:v>
      </s:c>
      <s:c r="F463" s="24">
        <s:f>'자료구성'!$B$2+TIME(INT($C$3/10000),INT(MOD($C$3,10000)/100),MOD($C$3,100))+(ROW()-ROW($C$3))/86400</s:f>
        <s:v>46247.4134837963</s:v>
      </s:c>
    </s:row>
    <s:row r="464">
      <s:c r="A464" s="0" t="n">
        <s:v>260813</s:v>
      </s:c>
      <s:c r="B464" s="0" t="inlineStr">
        <s:is>
          <s:t>이종훈</s:t>
        </s:is>
      </s:c>
      <s:c r="C464" s="0" t="n">
        <s:v>94745</s:v>
      </s:c>
      <s:c r="D464" s="0" t="n">
        <s:v>3690</s:v>
      </s:c>
      <s:c r="F464" s="24">
        <s:f>'자료구성'!$B$2+TIME(INT($C$3/10000),INT(MOD($C$3,10000)/100),MOD($C$3,100))+(ROW()-ROW($C$3))/86400</s:f>
        <s:v>46247.41349537037</s:v>
      </s:c>
    </s:row>
    <s:row r="465">
      <s:c r="A465" s="0" t="n">
        <s:v>260813</s:v>
      </s:c>
      <s:c r="B465" s="0" t="inlineStr">
        <s:is>
          <s:t>이종훈</s:t>
        </s:is>
      </s:c>
      <s:c r="C465" s="0" t="n">
        <s:v>94745</s:v>
      </s:c>
      <s:c r="D465" s="0" t="n">
        <s:v>3580</s:v>
      </s:c>
      <s:c r="F465" s="24">
        <s:f>'자료구성'!$B$2+TIME(INT($C$3/10000),INT(MOD($C$3,10000)/100),MOD($C$3,100))+(ROW()-ROW($C$3))/86400</s:f>
        <s:v>46247.413506944446</s:v>
      </s:c>
    </s:row>
    <s:row r="466">
      <s:c r="A466" s="0" t="n">
        <s:v>260813</s:v>
      </s:c>
      <s:c r="B466" s="0" t="inlineStr">
        <s:is>
          <s:t>이종훈</s:t>
        </s:is>
      </s:c>
      <s:c r="C466" s="0" t="n">
        <s:v>94745</s:v>
      </s:c>
      <s:c r="D466" s="0" t="n">
        <s:v>3378</s:v>
      </s:c>
      <s:c r="F466" s="24">
        <s:f>'자료구성'!$B$2+TIME(INT($C$3/10000),INT(MOD($C$3,10000)/100),MOD($C$3,100))+(ROW()-ROW($C$3))/86400</s:f>
        <s:v>46247.413518518515</s:v>
      </s:c>
    </s:row>
    <s:row r="467">
      <s:c r="A467" s="0" t="n">
        <s:v>260813</s:v>
      </s:c>
      <s:c r="B467" s="0" t="inlineStr">
        <s:is>
          <s:t>이종훈</s:t>
        </s:is>
      </s:c>
      <s:c r="C467" s="0" t="n">
        <s:v>94745</s:v>
      </s:c>
      <s:c r="D467" s="0" t="n">
        <s:v>3224</s:v>
      </s:c>
      <s:c r="F467" s="24">
        <s:f>'자료구성'!$B$2+TIME(INT($C$3/10000),INT(MOD($C$3,10000)/100),MOD($C$3,100))+(ROW()-ROW($C$3))/86400</s:f>
        <s:v>46247.41353009259</s:v>
      </s:c>
    </s:row>
    <s:row r="468">
      <s:c r="A468" s="0" t="n">
        <s:v>260813</s:v>
      </s:c>
      <s:c r="B468" s="0" t="inlineStr">
        <s:is>
          <s:t>이종훈</s:t>
        </s:is>
      </s:c>
      <s:c r="C468" s="0" t="n">
        <s:v>94745</s:v>
      </s:c>
      <s:c r="D468" s="0" t="n">
        <s:v>3054</s:v>
      </s:c>
      <s:c r="F468" s="24">
        <s:f>'자료구성'!$B$2+TIME(INT($C$3/10000),INT(MOD($C$3,10000)/100),MOD($C$3,100))+(ROW()-ROW($C$3))/86400</s:f>
        <s:v>46247.41354166667</s:v>
      </s:c>
    </s:row>
    <s:row r="469">
      <s:c r="A469" s="0" t="n">
        <s:v>260813</s:v>
      </s:c>
      <s:c r="B469" s="0" t="inlineStr">
        <s:is>
          <s:t>이종훈</s:t>
        </s:is>
      </s:c>
      <s:c r="C469" s="0" t="n">
        <s:v>94745</s:v>
      </s:c>
      <s:c r="D469" s="0" t="n">
        <s:v>2906</s:v>
      </s:c>
      <s:c r="F469" s="24">
        <s:f>'자료구성'!$B$2+TIME(INT($C$3/10000),INT(MOD($C$3,10000)/100),MOD($C$3,100))+(ROW()-ROW($C$3))/86400</s:f>
        <s:v>46247.41355324074</s:v>
      </s:c>
    </s:row>
    <s:row r="470">
      <s:c r="A470" s="0" t="n">
        <s:v>260813</s:v>
      </s:c>
      <s:c r="B470" s="0" t="inlineStr">
        <s:is>
          <s:t>이종훈</s:t>
        </s:is>
      </s:c>
      <s:c r="C470" s="0" t="n">
        <s:v>94745</s:v>
      </s:c>
      <s:c r="D470" s="0" t="n">
        <s:v>2781</s:v>
      </s:c>
      <s:c r="F470" s="24">
        <s:f>'자료구성'!$B$2+TIME(INT($C$3/10000),INT(MOD($C$3,10000)/100),MOD($C$3,100))+(ROW()-ROW($C$3))/86400</s:f>
        <s:v>46247.413564814815</s:v>
      </s:c>
    </s:row>
    <s:row r="471">
      <s:c r="A471" s="0" t="n">
        <s:v>260813</s:v>
      </s:c>
      <s:c r="B471" s="0" t="inlineStr">
        <s:is>
          <s:t>이종훈</s:t>
        </s:is>
      </s:c>
      <s:c r="C471" s="0" t="n">
        <s:v>94745</s:v>
      </s:c>
      <s:c r="D471" s="0" t="n">
        <s:v>2670</s:v>
      </s:c>
      <s:c r="F471" s="24">
        <s:f>'자료구성'!$B$2+TIME(INT($C$3/10000),INT(MOD($C$3,10000)/100),MOD($C$3,100))+(ROW()-ROW($C$3))/86400</s:f>
        <s:v>46247.41357638889</s:v>
      </s:c>
    </s:row>
    <s:row r="472">
      <s:c r="A472" s="0" t="n">
        <s:v>260813</s:v>
      </s:c>
      <s:c r="B472" s="0" t="inlineStr">
        <s:is>
          <s:t>이종훈</s:t>
        </s:is>
      </s:c>
      <s:c r="C472" s="0" t="n">
        <s:v>94745</s:v>
      </s:c>
      <s:c r="D472" s="0" t="n">
        <s:v>2597</s:v>
      </s:c>
      <s:c r="F472" s="24">
        <s:f>'자료구성'!$B$2+TIME(INT($C$3/10000),INT(MOD($C$3,10000)/100),MOD($C$3,100))+(ROW()-ROW($C$3))/86400</s:f>
        <s:v>46247.41358796296</s:v>
      </s:c>
    </s:row>
    <s:row r="473">
      <s:c r="A473" s="0" t="n">
        <s:v>260813</s:v>
      </s:c>
      <s:c r="B473" s="0" t="inlineStr">
        <s:is>
          <s:t>이종훈</s:t>
        </s:is>
      </s:c>
      <s:c r="C473" s="0" t="n">
        <s:v>94745</s:v>
      </s:c>
      <s:c r="D473" s="0" t="n">
        <s:v>2536</s:v>
      </s:c>
      <s:c r="F473" s="24">
        <s:f>'자료구성'!$B$2+TIME(INT($C$3/10000),INT(MOD($C$3,10000)/100),MOD($C$3,100))+(ROW()-ROW($C$3))/86400</s:f>
        <s:v>46247.41359953704</s:v>
      </s:c>
    </s:row>
    <s:row r="474">
      <s:c r="A474" s="0" t="n">
        <s:v>260813</s:v>
      </s:c>
      <s:c r="B474" s="0" t="inlineStr">
        <s:is>
          <s:t>이종훈</s:t>
        </s:is>
      </s:c>
      <s:c r="C474" s="0" t="n">
        <s:v>94745</s:v>
      </s:c>
      <s:c r="D474" s="0" t="n">
        <s:v>2468</s:v>
      </s:c>
      <s:c r="F474" s="24">
        <s:f>'자료구성'!$B$2+TIME(INT($C$3/10000),INT(MOD($C$3,10000)/100),MOD($C$3,100))+(ROW()-ROW($C$3))/86400</s:f>
        <s:v>46247.413611111115</s:v>
      </s:c>
    </s:row>
    <s:row r="475">
      <s:c r="A475" s="0" t="n">
        <s:v>260813</s:v>
      </s:c>
      <s:c r="B475" s="0" t="inlineStr">
        <s:is>
          <s:t>이종훈</s:t>
        </s:is>
      </s:c>
      <s:c r="C475" s="0" t="n">
        <s:v>94745</s:v>
      </s:c>
      <s:c r="D475" s="0" t="n">
        <s:v>2419</s:v>
      </s:c>
      <s:c r="F475" s="24">
        <s:f>'자료구성'!$B$2+TIME(INT($C$3/10000),INT(MOD($C$3,10000)/100),MOD($C$3,100))+(ROW()-ROW($C$3))/86400</s:f>
        <s:v>46247.413622685184</s:v>
      </s:c>
    </s:row>
    <s:row r="476">
      <s:c r="A476" s="0" t="n">
        <s:v>260813</s:v>
      </s:c>
      <s:c r="B476" s="0" t="inlineStr">
        <s:is>
          <s:t>이종훈</s:t>
        </s:is>
      </s:c>
      <s:c r="C476" s="0" t="n">
        <s:v>94745</s:v>
      </s:c>
      <s:c r="D476" s="0" t="n">
        <s:v>2402</s:v>
      </s:c>
      <s:c r="F476" s="24">
        <s:f>'자료구성'!$B$2+TIME(INT($C$3/10000),INT(MOD($C$3,10000)/100),MOD($C$3,100))+(ROW()-ROW($C$3))/86400</s:f>
        <s:v>46247.41363425926</s:v>
      </s:c>
    </s:row>
    <s:row r="477">
      <s:c r="A477" s="0" t="n">
        <s:v>260813</s:v>
      </s:c>
      <s:c r="B477" s="0" t="inlineStr">
        <s:is>
          <s:t>이종훈</s:t>
        </s:is>
      </s:c>
      <s:c r="C477" s="0" t="n">
        <s:v>94745</s:v>
      </s:c>
      <s:c r="D477" s="0" t="n">
        <s:v>2365</s:v>
      </s:c>
      <s:c r="F477" s="24">
        <s:f>'자료구성'!$B$2+TIME(INT($C$3/10000),INT(MOD($C$3,10000)/100),MOD($C$3,100))+(ROW()-ROW($C$3))/86400</s:f>
        <s:v>46247.41364583333</s:v>
      </s:c>
    </s:row>
    <s:row r="478">
      <s:c r="A478" s="0" t="n">
        <s:v>260813</s:v>
      </s:c>
      <s:c r="B478" s="0" t="inlineStr">
        <s:is>
          <s:t>이종훈</s:t>
        </s:is>
      </s:c>
      <s:c r="C478" s="0" t="n">
        <s:v>94745</s:v>
      </s:c>
      <s:c r="D478" s="0" t="n">
        <s:v>2330</s:v>
      </s:c>
      <s:c r="F478" s="24">
        <s:f>'자료구성'!$B$2+TIME(INT($C$3/10000),INT(MOD($C$3,10000)/100),MOD($C$3,100))+(ROW()-ROW($C$3))/86400</s:f>
        <s:v>46247.41365740741</s:v>
      </s:c>
    </s:row>
    <s:row r="479">
      <s:c r="A479" s="0" t="n">
        <s:v>260813</s:v>
      </s:c>
      <s:c r="B479" s="0" t="inlineStr">
        <s:is>
          <s:t>이종훈</s:t>
        </s:is>
      </s:c>
      <s:c r="C479" s="0" t="n">
        <s:v>94745</s:v>
      </s:c>
      <s:c r="D479" s="0" t="n">
        <s:v>2299</s:v>
      </s:c>
      <s:c r="F479" s="24">
        <s:f>'자료구성'!$B$2+TIME(INT($C$3/10000),INT(MOD($C$3,10000)/100),MOD($C$3,100))+(ROW()-ROW($C$3))/86400</s:f>
        <s:v>46247.413668981484</s:v>
      </s:c>
    </s:row>
    <s:row r="480">
      <s:c r="A480" s="0" t="n">
        <s:v>260813</s:v>
      </s:c>
      <s:c r="B480" s="0" t="inlineStr">
        <s:is>
          <s:t>이종훈</s:t>
        </s:is>
      </s:c>
      <s:c r="C480" s="0" t="n">
        <s:v>94745</s:v>
      </s:c>
      <s:c r="D480" s="0" t="n">
        <s:v>2279</s:v>
      </s:c>
      <s:c r="F480" s="24">
        <s:f>'자료구성'!$B$2+TIME(INT($C$3/10000),INT(MOD($C$3,10000)/100),MOD($C$3,100))+(ROW()-ROW($C$3))/86400</s:f>
        <s:v>46247.41368055555</s:v>
      </s:c>
    </s:row>
    <s:row r="481">
      <s:c r="A481" s="0" t="n">
        <s:v>260813</s:v>
      </s:c>
      <s:c r="B481" s="0" t="inlineStr">
        <s:is>
          <s:t>이종훈</s:t>
        </s:is>
      </s:c>
      <s:c r="C481" s="0" t="n">
        <s:v>94745</s:v>
      </s:c>
      <s:c r="D481" s="0" t="n">
        <s:v>2303</s:v>
      </s:c>
      <s:c r="F481" s="24">
        <s:f>'자료구성'!$B$2+TIME(INT($C$3/10000),INT(MOD($C$3,10000)/100),MOD($C$3,100))+(ROW()-ROW($C$3))/86400</s:f>
        <s:v>46247.41369212963</s:v>
      </s:c>
    </s:row>
    <s:row r="482">
      <s:c r="A482" s="0" t="n">
        <s:v>260813</s:v>
      </s:c>
      <s:c r="B482" s="0" t="inlineStr">
        <s:is>
          <s:t>이종훈</s:t>
        </s:is>
      </s:c>
      <s:c r="C482" s="0" t="n">
        <s:v>94745</s:v>
      </s:c>
      <s:c r="D482" s="0" t="n">
        <s:v>2345</s:v>
      </s:c>
      <s:c r="F482" s="24">
        <s:f>'자료구성'!$B$2+TIME(INT($C$3/10000),INT(MOD($C$3,10000)/100),MOD($C$3,100))+(ROW()-ROW($C$3))/86400</s:f>
        <s:v>46247.41370370371</s:v>
      </s:c>
    </s:row>
    <s:row r="483">
      <s:c r="A483" s="0" t="n">
        <s:v>260813</s:v>
      </s:c>
      <s:c r="B483" s="0" t="inlineStr">
        <s:is>
          <s:t>이종훈</s:t>
        </s:is>
      </s:c>
      <s:c r="C483" s="0" t="n">
        <s:v>94745</s:v>
      </s:c>
      <s:c r="D483" s="0" t="n">
        <s:v>2387</s:v>
      </s:c>
      <s:c r="F483" s="24">
        <s:f>'자료구성'!$B$2+TIME(INT($C$3/10000),INT(MOD($C$3,10000)/100),MOD($C$3,100))+(ROW()-ROW($C$3))/86400</s:f>
        <s:v>46247.41371527778</s:v>
      </s:c>
    </s:row>
    <s:row r="484">
      <s:c r="A484" s="0" t="n">
        <s:v>260813</s:v>
      </s:c>
      <s:c r="B484" s="0" t="inlineStr">
        <s:is>
          <s:t>이종훈</s:t>
        </s:is>
      </s:c>
      <s:c r="C484" s="0" t="n">
        <s:v>94745</s:v>
      </s:c>
      <s:c r="D484" s="0" t="n">
        <s:v>2374</s:v>
      </s:c>
      <s:c r="F484" s="24">
        <s:f>'자료구성'!$B$2+TIME(INT($C$3/10000),INT(MOD($C$3,10000)/100),MOD($C$3,100))+(ROW()-ROW($C$3))/86400</s:f>
        <s:v>46247.41372685185</s:v>
      </s:c>
    </s:row>
    <s:row r="485">
      <s:c r="A485" s="0" t="n">
        <s:v>260813</s:v>
      </s:c>
      <s:c r="B485" s="0" t="inlineStr">
        <s:is>
          <s:t>이종훈</s:t>
        </s:is>
      </s:c>
      <s:c r="C485" s="0" t="n">
        <s:v>94745</s:v>
      </s:c>
      <s:c r="D485" s="0" t="n">
        <s:v>2326</s:v>
      </s:c>
      <s:c r="F485" s="24">
        <s:f>'자료구성'!$B$2+TIME(INT($C$3/10000),INT(MOD($C$3,10000)/100),MOD($C$3,100))+(ROW()-ROW($C$3))/86400</s:f>
        <s:v>46247.41373842592</s:v>
      </s:c>
    </s:row>
    <s:row r="486">
      <s:c r="A486" s="0" t="n">
        <s:v>260813</s:v>
      </s:c>
      <s:c r="B486" s="0" t="inlineStr">
        <s:is>
          <s:t>이종훈</s:t>
        </s:is>
      </s:c>
      <s:c r="C486" s="0" t="n">
        <s:v>94745</s:v>
      </s:c>
      <s:c r="D486" s="0" t="n">
        <s:v>2289</s:v>
      </s:c>
      <s:c r="F486" s="24">
        <s:f>'자료구성'!$B$2+TIME(INT($C$3/10000),INT(MOD($C$3,10000)/100),MOD($C$3,100))+(ROW()-ROW($C$3))/86400</s:f>
        <s:v>46247.41375</s:v>
      </s:c>
    </s:row>
    <s:row r="487">
      <s:c r="A487" s="0" t="n">
        <s:v>260813</s:v>
      </s:c>
      <s:c r="B487" s="0" t="inlineStr">
        <s:is>
          <s:t>이종훈</s:t>
        </s:is>
      </s:c>
      <s:c r="C487" s="0" t="n">
        <s:v>94745</s:v>
      </s:c>
      <s:c r="D487" s="0" t="n">
        <s:v>2267</s:v>
      </s:c>
      <s:c r="F487" s="24">
        <s:f>'자료구성'!$B$2+TIME(INT($C$3/10000),INT(MOD($C$3,10000)/100),MOD($C$3,100))+(ROW()-ROW($C$3))/86400</s:f>
        <s:v>46247.41376157408</s:v>
      </s:c>
    </s:row>
    <s:row r="488">
      <s:c r="A488" s="0" t="n">
        <s:v>260813</s:v>
      </s:c>
      <s:c r="B488" s="0" t="inlineStr">
        <s:is>
          <s:t>이종훈</s:t>
        </s:is>
      </s:c>
      <s:c r="C488" s="0" t="n">
        <s:v>94745</s:v>
      </s:c>
      <s:c r="D488" s="0" t="n">
        <s:v>2241</s:v>
      </s:c>
      <s:c r="F488" s="24">
        <s:f>'자료구성'!$B$2+TIME(INT($C$3/10000),INT(MOD($C$3,10000)/100),MOD($C$3,100))+(ROW()-ROW($C$3))/86400</s:f>
        <s:v>46247.413773148146</s:v>
      </s:c>
    </s:row>
    <s:row r="489">
      <s:c r="A489" s="0" t="n">
        <s:v>260813</s:v>
      </s:c>
      <s:c r="B489" s="0" t="inlineStr">
        <s:is>
          <s:t>이종훈</s:t>
        </s:is>
      </s:c>
      <s:c r="C489" s="0" t="n">
        <s:v>94745</s:v>
      </s:c>
      <s:c r="D489" s="0" t="n">
        <s:v>2202</s:v>
      </s:c>
      <s:c r="F489" s="24">
        <s:f>'자료구성'!$B$2+TIME(INT($C$3/10000),INT(MOD($C$3,10000)/100),MOD($C$3,100))+(ROW()-ROW($C$3))/86400</s:f>
        <s:v>46247.41378472222</s:v>
      </s:c>
    </s:row>
    <s:row r="490">
      <s:c r="A490" s="0" t="n">
        <s:v>260813</s:v>
      </s:c>
      <s:c r="B490" s="0" t="inlineStr">
        <s:is>
          <s:t>이종훈</s:t>
        </s:is>
      </s:c>
      <s:c r="C490" s="0" t="n">
        <s:v>94745</s:v>
      </s:c>
      <s:c r="D490" s="0" t="n">
        <s:v>2157</s:v>
      </s:c>
      <s:c r="F490" s="24">
        <s:f>'자료구성'!$B$2+TIME(INT($C$3/10000),INT(MOD($C$3,10000)/100),MOD($C$3,100))+(ROW()-ROW($C$3))/86400</s:f>
        <s:v>46247.4137962963</s:v>
      </s:c>
    </s:row>
    <s:row r="491">
      <s:c r="A491" s="0" t="n">
        <s:v>260813</s:v>
      </s:c>
      <s:c r="B491" s="0" t="inlineStr">
        <s:is>
          <s:t>이종훈</s:t>
        </s:is>
      </s:c>
      <s:c r="C491" s="0" t="n">
        <s:v>94745</s:v>
      </s:c>
      <s:c r="D491" s="0" t="n">
        <s:v>2122</s:v>
      </s:c>
      <s:c r="F491" s="24">
        <s:f>'자료구성'!$B$2+TIME(INT($C$3/10000),INT(MOD($C$3,10000)/100),MOD($C$3,100))+(ROW()-ROW($C$3))/86400</s:f>
        <s:v>46247.41380787037</s:v>
      </s:c>
    </s:row>
    <s:row r="492">
      <s:c r="A492" s="0" t="n">
        <s:v>260813</s:v>
      </s:c>
      <s:c r="B492" s="0" t="inlineStr">
        <s:is>
          <s:t>이종훈</s:t>
        </s:is>
      </s:c>
      <s:c r="C492" s="0" t="n">
        <s:v>94745</s:v>
      </s:c>
      <s:c r="D492" s="0" t="n">
        <s:v>2103</s:v>
      </s:c>
      <s:c r="F492" s="24">
        <s:f>'자료구성'!$B$2+TIME(INT($C$3/10000),INT(MOD($C$3,10000)/100),MOD($C$3,100))+(ROW()-ROW($C$3))/86400</s:f>
        <s:v>46247.413819444446</s:v>
      </s:c>
    </s:row>
    <s:row r="493">
      <s:c r="A493" s="0" t="n">
        <s:v>260813</s:v>
      </s:c>
      <s:c r="B493" s="0" t="inlineStr">
        <s:is>
          <s:t>이종훈</s:t>
        </s:is>
      </s:c>
      <s:c r="C493" s="0" t="n">
        <s:v>94745</s:v>
      </s:c>
      <s:c r="D493" s="0" t="n">
        <s:v>2080</s:v>
      </s:c>
      <s:c r="F493" s="24">
        <s:f>'자료구성'!$B$2+TIME(INT($C$3/10000),INT(MOD($C$3,10000)/100),MOD($C$3,100))+(ROW()-ROW($C$3))/86400</s:f>
        <s:v>46247.413831018515</s:v>
      </s:c>
    </s:row>
    <s:row r="494">
      <s:c r="A494" s="0" t="n">
        <s:v>260813</s:v>
      </s:c>
      <s:c r="B494" s="0" t="inlineStr">
        <s:is>
          <s:t>이종훈</s:t>
        </s:is>
      </s:c>
      <s:c r="C494" s="0" t="n">
        <s:v>94745</s:v>
      </s:c>
      <s:c r="D494" s="0" t="n">
        <s:v>2067</s:v>
      </s:c>
      <s:c r="F494" s="24">
        <s:f>'자료구성'!$B$2+TIME(INT($C$3/10000),INT(MOD($C$3,10000)/100),MOD($C$3,100))+(ROW()-ROW($C$3))/86400</s:f>
        <s:v>46247.41384259259</s:v>
      </s:c>
    </s:row>
    <s:row r="495">
      <s:c r="A495" s="0" t="n">
        <s:v>260813</s:v>
      </s:c>
      <s:c r="B495" s="0" t="inlineStr">
        <s:is>
          <s:t>이종훈</s:t>
        </s:is>
      </s:c>
      <s:c r="C495" s="0" t="n">
        <s:v>94745</s:v>
      </s:c>
      <s:c r="D495" s="0" t="n">
        <s:v>2058</s:v>
      </s:c>
      <s:c r="F495" s="24">
        <s:f>'자료구성'!$B$2+TIME(INT($C$3/10000),INT(MOD($C$3,10000)/100),MOD($C$3,100))+(ROW()-ROW($C$3))/86400</s:f>
        <s:v>46247.41385416667</s:v>
      </s:c>
    </s:row>
    <s:row r="496">
      <s:c r="A496" s="0" t="n">
        <s:v>260813</s:v>
      </s:c>
      <s:c r="B496" s="0" t="inlineStr">
        <s:is>
          <s:t>이종훈</s:t>
        </s:is>
      </s:c>
      <s:c r="C496" s="0" t="n">
        <s:v>94745</s:v>
      </s:c>
      <s:c r="D496" s="0" t="n">
        <s:v>2041</s:v>
      </s:c>
      <s:c r="F496" s="24">
        <s:f>'자료구성'!$B$2+TIME(INT($C$3/10000),INT(MOD($C$3,10000)/100),MOD($C$3,100))+(ROW()-ROW($C$3))/86400</s:f>
        <s:v>46247.41386574074</s:v>
      </s:c>
    </s:row>
    <s:row r="497">
      <s:c r="A497" s="0" t="n">
        <s:v>260813</s:v>
      </s:c>
      <s:c r="B497" s="0" t="inlineStr">
        <s:is>
          <s:t>이종훈</s:t>
        </s:is>
      </s:c>
      <s:c r="C497" s="0" t="n">
        <s:v>94745</s:v>
      </s:c>
      <s:c r="D497" s="0" t="n">
        <s:v>2029</s:v>
      </s:c>
      <s:c r="F497" s="24">
        <s:f>'자료구성'!$B$2+TIME(INT($C$3/10000),INT(MOD($C$3,10000)/100),MOD($C$3,100))+(ROW()-ROW($C$3))/86400</s:f>
        <s:v>46247.413877314815</s:v>
      </s:c>
    </s:row>
    <s:row r="498">
      <s:c r="A498" s="0" t="n">
        <s:v>260813</s:v>
      </s:c>
      <s:c r="B498" s="0" t="inlineStr">
        <s:is>
          <s:t>이종훈</s:t>
        </s:is>
      </s:c>
      <s:c r="C498" s="0" t="n">
        <s:v>94745</s:v>
      </s:c>
      <s:c r="D498" s="0" t="n">
        <s:v>2016</s:v>
      </s:c>
      <s:c r="F498" s="24">
        <s:f>'자료구성'!$B$2+TIME(INT($C$3/10000),INT(MOD($C$3,10000)/100),MOD($C$3,100))+(ROW()-ROW($C$3))/86400</s:f>
        <s:v>46247.41388888889</s:v>
      </s:c>
    </s:row>
    <s:row r="499">
      <s:c r="A499" s="0" t="n">
        <s:v>260813</s:v>
      </s:c>
      <s:c r="B499" s="0" t="inlineStr">
        <s:is>
          <s:t>이종훈</s:t>
        </s:is>
      </s:c>
      <s:c r="C499" s="0" t="n">
        <s:v>94745</s:v>
      </s:c>
      <s:c r="D499" s="0" t="n">
        <s:v>2006</s:v>
      </s:c>
      <s:c r="F499" s="24">
        <s:f>'자료구성'!$B$2+TIME(INT($C$3/10000),INT(MOD($C$3,10000)/100),MOD($C$3,100))+(ROW()-ROW($C$3))/86400</s:f>
        <s:v>46247.41390046296</s:v>
      </s:c>
    </s:row>
    <s:row r="500">
      <s:c r="A500" s="0" t="n">
        <s:v>260813</s:v>
      </s:c>
      <s:c r="B500" s="0" t="inlineStr">
        <s:is>
          <s:t>이종훈</s:t>
        </s:is>
      </s:c>
      <s:c r="C500" s="0" t="n">
        <s:v>94745</s:v>
      </s:c>
      <s:c r="D500" s="0" t="n">
        <s:v>1966</s:v>
      </s:c>
      <s:c r="F500" s="24">
        <s:f>'자료구성'!$B$2+TIME(INT($C$3/10000),INT(MOD($C$3,10000)/100),MOD($C$3,100))+(ROW()-ROW($C$3))/86400</s:f>
        <s:v>46247.41391203704</s:v>
      </s:c>
    </s:row>
    <s:row r="501">
      <s:c r="A501" s="0" t="n">
        <s:v>260813</s:v>
      </s:c>
      <s:c r="B501" s="0" t="inlineStr">
        <s:is>
          <s:t>이종훈</s:t>
        </s:is>
      </s:c>
      <s:c r="C501" s="0" t="n">
        <s:v>94745</s:v>
      </s:c>
      <s:c r="D501" s="0" t="n">
        <s:v>1958</s:v>
      </s:c>
      <s:c r="F501" s="24">
        <s:f>'자료구성'!$B$2+TIME(INT($C$3/10000),INT(MOD($C$3,10000)/100),MOD($C$3,100))+(ROW()-ROW($C$3))/86400</s:f>
        <s:v>46247.41392361111</s:v>
      </s:c>
    </s:row>
    <s:row r="502">
      <s:c r="A502" s="0" t="n">
        <s:v>260813</s:v>
      </s:c>
      <s:c r="B502" s="0" t="inlineStr">
        <s:is>
          <s:t>이종훈</s:t>
        </s:is>
      </s:c>
      <s:c r="C502" s="0" t="n">
        <s:v>94745</s:v>
      </s:c>
      <s:c r="D502" s="0" t="n">
        <s:v>1940</s:v>
      </s:c>
      <s:c r="F502" s="24">
        <s:f>'자료구성'!$B$2+TIME(INT($C$3/10000),INT(MOD($C$3,10000)/100),MOD($C$3,100))+(ROW()-ROW($C$3))/86400</s:f>
        <s:v>46247.413935185185</s:v>
      </s:c>
    </s:row>
    <s:row r="503">
      <s:c r="A503" s="0" t="n">
        <s:v>260813</s:v>
      </s:c>
      <s:c r="B503" s="0" t="inlineStr">
        <s:is>
          <s:t>이종훈</s:t>
        </s:is>
      </s:c>
      <s:c r="C503" s="0" t="n">
        <s:v>94745</s:v>
      </s:c>
      <s:c r="D503" s="0" t="n">
        <s:v>1922</s:v>
      </s:c>
      <s:c r="F503" s="24">
        <s:f>'자료구성'!$B$2+TIME(INT($C$3/10000),INT(MOD($C$3,10000)/100),MOD($C$3,100))+(ROW()-ROW($C$3))/86400</s:f>
        <s:v>46247.41394675926</s:v>
      </s:c>
    </s:row>
    <s:row r="504">
      <s:c r="A504" s="0" t="n">
        <s:v>260813</s:v>
      </s:c>
      <s:c r="B504" s="0" t="inlineStr">
        <s:is>
          <s:t>이종훈</s:t>
        </s:is>
      </s:c>
      <s:c r="C504" s="0" t="n">
        <s:v>94745</s:v>
      </s:c>
      <s:c r="D504" s="0" t="n">
        <s:v>1918</s:v>
      </s:c>
      <s:c r="F504" s="24">
        <s:f>'자료구성'!$B$2+TIME(INT($C$3/10000),INT(MOD($C$3,10000)/100),MOD($C$3,100))+(ROW()-ROW($C$3))/86400</s:f>
        <s:v>46247.41395833333</s:v>
      </s:c>
    </s:row>
    <s:row r="505">
      <s:c r="A505" s="0" t="n">
        <s:v>260813</s:v>
      </s:c>
      <s:c r="B505" s="0" t="inlineStr">
        <s:is>
          <s:t>이종훈</s:t>
        </s:is>
      </s:c>
      <s:c r="C505" s="0" t="n">
        <s:v>94745</s:v>
      </s:c>
      <s:c r="D505" s="0" t="n">
        <s:v>1907</s:v>
      </s:c>
      <s:c r="F505" s="24">
        <s:f>'자료구성'!$B$2+TIME(INT($C$3/10000),INT(MOD($C$3,10000)/100),MOD($C$3,100))+(ROW()-ROW($C$3))/86400</s:f>
        <s:v>46247.41396990741</s:v>
      </s:c>
    </s:row>
    <s:row r="506">
      <s:c r="A506" s="0" t="n">
        <s:v>260813</s:v>
      </s:c>
      <s:c r="B506" s="0" t="inlineStr">
        <s:is>
          <s:t>이종훈</s:t>
        </s:is>
      </s:c>
      <s:c r="C506" s="0" t="n">
        <s:v>94745</s:v>
      </s:c>
      <s:c r="D506" s="0" t="n">
        <s:v>1861</s:v>
      </s:c>
      <s:c r="F506" s="24">
        <s:f>'자료구성'!$B$2+TIME(INT($C$3/10000),INT(MOD($C$3,10000)/100),MOD($C$3,100))+(ROW()-ROW($C$3))/86400</s:f>
        <s:v>46247.413981481484</s:v>
      </s:c>
    </s:row>
    <s:row r="507">
      <s:c r="A507" s="0" t="n">
        <s:v>260813</s:v>
      </s:c>
      <s:c r="B507" s="0" t="inlineStr">
        <s:is>
          <s:t>이종훈</s:t>
        </s:is>
      </s:c>
      <s:c r="C507" s="0" t="n">
        <s:v>94745</s:v>
      </s:c>
      <s:c r="D507" s="0" t="n">
        <s:v>1847</s:v>
      </s:c>
      <s:c r="F507" s="24">
        <s:f>'자료구성'!$B$2+TIME(INT($C$3/10000),INT(MOD($C$3,10000)/100),MOD($C$3,100))+(ROW()-ROW($C$3))/86400</s:f>
        <s:v>46247.413993055554</s:v>
      </s:c>
    </s:row>
    <s:row r="508">
      <s:c r="A508" s="0" t="n">
        <s:v>260813</s:v>
      </s:c>
      <s:c r="B508" s="0" t="inlineStr">
        <s:is>
          <s:t>이종훈</s:t>
        </s:is>
      </s:c>
      <s:c r="C508" s="0" t="n">
        <s:v>94745</s:v>
      </s:c>
      <s:c r="D508" s="0" t="n">
        <s:v>1815</s:v>
      </s:c>
      <s:c r="F508" s="24">
        <s:f>'자료구성'!$B$2+TIME(INT($C$3/10000),INT(MOD($C$3,10000)/100),MOD($C$3,100))+(ROW()-ROW($C$3))/86400</s:f>
        <s:v>46247.41400462963</s:v>
      </s:c>
    </s:row>
    <s:row r="509">
      <s:c r="A509" s="0" t="n">
        <s:v>260813</s:v>
      </s:c>
      <s:c r="B509" s="0" t="inlineStr">
        <s:is>
          <s:t>이종훈</s:t>
        </s:is>
      </s:c>
      <s:c r="C509" s="0" t="n">
        <s:v>94745</s:v>
      </s:c>
      <s:c r="D509" s="0" t="n">
        <s:v>1765</s:v>
      </s:c>
      <s:c r="F509" s="24">
        <s:f>'자료구성'!$B$2+TIME(INT($C$3/10000),INT(MOD($C$3,10000)/100),MOD($C$3,100))+(ROW()-ROW($C$3))/86400</s:f>
        <s:v>46247.4140162037</s:v>
      </s:c>
    </s:row>
    <s:row r="510">
      <s:c r="A510" s="0" t="n">
        <s:v>260813</s:v>
      </s:c>
      <s:c r="B510" s="0" t="inlineStr">
        <s:is>
          <s:t>이종훈</s:t>
        </s:is>
      </s:c>
      <s:c r="C510" s="0" t="n">
        <s:v>94745</s:v>
      </s:c>
      <s:c r="D510" s="0" t="n">
        <s:v>1727</s:v>
      </s:c>
      <s:c r="F510" s="24">
        <s:f>'자료구성'!$B$2+TIME(INT($C$3/10000),INT(MOD($C$3,10000)/100),MOD($C$3,100))+(ROW()-ROW($C$3))/86400</s:f>
        <s:v>46247.41402777778</s:v>
      </s:c>
    </s:row>
    <s:row r="511">
      <s:c r="A511" s="0" t="n">
        <s:v>260813</s:v>
      </s:c>
      <s:c r="B511" s="0" t="inlineStr">
        <s:is>
          <s:t>이종훈</s:t>
        </s:is>
      </s:c>
      <s:c r="C511" s="0" t="n">
        <s:v>94745</s:v>
      </s:c>
      <s:c r="D511" s="0" t="n">
        <s:v>1753</s:v>
      </s:c>
      <s:c r="F511" s="24">
        <s:f>'자료구성'!$B$2+TIME(INT($C$3/10000),INT(MOD($C$3,10000)/100),MOD($C$3,100))+(ROW()-ROW($C$3))/86400</s:f>
        <s:v>46247.414039351854</s:v>
      </s:c>
    </s:row>
    <s:row r="512">
      <s:c r="A512" s="0" t="n">
        <s:v>260813</s:v>
      </s:c>
      <s:c r="B512" s="0" t="inlineStr">
        <s:is>
          <s:t>이종훈</s:t>
        </s:is>
      </s:c>
      <s:c r="C512" s="0" t="n">
        <s:v>94745</s:v>
      </s:c>
      <s:c r="D512" s="0" t="n">
        <s:v>1765</s:v>
      </s:c>
      <s:c r="F512" s="24">
        <s:f>'자료구성'!$B$2+TIME(INT($C$3/10000),INT(MOD($C$3,10000)/100),MOD($C$3,100))+(ROW()-ROW($C$3))/86400</s:f>
        <s:v>46247.41405092592</s:v>
      </s:c>
    </s:row>
    <s:row r="513">
      <s:c r="A513" s="0" t="n">
        <s:v>260813</s:v>
      </s:c>
      <s:c r="B513" s="0" t="inlineStr">
        <s:is>
          <s:t>이종훈</s:t>
        </s:is>
      </s:c>
      <s:c r="C513" s="0" t="n">
        <s:v>94745</s:v>
      </s:c>
      <s:c r="D513" s="0" t="n">
        <s:v>1753</s:v>
      </s:c>
      <s:c r="F513" s="24">
        <s:f>'자료구성'!$B$2+TIME(INT($C$3/10000),INT(MOD($C$3,10000)/100),MOD($C$3,100))+(ROW()-ROW($C$3))/86400</s:f>
        <s:v>46247.4140625</s:v>
      </s:c>
    </s:row>
    <s:row r="514">
      <s:c r="A514" s="0" t="n">
        <s:v>260813</s:v>
      </s:c>
      <s:c r="B514" s="0" t="inlineStr">
        <s:is>
          <s:t>이종훈</s:t>
        </s:is>
      </s:c>
      <s:c r="C514" s="0" t="n">
        <s:v>94745</s:v>
      </s:c>
      <s:c r="D514" s="0" t="n">
        <s:v>1757</s:v>
      </s:c>
      <s:c r="F514" s="24">
        <s:f>'자료구성'!$B$2+TIME(INT($C$3/10000),INT(MOD($C$3,10000)/100),MOD($C$3,100))+(ROW()-ROW($C$3))/86400</s:f>
        <s:v>46247.41407407408</s:v>
      </s:c>
    </s:row>
    <s:row r="515">
      <s:c r="A515" s="0" t="n">
        <s:v>260813</s:v>
      </s:c>
      <s:c r="B515" s="0" t="inlineStr">
        <s:is>
          <s:t>이종훈</s:t>
        </s:is>
      </s:c>
      <s:c r="C515" s="0" t="n">
        <s:v>94745</s:v>
      </s:c>
      <s:c r="D515" s="0" t="n">
        <s:v>1768</s:v>
      </s:c>
      <s:c r="F515" s="24">
        <s:f>'자료구성'!$B$2+TIME(INT($C$3/10000),INT(MOD($C$3,10000)/100),MOD($C$3,100))+(ROW()-ROW($C$3))/86400</s:f>
        <s:v>46247.414085648146</s:v>
      </s:c>
    </s:row>
    <s:row r="516">
      <s:c r="A516" s="0" t="n">
        <s:v>260813</s:v>
      </s:c>
      <s:c r="B516" s="0" t="inlineStr">
        <s:is>
          <s:t>이종훈</s:t>
        </s:is>
      </s:c>
      <s:c r="C516" s="0" t="n">
        <s:v>94745</s:v>
      </s:c>
      <s:c r="D516" s="0" t="n">
        <s:v>1751</s:v>
      </s:c>
      <s:c r="F516" s="24">
        <s:f>'자료구성'!$B$2+TIME(INT($C$3/10000),INT(MOD($C$3,10000)/100),MOD($C$3,100))+(ROW()-ROW($C$3))/86400</s:f>
        <s:v>46247.41409722222</s:v>
      </s:c>
    </s:row>
    <s:row r="517">
      <s:c r="A517" s="0" t="n">
        <s:v>260813</s:v>
      </s:c>
      <s:c r="B517" s="0" t="inlineStr">
        <s:is>
          <s:t>이종훈</s:t>
        </s:is>
      </s:c>
      <s:c r="C517" s="0" t="n">
        <s:v>94745</s:v>
      </s:c>
      <s:c r="D517" s="0" t="n">
        <s:v>1754</s:v>
      </s:c>
      <s:c r="F517" s="24">
        <s:f>'자료구성'!$B$2+TIME(INT($C$3/10000),INT(MOD($C$3,10000)/100),MOD($C$3,100))+(ROW()-ROW($C$3))/86400</s:f>
        <s:v>46247.4141087963</s:v>
      </s:c>
    </s:row>
    <s:row r="518">
      <s:c r="A518" s="0" t="n">
        <s:v>260813</s:v>
      </s:c>
      <s:c r="B518" s="0" t="inlineStr">
        <s:is>
          <s:t>이종훈</s:t>
        </s:is>
      </s:c>
      <s:c r="C518" s="0" t="n">
        <s:v>94745</s:v>
      </s:c>
      <s:c r="D518" s="0" t="n">
        <s:v>1755</s:v>
      </s:c>
      <s:c r="F518" s="24">
        <s:f>'자료구성'!$B$2+TIME(INT($C$3/10000),INT(MOD($C$3,10000)/100),MOD($C$3,100))+(ROW()-ROW($C$3))/86400</s:f>
        <s:v>46247.41412037037</s:v>
      </s:c>
    </s:row>
    <s:row r="519">
      <s:c r="A519" s="0" t="n">
        <s:v>260813</s:v>
      </s:c>
      <s:c r="B519" s="0" t="inlineStr">
        <s:is>
          <s:t>이종훈</s:t>
        </s:is>
      </s:c>
      <s:c r="C519" s="0" t="n">
        <s:v>94745</s:v>
      </s:c>
      <s:c r="D519" s="0" t="n">
        <s:v>1741</s:v>
      </s:c>
      <s:c r="F519" s="24">
        <s:f>'자료구성'!$B$2+TIME(INT($C$3/10000),INT(MOD($C$3,10000)/100),MOD($C$3,100))+(ROW()-ROW($C$3))/86400</s:f>
        <s:v>46247.414131944446</s:v>
      </s:c>
    </s:row>
    <s:row r="520">
      <s:c r="A520" s="0" t="n">
        <s:v>260813</s:v>
      </s:c>
      <s:c r="B520" s="0" t="inlineStr">
        <s:is>
          <s:t>이종훈</s:t>
        </s:is>
      </s:c>
      <s:c r="C520" s="0" t="n">
        <s:v>94745</s:v>
      </s:c>
      <s:c r="D520" s="0" t="n">
        <s:v>1738</s:v>
      </s:c>
      <s:c r="F520" s="24">
        <s:f>'자료구성'!$B$2+TIME(INT($C$3/10000),INT(MOD($C$3,10000)/100),MOD($C$3,100))+(ROW()-ROW($C$3))/86400</s:f>
        <s:v>46247.414143518516</s:v>
      </s:c>
    </s:row>
    <s:row r="521">
      <s:c r="A521" s="0" t="n">
        <s:v>260813</s:v>
      </s:c>
      <s:c r="B521" s="0" t="inlineStr">
        <s:is>
          <s:t>이종훈</s:t>
        </s:is>
      </s:c>
      <s:c r="C521" s="0" t="n">
        <s:v>94745</s:v>
      </s:c>
      <s:c r="D521" s="0" t="n">
        <s:v>1735</s:v>
      </s:c>
      <s:c r="F521" s="24">
        <s:f>'자료구성'!$B$2+TIME(INT($C$3/10000),INT(MOD($C$3,10000)/100),MOD($C$3,100))+(ROW()-ROW($C$3))/86400</s:f>
        <s:v>46247.41415509259</s:v>
      </s:c>
    </s:row>
    <s:row r="522">
      <s:c r="A522" s="0" t="n">
        <s:v>260813</s:v>
      </s:c>
      <s:c r="B522" s="0" t="inlineStr">
        <s:is>
          <s:t>이종훈</s:t>
        </s:is>
      </s:c>
      <s:c r="C522" s="0" t="n">
        <s:v>94745</s:v>
      </s:c>
      <s:c r="D522" s="0" t="n">
        <s:v>1730</s:v>
      </s:c>
      <s:c r="F522" s="24">
        <s:f>'자료구성'!$B$2+TIME(INT($C$3/10000),INT(MOD($C$3,10000)/100),MOD($C$3,100))+(ROW()-ROW($C$3))/86400</s:f>
        <s:v>46247.41416666667</s:v>
      </s:c>
    </s:row>
    <s:row r="523">
      <s:c r="A523" s="0" t="n">
        <s:v>260813</s:v>
      </s:c>
      <s:c r="B523" s="0" t="inlineStr">
        <s:is>
          <s:t>이종훈</s:t>
        </s:is>
      </s:c>
      <s:c r="C523" s="0" t="n">
        <s:v>94745</s:v>
      </s:c>
      <s:c r="D523" s="0" t="n">
        <s:v>1720</s:v>
      </s:c>
      <s:c r="F523" s="24">
        <s:f>'자료구성'!$B$2+TIME(INT($C$3/10000),INT(MOD($C$3,10000)/100),MOD($C$3,100))+(ROW()-ROW($C$3))/86400</s:f>
        <s:v>46247.41417824074</s:v>
      </s:c>
    </s:row>
    <s:row r="524">
      <s:c r="A524" s="0" t="n">
        <s:v>260813</s:v>
      </s:c>
      <s:c r="B524" s="0" t="inlineStr">
        <s:is>
          <s:t>이종훈</s:t>
        </s:is>
      </s:c>
      <s:c r="C524" s="0" t="n">
        <s:v>94745</s:v>
      </s:c>
      <s:c r="D524" s="0" t="n">
        <s:v>1687</s:v>
      </s:c>
      <s:c r="F524" s="24">
        <s:f>'자료구성'!$B$2+TIME(INT($C$3/10000),INT(MOD($C$3,10000)/100),MOD($C$3,100))+(ROW()-ROW($C$3))/86400</s:f>
        <s:v>46247.414189814815</s:v>
      </s:c>
    </s:row>
    <s:row r="525">
      <s:c r="A525" s="0" t="n">
        <s:v>260813</s:v>
      </s:c>
      <s:c r="B525" s="0" t="inlineStr">
        <s:is>
          <s:t>이종훈</s:t>
        </s:is>
      </s:c>
      <s:c r="C525" s="0" t="n">
        <s:v>94745</s:v>
      </s:c>
      <s:c r="D525" s="0" t="n">
        <s:v>1693</s:v>
      </s:c>
      <s:c r="F525" s="24">
        <s:f>'자료구성'!$B$2+TIME(INT($C$3/10000),INT(MOD($C$3,10000)/100),MOD($C$3,100))+(ROW()-ROW($C$3))/86400</s:f>
        <s:v>46247.41420138889</s:v>
      </s:c>
    </s:row>
    <s:row r="526">
      <s:c r="A526" s="0" t="n">
        <s:v>260813</s:v>
      </s:c>
      <s:c r="B526" s="0" t="inlineStr">
        <s:is>
          <s:t>이종훈</s:t>
        </s:is>
      </s:c>
      <s:c r="C526" s="0" t="n">
        <s:v>94745</s:v>
      </s:c>
      <s:c r="D526" s="0" t="n">
        <s:v>1742</s:v>
      </s:c>
      <s:c r="F526" s="24">
        <s:f>'자료구성'!$B$2+TIME(INT($C$3/10000),INT(MOD($C$3,10000)/100),MOD($C$3,100))+(ROW()-ROW($C$3))/86400</s:f>
        <s:v>46247.41421296296</s:v>
      </s:c>
    </s:row>
    <s:row r="527">
      <s:c r="A527" s="0" t="n">
        <s:v>260813</s:v>
      </s:c>
      <s:c r="B527" s="0" t="inlineStr">
        <s:is>
          <s:t>이종훈</s:t>
        </s:is>
      </s:c>
      <s:c r="C527" s="0" t="n">
        <s:v>94745</s:v>
      </s:c>
      <s:c r="D527" s="0" t="n">
        <s:v>1805</s:v>
      </s:c>
      <s:c r="F527" s="24">
        <s:f>'자료구성'!$B$2+TIME(INT($C$3/10000),INT(MOD($C$3,10000)/100),MOD($C$3,100))+(ROW()-ROW($C$3))/86400</s:f>
        <s:v>46247.41422453704</s:v>
      </s:c>
    </s:row>
    <s:row r="528">
      <s:c r="A528" s="0" t="n">
        <s:v>260813</s:v>
      </s:c>
      <s:c r="B528" s="0" t="inlineStr">
        <s:is>
          <s:t>이종훈</s:t>
        </s:is>
      </s:c>
      <s:c r="C528" s="0" t="n">
        <s:v>94745</s:v>
      </s:c>
      <s:c r="D528" s="0" t="n">
        <s:v>1909</s:v>
      </s:c>
      <s:c r="F528" s="24">
        <s:f>'자료구성'!$B$2+TIME(INT($C$3/10000),INT(MOD($C$3,10000)/100),MOD($C$3,100))+(ROW()-ROW($C$3))/86400</s:f>
        <s:v>46247.41423611111</s:v>
      </s:c>
    </s:row>
    <s:row r="529">
      <s:c r="A529" s="0" t="n">
        <s:v>260813</s:v>
      </s:c>
      <s:c r="B529" s="0" t="inlineStr">
        <s:is>
          <s:t>이종훈</s:t>
        </s:is>
      </s:c>
      <s:c r="C529" s="0" t="n">
        <s:v>94745</s:v>
      </s:c>
      <s:c r="D529" s="0" t="n">
        <s:v>2048</s:v>
      </s:c>
      <s:c r="F529" s="24">
        <s:f>'자료구성'!$B$2+TIME(INT($C$3/10000),INT(MOD($C$3,10000)/100),MOD($C$3,100))+(ROW()-ROW($C$3))/86400</s:f>
        <s:v>46247.414247685185</s:v>
      </s:c>
    </s:row>
    <s:row r="530">
      <s:c r="A530" s="0" t="n">
        <s:v>260813</s:v>
      </s:c>
      <s:c r="B530" s="0" t="inlineStr">
        <s:is>
          <s:t>이종훈</s:t>
        </s:is>
      </s:c>
      <s:c r="C530" s="0" t="n">
        <s:v>94745</s:v>
      </s:c>
      <s:c r="D530" s="0" t="n">
        <s:v>2179</s:v>
      </s:c>
      <s:c r="F530" s="24">
        <s:f>'자료구성'!$B$2+TIME(INT($C$3/10000),INT(MOD($C$3,10000)/100),MOD($C$3,100))+(ROW()-ROW($C$3))/86400</s:f>
        <s:v>46247.41425925926</s:v>
      </s:c>
    </s:row>
    <s:row r="531">
      <s:c r="A531" s="0" t="n">
        <s:v>260813</s:v>
      </s:c>
      <s:c r="B531" s="0" t="inlineStr">
        <s:is>
          <s:t>이종훈</s:t>
        </s:is>
      </s:c>
      <s:c r="C531" s="0" t="n">
        <s:v>94745</s:v>
      </s:c>
      <s:c r="D531" s="0" t="n">
        <s:v>2313</s:v>
      </s:c>
      <s:c r="F531" s="24">
        <s:f>'자료구성'!$B$2+TIME(INT($C$3/10000),INT(MOD($C$3,10000)/100),MOD($C$3,100))+(ROW()-ROW($C$3))/86400</s:f>
        <s:v>46247.41427083333</s:v>
      </s:c>
    </s:row>
    <s:row r="532">
      <s:c r="A532" s="0" t="n">
        <s:v>260813</s:v>
      </s:c>
      <s:c r="B532" s="0" t="inlineStr">
        <s:is>
          <s:t>이종훈</s:t>
        </s:is>
      </s:c>
      <s:c r="C532" s="0" t="n">
        <s:v>94745</s:v>
      </s:c>
      <s:c r="D532" s="0" t="n">
        <s:v>2392</s:v>
      </s:c>
      <s:c r="F532" s="24">
        <s:f>'자료구성'!$B$2+TIME(INT($C$3/10000),INT(MOD($C$3,10000)/100),MOD($C$3,100))+(ROW()-ROW($C$3))/86400</s:f>
        <s:v>46247.41428240741</s:v>
      </s:c>
    </s:row>
    <s:row r="533">
      <s:c r="A533" s="0" t="n">
        <s:v>260813</s:v>
      </s:c>
      <s:c r="B533" s="0" t="inlineStr">
        <s:is>
          <s:t>이종훈</s:t>
        </s:is>
      </s:c>
      <s:c r="C533" s="0" t="n">
        <s:v>94745</s:v>
      </s:c>
      <s:c r="D533" s="0" t="n">
        <s:v>2422</s:v>
      </s:c>
      <s:c r="F533" s="24">
        <s:f>'자료구성'!$B$2+TIME(INT($C$3/10000),INT(MOD($C$3,10000)/100),MOD($C$3,100))+(ROW()-ROW($C$3))/86400</s:f>
        <s:v>46247.414293981485</s:v>
      </s:c>
    </s:row>
    <s:row r="534">
      <s:c r="A534" s="0" t="n">
        <s:v>260813</s:v>
      </s:c>
      <s:c r="B534" s="0" t="inlineStr">
        <s:is>
          <s:t>이종훈</s:t>
        </s:is>
      </s:c>
      <s:c r="C534" s="0" t="n">
        <s:v>94745</s:v>
      </s:c>
      <s:c r="D534" s="0" t="n">
        <s:v>2476</s:v>
      </s:c>
      <s:c r="F534" s="24">
        <s:f>'자료구성'!$B$2+TIME(INT($C$3/10000),INT(MOD($C$3,10000)/100),MOD($C$3,100))+(ROW()-ROW($C$3))/86400</s:f>
        <s:v>46247.414305555554</s:v>
      </s:c>
    </s:row>
    <s:row r="535">
      <s:c r="A535" s="0" t="n">
        <s:v>260813</s:v>
      </s:c>
      <s:c r="B535" s="0" t="inlineStr">
        <s:is>
          <s:t>이종훈</s:t>
        </s:is>
      </s:c>
      <s:c r="C535" s="0" t="n">
        <s:v>94745</s:v>
      </s:c>
      <s:c r="D535" s="0" t="n">
        <s:v>2503</s:v>
      </s:c>
      <s:c r="F535" s="24">
        <s:f>'자료구성'!$B$2+TIME(INT($C$3/10000),INT(MOD($C$3,10000)/100),MOD($C$3,100))+(ROW()-ROW($C$3))/86400</s:f>
        <s:v>46247.41431712963</s:v>
      </s:c>
    </s:row>
    <s:row r="536">
      <s:c r="A536" s="0" t="n">
        <s:v>260813</s:v>
      </s:c>
      <s:c r="B536" s="0" t="inlineStr">
        <s:is>
          <s:t>이종훈</s:t>
        </s:is>
      </s:c>
      <s:c r="C536" s="0" t="n">
        <s:v>94745</s:v>
      </s:c>
      <s:c r="D536" s="0" t="n">
        <s:v>2556</s:v>
      </s:c>
      <s:c r="F536" s="24">
        <s:f>'자료구성'!$B$2+TIME(INT($C$3/10000),INT(MOD($C$3,10000)/100),MOD($C$3,100))+(ROW()-ROW($C$3))/86400</s:f>
        <s:v>46247.4143287037</s:v>
      </s:c>
    </s:row>
    <s:row r="537">
      <s:c r="A537" s="0" t="n">
        <s:v>260813</s:v>
      </s:c>
      <s:c r="B537" s="0" t="inlineStr">
        <s:is>
          <s:t>이종훈</s:t>
        </s:is>
      </s:c>
      <s:c r="C537" s="0" t="n">
        <s:v>94745</s:v>
      </s:c>
      <s:c r="D537" s="0" t="n">
        <s:v>2624</s:v>
      </s:c>
      <s:c r="F537" s="24">
        <s:f>'자료구성'!$B$2+TIME(INT($C$3/10000),INT(MOD($C$3,10000)/100),MOD($C$3,100))+(ROW()-ROW($C$3))/86400</s:f>
        <s:v>46247.41434027778</s:v>
      </s:c>
    </s:row>
    <s:row r="538">
      <s:c r="A538" s="0" t="n">
        <s:v>260813</s:v>
      </s:c>
      <s:c r="B538" s="0" t="inlineStr">
        <s:is>
          <s:t>이종훈</s:t>
        </s:is>
      </s:c>
      <s:c r="C538" s="0" t="n">
        <s:v>94745</s:v>
      </s:c>
      <s:c r="D538" s="0" t="n">
        <s:v>2623</s:v>
      </s:c>
      <s:c r="F538" s="24">
        <s:f>'자료구성'!$B$2+TIME(INT($C$3/10000),INT(MOD($C$3,10000)/100),MOD($C$3,100))+(ROW()-ROW($C$3))/86400</s:f>
        <s:v>46247.414351851854</s:v>
      </s:c>
    </s:row>
    <s:row r="539">
      <s:c r="A539" s="0" t="n">
        <s:v>260813</s:v>
      </s:c>
      <s:c r="B539" s="0" t="inlineStr">
        <s:is>
          <s:t>이종훈</s:t>
        </s:is>
      </s:c>
      <s:c r="C539" s="0" t="n">
        <s:v>94745</s:v>
      </s:c>
      <s:c r="D539" s="0" t="n">
        <s:v>2599</s:v>
      </s:c>
      <s:c r="F539" s="24">
        <s:f>'자료구성'!$B$2+TIME(INT($C$3/10000),INT(MOD($C$3,10000)/100),MOD($C$3,100))+(ROW()-ROW($C$3))/86400</s:f>
        <s:v>46247.41436342592</s:v>
      </s:c>
    </s:row>
    <s:row r="540">
      <s:c r="A540" s="0" t="n">
        <s:v>260813</s:v>
      </s:c>
      <s:c r="B540" s="0" t="inlineStr">
        <s:is>
          <s:t>이종훈</s:t>
        </s:is>
      </s:c>
      <s:c r="C540" s="0" t="n">
        <s:v>94745</s:v>
      </s:c>
      <s:c r="D540" s="0" t="n">
        <s:v>2548</s:v>
      </s:c>
      <s:c r="F540" s="24">
        <s:f>'자료구성'!$B$2+TIME(INT($C$3/10000),INT(MOD($C$3,10000)/100),MOD($C$3,100))+(ROW()-ROW($C$3))/86400</s:f>
        <s:v>46247.414375</s:v>
      </s:c>
    </s:row>
    <s:row r="541">
      <s:c r="A541" s="0" t="n">
        <s:v>260813</s:v>
      </s:c>
      <s:c r="B541" s="0" t="inlineStr">
        <s:is>
          <s:t>이종훈</s:t>
        </s:is>
      </s:c>
      <s:c r="C541" s="0" t="n">
        <s:v>94745</s:v>
      </s:c>
      <s:c r="D541" s="0" t="n">
        <s:v>2479</s:v>
      </s:c>
      <s:c r="F541" s="24">
        <s:f>'자료구성'!$B$2+TIME(INT($C$3/10000),INT(MOD($C$3,10000)/100),MOD($C$3,100))+(ROW()-ROW($C$3))/86400</s:f>
        <s:v>46247.41438657408</s:v>
      </s:c>
    </s:row>
    <s:row r="542">
      <s:c r="A542" s="0" t="n">
        <s:v>260813</s:v>
      </s:c>
      <s:c r="B542" s="0" t="inlineStr">
        <s:is>
          <s:t>이종훈</s:t>
        </s:is>
      </s:c>
      <s:c r="C542" s="0" t="n">
        <s:v>94745</s:v>
      </s:c>
      <s:c r="D542" s="0" t="n">
        <s:v>2415</s:v>
      </s:c>
      <s:c r="F542" s="24">
        <s:f>'자료구성'!$B$2+TIME(INT($C$3/10000),INT(MOD($C$3,10000)/100),MOD($C$3,100))+(ROW()-ROW($C$3))/86400</s:f>
        <s:v>46247.41439814815</s:v>
      </s:c>
    </s:row>
    <s:row r="543">
      <s:c r="A543" s="0" t="n">
        <s:v>260813</s:v>
      </s:c>
      <s:c r="B543" s="0" t="inlineStr">
        <s:is>
          <s:t>이종훈</s:t>
        </s:is>
      </s:c>
      <s:c r="C543" s="0" t="n">
        <s:v>94745</s:v>
      </s:c>
      <s:c r="D543" s="0" t="n">
        <s:v>2358</s:v>
      </s:c>
      <s:c r="F543" s="24">
        <s:f>'자료구성'!$B$2+TIME(INT($C$3/10000),INT(MOD($C$3,10000)/100),MOD($C$3,100))+(ROW()-ROW($C$3))/86400</s:f>
        <s:v>46247.41440972222</s:v>
      </s:c>
    </s:row>
    <s:row r="544">
      <s:c r="A544" s="0" t="n">
        <s:v>260813</s:v>
      </s:c>
      <s:c r="B544" s="0" t="inlineStr">
        <s:is>
          <s:t>이종훈</s:t>
        </s:is>
      </s:c>
      <s:c r="C544" s="0" t="n">
        <s:v>94745</s:v>
      </s:c>
      <s:c r="D544" s="0" t="n">
        <s:v>2287</s:v>
      </s:c>
      <s:c r="F544" s="24">
        <s:f>'자료구성'!$B$2+TIME(INT($C$3/10000),INT(MOD($C$3,10000)/100),MOD($C$3,100))+(ROW()-ROW($C$3))/86400</s:f>
        <s:v>46247.41442129629</s:v>
      </s:c>
    </s:row>
    <s:row r="545">
      <s:c r="A545" s="0" t="n">
        <s:v>260813</s:v>
      </s:c>
      <s:c r="B545" s="0" t="inlineStr">
        <s:is>
          <s:t>이종훈</s:t>
        </s:is>
      </s:c>
      <s:c r="C545" s="0" t="n">
        <s:v>94745</s:v>
      </s:c>
      <s:c r="D545" s="0" t="n">
        <s:v>2198</s:v>
      </s:c>
      <s:c r="F545" s="24">
        <s:f>'자료구성'!$B$2+TIME(INT($C$3/10000),INT(MOD($C$3,10000)/100),MOD($C$3,100))+(ROW()-ROW($C$3))/86400</s:f>
        <s:v>46247.41443287037</s:v>
      </s:c>
    </s:row>
    <s:row r="546">
      <s:c r="A546" s="0" t="n">
        <s:v>260813</s:v>
      </s:c>
      <s:c r="B546" s="0" t="inlineStr">
        <s:is>
          <s:t>이종훈</s:t>
        </s:is>
      </s:c>
      <s:c r="C546" s="0" t="n">
        <s:v>94745</s:v>
      </s:c>
      <s:c r="D546" s="0" t="n">
        <s:v>2093</s:v>
      </s:c>
      <s:c r="F546" s="24">
        <s:f>'자료구성'!$B$2+TIME(INT($C$3/10000),INT(MOD($C$3,10000)/100),MOD($C$3,100))+(ROW()-ROW($C$3))/86400</s:f>
        <s:v>46247.41444444445</s:v>
      </s:c>
    </s:row>
    <s:row r="547">
      <s:c r="A547" s="0" t="n">
        <s:v>260813</s:v>
      </s:c>
      <s:c r="B547" s="0" t="inlineStr">
        <s:is>
          <s:t>이종훈</s:t>
        </s:is>
      </s:c>
      <s:c r="C547" s="0" t="n">
        <s:v>94745</s:v>
      </s:c>
      <s:c r="D547" s="0" t="n">
        <s:v>2006</s:v>
      </s:c>
      <s:c r="F547" s="24">
        <s:f>'자료구성'!$B$2+TIME(INT($C$3/10000),INT(MOD($C$3,10000)/100),MOD($C$3,100))+(ROW()-ROW($C$3))/86400</s:f>
        <s:v>46247.414456018516</s:v>
      </s:c>
    </s:row>
    <s:row r="548">
      <s:c r="A548" s="0" t="n">
        <s:v>260813</s:v>
      </s:c>
      <s:c r="B548" s="0" t="inlineStr">
        <s:is>
          <s:t>이종훈</s:t>
        </s:is>
      </s:c>
      <s:c r="C548" s="0" t="n">
        <s:v>94745</s:v>
      </s:c>
      <s:c r="D548" s="0" t="n">
        <s:v>1932</s:v>
      </s:c>
      <s:c r="F548" s="24">
        <s:f>'자료구성'!$B$2+TIME(INT($C$3/10000),INT(MOD($C$3,10000)/100),MOD($C$3,100))+(ROW()-ROW($C$3))/86400</s:f>
        <s:v>46247.41446759259</s:v>
      </s:c>
    </s:row>
    <s:row r="549">
      <s:c r="A549" s="0" t="n">
        <s:v>260813</s:v>
      </s:c>
      <s:c r="B549" s="0" t="inlineStr">
        <s:is>
          <s:t>이종훈</s:t>
        </s:is>
      </s:c>
      <s:c r="C549" s="0" t="n">
        <s:v>94745</s:v>
      </s:c>
      <s:c r="D549" s="0" t="n">
        <s:v>1867</s:v>
      </s:c>
      <s:c r="F549" s="24">
        <s:f>'자료구성'!$B$2+TIME(INT($C$3/10000),INT(MOD($C$3,10000)/100),MOD($C$3,100))+(ROW()-ROW($C$3))/86400</s:f>
        <s:v>46247.41447916667</s:v>
      </s:c>
    </s:row>
    <s:row r="550">
      <s:c r="A550" s="0" t="n">
        <s:v>260813</s:v>
      </s:c>
      <s:c r="B550" s="0" t="inlineStr">
        <s:is>
          <s:t>이종훈</s:t>
        </s:is>
      </s:c>
      <s:c r="C550" s="0" t="n">
        <s:v>94745</s:v>
      </s:c>
      <s:c r="D550" s="0" t="n">
        <s:v>1811</s:v>
      </s:c>
      <s:c r="F550" s="24">
        <s:f>'자료구성'!$B$2+TIME(INT($C$3/10000),INT(MOD($C$3,10000)/100),MOD($C$3,100))+(ROW()-ROW($C$3))/86400</s:f>
        <s:v>46247.41449074074</s:v>
      </s:c>
    </s:row>
    <s:row r="551">
      <s:c r="A551" s="0" t="n">
        <s:v>260813</s:v>
      </s:c>
      <s:c r="B551" s="0" t="inlineStr">
        <s:is>
          <s:t>이종훈</s:t>
        </s:is>
      </s:c>
      <s:c r="C551" s="0" t="n">
        <s:v>94745</s:v>
      </s:c>
      <s:c r="D551" s="0" t="n">
        <s:v>1743</s:v>
      </s:c>
      <s:c r="F551" s="24">
        <s:f>'자료구성'!$B$2+TIME(INT($C$3/10000),INT(MOD($C$3,10000)/100),MOD($C$3,100))+(ROW()-ROW($C$3))/86400</s:f>
        <s:v>46247.414502314816</s:v>
      </s:c>
    </s:row>
    <s:row r="552">
      <s:c r="A552" s="0" t="n">
        <s:v>260813</s:v>
      </s:c>
      <s:c r="B552" s="0" t="inlineStr">
        <s:is>
          <s:t>이종훈</s:t>
        </s:is>
      </s:c>
      <s:c r="C552" s="0" t="n">
        <s:v>94745</s:v>
      </s:c>
      <s:c r="D552" s="0" t="n">
        <s:v>1707</s:v>
      </s:c>
      <s:c r="F552" s="24">
        <s:f>'자료구성'!$B$2+TIME(INT($C$3/10000),INT(MOD($C$3,10000)/100),MOD($C$3,100))+(ROW()-ROW($C$3))/86400</s:f>
        <s:v>46247.414513888885</s:v>
      </s:c>
    </s:row>
    <s:row r="553">
      <s:c r="A553" s="0" t="n">
        <s:v>260813</s:v>
      </s:c>
      <s:c r="B553" s="0" t="inlineStr">
        <s:is>
          <s:t>이종훈</s:t>
        </s:is>
      </s:c>
      <s:c r="C553" s="0" t="n">
        <s:v>94745</s:v>
      </s:c>
      <s:c r="D553" s="0" t="n">
        <s:v>1678</s:v>
      </s:c>
      <s:c r="F553" s="24">
        <s:f>'자료구성'!$B$2+TIME(INT($C$3/10000),INT(MOD($C$3,10000)/100),MOD($C$3,100))+(ROW()-ROW($C$3))/86400</s:f>
        <s:v>46247.41452546296</s:v>
      </s:c>
    </s:row>
    <s:row r="554">
      <s:c r="A554" s="0" t="n">
        <s:v>260813</s:v>
      </s:c>
      <s:c r="B554" s="0" t="inlineStr">
        <s:is>
          <s:t>이종훈</s:t>
        </s:is>
      </s:c>
      <s:c r="C554" s="0" t="n">
        <s:v>94745</s:v>
      </s:c>
      <s:c r="D554" s="0" t="n">
        <s:v>1625</s:v>
      </s:c>
      <s:c r="F554" s="24">
        <s:f>'자료구성'!$B$2+TIME(INT($C$3/10000),INT(MOD($C$3,10000)/100),MOD($C$3,100))+(ROW()-ROW($C$3))/86400</s:f>
        <s:v>46247.41453703704</s:v>
      </s:c>
    </s:row>
    <s:row r="555">
      <s:c r="A555" s="0" t="n">
        <s:v>260813</s:v>
      </s:c>
      <s:c r="B555" s="0" t="inlineStr">
        <s:is>
          <s:t>이종훈</s:t>
        </s:is>
      </s:c>
      <s:c r="C555" s="0" t="n">
        <s:v>94745</s:v>
      </s:c>
      <s:c r="D555" s="0" t="n">
        <s:v>1610</s:v>
      </s:c>
      <s:c r="F555" s="24">
        <s:f>'자료구성'!$B$2+TIME(INT($C$3/10000),INT(MOD($C$3,10000)/100),MOD($C$3,100))+(ROW()-ROW($C$3))/86400</s:f>
        <s:v>46247.41454861111</s:v>
      </s:c>
    </s:row>
    <s:row r="556">
      <s:c r="A556" s="0" t="n">
        <s:v>260813</s:v>
      </s:c>
      <s:c r="B556" s="0" t="inlineStr">
        <s:is>
          <s:t>이종훈</s:t>
        </s:is>
      </s:c>
      <s:c r="C556" s="0" t="n">
        <s:v>94745</s:v>
      </s:c>
      <s:c r="D556" s="0" t="n">
        <s:v>1574</s:v>
      </s:c>
      <s:c r="F556" s="24">
        <s:f>'자료구성'!$B$2+TIME(INT($C$3/10000),INT(MOD($C$3,10000)/100),MOD($C$3,100))+(ROW()-ROW($C$3))/86400</s:f>
        <s:v>46247.414560185185</s:v>
      </s:c>
    </s:row>
    <s:row r="557">
      <s:c r="A557" s="0" t="n">
        <s:v>260813</s:v>
      </s:c>
      <s:c r="B557" s="0" t="inlineStr">
        <s:is>
          <s:t>이종훈</s:t>
        </s:is>
      </s:c>
      <s:c r="C557" s="0" t="n">
        <s:v>94745</s:v>
      </s:c>
      <s:c r="D557" s="0" t="n">
        <s:v>1559</s:v>
      </s:c>
      <s:c r="F557" s="24">
        <s:f>'자료구성'!$B$2+TIME(INT($C$3/10000),INT(MOD($C$3,10000)/100),MOD($C$3,100))+(ROW()-ROW($C$3))/86400</s:f>
        <s:v>46247.41457175926</s:v>
      </s:c>
    </s:row>
    <s:row r="558">
      <s:c r="A558" s="0" t="n">
        <s:v>260813</s:v>
      </s:c>
      <s:c r="B558" s="0" t="inlineStr">
        <s:is>
          <s:t>이종훈</s:t>
        </s:is>
      </s:c>
      <s:c r="C558" s="0" t="n">
        <s:v>94745</s:v>
      </s:c>
      <s:c r="D558" s="0" t="n">
        <s:v>1555</s:v>
      </s:c>
      <s:c r="F558" s="24">
        <s:f>'자료구성'!$B$2+TIME(INT($C$3/10000),INT(MOD($C$3,10000)/100),MOD($C$3,100))+(ROW()-ROW($C$3))/86400</s:f>
        <s:v>46247.41458333333</s:v>
      </s:c>
    </s:row>
    <s:row r="559">
      <s:c r="A559" s="0" t="n">
        <s:v>260813</s:v>
      </s:c>
      <s:c r="B559" s="0" t="inlineStr">
        <s:is>
          <s:t>이종훈</s:t>
        </s:is>
      </s:c>
      <s:c r="C559" s="0" t="n">
        <s:v>94745</s:v>
      </s:c>
      <s:c r="D559" s="0" t="n">
        <s:v>1565</s:v>
      </s:c>
      <s:c r="F559" s="24">
        <s:f>'자료구성'!$B$2+TIME(INT($C$3/10000),INT(MOD($C$3,10000)/100),MOD($C$3,100))+(ROW()-ROW($C$3))/86400</s:f>
        <s:v>46247.41459490741</s:v>
      </s:c>
    </s:row>
    <s:row r="560">
      <s:c r="A560" s="0" t="n">
        <s:v>260813</s:v>
      </s:c>
      <s:c r="B560" s="0" t="inlineStr">
        <s:is>
          <s:t>이종훈</s:t>
        </s:is>
      </s:c>
      <s:c r="C560" s="0" t="n">
        <s:v>94745</s:v>
      </s:c>
      <s:c r="D560" s="0" t="n">
        <s:v>1581</s:v>
      </s:c>
      <s:c r="F560" s="24">
        <s:f>'자료구성'!$B$2+TIME(INT($C$3/10000),INT(MOD($C$3,10000)/100),MOD($C$3,100))+(ROW()-ROW($C$3))/86400</s:f>
        <s:v>46247.414606481485</s:v>
      </s:c>
    </s:row>
    <s:row r="561">
      <s:c r="A561" s="0" t="n">
        <s:v>260813</s:v>
      </s:c>
      <s:c r="B561" s="0" t="inlineStr">
        <s:is>
          <s:t>이종훈</s:t>
        </s:is>
      </s:c>
      <s:c r="C561" s="0" t="n">
        <s:v>94745</s:v>
      </s:c>
      <s:c r="D561" s="0" t="n">
        <s:v>1584</s:v>
      </s:c>
      <s:c r="F561" s="24">
        <s:f>'자료구성'!$B$2+TIME(INT($C$3/10000),INT(MOD($C$3,10000)/100),MOD($C$3,100))+(ROW()-ROW($C$3))/86400</s:f>
        <s:v>46247.414618055554</s:v>
      </s:c>
    </s:row>
    <s:row r="562">
      <s:c r="A562" s="0" t="n">
        <s:v>260813</s:v>
      </s:c>
      <s:c r="B562" s="0" t="inlineStr">
        <s:is>
          <s:t>이종훈</s:t>
        </s:is>
      </s:c>
      <s:c r="C562" s="0" t="n">
        <s:v>94745</s:v>
      </s:c>
      <s:c r="D562" s="0" t="n">
        <s:v>1616</s:v>
      </s:c>
      <s:c r="F562" s="24">
        <s:f>'자료구성'!$B$2+TIME(INT($C$3/10000),INT(MOD($C$3,10000)/100),MOD($C$3,100))+(ROW()-ROW($C$3))/86400</s:f>
        <s:v>46247.41462962963</s:v>
      </s:c>
    </s:row>
    <s:row r="563">
      <s:c r="A563" s="0" t="n">
        <s:v>260813</s:v>
      </s:c>
      <s:c r="B563" s="0" t="inlineStr">
        <s:is>
          <s:t>이종훈</s:t>
        </s:is>
      </s:c>
      <s:c r="C563" s="0" t="n">
        <s:v>94745</s:v>
      </s:c>
      <s:c r="D563" s="0" t="n">
        <s:v>1641</s:v>
      </s:c>
      <s:c r="F563" s="24">
        <s:f>'자료구성'!$B$2+TIME(INT($C$3/10000),INT(MOD($C$3,10000)/100),MOD($C$3,100))+(ROW()-ROW($C$3))/86400</s:f>
        <s:v>46247.4146412037</s:v>
      </s:c>
    </s:row>
    <s:row r="564">
      <s:c r="A564" s="0" t="n">
        <s:v>260813</s:v>
      </s:c>
      <s:c r="B564" s="0" t="inlineStr">
        <s:is>
          <s:t>이종훈</s:t>
        </s:is>
      </s:c>
      <s:c r="C564" s="0" t="n">
        <s:v>94745</s:v>
      </s:c>
      <s:c r="D564" s="0" t="n">
        <s:v>1708</s:v>
      </s:c>
      <s:c r="F564" s="24">
        <s:f>'자료구성'!$B$2+TIME(INT($C$3/10000),INT(MOD($C$3,10000)/100),MOD($C$3,100))+(ROW()-ROW($C$3))/86400</s:f>
        <s:v>46247.41465277778</s:v>
      </s:c>
    </s:row>
    <s:row r="565">
      <s:c r="A565" s="0" t="n">
        <s:v>260813</s:v>
      </s:c>
      <s:c r="B565" s="0" t="inlineStr">
        <s:is>
          <s:t>이종훈</s:t>
        </s:is>
      </s:c>
      <s:c r="C565" s="0" t="n">
        <s:v>94745</s:v>
      </s:c>
      <s:c r="D565" s="0" t="n">
        <s:v>1803</s:v>
      </s:c>
      <s:c r="F565" s="24">
        <s:f>'자료구성'!$B$2+TIME(INT($C$3/10000),INT(MOD($C$3,10000)/100),MOD($C$3,100))+(ROW()-ROW($C$3))/86400</s:f>
        <s:v>46247.414664351854</s:v>
      </s:c>
    </s:row>
    <s:row r="566">
      <s:c r="A566" s="0" t="n">
        <s:v>260813</s:v>
      </s:c>
      <s:c r="B566" s="0" t="inlineStr">
        <s:is>
          <s:t>이종훈</s:t>
        </s:is>
      </s:c>
      <s:c r="C566" s="0" t="n">
        <s:v>94745</s:v>
      </s:c>
      <s:c r="D566" s="0" t="n">
        <s:v>1854</s:v>
      </s:c>
      <s:c r="F566" s="24">
        <s:f>'자료구성'!$B$2+TIME(INT($C$3/10000),INT(MOD($C$3,10000)/100),MOD($C$3,100))+(ROW()-ROW($C$3))/86400</s:f>
        <s:v>46247.414675925924</s:v>
      </s:c>
    </s:row>
    <s:row r="567">
      <s:c r="A567" s="0" t="n">
        <s:v>260813</s:v>
      </s:c>
      <s:c r="B567" s="0" t="inlineStr">
        <s:is>
          <s:t>이종훈</s:t>
        </s:is>
      </s:c>
      <s:c r="C567" s="0" t="n">
        <s:v>94745</s:v>
      </s:c>
      <s:c r="D567" s="0" t="n">
        <s:v>1964</s:v>
      </s:c>
      <s:c r="F567" s="24">
        <s:f>'자료구성'!$B$2+TIME(INT($C$3/10000),INT(MOD($C$3,10000)/100),MOD($C$3,100))+(ROW()-ROW($C$3))/86400</s:f>
        <s:v>46247.4146875</s:v>
      </s:c>
    </s:row>
    <s:row r="568">
      <s:c r="A568" s="0" t="n">
        <s:v>260813</s:v>
      </s:c>
      <s:c r="B568" s="0" t="inlineStr">
        <s:is>
          <s:t>이종훈</s:t>
        </s:is>
      </s:c>
      <s:c r="C568" s="0" t="n">
        <s:v>94745</s:v>
      </s:c>
      <s:c r="D568" s="0" t="n">
        <s:v>2319</s:v>
      </s:c>
      <s:c r="F568" s="24">
        <s:f>'자료구성'!$B$2+TIME(INT($C$3/10000),INT(MOD($C$3,10000)/100),MOD($C$3,100))+(ROW()-ROW($C$3))/86400</s:f>
        <s:v>46247.41469907408</s:v>
      </s:c>
    </s:row>
    <s:row r="569">
      <s:c r="A569" s="0" t="n">
        <s:v>260813</s:v>
      </s:c>
      <s:c r="B569" s="0" t="inlineStr">
        <s:is>
          <s:t>이종훈</s:t>
        </s:is>
      </s:c>
      <s:c r="C569" s="0" t="n">
        <s:v>94745</s:v>
      </s:c>
      <s:c r="D569" s="0" t="n">
        <s:v>2542</s:v>
      </s:c>
      <s:c r="F569" s="24">
        <s:f>'자료구성'!$B$2+TIME(INT($C$3/10000),INT(MOD($C$3,10000)/100),MOD($C$3,100))+(ROW()-ROW($C$3))/86400</s:f>
        <s:v>46247.41471064815</s:v>
      </s:c>
    </s:row>
    <s:row r="570">
      <s:c r="A570" s="0" t="n">
        <s:v>260813</s:v>
      </s:c>
      <s:c r="B570" s="0" t="inlineStr">
        <s:is>
          <s:t>이종훈</s:t>
        </s:is>
      </s:c>
      <s:c r="C570" s="0" t="n">
        <s:v>94745</s:v>
      </s:c>
      <s:c r="D570" s="0" t="n">
        <s:v>2807</s:v>
      </s:c>
      <s:c r="F570" s="24">
        <s:f>'자료구성'!$B$2+TIME(INT($C$3/10000),INT(MOD($C$3,10000)/100),MOD($C$3,100))+(ROW()-ROW($C$3))/86400</s:f>
        <s:v>46247.414722222224</s:v>
      </s:c>
    </s:row>
    <s:row r="571">
      <s:c r="A571" s="0" t="n">
        <s:v>260813</s:v>
      </s:c>
      <s:c r="B571" s="0" t="inlineStr">
        <s:is>
          <s:t>이종훈</s:t>
        </s:is>
      </s:c>
      <s:c r="C571" s="0" t="n">
        <s:v>94745</s:v>
      </s:c>
      <s:c r="D571" s="0" t="n">
        <s:v>3070</s:v>
      </s:c>
      <s:c r="F571" s="24">
        <s:f>'자료구성'!$B$2+TIME(INT($C$3/10000),INT(MOD($C$3,10000)/100),MOD($C$3,100))+(ROW()-ROW($C$3))/86400</s:f>
        <s:v>46247.41473379629</s:v>
      </s:c>
    </s:row>
    <s:row r="572">
      <s:c r="A572" s="0" t="n">
        <s:v>260813</s:v>
      </s:c>
      <s:c r="B572" s="0" t="inlineStr">
        <s:is>
          <s:t>이종훈</s:t>
        </s:is>
      </s:c>
      <s:c r="C572" s="0" t="n">
        <s:v>94745</s:v>
      </s:c>
      <s:c r="D572" s="0" t="n">
        <s:v>3217</s:v>
      </s:c>
      <s:c r="F572" s="24">
        <s:f>'자료구성'!$B$2+TIME(INT($C$3/10000),INT(MOD($C$3,10000)/100),MOD($C$3,100))+(ROW()-ROW($C$3))/86400</s:f>
        <s:v>46247.41474537037</s:v>
      </s:c>
    </s:row>
    <s:row r="573">
      <s:c r="A573" s="0" t="n">
        <s:v>260813</s:v>
      </s:c>
      <s:c r="B573" s="0" t="inlineStr">
        <s:is>
          <s:t>이종훈</s:t>
        </s:is>
      </s:c>
      <s:c r="C573" s="0" t="n">
        <s:v>94745</s:v>
      </s:c>
      <s:c r="D573" s="0" t="n">
        <s:v>3234</s:v>
      </s:c>
      <s:c r="F573" s="24">
        <s:f>'자료구성'!$B$2+TIME(INT($C$3/10000),INT(MOD($C$3,10000)/100),MOD($C$3,100))+(ROW()-ROW($C$3))/86400</s:f>
        <s:v>46247.41475694445</s:v>
      </s:c>
    </s:row>
    <s:row r="574">
      <s:c r="A574" s="0" t="n">
        <s:v>260813</s:v>
      </s:c>
      <s:c r="B574" s="0" t="inlineStr">
        <s:is>
          <s:t>이종훈</s:t>
        </s:is>
      </s:c>
      <s:c r="C574" s="0" t="n">
        <s:v>94745</s:v>
      </s:c>
      <s:c r="D574" s="0" t="n">
        <s:v>3078</s:v>
      </s:c>
      <s:c r="F574" s="24">
        <s:f>'자료구성'!$B$2+TIME(INT($C$3/10000),INT(MOD($C$3,10000)/100),MOD($C$3,100))+(ROW()-ROW($C$3))/86400</s:f>
        <s:v>46247.414768518516</s:v>
      </s:c>
    </s:row>
    <s:row r="575">
      <s:c r="A575" s="0" t="n">
        <s:v>260813</s:v>
      </s:c>
      <s:c r="B575" s="0" t="inlineStr">
        <s:is>
          <s:t>이종훈</s:t>
        </s:is>
      </s:c>
      <s:c r="C575" s="0" t="n">
        <s:v>94745</s:v>
      </s:c>
      <s:c r="D575" s="0" t="n">
        <s:v>2902</s:v>
      </s:c>
      <s:c r="F575" s="24">
        <s:f>'자료구성'!$B$2+TIME(INT($C$3/10000),INT(MOD($C$3,10000)/100),MOD($C$3,100))+(ROW()-ROW($C$3))/86400</s:f>
        <s:v>46247.41478009259</s:v>
      </s:c>
    </s:row>
    <s:row r="576">
      <s:c r="A576" s="0" t="n">
        <s:v>260813</s:v>
      </s:c>
      <s:c r="B576" s="0" t="inlineStr">
        <s:is>
          <s:t>이종훈</s:t>
        </s:is>
      </s:c>
      <s:c r="C576" s="0" t="n">
        <s:v>94745</s:v>
      </s:c>
      <s:c r="D576" s="0" t="n">
        <s:v>2723</s:v>
      </s:c>
      <s:c r="F576" s="24">
        <s:f>'자료구성'!$B$2+TIME(INT($C$3/10000),INT(MOD($C$3,10000)/100),MOD($C$3,100))+(ROW()-ROW($C$3))/86400</s:f>
        <s:v>46247.41479166667</s:v>
      </s:c>
    </s:row>
    <s:row r="577">
      <s:c r="A577" s="0" t="n">
        <s:v>260813</s:v>
      </s:c>
      <s:c r="B577" s="0" t="inlineStr">
        <s:is>
          <s:t>이종훈</s:t>
        </s:is>
      </s:c>
      <s:c r="C577" s="0" t="n">
        <s:v>94745</s:v>
      </s:c>
      <s:c r="D577" s="0" t="n">
        <s:v>2564</s:v>
      </s:c>
      <s:c r="F577" s="24">
        <s:f>'자료구성'!$B$2+TIME(INT($C$3/10000),INT(MOD($C$3,10000)/100),MOD($C$3,100))+(ROW()-ROW($C$3))/86400</s:f>
        <s:v>46247.41480324074</s:v>
      </s:c>
    </s:row>
    <s:row r="578">
      <s:c r="A578" s="0" t="n">
        <s:v>260813</s:v>
      </s:c>
      <s:c r="B578" s="0" t="inlineStr">
        <s:is>
          <s:t>이종훈</s:t>
        </s:is>
      </s:c>
      <s:c r="C578" s="0" t="n">
        <s:v>94745</s:v>
      </s:c>
      <s:c r="D578" s="0" t="n">
        <s:v>2530</s:v>
      </s:c>
      <s:c r="F578" s="24">
        <s:f>'자료구성'!$B$2+TIME(INT($C$3/10000),INT(MOD($C$3,10000)/100),MOD($C$3,100))+(ROW()-ROW($C$3))/86400</s:f>
        <s:v>46247.414814814816</s:v>
      </s:c>
    </s:row>
    <s:row r="579">
      <s:c r="A579" s="0" t="n">
        <s:v>260813</s:v>
      </s:c>
      <s:c r="B579" s="0" t="inlineStr">
        <s:is>
          <s:t>이종훈</s:t>
        </s:is>
      </s:c>
      <s:c r="C579" s="0" t="n">
        <s:v>94745</s:v>
      </s:c>
      <s:c r="D579" s="0" t="n">
        <s:v>2397</s:v>
      </s:c>
      <s:c r="F579" s="24">
        <s:f>'자료구성'!$B$2+TIME(INT($C$3/10000),INT(MOD($C$3,10000)/100),MOD($C$3,100))+(ROW()-ROW($C$3))/86400</s:f>
        <s:v>46247.414826388886</s:v>
      </s:c>
    </s:row>
    <s:row r="580">
      <s:c r="A580" s="0" t="n">
        <s:v>260813</s:v>
      </s:c>
      <s:c r="B580" s="0" t="inlineStr">
        <s:is>
          <s:t>이종훈</s:t>
        </s:is>
      </s:c>
      <s:c r="C580" s="0" t="n">
        <s:v>94745</s:v>
      </s:c>
      <s:c r="D580" s="0" t="n">
        <s:v>2308</s:v>
      </s:c>
      <s:c r="F580" s="24">
        <s:f>'자료구성'!$B$2+TIME(INT($C$3/10000),INT(MOD($C$3,10000)/100),MOD($C$3,100))+(ROW()-ROW($C$3))/86400</s:f>
        <s:v>46247.41483796296</s:v>
      </s:c>
    </s:row>
    <s:row r="581">
      <s:c r="A581" s="0" t="n">
        <s:v>260813</s:v>
      </s:c>
      <s:c r="B581" s="0" t="inlineStr">
        <s:is>
          <s:t>이종훈</s:t>
        </s:is>
      </s:c>
      <s:c r="C581" s="0" t="n">
        <s:v>94745</s:v>
      </s:c>
      <s:c r="D581" s="0" t="n">
        <s:v>2267</s:v>
      </s:c>
      <s:c r="F581" s="24">
        <s:f>'자료구성'!$B$2+TIME(INT($C$3/10000),INT(MOD($C$3,10000)/100),MOD($C$3,100))+(ROW()-ROW($C$3))/86400</s:f>
        <s:v>46247.41484953704</s:v>
      </s:c>
    </s:row>
    <s:row r="582">
      <s:c r="A582" s="0" t="n">
        <s:v>260813</s:v>
      </s:c>
      <s:c r="B582" s="0" t="inlineStr">
        <s:is>
          <s:t>이종훈</s:t>
        </s:is>
      </s:c>
      <s:c r="C582" s="0" t="n">
        <s:v>94745</s:v>
      </s:c>
      <s:c r="D582" s="0" t="n">
        <s:v>2231</s:v>
      </s:c>
      <s:c r="F582" s="24">
        <s:f>'자료구성'!$B$2+TIME(INT($C$3/10000),INT(MOD($C$3,10000)/100),MOD($C$3,100))+(ROW()-ROW($C$3))/86400</s:f>
        <s:v>46247.41486111111</s:v>
      </s:c>
    </s:row>
    <s:row r="583">
      <s:c r="A583" s="0" t="n">
        <s:v>260813</s:v>
      </s:c>
      <s:c r="B583" s="0" t="inlineStr">
        <s:is>
          <s:t>이종훈</s:t>
        </s:is>
      </s:c>
      <s:c r="C583" s="0" t="n">
        <s:v>94745</s:v>
      </s:c>
      <s:c r="D583" s="0" t="n">
        <s:v>2218</s:v>
      </s:c>
      <s:c r="F583" s="24">
        <s:f>'자료구성'!$B$2+TIME(INT($C$3/10000),INT(MOD($C$3,10000)/100),MOD($C$3,100))+(ROW()-ROW($C$3))/86400</s:f>
        <s:v>46247.414872685185</s:v>
      </s:c>
    </s:row>
    <s:row r="584">
      <s:c r="A584" s="0" t="n">
        <s:v>260813</s:v>
      </s:c>
      <s:c r="B584" s="0" t="inlineStr">
        <s:is>
          <s:t>이종훈</s:t>
        </s:is>
      </s:c>
      <s:c r="C584" s="0" t="n">
        <s:v>94745</s:v>
      </s:c>
      <s:c r="D584" s="0" t="n">
        <s:v>2206</s:v>
      </s:c>
      <s:c r="F584" s="24">
        <s:f>'자료구성'!$B$2+TIME(INT($C$3/10000),INT(MOD($C$3,10000)/100),MOD($C$3,100))+(ROW()-ROW($C$3))/86400</s:f>
        <s:v>46247.41488425926</s:v>
      </s:c>
    </s:row>
    <s:row r="585">
      <s:c r="A585" s="0" t="n">
        <s:v>260813</s:v>
      </s:c>
      <s:c r="B585" s="0" t="inlineStr">
        <s:is>
          <s:t>이종훈</s:t>
        </s:is>
      </s:c>
      <s:c r="C585" s="0" t="n">
        <s:v>94745</s:v>
      </s:c>
      <s:c r="D585" s="0" t="n">
        <s:v>2178</s:v>
      </s:c>
      <s:c r="F585" s="24">
        <s:f>'자료구성'!$B$2+TIME(INT($C$3/10000),INT(MOD($C$3,10000)/100),MOD($C$3,100))+(ROW()-ROW($C$3))/86400</s:f>
        <s:v>46247.41489583333</s:v>
      </s:c>
    </s:row>
    <s:row r="586">
      <s:c r="A586" s="0" t="n">
        <s:v>260813</s:v>
      </s:c>
      <s:c r="B586" s="0" t="inlineStr">
        <s:is>
          <s:t>이종훈</s:t>
        </s:is>
      </s:c>
      <s:c r="C586" s="0" t="n">
        <s:v>94745</s:v>
      </s:c>
      <s:c r="D586" s="0" t="n">
        <s:v>2160</s:v>
      </s:c>
      <s:c r="F586" s="24">
        <s:f>'자료구성'!$B$2+TIME(INT($C$3/10000),INT(MOD($C$3,10000)/100),MOD($C$3,100))+(ROW()-ROW($C$3))/86400</s:f>
        <s:v>46247.41490740741</s:v>
      </s:c>
    </s:row>
    <s:row r="587">
      <s:c r="A587" s="0" t="n">
        <s:v>260813</s:v>
      </s:c>
      <s:c r="B587" s="0" t="inlineStr">
        <s:is>
          <s:t>이종훈</s:t>
        </s:is>
      </s:c>
      <s:c r="C587" s="0" t="n">
        <s:v>94745</s:v>
      </s:c>
      <s:c r="D587" s="0" t="n">
        <s:v>2155</s:v>
      </s:c>
      <s:c r="F587" s="24">
        <s:f>'자료구성'!$B$2+TIME(INT($C$3/10000),INT(MOD($C$3,10000)/100),MOD($C$3,100))+(ROW()-ROW($C$3))/86400</s:f>
        <s:v>46247.41491898148</s:v>
      </s:c>
    </s:row>
    <s:row r="588">
      <s:c r="A588" s="0" t="n">
        <s:v>260813</s:v>
      </s:c>
      <s:c r="B588" s="0" t="inlineStr">
        <s:is>
          <s:t>이종훈</s:t>
        </s:is>
      </s:c>
      <s:c r="C588" s="0" t="n">
        <s:v>94745</s:v>
      </s:c>
      <s:c r="D588" s="0" t="n">
        <s:v>2267</s:v>
      </s:c>
      <s:c r="F588" s="24">
        <s:f>'자료구성'!$B$2+TIME(INT($C$3/10000),INT(MOD($C$3,10000)/100),MOD($C$3,100))+(ROW()-ROW($C$3))/86400</s:f>
        <s:v>46247.414930555555</s:v>
      </s:c>
    </s:row>
    <s:row r="589">
      <s:c r="A589" s="0" t="n">
        <s:v>260813</s:v>
      </s:c>
      <s:c r="B589" s="0" t="inlineStr">
        <s:is>
          <s:t>이종훈</s:t>
        </s:is>
      </s:c>
      <s:c r="C589" s="0" t="n">
        <s:v>94745</s:v>
      </s:c>
      <s:c r="D589" s="0" t="n">
        <s:v>2546</s:v>
      </s:c>
      <s:c r="F589" s="24">
        <s:f>'자료구성'!$B$2+TIME(INT($C$3/10000),INT(MOD($C$3,10000)/100),MOD($C$3,100))+(ROW()-ROW($C$3))/86400</s:f>
        <s:v>46247.41494212963</s:v>
      </s:c>
    </s:row>
    <s:row r="590">
      <s:c r="A590" s="0" t="n">
        <s:v>260813</s:v>
      </s:c>
      <s:c r="B590" s="0" t="inlineStr">
        <s:is>
          <s:t>이종훈</s:t>
        </s:is>
      </s:c>
      <s:c r="C590" s="0" t="n">
        <s:v>94745</s:v>
      </s:c>
      <s:c r="D590" s="0" t="n">
        <s:v>2700</s:v>
      </s:c>
      <s:c r="F590" s="24">
        <s:f>'자료구성'!$B$2+TIME(INT($C$3/10000),INT(MOD($C$3,10000)/100),MOD($C$3,100))+(ROW()-ROW($C$3))/86400</s:f>
        <s:v>46247.4149537037</s:v>
      </s:c>
    </s:row>
    <s:row r="591">
      <s:c r="A591" s="0" t="n">
        <s:v>260813</s:v>
      </s:c>
      <s:c r="B591" s="0" t="inlineStr">
        <s:is>
          <s:t>이종훈</s:t>
        </s:is>
      </s:c>
      <s:c r="C591" s="0" t="n">
        <s:v>94745</s:v>
      </s:c>
      <s:c r="D591" s="0" t="n">
        <s:v>2866</s:v>
      </s:c>
      <s:c r="F591" s="24">
        <s:f>'자료구성'!$B$2+TIME(INT($C$3/10000),INT(MOD($C$3,10000)/100),MOD($C$3,100))+(ROW()-ROW($C$3))/86400</s:f>
        <s:v>46247.41496527778</s:v>
      </s:c>
    </s:row>
    <s:row r="592">
      <s:c r="A592" s="0" t="n">
        <s:v>260813</s:v>
      </s:c>
      <s:c r="B592" s="0" t="inlineStr">
        <s:is>
          <s:t>이종훈</s:t>
        </s:is>
      </s:c>
      <s:c r="C592" s="0" t="n">
        <s:v>94745</s:v>
      </s:c>
      <s:c r="D592" s="0" t="n">
        <s:v>3027</s:v>
      </s:c>
      <s:c r="F592" s="24">
        <s:f>'자료구성'!$B$2+TIME(INT($C$3/10000),INT(MOD($C$3,10000)/100),MOD($C$3,100))+(ROW()-ROW($C$3))/86400</s:f>
        <s:v>46247.414976851855</s:v>
      </s:c>
    </s:row>
    <s:row r="593">
      <s:c r="A593" s="0" t="n">
        <s:v>260813</s:v>
      </s:c>
      <s:c r="B593" s="0" t="inlineStr">
        <s:is>
          <s:t>이종훈</s:t>
        </s:is>
      </s:c>
      <s:c r="C593" s="0" t="n">
        <s:v>94745</s:v>
      </s:c>
      <s:c r="D593" s="0" t="n">
        <s:v>3051</s:v>
      </s:c>
      <s:c r="F593" s="24">
        <s:f>'자료구성'!$B$2+TIME(INT($C$3/10000),INT(MOD($C$3,10000)/100),MOD($C$3,100))+(ROW()-ROW($C$3))/86400</s:f>
        <s:v>46247.414988425924</s:v>
      </s:c>
    </s:row>
    <s:row r="594">
      <s:c r="A594" s="0" t="n">
        <s:v>260813</s:v>
      </s:c>
      <s:c r="B594" s="0" t="inlineStr">
        <s:is>
          <s:t>이종훈</s:t>
        </s:is>
      </s:c>
      <s:c r="C594" s="0" t="n">
        <s:v>94745</s:v>
      </s:c>
      <s:c r="D594" s="0" t="n">
        <s:v>2985</s:v>
      </s:c>
      <s:c r="F594" s="24">
        <s:f>'자료구성'!$B$2+TIME(INT($C$3/10000),INT(MOD($C$3,10000)/100),MOD($C$3,100))+(ROW()-ROW($C$3))/86400</s:f>
        <s:v>46247.415</s:v>
      </s:c>
    </s:row>
    <s:row r="595">
      <s:c r="A595" s="0" t="n">
        <s:v>260813</s:v>
      </s:c>
      <s:c r="B595" s="0" t="inlineStr">
        <s:is>
          <s:t>이종훈</s:t>
        </s:is>
      </s:c>
      <s:c r="C595" s="0" t="n">
        <s:v>94745</s:v>
      </s:c>
      <s:c r="D595" s="0" t="n">
        <s:v>2989</s:v>
      </s:c>
      <s:c r="F595" s="24">
        <s:f>'자료구성'!$B$2+TIME(INT($C$3/10000),INT(MOD($C$3,10000)/100),MOD($C$3,100))+(ROW()-ROW($C$3))/86400</s:f>
        <s:v>46247.41501157408</s:v>
      </s:c>
    </s:row>
    <s:row r="596">
      <s:c r="A596" s="0" t="n">
        <s:v>260813</s:v>
      </s:c>
      <s:c r="B596" s="0" t="inlineStr">
        <s:is>
          <s:t>이종훈</s:t>
        </s:is>
      </s:c>
      <s:c r="C596" s="0" t="n">
        <s:v>94745</s:v>
      </s:c>
      <s:c r="D596" s="0" t="n">
        <s:v>2987</s:v>
      </s:c>
      <s:c r="F596" s="24">
        <s:f>'자료구성'!$B$2+TIME(INT($C$3/10000),INT(MOD($C$3,10000)/100),MOD($C$3,100))+(ROW()-ROW($C$3))/86400</s:f>
        <s:v>46247.41502314815</s:v>
      </s:c>
    </s:row>
    <s:row r="597">
      <s:c r="A597" s="0" t="n">
        <s:v>260813</s:v>
      </s:c>
      <s:c r="B597" s="0" t="inlineStr">
        <s:is>
          <s:t>이종훈</s:t>
        </s:is>
      </s:c>
      <s:c r="C597" s="0" t="n">
        <s:v>94745</s:v>
      </s:c>
      <s:c r="D597" s="0" t="n">
        <s:v>2949</s:v>
      </s:c>
      <s:c r="F597" s="24">
        <s:f>'자료구성'!$B$2+TIME(INT($C$3/10000),INT(MOD($C$3,10000)/100),MOD($C$3,100))+(ROW()-ROW($C$3))/86400</s:f>
        <s:v>46247.415034722224</s:v>
      </s:c>
    </s:row>
    <s:row r="598">
      <s:c r="A598" s="0" t="n">
        <s:v>260813</s:v>
      </s:c>
      <s:c r="B598" s="0" t="inlineStr">
        <s:is>
          <s:t>이종훈</s:t>
        </s:is>
      </s:c>
      <s:c r="C598" s="0" t="n">
        <s:v>94745</s:v>
      </s:c>
      <s:c r="D598" s="0" t="n">
        <s:v>2946</s:v>
      </s:c>
      <s:c r="F598" s="24">
        <s:f>'자료구성'!$B$2+TIME(INT($C$3/10000),INT(MOD($C$3,10000)/100),MOD($C$3,100))+(ROW()-ROW($C$3))/86400</s:f>
        <s:v>46247.41504629629</s:v>
      </s:c>
    </s:row>
    <s:row r="599">
      <s:c r="A599" s="0" t="n">
        <s:v>260813</s:v>
      </s:c>
      <s:c r="B599" s="0" t="inlineStr">
        <s:is>
          <s:t>이종훈</s:t>
        </s:is>
      </s:c>
      <s:c r="C599" s="0" t="n">
        <s:v>94745</s:v>
      </s:c>
      <s:c r="D599" s="0" t="n">
        <s:v>2903</s:v>
      </s:c>
      <s:c r="F599" s="24">
        <s:f>'자료구성'!$B$2+TIME(INT($C$3/10000),INT(MOD($C$3,10000)/100),MOD($C$3,100))+(ROW()-ROW($C$3))/86400</s:f>
        <s:v>46247.41505787037</s:v>
      </s:c>
    </s:row>
    <s:row r="600">
      <s:c r="A600" s="0" t="n">
        <s:v>260813</s:v>
      </s:c>
      <s:c r="B600" s="0" t="inlineStr">
        <s:is>
          <s:t>이종훈</s:t>
        </s:is>
      </s:c>
      <s:c r="C600" s="0" t="n">
        <s:v>94745</s:v>
      </s:c>
      <s:c r="D600" s="0" t="n">
        <s:v>2863</s:v>
      </s:c>
      <s:c r="F600" s="24">
        <s:f>'자료구성'!$B$2+TIME(INT($C$3/10000),INT(MOD($C$3,10000)/100),MOD($C$3,100))+(ROW()-ROW($C$3))/86400</s:f>
        <s:v>46247.41506944445</s:v>
      </s:c>
    </s:row>
    <s:row r="601">
      <s:c r="A601" s="0" t="n">
        <s:v>260813</s:v>
      </s:c>
      <s:c r="B601" s="0" t="inlineStr">
        <s:is>
          <s:t>이종훈</s:t>
        </s:is>
      </s:c>
      <s:c r="C601" s="0" t="n">
        <s:v>94745</s:v>
      </s:c>
      <s:c r="D601" s="0" t="n">
        <s:v>2769</s:v>
      </s:c>
      <s:c r="F601" s="24">
        <s:f>'자료구성'!$B$2+TIME(INT($C$3/10000),INT(MOD($C$3,10000)/100),MOD($C$3,100))+(ROW()-ROW($C$3))/86400</s:f>
        <s:v>46247.41508101852</s:v>
      </s:c>
    </s:row>
    <s:row r="602">
      <s:c r="A602" s="0" t="n">
        <s:v>260813</s:v>
      </s:c>
      <s:c r="B602" s="0" t="inlineStr">
        <s:is>
          <s:t>이종훈</s:t>
        </s:is>
      </s:c>
      <s:c r="C602" s="0" t="n">
        <s:v>94745</s:v>
      </s:c>
      <s:c r="D602" s="0" t="n">
        <s:v>2688</s:v>
      </s:c>
      <s:c r="F602" s="24">
        <s:f>'자료구성'!$B$2+TIME(INT($C$3/10000),INT(MOD($C$3,10000)/100),MOD($C$3,100))+(ROW()-ROW($C$3))/86400</s:f>
        <s:v>46247.41509259259</s:v>
      </s:c>
    </s:row>
    <s:row r="603">
      <s:c r="A603" s="0" t="n">
        <s:v>260813</s:v>
      </s:c>
      <s:c r="B603" s="0" t="inlineStr">
        <s:is>
          <s:t>이종훈</s:t>
        </s:is>
      </s:c>
      <s:c r="C603" s="0" t="n">
        <s:v>94745</s:v>
      </s:c>
      <s:c r="D603" s="0" t="n">
        <s:v>2626</s:v>
      </s:c>
      <s:c r="F603" s="24">
        <s:f>'자료구성'!$B$2+TIME(INT($C$3/10000),INT(MOD($C$3,10000)/100),MOD($C$3,100))+(ROW()-ROW($C$3))/86400</s:f>
        <s:v>46247.41510416667</s:v>
      </s:c>
    </s:row>
    <s:row r="604">
      <s:c r="A604" s="0" t="n">
        <s:v>260813</s:v>
      </s:c>
      <s:c r="B604" s="0" t="inlineStr">
        <s:is>
          <s:t>이종훈</s:t>
        </s:is>
      </s:c>
      <s:c r="C604" s="0" t="n">
        <s:v>94745</s:v>
      </s:c>
      <s:c r="D604" s="0" t="n">
        <s:v>2573</s:v>
      </s:c>
      <s:c r="F604" s="24">
        <s:f>'자료구성'!$B$2+TIME(INT($C$3/10000),INT(MOD($C$3,10000)/100),MOD($C$3,100))+(ROW()-ROW($C$3))/86400</s:f>
        <s:v>46247.41511574074</s:v>
      </s:c>
    </s:row>
    <s:row r="605">
      <s:c r="A605" s="0" t="n">
        <s:v>260813</s:v>
      </s:c>
      <s:c r="B605" s="0" t="inlineStr">
        <s:is>
          <s:t>이종훈</s:t>
        </s:is>
      </s:c>
      <s:c r="C605" s="0" t="n">
        <s:v>94745</s:v>
      </s:c>
      <s:c r="D605" s="0" t="n">
        <s:v>2538</s:v>
      </s:c>
      <s:c r="F605" s="24">
        <s:f>'자료구성'!$B$2+TIME(INT($C$3/10000),INT(MOD($C$3,10000)/100),MOD($C$3,100))+(ROW()-ROW($C$3))/86400</s:f>
        <s:v>46247.415127314816</s:v>
      </s:c>
    </s:row>
    <s:row r="606">
      <s:c r="A606" s="0" t="n">
        <s:v>260813</s:v>
      </s:c>
      <s:c r="B606" s="0" t="inlineStr">
        <s:is>
          <s:t>이종훈</s:t>
        </s:is>
      </s:c>
      <s:c r="C606" s="0" t="n">
        <s:v>94745</s:v>
      </s:c>
      <s:c r="D606" s="0" t="n">
        <s:v>2538</s:v>
      </s:c>
      <s:c r="F606" s="24">
        <s:f>'자료구성'!$B$2+TIME(INT($C$3/10000),INT(MOD($C$3,10000)/100),MOD($C$3,100))+(ROW()-ROW($C$3))/86400</s:f>
        <s:v>46247.415138888886</s:v>
      </s:c>
    </s:row>
    <s:row r="607">
      <s:c r="A607" s="0" t="n">
        <s:v>260813</s:v>
      </s:c>
      <s:c r="B607" s="0" t="inlineStr">
        <s:is>
          <s:t>이종훈</s:t>
        </s:is>
      </s:c>
      <s:c r="C607" s="0" t="n">
        <s:v>94745</s:v>
      </s:c>
      <s:c r="D607" s="0" t="n">
        <s:v>2524</s:v>
      </s:c>
      <s:c r="F607" s="24">
        <s:f>'자료구성'!$B$2+TIME(INT($C$3/10000),INT(MOD($C$3,10000)/100),MOD($C$3,100))+(ROW()-ROW($C$3))/86400</s:f>
        <s:v>46247.41515046296</s:v>
      </s:c>
    </s:row>
    <s:row r="608">
      <s:c r="A608" s="0" t="n">
        <s:v>260813</s:v>
      </s:c>
      <s:c r="B608" s="0" t="inlineStr">
        <s:is>
          <s:t>이종훈</s:t>
        </s:is>
      </s:c>
      <s:c r="C608" s="0" t="n">
        <s:v>94745</s:v>
      </s:c>
      <s:c r="D608" s="0" t="n">
        <s:v>2492</s:v>
      </s:c>
      <s:c r="F608" s="24">
        <s:f>'자료구성'!$B$2+TIME(INT($C$3/10000),INT(MOD($C$3,10000)/100),MOD($C$3,100))+(ROW()-ROW($C$3))/86400</s:f>
        <s:v>46247.41516203704</s:v>
      </s:c>
    </s:row>
    <s:row r="609">
      <s:c r="A609" s="0" t="n">
        <s:v>260813</s:v>
      </s:c>
      <s:c r="B609" s="0" t="inlineStr">
        <s:is>
          <s:t>이종훈</s:t>
        </s:is>
      </s:c>
      <s:c r="C609" s="0" t="n">
        <s:v>94745</s:v>
      </s:c>
      <s:c r="D609" s="0" t="n">
        <s:v>2450</s:v>
      </s:c>
      <s:c r="F609" s="24">
        <s:f>'자료구성'!$B$2+TIME(INT($C$3/10000),INT(MOD($C$3,10000)/100),MOD($C$3,100))+(ROW()-ROW($C$3))/86400</s:f>
        <s:v>46247.41517361111</s:v>
      </s:c>
    </s:row>
    <s:row r="610">
      <s:c r="A610" s="0" t="n">
        <s:v>260813</s:v>
      </s:c>
      <s:c r="B610" s="0" t="inlineStr">
        <s:is>
          <s:t>이종훈</s:t>
        </s:is>
      </s:c>
      <s:c r="C610" s="0" t="n">
        <s:v>94745</s:v>
      </s:c>
      <s:c r="D610" s="0" t="n">
        <s:v>2436</s:v>
      </s:c>
      <s:c r="F610" s="24">
        <s:f>'자료구성'!$B$2+TIME(INT($C$3/10000),INT(MOD($C$3,10000)/100),MOD($C$3,100))+(ROW()-ROW($C$3))/86400</s:f>
        <s:v>46247.415185185186</s:v>
      </s:c>
    </s:row>
    <s:row r="611">
      <s:c r="A611" s="0" t="n">
        <s:v>260813</s:v>
      </s:c>
      <s:c r="B611" s="0" t="inlineStr">
        <s:is>
          <s:t>이종훈</s:t>
        </s:is>
      </s:c>
      <s:c r="C611" s="0" t="n">
        <s:v>94745</s:v>
      </s:c>
      <s:c r="D611" s="0" t="n">
        <s:v>2424</s:v>
      </s:c>
      <s:c r="F611" s="24">
        <s:f>'자료구성'!$B$2+TIME(INT($C$3/10000),INT(MOD($C$3,10000)/100),MOD($C$3,100))+(ROW()-ROW($C$3))/86400</s:f>
        <s:v>46247.41519675926</s:v>
      </s:c>
    </s:row>
    <s:row r="612">
      <s:c r="A612" s="0" t="n">
        <s:v>260813</s:v>
      </s:c>
      <s:c r="B612" s="0" t="inlineStr">
        <s:is>
          <s:t>이종훈</s:t>
        </s:is>
      </s:c>
      <s:c r="C612" s="0" t="n">
        <s:v>94745</s:v>
      </s:c>
      <s:c r="D612" s="0" t="n">
        <s:v>2395</s:v>
      </s:c>
      <s:c r="F612" s="24">
        <s:f>'자료구성'!$B$2+TIME(INT($C$3/10000),INT(MOD($C$3,10000)/100),MOD($C$3,100))+(ROW()-ROW($C$3))/86400</s:f>
        <s:v>46247.41520833333</s:v>
      </s:c>
    </s:row>
    <s:row r="613">
      <s:c r="A613" s="0" t="n">
        <s:v>260813</s:v>
      </s:c>
      <s:c r="B613" s="0" t="inlineStr">
        <s:is>
          <s:t>이종훈</s:t>
        </s:is>
      </s:c>
      <s:c r="C613" s="0" t="n">
        <s:v>94745</s:v>
      </s:c>
      <s:c r="D613" s="0" t="n">
        <s:v>2414</s:v>
      </s:c>
      <s:c r="F613" s="24">
        <s:f>'자료구성'!$B$2+TIME(INT($C$3/10000),INT(MOD($C$3,10000)/100),MOD($C$3,100))+(ROW()-ROW($C$3))/86400</s:f>
        <s:v>46247.41521990741</s:v>
      </s:c>
    </s:row>
    <s:row r="614">
      <s:c r="A614" s="0" t="n">
        <s:v>260813</s:v>
      </s:c>
      <s:c r="B614" s="0" t="inlineStr">
        <s:is>
          <s:t>이종훈</s:t>
        </s:is>
      </s:c>
      <s:c r="C614" s="0" t="n">
        <s:v>94745</s:v>
      </s:c>
      <s:c r="D614" s="0" t="n">
        <s:v>2413</s:v>
      </s:c>
      <s:c r="F614" s="24">
        <s:f>'자료구성'!$B$2+TIME(INT($C$3/10000),INT(MOD($C$3,10000)/100),MOD($C$3,100))+(ROW()-ROW($C$3))/86400</s:f>
        <s:v>46247.41523148148</s:v>
      </s:c>
    </s:row>
    <s:row r="615">
      <s:c r="A615" s="0" t="n">
        <s:v>260813</s:v>
      </s:c>
      <s:c r="B615" s="0" t="inlineStr">
        <s:is>
          <s:t>이종훈</s:t>
        </s:is>
      </s:c>
      <s:c r="C615" s="0" t="n">
        <s:v>94745</s:v>
      </s:c>
      <s:c r="D615" s="0" t="n">
        <s:v>2504</s:v>
      </s:c>
      <s:c r="F615" s="24">
        <s:f>'자료구성'!$B$2+TIME(INT($C$3/10000),INT(MOD($C$3,10000)/100),MOD($C$3,100))+(ROW()-ROW($C$3))/86400</s:f>
        <s:v>46247.415243055555</s:v>
      </s:c>
    </s:row>
    <s:row r="616">
      <s:c r="A616" s="0" t="n">
        <s:v>260813</s:v>
      </s:c>
      <s:c r="B616" s="0" t="inlineStr">
        <s:is>
          <s:t>이종훈</s:t>
        </s:is>
      </s:c>
      <s:c r="C616" s="0" t="n">
        <s:v>94745</s:v>
      </s:c>
      <s:c r="D616" s="0" t="n">
        <s:v>2645</s:v>
      </s:c>
      <s:c r="F616" s="24">
        <s:f>'자료구성'!$B$2+TIME(INT($C$3/10000),INT(MOD($C$3,10000)/100),MOD($C$3,100))+(ROW()-ROW($C$3))/86400</s:f>
        <s:v>46247.41525462963</s:v>
      </s:c>
    </s:row>
    <s:row r="617">
      <s:c r="A617" s="0" t="n">
        <s:v>260813</s:v>
      </s:c>
      <s:c r="B617" s="0" t="inlineStr">
        <s:is>
          <s:t>이종훈</s:t>
        </s:is>
      </s:c>
      <s:c r="C617" s="0" t="n">
        <s:v>94745</s:v>
      </s:c>
      <s:c r="D617" s="0" t="n">
        <s:v>2800</s:v>
      </s:c>
      <s:c r="F617" s="24">
        <s:f>'자료구성'!$B$2+TIME(INT($C$3/10000),INT(MOD($C$3,10000)/100),MOD($C$3,100))+(ROW()-ROW($C$3))/86400</s:f>
        <s:v>46247.4152662037</s:v>
      </s:c>
    </s:row>
    <s:row r="618">
      <s:c r="A618" s="0" t="n">
        <s:v>260813</s:v>
      </s:c>
      <s:c r="B618" s="0" t="inlineStr">
        <s:is>
          <s:t>이종훈</s:t>
        </s:is>
      </s:c>
      <s:c r="C618" s="0" t="n">
        <s:v>94745</s:v>
      </s:c>
      <s:c r="D618" s="0" t="n">
        <s:v>2840</s:v>
      </s:c>
      <s:c r="F618" s="24">
        <s:f>'자료구성'!$B$2+TIME(INT($C$3/10000),INT(MOD($C$3,10000)/100),MOD($C$3,100))+(ROW()-ROW($C$3))/86400</s:f>
        <s:v>46247.41527777778</s:v>
      </s:c>
    </s:row>
    <s:row r="619">
      <s:c r="A619" s="0" t="n">
        <s:v>260813</s:v>
      </s:c>
      <s:c r="B619" s="0" t="inlineStr">
        <s:is>
          <s:t>이종훈</s:t>
        </s:is>
      </s:c>
      <s:c r="C619" s="0" t="n">
        <s:v>94745</s:v>
      </s:c>
      <s:c r="D619" s="0" t="n">
        <s:v>2656</s:v>
      </s:c>
      <s:c r="F619" s="24">
        <s:f>'자료구성'!$B$2+TIME(INT($C$3/10000),INT(MOD($C$3,10000)/100),MOD($C$3,100))+(ROW()-ROW($C$3))/86400</s:f>
        <s:v>46247.415289351855</s:v>
      </s:c>
    </s:row>
    <s:row r="620">
      <s:c r="A620" s="0" t="n">
        <s:v>260813</s:v>
      </s:c>
      <s:c r="B620" s="0" t="inlineStr">
        <s:is>
          <s:t>이종훈</s:t>
        </s:is>
      </s:c>
      <s:c r="C620" s="0" t="n">
        <s:v>94745</s:v>
      </s:c>
      <s:c r="D620" s="0" t="n">
        <s:v>2593</s:v>
      </s:c>
      <s:c r="F620" s="24">
        <s:f>'자료구성'!$B$2+TIME(INT($C$3/10000),INT(MOD($C$3,10000)/100),MOD($C$3,100))+(ROW()-ROW($C$3))/86400</s:f>
        <s:v>46247.415300925924</s:v>
      </s:c>
    </s:row>
    <s:row r="621">
      <s:c r="A621" s="0" t="n">
        <s:v>260813</s:v>
      </s:c>
      <s:c r="B621" s="0" t="inlineStr">
        <s:is>
          <s:t>이종훈</s:t>
        </s:is>
      </s:c>
      <s:c r="C621" s="0" t="n">
        <s:v>94745</s:v>
      </s:c>
      <s:c r="D621" s="0" t="n">
        <s:v>2503</s:v>
      </s:c>
      <s:c r="F621" s="24">
        <s:f>'자료구성'!$B$2+TIME(INT($C$3/10000),INT(MOD($C$3,10000)/100),MOD($C$3,100))+(ROW()-ROW($C$3))/86400</s:f>
        <s:v>46247.4153125</s:v>
      </s:c>
    </s:row>
    <s:row r="622">
      <s:c r="A622" s="0" t="n">
        <s:v>260813</s:v>
      </s:c>
      <s:c r="B622" s="0" t="inlineStr">
        <s:is>
          <s:t>이종훈</s:t>
        </s:is>
      </s:c>
      <s:c r="C622" s="0" t="n">
        <s:v>94745</s:v>
      </s:c>
      <s:c r="D622" s="0" t="n">
        <s:v>2440</s:v>
      </s:c>
      <s:c r="F622" s="24">
        <s:f>'자료구성'!$B$2+TIME(INT($C$3/10000),INT(MOD($C$3,10000)/100),MOD($C$3,100))+(ROW()-ROW($C$3))/86400</s:f>
        <s:v>46247.41532407407</s:v>
      </s:c>
    </s:row>
    <s:row r="623">
      <s:c r="A623" s="0" t="n">
        <s:v>260813</s:v>
      </s:c>
      <s:c r="B623" s="0" t="inlineStr">
        <s:is>
          <s:t>이종훈</s:t>
        </s:is>
      </s:c>
      <s:c r="C623" s="0" t="n">
        <s:v>94745</s:v>
      </s:c>
      <s:c r="D623" s="0" t="n">
        <s:v>2407</s:v>
      </s:c>
      <s:c r="F623" s="24">
        <s:f>'자료구성'!$B$2+TIME(INT($C$3/10000),INT(MOD($C$3,10000)/100),MOD($C$3,100))+(ROW()-ROW($C$3))/86400</s:f>
        <s:v>46247.41533564815</s:v>
      </s:c>
    </s:row>
    <s:row r="624">
      <s:c r="A624" s="0" t="n">
        <s:v>260813</s:v>
      </s:c>
      <s:c r="B624" s="0" t="inlineStr">
        <s:is>
          <s:t>이종훈</s:t>
        </s:is>
      </s:c>
      <s:c r="C624" s="0" t="n">
        <s:v>94745</s:v>
      </s:c>
      <s:c r="D624" s="0" t="n">
        <s:v>2386</s:v>
      </s:c>
      <s:c r="F624" s="24">
        <s:f>'자료구성'!$B$2+TIME(INT($C$3/10000),INT(MOD($C$3,10000)/100),MOD($C$3,100))+(ROW()-ROW($C$3))/86400</s:f>
        <s:v>46247.415347222224</s:v>
      </s:c>
    </s:row>
    <s:row r="625">
      <s:c r="A625" s="0" t="n">
        <s:v>260813</s:v>
      </s:c>
      <s:c r="B625" s="0" t="inlineStr">
        <s:is>
          <s:t>이종훈</s:t>
        </s:is>
      </s:c>
      <s:c r="C625" s="0" t="n">
        <s:v>94745</s:v>
      </s:c>
      <s:c r="D625" s="0" t="n">
        <s:v>2397</s:v>
      </s:c>
      <s:c r="F625" s="24">
        <s:f>'자료구성'!$B$2+TIME(INT($C$3/10000),INT(MOD($C$3,10000)/100),MOD($C$3,100))+(ROW()-ROW($C$3))/86400</s:f>
        <s:v>46247.415358796294</s:v>
      </s:c>
    </s:row>
    <s:row r="626">
      <s:c r="A626" s="0" t="n">
        <s:v>260813</s:v>
      </s:c>
      <s:c r="B626" s="0" t="inlineStr">
        <s:is>
          <s:t>이종훈</s:t>
        </s:is>
      </s:c>
      <s:c r="C626" s="0" t="n">
        <s:v>94745</s:v>
      </s:c>
      <s:c r="D626" s="0" t="n">
        <s:v>2455</s:v>
      </s:c>
      <s:c r="F626" s="24">
        <s:f>'자료구성'!$B$2+TIME(INT($C$3/10000),INT(MOD($C$3,10000)/100),MOD($C$3,100))+(ROW()-ROW($C$3))/86400</s:f>
        <s:v>46247.41537037037</s:v>
      </s:c>
    </s:row>
    <s:row r="627">
      <s:c r="A627" s="0" t="n">
        <s:v>260813</s:v>
      </s:c>
      <s:c r="B627" s="0" t="inlineStr">
        <s:is>
          <s:t>이종훈</s:t>
        </s:is>
      </s:c>
      <s:c r="C627" s="0" t="n">
        <s:v>94745</s:v>
      </s:c>
      <s:c r="D627" s="0" t="n">
        <s:v>2408</s:v>
      </s:c>
      <s:c r="F627" s="24">
        <s:f>'자료구성'!$B$2+TIME(INT($C$3/10000),INT(MOD($C$3,10000)/100),MOD($C$3,100))+(ROW()-ROW($C$3))/86400</s:f>
        <s:v>46247.41538194445</s:v>
      </s:c>
    </s:row>
    <s:row r="628">
      <s:c r="A628" s="0" t="n">
        <s:v>260813</s:v>
      </s:c>
      <s:c r="B628" s="0" t="inlineStr">
        <s:is>
          <s:t>이종훈</s:t>
        </s:is>
      </s:c>
      <s:c r="C628" s="0" t="n">
        <s:v>94745</s:v>
      </s:c>
      <s:c r="D628" s="0" t="n">
        <s:v>2356</s:v>
      </s:c>
      <s:c r="F628" s="24">
        <s:f>'자료구성'!$B$2+TIME(INT($C$3/10000),INT(MOD($C$3,10000)/100),MOD($C$3,100))+(ROW()-ROW($C$3))/86400</s:f>
        <s:v>46247.41539351852</s:v>
      </s:c>
    </s:row>
    <s:row r="629">
      <s:c r="A629" s="0" t="n">
        <s:v>260813</s:v>
      </s:c>
      <s:c r="B629" s="0" t="inlineStr">
        <s:is>
          <s:t>이종훈</s:t>
        </s:is>
      </s:c>
      <s:c r="C629" s="0" t="n">
        <s:v>94745</s:v>
      </s:c>
      <s:c r="D629" s="0" t="n">
        <s:v>2353</s:v>
      </s:c>
      <s:c r="F629" s="24">
        <s:f>'자료구성'!$B$2+TIME(INT($C$3/10000),INT(MOD($C$3,10000)/100),MOD($C$3,100))+(ROW()-ROW($C$3))/86400</s:f>
        <s:v>46247.41540509259</s:v>
      </s:c>
    </s:row>
    <s:row r="630">
      <s:c r="A630" s="0" t="n">
        <s:v>260813</s:v>
      </s:c>
      <s:c r="B630" s="0" t="inlineStr">
        <s:is>
          <s:t>이종훈</s:t>
        </s:is>
      </s:c>
      <s:c r="C630" s="0" t="n">
        <s:v>94745</s:v>
      </s:c>
      <s:c r="D630" s="0" t="n">
        <s:v>2476</s:v>
      </s:c>
      <s:c r="F630" s="24">
        <s:f>'자료구성'!$B$2+TIME(INT($C$3/10000),INT(MOD($C$3,10000)/100),MOD($C$3,100))+(ROW()-ROW($C$3))/86400</s:f>
        <s:v>46247.41541666666</s:v>
      </s:c>
    </s:row>
    <s:row r="631">
      <s:c r="A631" s="0" t="n">
        <s:v>260813</s:v>
      </s:c>
      <s:c r="B631" s="0" t="inlineStr">
        <s:is>
          <s:t>이종훈</s:t>
        </s:is>
      </s:c>
      <s:c r="C631" s="0" t="n">
        <s:v>94745</s:v>
      </s:c>
      <s:c r="D631" s="0" t="n">
        <s:v>2595</s:v>
      </s:c>
      <s:c r="F631" s="24">
        <s:f>'자료구성'!$B$2+TIME(INT($C$3/10000),INT(MOD($C$3,10000)/100),MOD($C$3,100))+(ROW()-ROW($C$3))/86400</s:f>
        <s:v>46247.41542824074</s:v>
      </s:c>
    </s:row>
    <s:row r="632">
      <s:c r="A632" s="0" t="n">
        <s:v>260813</s:v>
      </s:c>
      <s:c r="B632" s="0" t="inlineStr">
        <s:is>
          <s:t>이종훈</s:t>
        </s:is>
      </s:c>
      <s:c r="C632" s="0" t="n">
        <s:v>94745</s:v>
      </s:c>
      <s:c r="D632" s="0" t="n">
        <s:v>2584</s:v>
      </s:c>
      <s:c r="F632" s="24">
        <s:f>'자료구성'!$B$2+TIME(INT($C$3/10000),INT(MOD($C$3,10000)/100),MOD($C$3,100))+(ROW()-ROW($C$3))/86400</s:f>
        <s:v>46247.41543981482</s:v>
      </s:c>
    </s:row>
    <s:row r="633">
      <s:c r="A633" s="0" t="n">
        <s:v>260813</s:v>
      </s:c>
      <s:c r="B633" s="0" t="inlineStr">
        <s:is>
          <s:t>이종훈</s:t>
        </s:is>
      </s:c>
      <s:c r="C633" s="0" t="n">
        <s:v>94745</s:v>
      </s:c>
      <s:c r="D633" s="0" t="n">
        <s:v>2575</s:v>
      </s:c>
      <s:c r="F633" s="24">
        <s:f>'자료구성'!$B$2+TIME(INT($C$3/10000),INT(MOD($C$3,10000)/100),MOD($C$3,100))+(ROW()-ROW($C$3))/86400</s:f>
        <s:v>46247.415451388886</s:v>
      </s:c>
    </s:row>
    <s:row r="634">
      <s:c r="A634" s="0" t="n">
        <s:v>260813</s:v>
      </s:c>
      <s:c r="B634" s="0" t="inlineStr">
        <s:is>
          <s:t>이종훈</s:t>
        </s:is>
      </s:c>
      <s:c r="C634" s="0" t="n">
        <s:v>94745</s:v>
      </s:c>
      <s:c r="D634" s="0" t="n">
        <s:v>2523</s:v>
      </s:c>
      <s:c r="F634" s="24">
        <s:f>'자료구성'!$B$2+TIME(INT($C$3/10000),INT(MOD($C$3,10000)/100),MOD($C$3,100))+(ROW()-ROW($C$3))/86400</s:f>
        <s:v>46247.41546296296</s:v>
      </s:c>
    </s:row>
    <s:row r="635">
      <s:c r="A635" s="0" t="n">
        <s:v>260813</s:v>
      </s:c>
      <s:c r="B635" s="0" t="inlineStr">
        <s:is>
          <s:t>이종훈</s:t>
        </s:is>
      </s:c>
      <s:c r="C635" s="0" t="n">
        <s:v>94745</s:v>
      </s:c>
      <s:c r="D635" s="0" t="n">
        <s:v>2493</s:v>
      </s:c>
      <s:c r="F635" s="24">
        <s:f>'자료구성'!$B$2+TIME(INT($C$3/10000),INT(MOD($C$3,10000)/100),MOD($C$3,100))+(ROW()-ROW($C$3))/86400</s:f>
        <s:v>46247.41547453704</s:v>
      </s:c>
    </s:row>
    <s:row r="636">
      <s:c r="A636" s="0" t="n">
        <s:v>260813</s:v>
      </s:c>
      <s:c r="B636" s="0" t="inlineStr">
        <s:is>
          <s:t>이종훈</s:t>
        </s:is>
      </s:c>
      <s:c r="C636" s="0" t="n">
        <s:v>94745</s:v>
      </s:c>
      <s:c r="D636" s="0" t="n">
        <s:v>2482</s:v>
      </s:c>
      <s:c r="F636" s="24">
        <s:f>'자료구성'!$B$2+TIME(INT($C$3/10000),INT(MOD($C$3,10000)/100),MOD($C$3,100))+(ROW()-ROW($C$3))/86400</s:f>
        <s:v>46247.41548611111</s:v>
      </s:c>
    </s:row>
    <s:row r="637">
      <s:c r="A637" s="0" t="n">
        <s:v>260813</s:v>
      </s:c>
      <s:c r="B637" s="0" t="inlineStr">
        <s:is>
          <s:t>이종훈</s:t>
        </s:is>
      </s:c>
      <s:c r="C637" s="0" t="n">
        <s:v>94745</s:v>
      </s:c>
      <s:c r="D637" s="0" t="n">
        <s:v>2444</s:v>
      </s:c>
      <s:c r="F637" s="24">
        <s:f>'자료구성'!$B$2+TIME(INT($C$3/10000),INT(MOD($C$3,10000)/100),MOD($C$3,100))+(ROW()-ROW($C$3))/86400</s:f>
        <s:v>46247.415497685186</s:v>
      </s:c>
    </s:row>
    <s:row r="638">
      <s:c r="A638" s="0" t="n">
        <s:v>260813</s:v>
      </s:c>
      <s:c r="B638" s="0" t="inlineStr">
        <s:is>
          <s:t>이종훈</s:t>
        </s:is>
      </s:c>
      <s:c r="C638" s="0" t="n">
        <s:v>94745</s:v>
      </s:c>
      <s:c r="D638" s="0" t="n">
        <s:v>2378</s:v>
      </s:c>
      <s:c r="F638" s="24">
        <s:f>'자료구성'!$B$2+TIME(INT($C$3/10000),INT(MOD($C$3,10000)/100),MOD($C$3,100))+(ROW()-ROW($C$3))/86400</s:f>
        <s:v>46247.41550925926</s:v>
      </s:c>
    </s:row>
    <s:row r="639">
      <s:c r="A639" s="0" t="n">
        <s:v>260813</s:v>
      </s:c>
      <s:c r="B639" s="0" t="inlineStr">
        <s:is>
          <s:t>이종훈</s:t>
        </s:is>
      </s:c>
      <s:c r="C639" s="0" t="n">
        <s:v>94745</s:v>
      </s:c>
      <s:c r="D639" s="0" t="n">
        <s:v>2361</s:v>
      </s:c>
      <s:c r="F639" s="24">
        <s:f>'자료구성'!$B$2+TIME(INT($C$3/10000),INT(MOD($C$3,10000)/100),MOD($C$3,100))+(ROW()-ROW($C$3))/86400</s:f>
        <s:v>46247.41552083333</s:v>
      </s:c>
    </s:row>
    <s:row r="640">
      <s:c r="A640" s="0" t="n">
        <s:v>260813</s:v>
      </s:c>
      <s:c r="B640" s="0" t="inlineStr">
        <s:is>
          <s:t>이종훈</s:t>
        </s:is>
      </s:c>
      <s:c r="C640" s="0" t="n">
        <s:v>94745</s:v>
      </s:c>
      <s:c r="D640" s="0" t="inlineStr">
        <s:is>
          <s:t>****</s:t>
        </s:is>
      </s:c>
      <s:c r="F640" s="24">
        <s:f>'자료구성'!$B$2+TIME(INT($C$3/10000),INT(MOD($C$3,10000)/100),MOD($C$3,100))+(ROW()-ROW($C$3))/86400</s:f>
        <s:v>46247.41553240741</s:v>
      </s:c>
    </s:row>
    <s:row r="641">
      <s:c r="A641" s="0" t="n">
        <s:v>260813</s:v>
      </s:c>
      <s:c r="B641" s="0" t="inlineStr">
        <s:is>
          <s:t>이종훈</s:t>
        </s:is>
      </s:c>
      <s:c r="C641" s="0" t="n">
        <s:v>94745</s:v>
      </s:c>
      <s:c r="D641" s="0" t="n">
        <s:v>2392</s:v>
      </s:c>
      <s:c r="F641" s="24">
        <s:f>'자료구성'!$B$2+TIME(INT($C$3/10000),INT(MOD($C$3,10000)/100),MOD($C$3,100))+(ROW()-ROW($C$3))/86400</s:f>
        <s:v>46247.41554398148</s:v>
      </s:c>
    </s:row>
    <s:row r="642">
      <s:c r="A642" s="0" t="n">
        <s:v>260813</s:v>
      </s:c>
      <s:c r="B642" s="0" t="inlineStr">
        <s:is>
          <s:t>이종훈</s:t>
        </s:is>
      </s:c>
      <s:c r="C642" s="0" t="n">
        <s:v>94745</s:v>
      </s:c>
      <s:c r="D642" s="0" t="n">
        <s:v>2387</s:v>
      </s:c>
      <s:c r="F642" s="24">
        <s:f>'자료구성'!$B$2+TIME(INT($C$3/10000),INT(MOD($C$3,10000)/100),MOD($C$3,100))+(ROW()-ROW($C$3))/86400</s:f>
        <s:v>46247.415555555555</s:v>
      </s:c>
    </s:row>
    <s:row r="643">
      <s:c r="A643" s="0" t="n">
        <s:v>260813</s:v>
      </s:c>
      <s:c r="B643" s="0" t="inlineStr">
        <s:is>
          <s:t>이종훈</s:t>
        </s:is>
      </s:c>
      <s:c r="C643" s="0" t="n">
        <s:v>94745</s:v>
      </s:c>
      <s:c r="D643" s="0" t="n">
        <s:v>2378</s:v>
      </s:c>
      <s:c r="F643" s="24">
        <s:f>'자료구성'!$B$2+TIME(INT($C$3/10000),INT(MOD($C$3,10000)/100),MOD($C$3,100))+(ROW()-ROW($C$3))/86400</s:f>
        <s:v>46247.41556712963</s:v>
      </s:c>
    </s:row>
    <s:row r="644">
      <s:c r="A644" s="0" t="n">
        <s:v>260813</s:v>
      </s:c>
      <s:c r="B644" s="0" t="inlineStr">
        <s:is>
          <s:t>이종훈</s:t>
        </s:is>
      </s:c>
      <s:c r="C644" s="0" t="n">
        <s:v>94745</s:v>
      </s:c>
      <s:c r="D644" s="0" t="n">
        <s:v>2385</s:v>
      </s:c>
      <s:c r="F644" s="24">
        <s:f>'자료구성'!$B$2+TIME(INT($C$3/10000),INT(MOD($C$3,10000)/100),MOD($C$3,100))+(ROW()-ROW($C$3))/86400</s:f>
        <s:v>46247.4155787037</s:v>
      </s:c>
    </s:row>
    <s:row r="645">
      <s:c r="A645" s="0" t="n">
        <s:v>260813</s:v>
      </s:c>
      <s:c r="B645" s="0" t="inlineStr">
        <s:is>
          <s:t>이종훈</s:t>
        </s:is>
      </s:c>
      <s:c r="C645" s="0" t="n">
        <s:v>94745</s:v>
      </s:c>
      <s:c r="D645" s="0" t="n">
        <s:v>2381</s:v>
      </s:c>
      <s:c r="F645" s="24">
        <s:f>'자료구성'!$B$2+TIME(INT($C$3/10000),INT(MOD($C$3,10000)/100),MOD($C$3,100))+(ROW()-ROW($C$3))/86400</s:f>
        <s:v>46247.41559027778</s:v>
      </s:c>
    </s:row>
    <s:row r="646">
      <s:c r="A646" s="0" t="n">
        <s:v>260813</s:v>
      </s:c>
      <s:c r="B646" s="0" t="inlineStr">
        <s:is>
          <s:t>이종훈</s:t>
        </s:is>
      </s:c>
      <s:c r="C646" s="0" t="n">
        <s:v>94745</s:v>
      </s:c>
      <s:c r="D646" s="0" t="n">
        <s:v>2369</s:v>
      </s:c>
      <s:c r="F646" s="24">
        <s:f>'자료구성'!$B$2+TIME(INT($C$3/10000),INT(MOD($C$3,10000)/100),MOD($C$3,100))+(ROW()-ROW($C$3))/86400</s:f>
        <s:v>46247.415601851855</s:v>
      </s:c>
    </s:row>
    <s:row r="647">
      <s:c r="A647" s="0" t="n">
        <s:v>260813</s:v>
      </s:c>
      <s:c r="B647" s="0" t="inlineStr">
        <s:is>
          <s:t>이종훈</s:t>
        </s:is>
      </s:c>
      <s:c r="C647" s="0" t="n">
        <s:v>94745</s:v>
      </s:c>
      <s:c r="D647" s="0" t="n">
        <s:v>2365</s:v>
      </s:c>
      <s:c r="F647" s="24">
        <s:f>'자료구성'!$B$2+TIME(INT($C$3/10000),INT(MOD($C$3,10000)/100),MOD($C$3,100))+(ROW()-ROW($C$3))/86400</s:f>
        <s:v>46247.415613425925</s:v>
      </s:c>
    </s:row>
    <s:row r="648">
      <s:c r="A648" s="0" t="n">
        <s:v>260813</s:v>
      </s:c>
      <s:c r="B648" s="0" t="inlineStr">
        <s:is>
          <s:t>이종훈</s:t>
        </s:is>
      </s:c>
      <s:c r="C648" s="0" t="n">
        <s:v>94745</s:v>
      </s:c>
      <s:c r="D648" s="0" t="n">
        <s:v>2362</s:v>
      </s:c>
      <s:c r="F648" s="24">
        <s:f>'자료구성'!$B$2+TIME(INT($C$3/10000),INT(MOD($C$3,10000)/100),MOD($C$3,100))+(ROW()-ROW($C$3))/86400</s:f>
        <s:v>46247.415625</s:v>
      </s:c>
    </s:row>
    <s:row r="649">
      <s:c r="A649" s="0" t="n">
        <s:v>260813</s:v>
      </s:c>
      <s:c r="B649" s="0" t="inlineStr">
        <s:is>
          <s:t>이종훈</s:t>
        </s:is>
      </s:c>
      <s:c r="C649" s="0" t="n">
        <s:v>94745</s:v>
      </s:c>
      <s:c r="D649" s="0" t="n">
        <s:v>2438</s:v>
      </s:c>
      <s:c r="F649" s="24">
        <s:f>'자료구성'!$B$2+TIME(INT($C$3/10000),INT(MOD($C$3,10000)/100),MOD($C$3,100))+(ROW()-ROW($C$3))/86400</s:f>
        <s:v>46247.41563657407</s:v>
      </s:c>
    </s:row>
    <s:row r="650">
      <s:c r="A650" s="0" t="n">
        <s:v>260813</s:v>
      </s:c>
      <s:c r="B650" s="0" t="inlineStr">
        <s:is>
          <s:t>이종훈</s:t>
        </s:is>
      </s:c>
      <s:c r="C650" s="0" t="n">
        <s:v>94745</s:v>
      </s:c>
      <s:c r="D650" s="0" t="n">
        <s:v>2574</s:v>
      </s:c>
      <s:c r="F650" s="24">
        <s:f>'자료구성'!$B$2+TIME(INT($C$3/10000),INT(MOD($C$3,10000)/100),MOD($C$3,100))+(ROW()-ROW($C$3))/86400</s:f>
        <s:v>46247.41564814815</s:v>
      </s:c>
    </s:row>
    <s:row r="651">
      <s:c r="A651" s="0" t="n">
        <s:v>260813</s:v>
      </s:c>
      <s:c r="B651" s="0" t="inlineStr">
        <s:is>
          <s:t>이종훈</s:t>
        </s:is>
      </s:c>
      <s:c r="C651" s="0" t="n">
        <s:v>94745</s:v>
      </s:c>
      <s:c r="D651" s="0" t="n">
        <s:v>2578</s:v>
      </s:c>
      <s:c r="F651" s="24">
        <s:f>'자료구성'!$B$2+TIME(INT($C$3/10000),INT(MOD($C$3,10000)/100),MOD($C$3,100))+(ROW()-ROW($C$3))/86400</s:f>
        <s:v>46247.415659722225</s:v>
      </s:c>
    </s:row>
    <s:row r="652">
      <s:c r="A652" s="0" t="n">
        <s:v>260813</s:v>
      </s:c>
      <s:c r="B652" s="0" t="inlineStr">
        <s:is>
          <s:t>이종훈</s:t>
        </s:is>
      </s:c>
      <s:c r="C652" s="0" t="n">
        <s:v>94745</s:v>
      </s:c>
      <s:c r="D652" s="0" t="n">
        <s:v>2565</s:v>
      </s:c>
      <s:c r="F652" s="24">
        <s:f>'자료구성'!$B$2+TIME(INT($C$3/10000),INT(MOD($C$3,10000)/100),MOD($C$3,100))+(ROW()-ROW($C$3))/86400</s:f>
        <s:v>46247.415671296294</s:v>
      </s:c>
    </s:row>
    <s:row r="653">
      <s:c r="A653" s="0" t="n">
        <s:v>260813</s:v>
      </s:c>
      <s:c r="B653" s="0" t="inlineStr">
        <s:is>
          <s:t>이종훈</s:t>
        </s:is>
      </s:c>
      <s:c r="C653" s="0" t="n">
        <s:v>94745</s:v>
      </s:c>
      <s:c r="D653" s="0" t="n">
        <s:v>2582</s:v>
      </s:c>
      <s:c r="F653" s="24">
        <s:f>'자료구성'!$B$2+TIME(INT($C$3/10000),INT(MOD($C$3,10000)/100),MOD($C$3,100))+(ROW()-ROW($C$3))/86400</s:f>
        <s:v>46247.41568287037</s:v>
      </s:c>
    </s:row>
    <s:row r="654">
      <s:c r="A654" s="0" t="n">
        <s:v>260813</s:v>
      </s:c>
      <s:c r="B654" s="0" t="inlineStr">
        <s:is>
          <s:t>이종훈</s:t>
        </s:is>
      </s:c>
      <s:c r="C654" s="0" t="n">
        <s:v>94745</s:v>
      </s:c>
      <s:c r="D654" s="0" t="n">
        <s:v>2538</s:v>
      </s:c>
      <s:c r="F654" s="24">
        <s:f>'자료구성'!$B$2+TIME(INT($C$3/10000),INT(MOD($C$3,10000)/100),MOD($C$3,100))+(ROW()-ROW($C$3))/86400</s:f>
        <s:v>46247.41569444445</s:v>
      </s:c>
    </s:row>
    <s:row r="655">
      <s:c r="A655" s="0" t="n">
        <s:v>260813</s:v>
      </s:c>
      <s:c r="B655" s="0" t="inlineStr">
        <s:is>
          <s:t>이종훈</s:t>
        </s:is>
      </s:c>
      <s:c r="C655" s="0" t="n">
        <s:v>94745</s:v>
      </s:c>
      <s:c r="D655" s="0" t="n">
        <s:v>2488</s:v>
      </s:c>
      <s:c r="F655" s="24">
        <s:f>'자료구성'!$B$2+TIME(INT($C$3/10000),INT(MOD($C$3,10000)/100),MOD($C$3,100))+(ROW()-ROW($C$3))/86400</s:f>
        <s:v>46247.41570601852</s:v>
      </s:c>
    </s:row>
    <s:row r="656">
      <s:c r="A656" s="0" t="n">
        <s:v>260813</s:v>
      </s:c>
      <s:c r="B656" s="0" t="inlineStr">
        <s:is>
          <s:t>이종훈</s:t>
        </s:is>
      </s:c>
      <s:c r="C656" s="0" t="n">
        <s:v>94745</s:v>
      </s:c>
      <s:c r="D656" s="0" t="n">
        <s:v>2429</s:v>
      </s:c>
      <s:c r="F656" s="24">
        <s:f>'자료구성'!$B$2+TIME(INT($C$3/10000),INT(MOD($C$3,10000)/100),MOD($C$3,100))+(ROW()-ROW($C$3))/86400</s:f>
        <s:v>46247.415717592594</s:v>
      </s:c>
    </s:row>
    <s:row r="657">
      <s:c r="A657" s="0" t="n">
        <s:v>260813</s:v>
      </s:c>
      <s:c r="B657" s="0" t="inlineStr">
        <s:is>
          <s:t>이종훈</s:t>
        </s:is>
      </s:c>
      <s:c r="C657" s="0" t="n">
        <s:v>94745</s:v>
      </s:c>
      <s:c r="D657" s="0" t="n">
        <s:v>2435</s:v>
      </s:c>
      <s:c r="F657" s="24">
        <s:f>'자료구성'!$B$2+TIME(INT($C$3/10000),INT(MOD($C$3,10000)/100),MOD($C$3,100))+(ROW()-ROW($C$3))/86400</s:f>
        <s:v>46247.41572916666</s:v>
      </s:c>
    </s:row>
    <s:row r="658">
      <s:c r="A658" s="0" t="n">
        <s:v>260813</s:v>
      </s:c>
      <s:c r="B658" s="0" t="inlineStr">
        <s:is>
          <s:t>이종훈</s:t>
        </s:is>
      </s:c>
      <s:c r="C658" s="0" t="n">
        <s:v>94745</s:v>
      </s:c>
      <s:c r="D658" s="0" t="n">
        <s:v>2445</s:v>
      </s:c>
      <s:c r="F658" s="24">
        <s:f>'자료구성'!$B$2+TIME(INT($C$3/10000),INT(MOD($C$3,10000)/100),MOD($C$3,100))+(ROW()-ROW($C$3))/86400</s:f>
        <s:v>46247.41574074074</s:v>
      </s:c>
    </s:row>
    <s:row r="659">
      <s:c r="A659" s="0" t="n">
        <s:v>260813</s:v>
      </s:c>
      <s:c r="B659" s="0" t="inlineStr">
        <s:is>
          <s:t>이종훈</s:t>
        </s:is>
      </s:c>
      <s:c r="C659" s="0" t="n">
        <s:v>94745</s:v>
      </s:c>
      <s:c r="D659" s="0" t="n">
        <s:v>2433</s:v>
      </s:c>
      <s:c r="F659" s="24">
        <s:f>'자료구성'!$B$2+TIME(INT($C$3/10000),INT(MOD($C$3,10000)/100),MOD($C$3,100))+(ROW()-ROW($C$3))/86400</s:f>
        <s:v>46247.41575231482</s:v>
      </s:c>
    </s:row>
    <s:row r="660">
      <s:c r="A660" s="0" t="n">
        <s:v>260813</s:v>
      </s:c>
      <s:c r="B660" s="0" t="inlineStr">
        <s:is>
          <s:t>이종훈</s:t>
        </s:is>
      </s:c>
      <s:c r="C660" s="0" t="n">
        <s:v>94745</s:v>
      </s:c>
      <s:c r="D660" s="0" t="n">
        <s:v>2429</s:v>
      </s:c>
      <s:c r="F660" s="24">
        <s:f>'자료구성'!$B$2+TIME(INT($C$3/10000),INT(MOD($C$3,10000)/100),MOD($C$3,100))+(ROW()-ROW($C$3))/86400</s:f>
        <s:v>46247.41576388889</s:v>
      </s:c>
    </s:row>
    <s:row r="661">
      <s:c r="A661" s="0" t="n">
        <s:v>260813</s:v>
      </s:c>
      <s:c r="B661" s="0" t="inlineStr">
        <s:is>
          <s:t>이종훈</s:t>
        </s:is>
      </s:c>
      <s:c r="C661" s="0" t="n">
        <s:v>94745</s:v>
      </s:c>
      <s:c r="D661" s="0" t="n">
        <s:v>2426</s:v>
      </s:c>
      <s:c r="F661" s="24">
        <s:f>'자료구성'!$B$2+TIME(INT($C$3/10000),INT(MOD($C$3,10000)/100),MOD($C$3,100))+(ROW()-ROW($C$3))/86400</s:f>
        <s:v>46247.41577546296</s:v>
      </s:c>
    </s:row>
    <s:row r="662">
      <s:c r="A662" s="0" t="n">
        <s:v>260813</s:v>
      </s:c>
      <s:c r="B662" s="0" t="inlineStr">
        <s:is>
          <s:t>이종훈</s:t>
        </s:is>
      </s:c>
      <s:c r="C662" s="0" t="n">
        <s:v>94745</s:v>
      </s:c>
      <s:c r="D662" s="0" t="n">
        <s:v>2383</s:v>
      </s:c>
      <s:c r="F662" s="24">
        <s:f>'자료구성'!$B$2+TIME(INT($C$3/10000),INT(MOD($C$3,10000)/100),MOD($C$3,100))+(ROW()-ROW($C$3))/86400</s:f>
        <s:v>46247.41578703704</s:v>
      </s:c>
    </s:row>
    <s:row r="663">
      <s:c r="A663" s="0" t="n">
        <s:v>260813</s:v>
      </s:c>
      <s:c r="B663" s="0" t="inlineStr">
        <s:is>
          <s:t>이종훈</s:t>
        </s:is>
      </s:c>
      <s:c r="C663" s="0" t="n">
        <s:v>94745</s:v>
      </s:c>
      <s:c r="D663" s="0" t="n">
        <s:v>2348</s:v>
      </s:c>
      <s:c r="F663" s="24">
        <s:f>'자료구성'!$B$2+TIME(INT($C$3/10000),INT(MOD($C$3,10000)/100),MOD($C$3,100))+(ROW()-ROW($C$3))/86400</s:f>
        <s:v>46247.41579861111</s:v>
      </s:c>
    </s:row>
    <s:row r="664">
      <s:c r="A664" s="0" t="n">
        <s:v>260813</s:v>
      </s:c>
      <s:c r="B664" s="0" t="inlineStr">
        <s:is>
          <s:t>이종훈</s:t>
        </s:is>
      </s:c>
      <s:c r="C664" s="0" t="n">
        <s:v>94745</s:v>
      </s:c>
      <s:c r="D664" s="0" t="n">
        <s:v>2311</s:v>
      </s:c>
      <s:c r="F664" s="24">
        <s:f>'자료구성'!$B$2+TIME(INT($C$3/10000),INT(MOD($C$3,10000)/100),MOD($C$3,100))+(ROW()-ROW($C$3))/86400</s:f>
        <s:v>46247.415810185186</s:v>
      </s:c>
    </s:row>
    <s:row r="665">
      <s:c r="A665" s="0" t="n">
        <s:v>260813</s:v>
      </s:c>
      <s:c r="B665" s="0" t="inlineStr">
        <s:is>
          <s:t>이종훈</s:t>
        </s:is>
      </s:c>
      <s:c r="C665" s="0" t="n">
        <s:v>94745</s:v>
      </s:c>
      <s:c r="D665" s="0" t="n">
        <s:v>2284</s:v>
      </s:c>
      <s:c r="F665" s="24">
        <s:f>'자료구성'!$B$2+TIME(INT($C$3/10000),INT(MOD($C$3,10000)/100),MOD($C$3,100))+(ROW()-ROW($C$3))/86400</s:f>
        <s:v>46247.415821759256</s:v>
      </s:c>
    </s:row>
    <s:row r="666">
      <s:c r="A666" s="0" t="n">
        <s:v>260813</s:v>
      </s:c>
      <s:c r="B666" s="0" t="inlineStr">
        <s:is>
          <s:t>이종훈</s:t>
        </s:is>
      </s:c>
      <s:c r="C666" s="0" t="n">
        <s:v>94745</s:v>
      </s:c>
      <s:c r="D666" s="0" t="n">
        <s:v>2271</s:v>
      </s:c>
      <s:c r="F666" s="24">
        <s:f>'자료구성'!$B$2+TIME(INT($C$3/10000),INT(MOD($C$3,10000)/100),MOD($C$3,100))+(ROW()-ROW($C$3))/86400</s:f>
        <s:v>46247.41583333333</s:v>
      </s:c>
    </s:row>
    <s:row r="667">
      <s:c r="A667" s="0" t="n">
        <s:v>260813</s:v>
      </s:c>
      <s:c r="B667" s="0" t="inlineStr">
        <s:is>
          <s:t>이종훈</s:t>
        </s:is>
      </s:c>
      <s:c r="C667" s="0" t="n">
        <s:v>94745</s:v>
      </s:c>
      <s:c r="D667" s="0" t="n">
        <s:v>2255</s:v>
      </s:c>
      <s:c r="F667" s="24">
        <s:f>'자료구성'!$B$2+TIME(INT($C$3/10000),INT(MOD($C$3,10000)/100),MOD($C$3,100))+(ROW()-ROW($C$3))/86400</s:f>
        <s:v>46247.41584490741</s:v>
      </s:c>
    </s:row>
    <s:row r="668">
      <s:c r="A668" s="0" t="n">
        <s:v>260813</s:v>
      </s:c>
      <s:c r="B668" s="0" t="inlineStr">
        <s:is>
          <s:t>이종훈</s:t>
        </s:is>
      </s:c>
      <s:c r="C668" s="0" t="n">
        <s:v>94745</s:v>
      </s:c>
      <s:c r="D668" s="0" t="n">
        <s:v>2235</s:v>
      </s:c>
      <s:c r="F668" s="24">
        <s:f>'자료구성'!$B$2+TIME(INT($C$3/10000),INT(MOD($C$3,10000)/100),MOD($C$3,100))+(ROW()-ROW($C$3))/86400</s:f>
        <s:v>46247.41585648148</s:v>
      </s:c>
    </s:row>
    <s:row r="669">
      <s:c r="A669" s="0" t="n">
        <s:v>260813</s:v>
      </s:c>
      <s:c r="B669" s="0" t="inlineStr">
        <s:is>
          <s:t>이종훈</s:t>
        </s:is>
      </s:c>
      <s:c r="C669" s="0" t="n">
        <s:v>94745</s:v>
      </s:c>
      <s:c r="D669" s="0" t="n">
        <s:v>2232</s:v>
      </s:c>
      <s:c r="F669" s="24">
        <s:f>'자료구성'!$B$2+TIME(INT($C$3/10000),INT(MOD($C$3,10000)/100),MOD($C$3,100))+(ROW()-ROW($C$3))/86400</s:f>
        <s:v>46247.415868055556</s:v>
      </s:c>
    </s:row>
    <s:row r="670">
      <s:c r="A670" s="0" t="n">
        <s:v>260813</s:v>
      </s:c>
      <s:c r="B670" s="0" t="inlineStr">
        <s:is>
          <s:t>이종훈</s:t>
        </s:is>
      </s:c>
      <s:c r="C670" s="0" t="n">
        <s:v>94745</s:v>
      </s:c>
      <s:c r="D670" s="0" t="n">
        <s:v>2212</s:v>
      </s:c>
      <s:c r="F670" s="24">
        <s:f>'자료구성'!$B$2+TIME(INT($C$3/10000),INT(MOD($C$3,10000)/100),MOD($C$3,100))+(ROW()-ROW($C$3))/86400</s:f>
        <s:v>46247.41587962963</s:v>
      </s:c>
    </s:row>
    <s:row r="671">
      <s:c r="A671" s="0" t="n">
        <s:v>260813</s:v>
      </s:c>
      <s:c r="B671" s="0" t="inlineStr">
        <s:is>
          <s:t>이종훈</s:t>
        </s:is>
      </s:c>
      <s:c r="C671" s="0" t="n">
        <s:v>94745</s:v>
      </s:c>
      <s:c r="D671" s="0" t="n">
        <s:v>2187</s:v>
      </s:c>
      <s:c r="F671" s="24">
        <s:f>'자료구성'!$B$2+TIME(INT($C$3/10000),INT(MOD($C$3,10000)/100),MOD($C$3,100))+(ROW()-ROW($C$3))/86400</s:f>
        <s:v>46247.4158912037</s:v>
      </s:c>
    </s:row>
    <s:row r="672">
      <s:c r="A672" s="0" t="n">
        <s:v>260813</s:v>
      </s:c>
      <s:c r="B672" s="0" t="inlineStr">
        <s:is>
          <s:t>이종훈</s:t>
        </s:is>
      </s:c>
      <s:c r="C672" s="0" t="n">
        <s:v>94745</s:v>
      </s:c>
      <s:c r="D672" s="0" t="n">
        <s:v>2181</s:v>
      </s:c>
      <s:c r="F672" s="24">
        <s:f>'자료구성'!$B$2+TIME(INT($C$3/10000),INT(MOD($C$3,10000)/100),MOD($C$3,100))+(ROW()-ROW($C$3))/86400</s:f>
        <s:v>46247.41590277778</s:v>
      </s:c>
    </s:row>
    <s:row r="673">
      <s:c r="A673" s="0" t="n">
        <s:v>260813</s:v>
      </s:c>
      <s:c r="B673" s="0" t="inlineStr">
        <s:is>
          <s:t>이종훈</s:t>
        </s:is>
      </s:c>
      <s:c r="C673" s="0" t="n">
        <s:v>94745</s:v>
      </s:c>
      <s:c r="D673" s="0" t="n">
        <s:v>2188</s:v>
      </s:c>
      <s:c r="F673" s="24">
        <s:f>'자료구성'!$B$2+TIME(INT($C$3/10000),INT(MOD($C$3,10000)/100),MOD($C$3,100))+(ROW()-ROW($C$3))/86400</s:f>
        <s:v>46247.415914351855</s:v>
      </s:c>
    </s:row>
    <s:row r="674">
      <s:c r="A674" s="0" t="n">
        <s:v>260813</s:v>
      </s:c>
      <s:c r="B674" s="0" t="inlineStr">
        <s:is>
          <s:t>이종훈</s:t>
        </s:is>
      </s:c>
      <s:c r="C674" s="0" t="n">
        <s:v>94745</s:v>
      </s:c>
      <s:c r="D674" s="0" t="n">
        <s:v>2229</s:v>
      </s:c>
      <s:c r="F674" s="24">
        <s:f>'자료구성'!$B$2+TIME(INT($C$3/10000),INT(MOD($C$3,10000)/100),MOD($C$3,100))+(ROW()-ROW($C$3))/86400</s:f>
        <s:v>46247.415925925925</s:v>
      </s:c>
    </s:row>
    <s:row r="675">
      <s:c r="A675" s="0" t="n">
        <s:v>260813</s:v>
      </s:c>
      <s:c r="B675" s="0" t="inlineStr">
        <s:is>
          <s:t>이종훈</s:t>
        </s:is>
      </s:c>
      <s:c r="C675" s="0" t="n">
        <s:v>94745</s:v>
      </s:c>
      <s:c r="D675" s="0" t="n">
        <s:v>2292</s:v>
      </s:c>
      <s:c r="F675" s="24">
        <s:f>'자료구성'!$B$2+TIME(INT($C$3/10000),INT(MOD($C$3,10000)/100),MOD($C$3,100))+(ROW()-ROW($C$3))/86400</s:f>
        <s:v>46247.4159375</s:v>
      </s:c>
    </s:row>
    <s:row r="676">
      <s:c r="A676" s="0" t="n">
        <s:v>260813</s:v>
      </s:c>
      <s:c r="B676" s="0" t="inlineStr">
        <s:is>
          <s:t>이종훈</s:t>
        </s:is>
      </s:c>
      <s:c r="C676" s="0" t="n">
        <s:v>94745</s:v>
      </s:c>
      <s:c r="D676" s="0" t="n">
        <s:v>2358</s:v>
      </s:c>
      <s:c r="F676" s="24">
        <s:f>'자료구성'!$B$2+TIME(INT($C$3/10000),INT(MOD($C$3,10000)/100),MOD($C$3,100))+(ROW()-ROW($C$3))/86400</s:f>
        <s:v>46247.41594907407</s:v>
      </s:c>
    </s:row>
    <s:row r="677">
      <s:c r="A677" s="0" t="n">
        <s:v>260813</s:v>
      </s:c>
      <s:c r="B677" s="0" t="inlineStr">
        <s:is>
          <s:t>이종훈</s:t>
        </s:is>
      </s:c>
      <s:c r="C677" s="0" t="n">
        <s:v>94745</s:v>
      </s:c>
      <s:c r="D677" s="0" t="n">
        <s:v>2390</s:v>
      </s:c>
      <s:c r="F677" s="24">
        <s:f>'자료구성'!$B$2+TIME(INT($C$3/10000),INT(MOD($C$3,10000)/100),MOD($C$3,100))+(ROW()-ROW($C$3))/86400</s:f>
        <s:v>46247.41596064815</s:v>
      </s:c>
    </s:row>
    <s:row r="678">
      <s:c r="A678" s="0" t="n">
        <s:v>260813</s:v>
      </s:c>
      <s:c r="B678" s="0" t="inlineStr">
        <s:is>
          <s:t>이종훈</s:t>
        </s:is>
      </s:c>
      <s:c r="C678" s="0" t="n">
        <s:v>94745</s:v>
      </s:c>
      <s:c r="D678" s="0" t="n">
        <s:v>2405</s:v>
      </s:c>
      <s:c r="F678" s="24">
        <s:f>'자료구성'!$B$2+TIME(INT($C$3/10000),INT(MOD($C$3,10000)/100),MOD($C$3,100))+(ROW()-ROW($C$3))/86400</s:f>
        <s:v>46247.415972222225</s:v>
      </s:c>
    </s:row>
    <s:row r="679">
      <s:c r="A679" s="0" t="n">
        <s:v>260813</s:v>
      </s:c>
      <s:c r="B679" s="0" t="inlineStr">
        <s:is>
          <s:t>이종훈</s:t>
        </s:is>
      </s:c>
      <s:c r="C679" s="0" t="n">
        <s:v>94745</s:v>
      </s:c>
      <s:c r="D679" s="0" t="n">
        <s:v>2426</s:v>
      </s:c>
      <s:c r="F679" s="24">
        <s:f>'자료구성'!$B$2+TIME(INT($C$3/10000),INT(MOD($C$3,10000)/100),MOD($C$3,100))+(ROW()-ROW($C$3))/86400</s:f>
        <s:v>46247.415983796294</s:v>
      </s:c>
    </s:row>
    <s:row r="680">
      <s:c r="A680" s="0" t="n">
        <s:v>260813</s:v>
      </s:c>
      <s:c r="B680" s="0" t="inlineStr">
        <s:is>
          <s:t>이종훈</s:t>
        </s:is>
      </s:c>
      <s:c r="C680" s="0" t="n">
        <s:v>94745</s:v>
      </s:c>
      <s:c r="D680" s="0" t="n">
        <s:v>2375</s:v>
      </s:c>
      <s:c r="F680" s="24">
        <s:f>'자료구성'!$B$2+TIME(INT($C$3/10000),INT(MOD($C$3,10000)/100),MOD($C$3,100))+(ROW()-ROW($C$3))/86400</s:f>
        <s:v>46247.41599537037</s:v>
      </s:c>
    </s:row>
    <s:row r="681">
      <s:c r="A681" s="0" t="n">
        <s:v>260813</s:v>
      </s:c>
      <s:c r="B681" s="0" t="inlineStr">
        <s:is>
          <s:t>이종훈</s:t>
        </s:is>
      </s:c>
      <s:c r="C681" s="0" t="n">
        <s:v>94745</s:v>
      </s:c>
      <s:c r="D681" s="0" t="n">
        <s:v>2322</s:v>
      </s:c>
      <s:c r="F681" s="24">
        <s:f>'자료구성'!$B$2+TIME(INT($C$3/10000),INT(MOD($C$3,10000)/100),MOD($C$3,100))+(ROW()-ROW($C$3))/86400</s:f>
        <s:v>46247.41600694445</s:v>
      </s:c>
    </s:row>
    <s:row r="682">
      <s:c r="A682" s="0" t="n">
        <s:v>260813</s:v>
      </s:c>
      <s:c r="B682" s="0" t="inlineStr">
        <s:is>
          <s:t>이종훈</s:t>
        </s:is>
      </s:c>
      <s:c r="C682" s="0" t="n">
        <s:v>94745</s:v>
      </s:c>
      <s:c r="D682" s="0" t="n">
        <s:v>2287</s:v>
      </s:c>
      <s:c r="F682" s="24">
        <s:f>'자료구성'!$B$2+TIME(INT($C$3/10000),INT(MOD($C$3,10000)/100),MOD($C$3,100))+(ROW()-ROW($C$3))/86400</s:f>
        <s:v>46247.41601851852</s:v>
      </s:c>
    </s:row>
    <s:row r="683">
      <s:c r="A683" s="0" t="n">
        <s:v>260813</s:v>
      </s:c>
      <s:c r="B683" s="0" t="inlineStr">
        <s:is>
          <s:t>이종훈</s:t>
        </s:is>
      </s:c>
      <s:c r="C683" s="0" t="n">
        <s:v>94745</s:v>
      </s:c>
      <s:c r="D683" s="0" t="n">
        <s:v>2216</s:v>
      </s:c>
      <s:c r="F683" s="24">
        <s:f>'자료구성'!$B$2+TIME(INT($C$3/10000),INT(MOD($C$3,10000)/100),MOD($C$3,100))+(ROW()-ROW($C$3))/86400</s:f>
        <s:v>46247.416030092594</s:v>
      </s:c>
    </s:row>
    <s:row r="684">
      <s:c r="A684" s="0" t="n">
        <s:v>260813</s:v>
      </s:c>
      <s:c r="B684" s="0" t="inlineStr">
        <s:is>
          <s:t>이종훈</s:t>
        </s:is>
      </s:c>
      <s:c r="C684" s="0" t="n">
        <s:v>94745</s:v>
      </s:c>
      <s:c r="D684" s="0" t="n">
        <s:v>2185</s:v>
      </s:c>
      <s:c r="F684" s="24">
        <s:f>'자료구성'!$B$2+TIME(INT($C$3/10000),INT(MOD($C$3,10000)/100),MOD($C$3,100))+(ROW()-ROW($C$3))/86400</s:f>
        <s:v>46247.416041666664</s:v>
      </s:c>
    </s:row>
    <s:row r="685">
      <s:c r="A685" s="0" t="n">
        <s:v>260813</s:v>
      </s:c>
      <s:c r="B685" s="0" t="inlineStr">
        <s:is>
          <s:t>이종훈</s:t>
        </s:is>
      </s:c>
      <s:c r="C685" s="0" t="n">
        <s:v>94745</s:v>
      </s:c>
      <s:c r="D685" s="0" t="n">
        <s:v>2124</s:v>
      </s:c>
      <s:c r="F685" s="24">
        <s:f>'자료구성'!$B$2+TIME(INT($C$3/10000),INT(MOD($C$3,10000)/100),MOD($C$3,100))+(ROW()-ROW($C$3))/86400</s:f>
        <s:v>46247.41605324074</s:v>
      </s:c>
    </s:row>
    <s:row r="686">
      <s:c r="A686" s="0" t="n">
        <s:v>260813</s:v>
      </s:c>
      <s:c r="B686" s="0" t="inlineStr">
        <s:is>
          <s:t>이종훈</s:t>
        </s:is>
      </s:c>
      <s:c r="C686" s="0" t="n">
        <s:v>94745</s:v>
      </s:c>
      <s:c r="D686" s="0" t="n">
        <s:v>2084</s:v>
      </s:c>
      <s:c r="F686" s="24">
        <s:f>'자료구성'!$B$2+TIME(INT($C$3/10000),INT(MOD($C$3,10000)/100),MOD($C$3,100))+(ROW()-ROW($C$3))/86400</s:f>
        <s:v>46247.41606481482</s:v>
      </s:c>
    </s:row>
    <s:row r="687">
      <s:c r="A687" s="0" t="n">
        <s:v>260813</s:v>
      </s:c>
      <s:c r="B687" s="0" t="inlineStr">
        <s:is>
          <s:t>이종훈</s:t>
        </s:is>
      </s:c>
      <s:c r="C687" s="0" t="n">
        <s:v>94745</s:v>
      </s:c>
      <s:c r="D687" s="0" t="n">
        <s:v>2059</s:v>
      </s:c>
      <s:c r="F687" s="24">
        <s:f>'자료구성'!$B$2+TIME(INT($C$3/10000),INT(MOD($C$3,10000)/100),MOD($C$3,100))+(ROW()-ROW($C$3))/86400</s:f>
        <s:v>46247.41607638889</s:v>
      </s:c>
    </s:row>
    <s:row r="688">
      <s:c r="A688" s="0" t="n">
        <s:v>260813</s:v>
      </s:c>
      <s:c r="B688" s="0" t="inlineStr">
        <s:is>
          <s:t>이종훈</s:t>
        </s:is>
      </s:c>
      <s:c r="C688" s="0" t="n">
        <s:v>94745</s:v>
      </s:c>
      <s:c r="D688" s="0" t="n">
        <s:v>2024</s:v>
      </s:c>
      <s:c r="F688" s="24">
        <s:f>'자료구성'!$B$2+TIME(INT($C$3/10000),INT(MOD($C$3,10000)/100),MOD($C$3,100))+(ROW()-ROW($C$3))/86400</s:f>
        <s:v>46247.41608796296</s:v>
      </s:c>
    </s:row>
    <s:row r="689">
      <s:c r="A689" s="0" t="n">
        <s:v>260813</s:v>
      </s:c>
      <s:c r="B689" s="0" t="inlineStr">
        <s:is>
          <s:t>이종훈</s:t>
        </s:is>
      </s:c>
      <s:c r="C689" s="0" t="n">
        <s:v>94745</s:v>
      </s:c>
      <s:c r="D689" s="0" t="n">
        <s:v>2001</s:v>
      </s:c>
      <s:c r="F689" s="24">
        <s:f>'자료구성'!$B$2+TIME(INT($C$3/10000),INT(MOD($C$3,10000)/100),MOD($C$3,100))+(ROW()-ROW($C$3))/86400</s:f>
        <s:v>46247.41609953704</s:v>
      </s:c>
    </s:row>
    <s:row r="690">
      <s:c r="A690" s="0" t="n">
        <s:v>260813</s:v>
      </s:c>
      <s:c r="B690" s="0" t="inlineStr">
        <s:is>
          <s:t>이종훈</s:t>
        </s:is>
      </s:c>
      <s:c r="C690" s="0" t="n">
        <s:v>94745</s:v>
      </s:c>
      <s:c r="D690" s="0" t="n">
        <s:v>2008</s:v>
      </s:c>
      <s:c r="F690" s="24">
        <s:f>'자료구성'!$B$2+TIME(INT($C$3/10000),INT(MOD($C$3,10000)/100),MOD($C$3,100))+(ROW()-ROW($C$3))/86400</s:f>
        <s:v>46247.41611111111</s:v>
      </s:c>
    </s:row>
    <s:row r="691">
      <s:c r="A691" s="0" t="n">
        <s:v>260813</s:v>
      </s:c>
      <s:c r="B691" s="0" t="inlineStr">
        <s:is>
          <s:t>이종훈</s:t>
        </s:is>
      </s:c>
      <s:c r="C691" s="0" t="n">
        <s:v>94745</s:v>
      </s:c>
      <s:c r="D691" s="0" t="n">
        <s:v>2044</s:v>
      </s:c>
      <s:c r="F691" s="24">
        <s:f>'자료구성'!$B$2+TIME(INT($C$3/10000),INT(MOD($C$3,10000)/100),MOD($C$3,100))+(ROW()-ROW($C$3))/86400</s:f>
        <s:v>46247.41612268519</s:v>
      </s:c>
    </s:row>
    <s:row r="692">
      <s:c r="A692" s="0" t="n">
        <s:v>260813</s:v>
      </s:c>
      <s:c r="B692" s="0" t="inlineStr">
        <s:is>
          <s:t>이종훈</s:t>
        </s:is>
      </s:c>
      <s:c r="C692" s="0" t="n">
        <s:v>94745</s:v>
      </s:c>
      <s:c r="D692" s="0" t="n">
        <s:v>2084</s:v>
      </s:c>
      <s:c r="F692" s="24">
        <s:f>'자료구성'!$B$2+TIME(INT($C$3/10000),INT(MOD($C$3,10000)/100),MOD($C$3,100))+(ROW()-ROW($C$3))/86400</s:f>
        <s:v>46247.416134259256</s:v>
      </s:c>
    </s:row>
    <s:row r="693">
      <s:c r="A693" s="0" t="n">
        <s:v>260813</s:v>
      </s:c>
      <s:c r="B693" s="0" t="inlineStr">
        <s:is>
          <s:t>이종훈</s:t>
        </s:is>
      </s:c>
      <s:c r="C693" s="0" t="n">
        <s:v>94745</s:v>
      </s:c>
      <s:c r="D693" s="0" t="n">
        <s:v>2049</s:v>
      </s:c>
      <s:c r="F693" s="24">
        <s:f>'자료구성'!$B$2+TIME(INT($C$3/10000),INT(MOD($C$3,10000)/100),MOD($C$3,100))+(ROW()-ROW($C$3))/86400</s:f>
        <s:v>46247.41614583333</s:v>
      </s:c>
    </s:row>
    <s:row r="694">
      <s:c r="A694" s="0" t="n">
        <s:v>260813</s:v>
      </s:c>
      <s:c r="B694" s="0" t="inlineStr">
        <s:is>
          <s:t>이종훈</s:t>
        </s:is>
      </s:c>
      <s:c r="C694" s="0" t="n">
        <s:v>94745</s:v>
      </s:c>
      <s:c r="D694" s="0" t="n">
        <s:v>2041</s:v>
      </s:c>
      <s:c r="F694" s="24">
        <s:f>'자료구성'!$B$2+TIME(INT($C$3/10000),INT(MOD($C$3,10000)/100),MOD($C$3,100))+(ROW()-ROW($C$3))/86400</s:f>
        <s:v>46247.41615740741</s:v>
      </s:c>
    </s:row>
    <s:row r="695">
      <s:c r="A695" s="0" t="n">
        <s:v>260813</s:v>
      </s:c>
      <s:c r="B695" s="0" t="inlineStr">
        <s:is>
          <s:t>이종훈</s:t>
        </s:is>
      </s:c>
      <s:c r="C695" s="0" t="n">
        <s:v>94745</s:v>
      </s:c>
      <s:c r="D695" s="0" t="n">
        <s:v>1993</s:v>
      </s:c>
      <s:c r="F695" s="24">
        <s:f>'자료구성'!$B$2+TIME(INT($C$3/10000),INT(MOD($C$3,10000)/100),MOD($C$3,100))+(ROW()-ROW($C$3))/86400</s:f>
        <s:v>46247.41616898148</s:v>
      </s:c>
    </s:row>
    <s:row r="696">
      <s:c r="A696" s="0" t="n">
        <s:v>260813</s:v>
      </s:c>
      <s:c r="B696" s="0" t="inlineStr">
        <s:is>
          <s:t>이종훈</s:t>
        </s:is>
      </s:c>
      <s:c r="C696" s="0" t="n">
        <s:v>94745</s:v>
      </s:c>
      <s:c r="D696" s="0" t="n">
        <s:v>1981</s:v>
      </s:c>
      <s:c r="F696" s="24">
        <s:f>'자료구성'!$B$2+TIME(INT($C$3/10000),INT(MOD($C$3,10000)/100),MOD($C$3,100))+(ROW()-ROW($C$3))/86400</s:f>
        <s:v>46247.416180555556</s:v>
      </s:c>
    </s:row>
    <s:row r="697">
      <s:c r="A697" s="0" t="n">
        <s:v>260813</s:v>
      </s:c>
      <s:c r="B697" s="0" t="inlineStr">
        <s:is>
          <s:t>이종훈</s:t>
        </s:is>
      </s:c>
      <s:c r="C697" s="0" t="n">
        <s:v>94745</s:v>
      </s:c>
      <s:c r="D697" s="0" t="n">
        <s:v>2016</s:v>
      </s:c>
      <s:c r="F697" s="24">
        <s:f>'자료구성'!$B$2+TIME(INT($C$3/10000),INT(MOD($C$3,10000)/100),MOD($C$3,100))+(ROW()-ROW($C$3))/86400</s:f>
        <s:v>46247.41619212963</s:v>
      </s:c>
    </s:row>
    <s:row r="698">
      <s:c r="A698" s="0" t="n">
        <s:v>260813</s:v>
      </s:c>
      <s:c r="B698" s="0" t="inlineStr">
        <s:is>
          <s:t>이종훈</s:t>
        </s:is>
      </s:c>
      <s:c r="C698" s="0" t="n">
        <s:v>94745</s:v>
      </s:c>
      <s:c r="D698" s="0" t="n">
        <s:v>2036</s:v>
      </s:c>
      <s:c r="F698" s="24">
        <s:f>'자료구성'!$B$2+TIME(INT($C$3/10000),INT(MOD($C$3,10000)/100),MOD($C$3,100))+(ROW()-ROW($C$3))/86400</s:f>
        <s:v>46247.4162037037</s:v>
      </s:c>
    </s:row>
    <s:row r="699">
      <s:c r="A699" s="0" t="n">
        <s:v>260813</s:v>
      </s:c>
      <s:c r="B699" s="0" t="inlineStr">
        <s:is>
          <s:t>이종훈</s:t>
        </s:is>
      </s:c>
      <s:c r="C699" s="0" t="n">
        <s:v>94745</s:v>
      </s:c>
      <s:c r="D699" s="0" t="n">
        <s:v>2013</s:v>
      </s:c>
      <s:c r="F699" s="24">
        <s:f>'자료구성'!$B$2+TIME(INT($C$3/10000),INT(MOD($C$3,10000)/100),MOD($C$3,100))+(ROW()-ROW($C$3))/86400</s:f>
        <s:v>46247.41621527778</s:v>
      </s:c>
    </s:row>
    <s:row r="700">
      <s:c r="A700" s="0" t="n">
        <s:v>260813</s:v>
      </s:c>
      <s:c r="B700" s="0" t="inlineStr">
        <s:is>
          <s:t>이종훈</s:t>
        </s:is>
      </s:c>
      <s:c r="C700" s="0" t="n">
        <s:v>94745</s:v>
      </s:c>
      <s:c r="D700" s="0" t="n">
        <s:v>1990</s:v>
      </s:c>
      <s:c r="F700" s="24">
        <s:f>'자료구성'!$B$2+TIME(INT($C$3/10000),INT(MOD($C$3,10000)/100),MOD($C$3,100))+(ROW()-ROW($C$3))/86400</s:f>
        <s:v>46247.41622685185</s:v>
      </s:c>
    </s:row>
    <s:row r="701">
      <s:c r="A701" s="0" t="n">
        <s:v>260813</s:v>
      </s:c>
      <s:c r="B701" s="0" t="inlineStr">
        <s:is>
          <s:t>이종훈</s:t>
        </s:is>
      </s:c>
      <s:c r="C701" s="0" t="n">
        <s:v>94745</s:v>
      </s:c>
      <s:c r="D701" s="0" t="n">
        <s:v>2036</s:v>
      </s:c>
      <s:c r="F701" s="24">
        <s:f>'자료구성'!$B$2+TIME(INT($C$3/10000),INT(MOD($C$3,10000)/100),MOD($C$3,100))+(ROW()-ROW($C$3))/86400</s:f>
        <s:v>46247.416238425925</s:v>
      </s:c>
    </s:row>
    <s:row r="702">
      <s:c r="A702" s="0" t="n">
        <s:v>260813</s:v>
      </s:c>
      <s:c r="B702" s="0" t="inlineStr">
        <s:is>
          <s:t>이종훈</s:t>
        </s:is>
      </s:c>
      <s:c r="C702" s="0" t="n">
        <s:v>94745</s:v>
      </s:c>
      <s:c r="D702" s="0" t="n">
        <s:v>2061</s:v>
      </s:c>
      <s:c r="F702" s="24">
        <s:f>'자료구성'!$B$2+TIME(INT($C$3/10000),INT(MOD($C$3,10000)/100),MOD($C$3,100))+(ROW()-ROW($C$3))/86400</s:f>
        <s:v>46247.41625</s:v>
      </s:c>
    </s:row>
    <s:row r="703">
      <s:c r="A703" s="0" t="n">
        <s:v>260813</s:v>
      </s:c>
      <s:c r="B703" s="0" t="inlineStr">
        <s:is>
          <s:t>이종훈</s:t>
        </s:is>
      </s:c>
      <s:c r="C703" s="0" t="n">
        <s:v>94745</s:v>
      </s:c>
      <s:c r="D703" s="0" t="n">
        <s:v>2004</s:v>
      </s:c>
      <s:c r="F703" s="24">
        <s:f>'자료구성'!$B$2+TIME(INT($C$3/10000),INT(MOD($C$3,10000)/100),MOD($C$3,100))+(ROW()-ROW($C$3))/86400</s:f>
        <s:v>46247.41626157407</s:v>
      </s:c>
    </s:row>
    <s:row r="704">
      <s:c r="A704" s="0" t="n">
        <s:v>260813</s:v>
      </s:c>
      <s:c r="B704" s="0" t="inlineStr">
        <s:is>
          <s:t>이종훈</s:t>
        </s:is>
      </s:c>
      <s:c r="C704" s="0" t="n">
        <s:v>94745</s:v>
      </s:c>
      <s:c r="D704" s="0" t="n">
        <s:v>1911</s:v>
      </s:c>
      <s:c r="F704" s="24">
        <s:f>'자료구성'!$B$2+TIME(INT($C$3/10000),INT(MOD($C$3,10000)/100),MOD($C$3,100))+(ROW()-ROW($C$3))/86400</s:f>
        <s:v>46247.41627314815</s:v>
      </s:c>
    </s:row>
    <s:row r="705">
      <s:c r="A705" s="0" t="n">
        <s:v>260813</s:v>
      </s:c>
      <s:c r="B705" s="0" t="inlineStr">
        <s:is>
          <s:t>이종훈</s:t>
        </s:is>
      </s:c>
      <s:c r="C705" s="0" t="n">
        <s:v>94745</s:v>
      </s:c>
      <s:c r="D705" s="0" t="n">
        <s:v>1836</s:v>
      </s:c>
      <s:c r="F705" s="24">
        <s:f>'자료구성'!$B$2+TIME(INT($C$3/10000),INT(MOD($C$3,10000)/100),MOD($C$3,100))+(ROW()-ROW($C$3))/86400</s:f>
        <s:v>46247.416284722225</s:v>
      </s:c>
    </s:row>
    <s:row r="706">
      <s:c r="A706" s="0" t="n">
        <s:v>260813</s:v>
      </s:c>
      <s:c r="B706" s="0" t="inlineStr">
        <s:is>
          <s:t>이종훈</s:t>
        </s:is>
      </s:c>
      <s:c r="C706" s="0" t="n">
        <s:v>94745</s:v>
      </s:c>
      <s:c r="D706" s="0" t="n">
        <s:v>1809</s:v>
      </s:c>
      <s:c r="F706" s="24">
        <s:f>'자료구성'!$B$2+TIME(INT($C$3/10000),INT(MOD($C$3,10000)/100),MOD($C$3,100))+(ROW()-ROW($C$3))/86400</s:f>
        <s:v>46247.416296296295</s:v>
      </s:c>
    </s:row>
    <s:row r="707">
      <s:c r="A707" s="0" t="n">
        <s:v>260813</s:v>
      </s:c>
      <s:c r="B707" s="0" t="inlineStr">
        <s:is>
          <s:t>이종훈</s:t>
        </s:is>
      </s:c>
      <s:c r="C707" s="0" t="n">
        <s:v>94745</s:v>
      </s:c>
      <s:c r="D707" s="0" t="n">
        <s:v>1776</s:v>
      </s:c>
      <s:c r="F707" s="24">
        <s:f>'자료구성'!$B$2+TIME(INT($C$3/10000),INT(MOD($C$3,10000)/100),MOD($C$3,100))+(ROW()-ROW($C$3))/86400</s:f>
        <s:v>46247.41630787037</s:v>
      </s:c>
    </s:row>
    <s:row r="708">
      <s:c r="A708" s="0" t="n">
        <s:v>260813</s:v>
      </s:c>
      <s:c r="B708" s="0" t="inlineStr">
        <s:is>
          <s:t>이종훈</s:t>
        </s:is>
      </s:c>
      <s:c r="C708" s="0" t="n">
        <s:v>94745</s:v>
      </s:c>
      <s:c r="D708" s="0" t="n">
        <s:v>1687</s:v>
      </s:c>
      <s:c r="F708" s="24">
        <s:f>'자료구성'!$B$2+TIME(INT($C$3/10000),INT(MOD($C$3,10000)/100),MOD($C$3,100))+(ROW()-ROW($C$3))/86400</s:f>
        <s:v>46247.41631944444</s:v>
      </s:c>
    </s:row>
    <s:row r="709">
      <s:c r="A709" s="0" t="n">
        <s:v>260813</s:v>
      </s:c>
      <s:c r="B709" s="0" t="inlineStr">
        <s:is>
          <s:t>이종훈</s:t>
        </s:is>
      </s:c>
      <s:c r="C709" s="0" t="n">
        <s:v>94745</s:v>
      </s:c>
      <s:c r="D709" s="0" t="n">
        <s:v>1630</s:v>
      </s:c>
      <s:c r="F709" s="24">
        <s:f>'자료구성'!$B$2+TIME(INT($C$3/10000),INT(MOD($C$3,10000)/100),MOD($C$3,100))+(ROW()-ROW($C$3))/86400</s:f>
        <s:v>46247.41633101852</s:v>
      </s:c>
    </s:row>
    <s:row r="710">
      <s:c r="A710" s="0" t="n">
        <s:v>260813</s:v>
      </s:c>
      <s:c r="B710" s="0" t="inlineStr">
        <s:is>
          <s:t>이종훈</s:t>
        </s:is>
      </s:c>
      <s:c r="C710" s="0" t="n">
        <s:v>94745</s:v>
      </s:c>
      <s:c r="D710" s="0" t="n">
        <s:v>1558</s:v>
      </s:c>
      <s:c r="F710" s="24">
        <s:f>'자료구성'!$B$2+TIME(INT($C$3/10000),INT(MOD($C$3,10000)/100),MOD($C$3,100))+(ROW()-ROW($C$3))/86400</s:f>
        <s:v>46247.416342592594</s:v>
      </s:c>
    </s:row>
    <s:row r="711">
      <s:c r="A711" s="0" t="n">
        <s:v>260813</s:v>
      </s:c>
      <s:c r="B711" s="0" t="inlineStr">
        <s:is>
          <s:t>이종훈</s:t>
        </s:is>
      </s:c>
      <s:c r="C711" s="0" t="n">
        <s:v>94745</s:v>
      </s:c>
      <s:c r="D711" s="0" t="n">
        <s:v>1505</s:v>
      </s:c>
      <s:c r="F711" s="24">
        <s:f>'자료구성'!$B$2+TIME(INT($C$3/10000),INT(MOD($C$3,10000)/100),MOD($C$3,100))+(ROW()-ROW($C$3))/86400</s:f>
        <s:v>46247.416354166664</s:v>
      </s:c>
    </s:row>
    <s:row r="712">
      <s:c r="A712" s="0" t="n">
        <s:v>260813</s:v>
      </s:c>
      <s:c r="B712" s="0" t="inlineStr">
        <s:is>
          <s:t>이종훈</s:t>
        </s:is>
      </s:c>
      <s:c r="C712" s="0" t="n">
        <s:v>94745</s:v>
      </s:c>
      <s:c r="D712" s="0" t="n">
        <s:v>1504</s:v>
      </s:c>
      <s:c r="F712" s="24">
        <s:f>'자료구성'!$B$2+TIME(INT($C$3/10000),INT(MOD($C$3,10000)/100),MOD($C$3,100))+(ROW()-ROW($C$3))/86400</s:f>
        <s:v>46247.41636574074</s:v>
      </s:c>
    </s:row>
    <s:row r="713">
      <s:c r="A713" s="0" t="n">
        <s:v>260813</s:v>
      </s:c>
      <s:c r="B713" s="0" t="inlineStr">
        <s:is>
          <s:t>이종훈</s:t>
        </s:is>
      </s:c>
      <s:c r="C713" s="0" t="n">
        <s:v>94745</s:v>
      </s:c>
      <s:c r="D713" s="0" t="n">
        <s:v>1548</s:v>
      </s:c>
      <s:c r="F713" s="24">
        <s:f>'자료구성'!$B$2+TIME(INT($C$3/10000),INT(MOD($C$3,10000)/100),MOD($C$3,100))+(ROW()-ROW($C$3))/86400</s:f>
        <s:v>46247.41637731482</s:v>
      </s:c>
    </s:row>
    <s:row r="714">
      <s:c r="A714" s="0" t="n">
        <s:v>260813</s:v>
      </s:c>
      <s:c r="B714" s="0" t="inlineStr">
        <s:is>
          <s:t>이종훈</s:t>
        </s:is>
      </s:c>
      <s:c r="C714" s="0" t="n">
        <s:v>94745</s:v>
      </s:c>
      <s:c r="D714" s="0" t="n">
        <s:v>1567</s:v>
      </s:c>
      <s:c r="F714" s="24">
        <s:f>'자료구성'!$B$2+TIME(INT($C$3/10000),INT(MOD($C$3,10000)/100),MOD($C$3,100))+(ROW()-ROW($C$3))/86400</s:f>
        <s:v>46247.41638888889</s:v>
      </s:c>
    </s:row>
    <s:row r="715">
      <s:c r="A715" s="0" t="n">
        <s:v>260813</s:v>
      </s:c>
      <s:c r="B715" s="0" t="inlineStr">
        <s:is>
          <s:t>이종훈</s:t>
        </s:is>
      </s:c>
      <s:c r="C715" s="0" t="n">
        <s:v>94745</s:v>
      </s:c>
      <s:c r="D715" s="0" t="n">
        <s:v>1557</s:v>
      </s:c>
      <s:c r="F715" s="24">
        <s:f>'자료구성'!$B$2+TIME(INT($C$3/10000),INT(MOD($C$3,10000)/100),MOD($C$3,100))+(ROW()-ROW($C$3))/86400</s:f>
        <s:v>46247.416400462964</s:v>
      </s:c>
    </s:row>
    <s:row r="716">
      <s:c r="A716" s="0" t="n">
        <s:v>260813</s:v>
      </s:c>
      <s:c r="B716" s="0" t="inlineStr">
        <s:is>
          <s:t>이종훈</s:t>
        </s:is>
      </s:c>
      <s:c r="C716" s="0" t="n">
        <s:v>94745</s:v>
      </s:c>
      <s:c r="D716" s="0" t="n">
        <s:v>1532</s:v>
      </s:c>
      <s:c r="F716" s="24">
        <s:f>'자료구성'!$B$2+TIME(INT($C$3/10000),INT(MOD($C$3,10000)/100),MOD($C$3,100))+(ROW()-ROW($C$3))/86400</s:f>
        <s:v>46247.41641203704</s:v>
      </s:c>
    </s:row>
    <s:row r="717">
      <s:c r="A717" s="0" t="n">
        <s:v>260813</s:v>
      </s:c>
      <s:c r="B717" s="0" t="inlineStr">
        <s:is>
          <s:t>이종훈</s:t>
        </s:is>
      </s:c>
      <s:c r="C717" s="0" t="n">
        <s:v>94745</s:v>
      </s:c>
      <s:c r="D717" s="0" t="n">
        <s:v>1513</s:v>
      </s:c>
      <s:c r="F717" s="24">
        <s:f>'자료구성'!$B$2+TIME(INT($C$3/10000),INT(MOD($C$3,10000)/100),MOD($C$3,100))+(ROW()-ROW($C$3))/86400</s:f>
        <s:v>46247.41642361111</s:v>
      </s:c>
    </s:row>
    <s:row r="718">
      <s:c r="A718" s="0" t="n">
        <s:v>260813</s:v>
      </s:c>
      <s:c r="B718" s="0" t="inlineStr">
        <s:is>
          <s:t>이종훈</s:t>
        </s:is>
      </s:c>
      <s:c r="C718" s="0" t="n">
        <s:v>94745</s:v>
      </s:c>
      <s:c r="D718" s="0" t="n">
        <s:v>1502</s:v>
      </s:c>
      <s:c r="F718" s="24">
        <s:f>'자료구성'!$B$2+TIME(INT($C$3/10000),INT(MOD($C$3,10000)/100),MOD($C$3,100))+(ROW()-ROW($C$3))/86400</s:f>
        <s:v>46247.41643518519</s:v>
      </s:c>
    </s:row>
    <s:row r="719">
      <s:c r="A719" s="0" t="n">
        <s:v>260813</s:v>
      </s:c>
      <s:c r="B719" s="0" t="inlineStr">
        <s:is>
          <s:t>이종훈</s:t>
        </s:is>
      </s:c>
      <s:c r="C719" s="0" t="n">
        <s:v>94745</s:v>
      </s:c>
      <s:c r="D719" s="0" t="n">
        <s:v>1520</s:v>
      </s:c>
      <s:c r="F719" s="24">
        <s:f>'자료구성'!$B$2+TIME(INT($C$3/10000),INT(MOD($C$3,10000)/100),MOD($C$3,100))+(ROW()-ROW($C$3))/86400</s:f>
        <s:v>46247.416446759256</s:v>
      </s:c>
    </s:row>
    <s:row r="720">
      <s:c r="A720" s="0" t="n">
        <s:v>260813</s:v>
      </s:c>
      <s:c r="B720" s="0" t="inlineStr">
        <s:is>
          <s:t>이종훈</s:t>
        </s:is>
      </s:c>
      <s:c r="C720" s="0" t="n">
        <s:v>94745</s:v>
      </s:c>
      <s:c r="D720" s="0" t="n">
        <s:v>1569</s:v>
      </s:c>
      <s:c r="F720" s="24">
        <s:f>'자료구성'!$B$2+TIME(INT($C$3/10000),INT(MOD($C$3,10000)/100),MOD($C$3,100))+(ROW()-ROW($C$3))/86400</s:f>
        <s:v>46247.41645833333</s:v>
      </s:c>
    </s:row>
    <s:row r="721">
      <s:c r="A721" s="0" t="n">
        <s:v>260813</s:v>
      </s:c>
      <s:c r="B721" s="0" t="inlineStr">
        <s:is>
          <s:t>이종훈</s:t>
        </s:is>
      </s:c>
      <s:c r="C721" s="0" t="n">
        <s:v>94745</s:v>
      </s:c>
      <s:c r="D721" s="0" t="n">
        <s:v>1540</s:v>
      </s:c>
      <s:c r="F721" s="24">
        <s:f>'자료구성'!$B$2+TIME(INT($C$3/10000),INT(MOD($C$3,10000)/100),MOD($C$3,100))+(ROW()-ROW($C$3))/86400</s:f>
        <s:v>46247.41646990741</s:v>
      </s:c>
    </s:row>
    <s:row r="722">
      <s:c r="A722" s="0" t="n">
        <s:v>260813</s:v>
      </s:c>
      <s:c r="B722" s="0" t="inlineStr">
        <s:is>
          <s:t>이종훈</s:t>
        </s:is>
      </s:c>
      <s:c r="C722" s="0" t="n">
        <s:v>94745</s:v>
      </s:c>
      <s:c r="D722" s="0" t="n">
        <s:v>1538</s:v>
      </s:c>
      <s:c r="F722" s="24">
        <s:f>'자료구성'!$B$2+TIME(INT($C$3/10000),INT(MOD($C$3,10000)/100),MOD($C$3,100))+(ROW()-ROW($C$3))/86400</s:f>
        <s:v>46247.41648148148</s:v>
      </s:c>
    </s:row>
    <s:row r="723">
      <s:c r="A723" s="0" t="n">
        <s:v>260813</s:v>
      </s:c>
      <s:c r="B723" s="0" t="inlineStr">
        <s:is>
          <s:t>이종훈</s:t>
        </s:is>
      </s:c>
      <s:c r="C723" s="0" t="n">
        <s:v>94745</s:v>
      </s:c>
      <s:c r="D723" s="0" t="n">
        <s:v>1588</s:v>
      </s:c>
      <s:c r="F723" s="24">
        <s:f>'자료구성'!$B$2+TIME(INT($C$3/10000),INT(MOD($C$3,10000)/100),MOD($C$3,100))+(ROW()-ROW($C$3))/86400</s:f>
        <s:v>46247.416493055556</s:v>
      </s:c>
    </s:row>
    <s:row r="724">
      <s:c r="A724" s="0" t="n">
        <s:v>260813</s:v>
      </s:c>
      <s:c r="B724" s="0" t="inlineStr">
        <s:is>
          <s:t>이종훈</s:t>
        </s:is>
      </s:c>
      <s:c r="C724" s="0" t="n">
        <s:v>94745</s:v>
      </s:c>
      <s:c r="D724" s="0" t="n">
        <s:v>1624</s:v>
      </s:c>
      <s:c r="F724" s="24">
        <s:f>'자료구성'!$B$2+TIME(INT($C$3/10000),INT(MOD($C$3,10000)/100),MOD($C$3,100))+(ROW()-ROW($C$3))/86400</s:f>
        <s:v>46247.41650462963</s:v>
      </s:c>
    </s:row>
    <s:row r="725">
      <s:c r="A725" s="0" t="n">
        <s:v>260813</s:v>
      </s:c>
      <s:c r="B725" s="0" t="inlineStr">
        <s:is>
          <s:t>이종훈</s:t>
        </s:is>
      </s:c>
      <s:c r="C725" s="0" t="n">
        <s:v>94745</s:v>
      </s:c>
      <s:c r="D725" s="0" t="n">
        <s:v>1627</s:v>
      </s:c>
      <s:c r="F725" s="24">
        <s:f>'자료구성'!$B$2+TIME(INT($C$3/10000),INT(MOD($C$3,10000)/100),MOD($C$3,100))+(ROW()-ROW($C$3))/86400</s:f>
        <s:v>46247.4165162037</s:v>
      </s:c>
    </s:row>
    <s:row r="726">
      <s:c r="A726" s="0" t="n">
        <s:v>260813</s:v>
      </s:c>
      <s:c r="B726" s="0" t="inlineStr">
        <s:is>
          <s:t>이종훈</s:t>
        </s:is>
      </s:c>
      <s:c r="C726" s="0" t="n">
        <s:v>94745</s:v>
      </s:c>
      <s:c r="D726" s="0" t="n">
        <s:v>1668</s:v>
      </s:c>
      <s:c r="F726" s="24">
        <s:f>'자료구성'!$B$2+TIME(INT($C$3/10000),INT(MOD($C$3,10000)/100),MOD($C$3,100))+(ROW()-ROW($C$3))/86400</s:f>
        <s:v>46247.41652777778</s:v>
      </s:c>
    </s:row>
    <s:row r="727">
      <s:c r="A727" s="0" t="n">
        <s:v>260813</s:v>
      </s:c>
      <s:c r="B727" s="0" t="inlineStr">
        <s:is>
          <s:t>이종훈</s:t>
        </s:is>
      </s:c>
      <s:c r="C727" s="0" t="n">
        <s:v>94745</s:v>
      </s:c>
      <s:c r="D727" s="0" t="n">
        <s:v>1744</s:v>
      </s:c>
      <s:c r="F727" s="24">
        <s:f>'자료구성'!$B$2+TIME(INT($C$3/10000),INT(MOD($C$3,10000)/100),MOD($C$3,100))+(ROW()-ROW($C$3))/86400</s:f>
        <s:v>46247.41653935185</s:v>
      </s:c>
    </s:row>
    <s:row r="728">
      <s:c r="A728" s="0" t="n">
        <s:v>260813</s:v>
      </s:c>
      <s:c r="B728" s="0" t="inlineStr">
        <s:is>
          <s:t>이종훈</s:t>
        </s:is>
      </s:c>
      <s:c r="C728" s="0" t="n">
        <s:v>94745</s:v>
      </s:c>
      <s:c r="D728" s="0" t="n">
        <s:v>1774</s:v>
      </s:c>
      <s:c r="F728" s="24">
        <s:f>'자료구성'!$B$2+TIME(INT($C$3/10000),INT(MOD($C$3,10000)/100),MOD($C$3,100))+(ROW()-ROW($C$3))/86400</s:f>
        <s:v>46247.416550925926</s:v>
      </s:c>
    </s:row>
    <s:row r="729">
      <s:c r="A729" s="0" t="n">
        <s:v>260813</s:v>
      </s:c>
      <s:c r="B729" s="0" t="inlineStr">
        <s:is>
          <s:t>이종훈</s:t>
        </s:is>
      </s:c>
      <s:c r="C729" s="0" t="n">
        <s:v>94745</s:v>
      </s:c>
      <s:c r="D729" s="0" t="n">
        <s:v>1763</s:v>
      </s:c>
      <s:c r="F729" s="24">
        <s:f>'자료구성'!$B$2+TIME(INT($C$3/10000),INT(MOD($C$3,10000)/100),MOD($C$3,100))+(ROW()-ROW($C$3))/86400</s:f>
        <s:v>46247.4165625</s:v>
      </s:c>
    </s:row>
    <s:row r="730">
      <s:c r="A730" s="0" t="n">
        <s:v>260813</s:v>
      </s:c>
      <s:c r="B730" s="0" t="inlineStr">
        <s:is>
          <s:t>이종훈</s:t>
        </s:is>
      </s:c>
      <s:c r="C730" s="0" t="n">
        <s:v>94745</s:v>
      </s:c>
      <s:c r="D730" s="0" t="n">
        <s:v>1739</s:v>
      </s:c>
      <s:c r="F730" s="24">
        <s:f>'자료구성'!$B$2+TIME(INT($C$3/10000),INT(MOD($C$3,10000)/100),MOD($C$3,100))+(ROW()-ROW($C$3))/86400</s:f>
        <s:v>46247.41657407407</s:v>
      </s:c>
    </s:row>
    <s:row r="731">
      <s:c r="A731" s="0" t="n">
        <s:v>260813</s:v>
      </s:c>
      <s:c r="B731" s="0" t="inlineStr">
        <s:is>
          <s:t>이종훈</s:t>
        </s:is>
      </s:c>
      <s:c r="C731" s="0" t="n">
        <s:v>94745</s:v>
      </s:c>
      <s:c r="D731" s="0" t="n">
        <s:v>1745</s:v>
      </s:c>
      <s:c r="F731" s="24">
        <s:f>'자료구성'!$B$2+TIME(INT($C$3/10000),INT(MOD($C$3,10000)/100),MOD($C$3,100))+(ROW()-ROW($C$3))/86400</s:f>
        <s:v>46247.41658564815</s:v>
      </s:c>
    </s:row>
    <s:row r="732">
      <s:c r="A732" s="0" t="n">
        <s:v>260813</s:v>
      </s:c>
      <s:c r="B732" s="0" t="inlineStr">
        <s:is>
          <s:t>이종훈</s:t>
        </s:is>
      </s:c>
      <s:c r="C732" s="0" t="n">
        <s:v>94745</s:v>
      </s:c>
      <s:c r="D732" s="0" t="n">
        <s:v>1776</s:v>
      </s:c>
      <s:c r="F732" s="24">
        <s:f>'자료구성'!$B$2+TIME(INT($C$3/10000),INT(MOD($C$3,10000)/100),MOD($C$3,100))+(ROW()-ROW($C$3))/86400</s:f>
        <s:v>46247.416597222225</s:v>
      </s:c>
    </s:row>
    <s:row r="733">
      <s:c r="A733" s="0" t="n">
        <s:v>260813</s:v>
      </s:c>
      <s:c r="B733" s="0" t="inlineStr">
        <s:is>
          <s:t>이종훈</s:t>
        </s:is>
      </s:c>
      <s:c r="C733" s="0" t="n">
        <s:v>94745</s:v>
      </s:c>
      <s:c r="D733" s="0" t="n">
        <s:v>1761</s:v>
      </s:c>
      <s:c r="F733" s="24">
        <s:f>'자료구성'!$B$2+TIME(INT($C$3/10000),INT(MOD($C$3,10000)/100),MOD($C$3,100))+(ROW()-ROW($C$3))/86400</s:f>
        <s:v>46247.416608796295</s:v>
      </s:c>
    </s:row>
    <s:row r="734">
      <s:c r="A734" s="0" t="n">
        <s:v>260813</s:v>
      </s:c>
      <s:c r="B734" s="0" t="inlineStr">
        <s:is>
          <s:t>이종훈</s:t>
        </s:is>
      </s:c>
      <s:c r="C734" s="0" t="n">
        <s:v>94745</s:v>
      </s:c>
      <s:c r="D734" s="0" t="n">
        <s:v>1738</s:v>
      </s:c>
      <s:c r="F734" s="24">
        <s:f>'자료구성'!$B$2+TIME(INT($C$3/10000),INT(MOD($C$3,10000)/100),MOD($C$3,100))+(ROW()-ROW($C$3))/86400</s:f>
        <s:v>46247.41662037037</s:v>
      </s:c>
    </s:row>
    <s:row r="735">
      <s:c r="A735" s="0" t="n">
        <s:v>260813</s:v>
      </s:c>
      <s:c r="B735" s="0" t="inlineStr">
        <s:is>
          <s:t>이종훈</s:t>
        </s:is>
      </s:c>
      <s:c r="C735" s="0" t="n">
        <s:v>94745</s:v>
      </s:c>
      <s:c r="D735" s="0" t="n">
        <s:v>1705</s:v>
      </s:c>
      <s:c r="F735" s="24">
        <s:f>'자료구성'!$B$2+TIME(INT($C$3/10000),INT(MOD($C$3,10000)/100),MOD($C$3,100))+(ROW()-ROW($C$3))/86400</s:f>
        <s:v>46247.41663194444</s:v>
      </s:c>
    </s:row>
    <s:row r="736">
      <s:c r="A736" s="0" t="n">
        <s:v>260813</s:v>
      </s:c>
      <s:c r="B736" s="0" t="inlineStr">
        <s:is>
          <s:t>이종훈</s:t>
        </s:is>
      </s:c>
      <s:c r="C736" s="0" t="n">
        <s:v>94745</s:v>
      </s:c>
      <s:c r="D736" s="0" t="n">
        <s:v>1673</s:v>
      </s:c>
      <s:c r="F736" s="24">
        <s:f>'자료구성'!$B$2+TIME(INT($C$3/10000),INT(MOD($C$3,10000)/100),MOD($C$3,100))+(ROW()-ROW($C$3))/86400</s:f>
        <s:v>46247.41664351852</s:v>
      </s:c>
    </s:row>
    <s:row r="737">
      <s:c r="A737" s="0" t="n">
        <s:v>260813</s:v>
      </s:c>
      <s:c r="B737" s="0" t="inlineStr">
        <s:is>
          <s:t>이종훈</s:t>
        </s:is>
      </s:c>
      <s:c r="C737" s="0" t="n">
        <s:v>94745</s:v>
      </s:c>
      <s:c r="D737" s="0" t="n">
        <s:v>1652</s:v>
      </s:c>
      <s:c r="F737" s="24">
        <s:f>'자료구성'!$B$2+TIME(INT($C$3/10000),INT(MOD($C$3,10000)/100),MOD($C$3,100))+(ROW()-ROW($C$3))/86400</s:f>
        <s:v>46247.416655092595</s:v>
      </s:c>
    </s:row>
    <s:row r="738">
      <s:c r="A738" s="0" t="n">
        <s:v>260813</s:v>
      </s:c>
      <s:c r="B738" s="0" t="inlineStr">
        <s:is>
          <s:t>이종훈</s:t>
        </s:is>
      </s:c>
      <s:c r="C738" s="0" t="n">
        <s:v>94745</s:v>
      </s:c>
      <s:c r="D738" s="0" t="n">
        <s:v>1609</s:v>
      </s:c>
      <s:c r="F738" s="24">
        <s:f>'자료구성'!$B$2+TIME(INT($C$3/10000),INT(MOD($C$3,10000)/100),MOD($C$3,100))+(ROW()-ROW($C$3))/86400</s:f>
        <s:v>46247.416666666664</s:v>
      </s:c>
    </s:row>
    <s:row r="739">
      <s:c r="A739" s="0" t="n">
        <s:v>260813</s:v>
      </s:c>
      <s:c r="B739" s="0" t="inlineStr">
        <s:is>
          <s:t>이종훈</s:t>
        </s:is>
      </s:c>
      <s:c r="C739" s="0" t="n">
        <s:v>94745</s:v>
      </s:c>
      <s:c r="D739" s="0" t="n">
        <s:v>1556</s:v>
      </s:c>
      <s:c r="F739" s="24">
        <s:f>'자료구성'!$B$2+TIME(INT($C$3/10000),INT(MOD($C$3,10000)/100),MOD($C$3,100))+(ROW()-ROW($C$3))/86400</s:f>
        <s:v>46247.41667824074</s:v>
      </s:c>
    </s:row>
    <s:row r="740">
      <s:c r="A740" s="0" t="n">
        <s:v>260813</s:v>
      </s:c>
      <s:c r="B740" s="0" t="inlineStr">
        <s:is>
          <s:t>이종훈</s:t>
        </s:is>
      </s:c>
      <s:c r="C740" s="0" t="n">
        <s:v>94745</s:v>
      </s:c>
      <s:c r="D740" s="0" t="n">
        <s:v>1566</s:v>
      </s:c>
      <s:c r="F740" s="24">
        <s:f>'자료구성'!$B$2+TIME(INT($C$3/10000),INT(MOD($C$3,10000)/100),MOD($C$3,100))+(ROW()-ROW($C$3))/86400</s:f>
        <s:v>46247.41668981482</s:v>
      </s:c>
    </s:row>
    <s:row r="741">
      <s:c r="A741" s="0" t="n">
        <s:v>260813</s:v>
      </s:c>
      <s:c r="B741" s="0" t="inlineStr">
        <s:is>
          <s:t>이종훈</s:t>
        </s:is>
      </s:c>
      <s:c r="C741" s="0" t="n">
        <s:v>94745</s:v>
      </s:c>
      <s:c r="D741" s="0" t="n">
        <s:v>1601</s:v>
      </s:c>
      <s:c r="F741" s="24">
        <s:f>'자료구성'!$B$2+TIME(INT($C$3/10000),INT(MOD($C$3,10000)/100),MOD($C$3,100))+(ROW()-ROW($C$3))/86400</s:f>
        <s:v>46247.41670138889</s:v>
      </s:c>
    </s:row>
    <s:row r="742">
      <s:c r="A742" s="0" t="n">
        <s:v>260813</s:v>
      </s:c>
      <s:c r="B742" s="0" t="inlineStr">
        <s:is>
          <s:t>이종훈</s:t>
        </s:is>
      </s:c>
      <s:c r="C742" s="0" t="n">
        <s:v>94745</s:v>
      </s:c>
      <s:c r="D742" s="0" t="n">
        <s:v>1671</s:v>
      </s:c>
      <s:c r="F742" s="24">
        <s:f>'자료구성'!$B$2+TIME(INT($C$3/10000),INT(MOD($C$3,10000)/100),MOD($C$3,100))+(ROW()-ROW($C$3))/86400</s:f>
        <s:v>46247.416712962964</s:v>
      </s:c>
    </s:row>
    <s:row r="743">
      <s:c r="A743" s="0" t="n">
        <s:v>260813</s:v>
      </s:c>
      <s:c r="B743" s="0" t="inlineStr">
        <s:is>
          <s:t>이종훈</s:t>
        </s:is>
      </s:c>
      <s:c r="C743" s="0" t="n">
        <s:v>94745</s:v>
      </s:c>
      <s:c r="D743" s="0" t="n">
        <s:v>1715</s:v>
      </s:c>
      <s:c r="F743" s="24">
        <s:f>'자료구성'!$B$2+TIME(INT($C$3/10000),INT(MOD($C$3,10000)/100),MOD($C$3,100))+(ROW()-ROW($C$3))/86400</s:f>
        <s:v>46247.41672453703</s:v>
      </s:c>
    </s:row>
    <s:row r="744">
      <s:c r="A744" s="0" t="n">
        <s:v>260813</s:v>
      </s:c>
      <s:c r="B744" s="0" t="inlineStr">
        <s:is>
          <s:t>이종훈</s:t>
        </s:is>
      </s:c>
      <s:c r="C744" s="0" t="n">
        <s:v>94745</s:v>
      </s:c>
      <s:c r="D744" s="0" t="n">
        <s:v>1780</s:v>
      </s:c>
      <s:c r="F744" s="24">
        <s:f>'자료구성'!$B$2+TIME(INT($C$3/10000),INT(MOD($C$3,10000)/100),MOD($C$3,100))+(ROW()-ROW($C$3))/86400</s:f>
        <s:v>46247.41673611111</s:v>
      </s:c>
    </s:row>
    <s:row r="745">
      <s:c r="A745" s="0" t="n">
        <s:v>260813</s:v>
      </s:c>
      <s:c r="B745" s="0" t="inlineStr">
        <s:is>
          <s:t>이종훈</s:t>
        </s:is>
      </s:c>
      <s:c r="C745" s="0" t="n">
        <s:v>94745</s:v>
      </s:c>
      <s:c r="D745" s="0" t="n">
        <s:v>1814</s:v>
      </s:c>
      <s:c r="F745" s="24">
        <s:f>'자료구성'!$B$2+TIME(INT($C$3/10000),INT(MOD($C$3,10000)/100),MOD($C$3,100))+(ROW()-ROW($C$3))/86400</s:f>
        <s:v>46247.41674768519</s:v>
      </s:c>
    </s:row>
    <s:row r="746">
      <s:c r="A746" s="0" t="n">
        <s:v>260813</s:v>
      </s:c>
      <s:c r="B746" s="0" t="inlineStr">
        <s:is>
          <s:t>이종훈</s:t>
        </s:is>
      </s:c>
      <s:c r="C746" s="0" t="n">
        <s:v>94745</s:v>
      </s:c>
      <s:c r="D746" s="0" t="n">
        <s:v>1850</s:v>
      </s:c>
      <s:c r="F746" s="24">
        <s:f>'자료구성'!$B$2+TIME(INT($C$3/10000),INT(MOD($C$3,10000)/100),MOD($C$3,100))+(ROW()-ROW($C$3))/86400</s:f>
        <s:v>46247.41675925926</s:v>
      </s:c>
    </s:row>
    <s:row r="747">
      <s:c r="A747" s="0" t="n">
        <s:v>260813</s:v>
      </s:c>
      <s:c r="B747" s="0" t="inlineStr">
        <s:is>
          <s:t>이종훈</s:t>
        </s:is>
      </s:c>
      <s:c r="C747" s="0" t="n">
        <s:v>94745</s:v>
      </s:c>
      <s:c r="D747" s="0" t="n">
        <s:v>1875</s:v>
      </s:c>
      <s:c r="F747" s="24">
        <s:f>'자료구성'!$B$2+TIME(INT($C$3/10000),INT(MOD($C$3,10000)/100),MOD($C$3,100))+(ROW()-ROW($C$3))/86400</s:f>
        <s:v>46247.41677083333</s:v>
      </s:c>
    </s:row>
    <s:row r="748">
      <s:c r="A748" s="0" t="n">
        <s:v>260813</s:v>
      </s:c>
      <s:c r="B748" s="0" t="inlineStr">
        <s:is>
          <s:t>이종훈</s:t>
        </s:is>
      </s:c>
      <s:c r="C748" s="0" t="n">
        <s:v>94745</s:v>
      </s:c>
      <s:c r="D748" s="0" t="n">
        <s:v>1873</s:v>
      </s:c>
      <s:c r="F748" s="24">
        <s:f>'자료구성'!$B$2+TIME(INT($C$3/10000),INT(MOD($C$3,10000)/100),MOD($C$3,100))+(ROW()-ROW($C$3))/86400</s:f>
        <s:v>46247.41678240741</s:v>
      </s:c>
    </s:row>
    <s:row r="749">
      <s:c r="A749" s="0" t="n">
        <s:v>260813</s:v>
      </s:c>
      <s:c r="B749" s="0" t="inlineStr">
        <s:is>
          <s:t>이종훈</s:t>
        </s:is>
      </s:c>
      <s:c r="C749" s="0" t="n">
        <s:v>94745</s:v>
      </s:c>
      <s:c r="D749" s="0" t="n">
        <s:v>1972</s:v>
      </s:c>
      <s:c r="F749" s="24">
        <s:f>'자료구성'!$B$2+TIME(INT($C$3/10000),INT(MOD($C$3,10000)/100),MOD($C$3,100))+(ROW()-ROW($C$3))/86400</s:f>
        <s:v>46247.41679398148</s:v>
      </s:c>
    </s:row>
    <s:row r="750">
      <s:c r="A750" s="0" t="n">
        <s:v>260813</s:v>
      </s:c>
      <s:c r="B750" s="0" t="inlineStr">
        <s:is>
          <s:t>이종훈</s:t>
        </s:is>
      </s:c>
      <s:c r="C750" s="0" t="n">
        <s:v>94745</s:v>
      </s:c>
      <s:c r="D750" s="0" t="n">
        <s:v>2239</s:v>
      </s:c>
      <s:c r="F750" s="24">
        <s:f>'자료구성'!$B$2+TIME(INT($C$3/10000),INT(MOD($C$3,10000)/100),MOD($C$3,100))+(ROW()-ROW($C$3))/86400</s:f>
        <s:v>46247.41680555556</s:v>
      </s:c>
    </s:row>
    <s:row r="751">
      <s:c r="A751" s="0" t="n">
        <s:v>260813</s:v>
      </s:c>
      <s:c r="B751" s="0" t="inlineStr">
        <s:is>
          <s:t>이종훈</s:t>
        </s:is>
      </s:c>
      <s:c r="C751" s="0" t="n">
        <s:v>94745</s:v>
      </s:c>
      <s:c r="D751" s="0" t="n">
        <s:v>2471</s:v>
      </s:c>
      <s:c r="F751" s="24">
        <s:f>'자료구성'!$B$2+TIME(INT($C$3/10000),INT(MOD($C$3,10000)/100),MOD($C$3,100))+(ROW()-ROW($C$3))/86400</s:f>
        <s:v>46247.416817129626</s:v>
      </s:c>
    </s:row>
    <s:row r="752">
      <s:c r="A752" s="0" t="n">
        <s:v>260813</s:v>
      </s:c>
      <s:c r="B752" s="0" t="inlineStr">
        <s:is>
          <s:t>이종훈</s:t>
        </s:is>
      </s:c>
      <s:c r="C752" s="0" t="n">
        <s:v>94745</s:v>
      </s:c>
      <s:c r="D752" s="0" t="n">
        <s:v>2634</s:v>
      </s:c>
      <s:c r="F752" s="24">
        <s:f>'자료구성'!$B$2+TIME(INT($C$3/10000),INT(MOD($C$3,10000)/100),MOD($C$3,100))+(ROW()-ROW($C$3))/86400</s:f>
        <s:v>46247.4168287037</s:v>
      </s:c>
    </s:row>
    <s:row r="753">
      <s:c r="A753" s="0" t="n">
        <s:v>260813</s:v>
      </s:c>
      <s:c r="B753" s="0" t="inlineStr">
        <s:is>
          <s:t>이종훈</s:t>
        </s:is>
      </s:c>
      <s:c r="C753" s="0" t="n">
        <s:v>94745</s:v>
      </s:c>
      <s:c r="D753" s="0" t="n">
        <s:v>2680</s:v>
      </s:c>
      <s:c r="F753" s="24">
        <s:f>'자료구성'!$B$2+TIME(INT($C$3/10000),INT(MOD($C$3,10000)/100),MOD($C$3,100))+(ROW()-ROW($C$3))/86400</s:f>
        <s:v>46247.41684027778</s:v>
      </s:c>
    </s:row>
    <s:row r="754">
      <s:c r="A754" s="0" t="n">
        <s:v>260813</s:v>
      </s:c>
      <s:c r="B754" s="0" t="inlineStr">
        <s:is>
          <s:t>이종훈</s:t>
        </s:is>
      </s:c>
      <s:c r="C754" s="0" t="n">
        <s:v>94745</s:v>
      </s:c>
      <s:c r="D754" s="0" t="n">
        <s:v>2619</s:v>
      </s:c>
      <s:c r="F754" s="24">
        <s:f>'자료구성'!$B$2+TIME(INT($C$3/10000),INT(MOD($C$3,10000)/100),MOD($C$3,100))+(ROW()-ROW($C$3))/86400</s:f>
        <s:v>46247.41685185185</s:v>
      </s:c>
    </s:row>
    <s:row r="755">
      <s:c r="A755" s="0" t="n">
        <s:v>260813</s:v>
      </s:c>
      <s:c r="B755" s="0" t="inlineStr">
        <s:is>
          <s:t>이종훈</s:t>
        </s:is>
      </s:c>
      <s:c r="C755" s="0" t="n">
        <s:v>94745</s:v>
      </s:c>
      <s:c r="D755" s="0" t="n">
        <s:v>2583</s:v>
      </s:c>
      <s:c r="F755" s="24">
        <s:f>'자료구성'!$B$2+TIME(INT($C$3/10000),INT(MOD($C$3,10000)/100),MOD($C$3,100))+(ROW()-ROW($C$3))/86400</s:f>
        <s:v>46247.416863425926</s:v>
      </s:c>
    </s:row>
    <s:row r="756">
      <s:c r="A756" s="0" t="n">
        <s:v>260813</s:v>
      </s:c>
      <s:c r="B756" s="0" t="inlineStr">
        <s:is>
          <s:t>이종훈</s:t>
        </s:is>
      </s:c>
      <s:c r="C756" s="0" t="n">
        <s:v>94745</s:v>
      </s:c>
      <s:c r="D756" s="0" t="n">
        <s:v>2565</s:v>
      </s:c>
      <s:c r="F756" s="24">
        <s:f>'자료구성'!$B$2+TIME(INT($C$3/10000),INT(MOD($C$3,10000)/100),MOD($C$3,100))+(ROW()-ROW($C$3))/86400</s:f>
        <s:v>46247.416875</s:v>
      </s:c>
    </s:row>
    <s:row r="757">
      <s:c r="A757" s="0" t="n">
        <s:v>260813</s:v>
      </s:c>
      <s:c r="B757" s="0" t="inlineStr">
        <s:is>
          <s:t>이종훈</s:t>
        </s:is>
      </s:c>
      <s:c r="C757" s="0" t="n">
        <s:v>94745</s:v>
      </s:c>
      <s:c r="D757" s="0" t="n">
        <s:v>2542</s:v>
      </s:c>
      <s:c r="F757" s="24">
        <s:f>'자료구성'!$B$2+TIME(INT($C$3/10000),INT(MOD($C$3,10000)/100),MOD($C$3,100))+(ROW()-ROW($C$3))/86400</s:f>
        <s:v>46247.41688657407</s:v>
      </s:c>
    </s:row>
    <s:row r="758">
      <s:c r="A758" s="0" t="n">
        <s:v>260813</s:v>
      </s:c>
      <s:c r="B758" s="0" t="inlineStr">
        <s:is>
          <s:t>이종훈</s:t>
        </s:is>
      </s:c>
      <s:c r="C758" s="0" t="n">
        <s:v>94745</s:v>
      </s:c>
      <s:c r="D758" s="0" t="n">
        <s:v>2529</s:v>
      </s:c>
      <s:c r="F758" s="24">
        <s:f>'자료구성'!$B$2+TIME(INT($C$3/10000),INT(MOD($C$3,10000)/100),MOD($C$3,100))+(ROW()-ROW($C$3))/86400</s:f>
        <s:v>46247.41689814815</s:v>
      </s:c>
    </s:row>
    <s:row r="759">
      <s:c r="A759" s="0" t="n">
        <s:v>260813</s:v>
      </s:c>
      <s:c r="B759" s="0" t="inlineStr">
        <s:is>
          <s:t>이종훈</s:t>
        </s:is>
      </s:c>
      <s:c r="C759" s="0" t="n">
        <s:v>94745</s:v>
      </s:c>
      <s:c r="D759" s="0" t="n">
        <s:v>2529</s:v>
      </s:c>
      <s:c r="F759" s="24">
        <s:f>'자료구성'!$B$2+TIME(INT($C$3/10000),INT(MOD($C$3,10000)/100),MOD($C$3,100))+(ROW()-ROW($C$3))/86400</s:f>
        <s:v>46247.416909722226</s:v>
      </s:c>
    </s:row>
    <s:row r="760">
      <s:c r="A760" s="0" t="n">
        <s:v>260813</s:v>
      </s:c>
      <s:c r="B760" s="0" t="inlineStr">
        <s:is>
          <s:t>이종훈</s:t>
        </s:is>
      </s:c>
      <s:c r="C760" s="0" t="n">
        <s:v>94745</s:v>
      </s:c>
      <s:c r="D760" s="0" t="n">
        <s:v>2578</s:v>
      </s:c>
      <s:c r="F760" s="24">
        <s:f>'자료구성'!$B$2+TIME(INT($C$3/10000),INT(MOD($C$3,10000)/100),MOD($C$3,100))+(ROW()-ROW($C$3))/86400</s:f>
        <s:v>46247.416921296295</s:v>
      </s:c>
    </s:row>
    <s:row r="761">
      <s:c r="A761" s="0" t="n">
        <s:v>260813</s:v>
      </s:c>
      <s:c r="B761" s="0" t="inlineStr">
        <s:is>
          <s:t>이종훈</s:t>
        </s:is>
      </s:c>
      <s:c r="C761" s="0" t="n">
        <s:v>94745</s:v>
      </s:c>
      <s:c r="D761" s="0" t="n">
        <s:v>2663</s:v>
      </s:c>
      <s:c r="F761" s="24">
        <s:f>'자료구성'!$B$2+TIME(INT($C$3/10000),INT(MOD($C$3,10000)/100),MOD($C$3,100))+(ROW()-ROW($C$3))/86400</s:f>
        <s:v>46247.41693287037</s:v>
      </s:c>
    </s:row>
    <s:row r="762">
      <s:c r="A762" s="0" t="n">
        <s:v>260813</s:v>
      </s:c>
      <s:c r="B762" s="0" t="inlineStr">
        <s:is>
          <s:t>이종훈</s:t>
        </s:is>
      </s:c>
      <s:c r="C762" s="0" t="n">
        <s:v>94745</s:v>
      </s:c>
      <s:c r="D762" s="0" t="n">
        <s:v>2665</s:v>
      </s:c>
      <s:c r="F762" s="24">
        <s:f>'자료구성'!$B$2+TIME(INT($C$3/10000),INT(MOD($C$3,10000)/100),MOD($C$3,100))+(ROW()-ROW($C$3))/86400</s:f>
        <s:v>46247.41694444444</s:v>
      </s:c>
    </s:row>
    <s:row r="763">
      <s:c r="A763" s="0" t="n">
        <s:v>260813</s:v>
      </s:c>
      <s:c r="B763" s="0" t="inlineStr">
        <s:is>
          <s:t>이종훈</s:t>
        </s:is>
      </s:c>
      <s:c r="C763" s="0" t="n">
        <s:v>94745</s:v>
      </s:c>
      <s:c r="D763" s="0" t="n">
        <s:v>2707</s:v>
      </s:c>
      <s:c r="F763" s="24">
        <s:f>'자료구성'!$B$2+TIME(INT($C$3/10000),INT(MOD($C$3,10000)/100),MOD($C$3,100))+(ROW()-ROW($C$3))/86400</s:f>
        <s:v>46247.41695601852</s:v>
      </s:c>
    </s:row>
    <s:row r="764">
      <s:c r="A764" s="0" t="n">
        <s:v>260813</s:v>
      </s:c>
      <s:c r="B764" s="0" t="inlineStr">
        <s:is>
          <s:t>이종훈</s:t>
        </s:is>
      </s:c>
      <s:c r="C764" s="0" t="n">
        <s:v>94745</s:v>
      </s:c>
      <s:c r="D764" s="0" t="n">
        <s:v>2695</s:v>
      </s:c>
      <s:c r="F764" s="24">
        <s:f>'자료구성'!$B$2+TIME(INT($C$3/10000),INT(MOD($C$3,10000)/100),MOD($C$3,100))+(ROW()-ROW($C$3))/86400</s:f>
        <s:v>46247.416967592595</s:v>
      </s:c>
    </s:row>
    <s:row r="765">
      <s:c r="A765" s="0" t="n">
        <s:v>260813</s:v>
      </s:c>
      <s:c r="B765" s="0" t="inlineStr">
        <s:is>
          <s:t>이종훈</s:t>
        </s:is>
      </s:c>
      <s:c r="C765" s="0" t="n">
        <s:v>94745</s:v>
      </s:c>
      <s:c r="D765" s="0" t="n">
        <s:v>2738</s:v>
      </s:c>
      <s:c r="F765" s="24">
        <s:f>'자료구성'!$B$2+TIME(INT($C$3/10000),INT(MOD($C$3,10000)/100),MOD($C$3,100))+(ROW()-ROW($C$3))/86400</s:f>
        <s:v>46247.416979166665</s:v>
      </s:c>
    </s:row>
    <s:row r="766">
      <s:c r="A766" s="0" t="n">
        <s:v>260813</s:v>
      </s:c>
      <s:c r="B766" s="0" t="inlineStr">
        <s:is>
          <s:t>이종훈</s:t>
        </s:is>
      </s:c>
      <s:c r="C766" s="0" t="n">
        <s:v>94745</s:v>
      </s:c>
      <s:c r="D766" s="0" t="n">
        <s:v>2785</s:v>
      </s:c>
      <s:c r="F766" s="24">
        <s:f>'자료구성'!$B$2+TIME(INT($C$3/10000),INT(MOD($C$3,10000)/100),MOD($C$3,100))+(ROW()-ROW($C$3))/86400</s:f>
        <s:v>46247.41699074074</s:v>
      </s:c>
    </s:row>
    <s:row r="767">
      <s:c r="A767" s="0" t="n">
        <s:v>260813</s:v>
      </s:c>
      <s:c r="B767" s="0" t="inlineStr">
        <s:is>
          <s:t>이종훈</s:t>
        </s:is>
      </s:c>
      <s:c r="C767" s="0" t="n">
        <s:v>94745</s:v>
      </s:c>
      <s:c r="D767" s="0" t="n">
        <s:v>2875</s:v>
      </s:c>
      <s:c r="F767" s="24">
        <s:f>'자료구성'!$B$2+TIME(INT($C$3/10000),INT(MOD($C$3,10000)/100),MOD($C$3,100))+(ROW()-ROW($C$3))/86400</s:f>
        <s:v>46247.41700231482</s:v>
      </s:c>
    </s:row>
    <s:row r="768">
      <s:c r="A768" s="0" t="n">
        <s:v>260813</s:v>
      </s:c>
      <s:c r="B768" s="0" t="inlineStr">
        <s:is>
          <s:t>이종훈</s:t>
        </s:is>
      </s:c>
      <s:c r="C768" s="0" t="n">
        <s:v>94745</s:v>
      </s:c>
      <s:c r="D768" s="0" t="n">
        <s:v>3011</s:v>
      </s:c>
      <s:c r="F768" s="24">
        <s:f>'자료구성'!$B$2+TIME(INT($C$3/10000),INT(MOD($C$3,10000)/100),MOD($C$3,100))+(ROW()-ROW($C$3))/86400</s:f>
        <s:v>46247.41701388889</s:v>
      </s:c>
    </s:row>
    <s:row r="769">
      <s:c r="A769" s="0" t="n">
        <s:v>260813</s:v>
      </s:c>
      <s:c r="B769" s="0" t="inlineStr">
        <s:is>
          <s:t>이종훈</s:t>
        </s:is>
      </s:c>
      <s:c r="C769" s="0" t="n">
        <s:v>94745</s:v>
      </s:c>
      <s:c r="D769" s="0" t="n">
        <s:v>3122</s:v>
      </s:c>
      <s:c r="F769" s="24">
        <s:f>'자료구성'!$B$2+TIME(INT($C$3/10000),INT(MOD($C$3,10000)/100),MOD($C$3,100))+(ROW()-ROW($C$3))/86400</s:f>
        <s:v>46247.417025462964</s:v>
      </s:c>
    </s:row>
    <s:row r="770">
      <s:c r="A770" s="0" t="n">
        <s:v>260813</s:v>
      </s:c>
      <s:c r="B770" s="0" t="inlineStr">
        <s:is>
          <s:t>이종훈</s:t>
        </s:is>
      </s:c>
      <s:c r="C770" s="0" t="n">
        <s:v>94745</s:v>
      </s:c>
      <s:c r="D770" s="0" t="n">
        <s:v>3128</s:v>
      </s:c>
      <s:c r="F770" s="24">
        <s:f>'자료구성'!$B$2+TIME(INT($C$3/10000),INT(MOD($C$3,10000)/100),MOD($C$3,100))+(ROW()-ROW($C$3))/86400</s:f>
        <s:v>46247.417037037034</s:v>
      </s:c>
    </s:row>
    <s:row r="771">
      <s:c r="A771" s="0" t="n">
        <s:v>260813</s:v>
      </s:c>
      <s:c r="B771" s="0" t="inlineStr">
        <s:is>
          <s:t>이종훈</s:t>
        </s:is>
      </s:c>
      <s:c r="C771" s="0" t="n">
        <s:v>94745</s:v>
      </s:c>
      <s:c r="D771" s="0" t="n">
        <s:v>3102</s:v>
      </s:c>
      <s:c r="F771" s="24">
        <s:f>'자료구성'!$B$2+TIME(INT($C$3/10000),INT(MOD($C$3,10000)/100),MOD($C$3,100))+(ROW()-ROW($C$3))/86400</s:f>
        <s:v>46247.41704861111</s:v>
      </s:c>
    </s:row>
    <s:row r="772">
      <s:c r="A772" s="0" t="n">
        <s:v>260813</s:v>
      </s:c>
      <s:c r="B772" s="0" t="inlineStr">
        <s:is>
          <s:t>이종훈</s:t>
        </s:is>
      </s:c>
      <s:c r="C772" s="0" t="n">
        <s:v>94745</s:v>
      </s:c>
      <s:c r="D772" s="0" t="n">
        <s:v>3013</s:v>
      </s:c>
      <s:c r="F772" s="24">
        <s:f>'자료구성'!$B$2+TIME(INT($C$3/10000),INT(MOD($C$3,10000)/100),MOD($C$3,100))+(ROW()-ROW($C$3))/86400</s:f>
        <s:v>46247.41706018519</s:v>
      </s:c>
    </s:row>
    <s:row r="773">
      <s:c r="A773" s="0" t="n">
        <s:v>260813</s:v>
      </s:c>
      <s:c r="B773" s="0" t="inlineStr">
        <s:is>
          <s:t>이종훈</s:t>
        </s:is>
      </s:c>
      <s:c r="C773" s="0" t="n">
        <s:v>94745</s:v>
      </s:c>
      <s:c r="D773" s="0" t="n">
        <s:v>2908</s:v>
      </s:c>
      <s:c r="F773" s="24">
        <s:f>'자료구성'!$B$2+TIME(INT($C$3/10000),INT(MOD($C$3,10000)/100),MOD($C$3,100))+(ROW()-ROW($C$3))/86400</s:f>
        <s:v>46247.41707175926</s:v>
      </s:c>
    </s:row>
    <s:row r="774">
      <s:c r="A774" s="0" t="n">
        <s:v>260813</s:v>
      </s:c>
      <s:c r="B774" s="0" t="inlineStr">
        <s:is>
          <s:t>이종훈</s:t>
        </s:is>
      </s:c>
      <s:c r="C774" s="0" t="n">
        <s:v>94745</s:v>
      </s:c>
      <s:c r="D774" s="0" t="n">
        <s:v>2784</s:v>
      </s:c>
      <s:c r="F774" s="24">
        <s:f>'자료구성'!$B$2+TIME(INT($C$3/10000),INT(MOD($C$3,10000)/100),MOD($C$3,100))+(ROW()-ROW($C$3))/86400</s:f>
        <s:v>46247.417083333334</s:v>
      </s:c>
    </s:row>
    <s:row r="775">
      <s:c r="A775" s="0" t="n">
        <s:v>260813</s:v>
      </s:c>
      <s:c r="B775" s="0" t="inlineStr">
        <s:is>
          <s:t>이종훈</s:t>
        </s:is>
      </s:c>
      <s:c r="C775" s="0" t="n">
        <s:v>94745</s:v>
      </s:c>
      <s:c r="D775" s="0" t="n">
        <s:v>2677</s:v>
      </s:c>
      <s:c r="F775" s="24">
        <s:f>'자료구성'!$B$2+TIME(INT($C$3/10000),INT(MOD($C$3,10000)/100),MOD($C$3,100))+(ROW()-ROW($C$3))/86400</s:f>
        <s:v>46247.41709490741</s:v>
      </s:c>
    </s:row>
    <s:row r="776">
      <s:c r="A776" s="0" t="n">
        <s:v>260813</s:v>
      </s:c>
      <s:c r="B776" s="0" t="inlineStr">
        <s:is>
          <s:t>이종훈</s:t>
        </s:is>
      </s:c>
      <s:c r="C776" s="0" t="n">
        <s:v>94745</s:v>
      </s:c>
      <s:c r="D776" s="0" t="n">
        <s:v>2589</s:v>
      </s:c>
      <s:c r="F776" s="24">
        <s:f>'자료구성'!$B$2+TIME(INT($C$3/10000),INT(MOD($C$3,10000)/100),MOD($C$3,100))+(ROW()-ROW($C$3))/86400</s:f>
        <s:v>46247.41710648148</s:v>
      </s:c>
    </s:row>
    <s:row r="777">
      <s:c r="A777" s="0" t="n">
        <s:v>260813</s:v>
      </s:c>
      <s:c r="B777" s="0" t="inlineStr">
        <s:is>
          <s:t>이종훈</s:t>
        </s:is>
      </s:c>
      <s:c r="C777" s="0" t="n">
        <s:v>94745</s:v>
      </s:c>
      <s:c r="D777" s="0" t="n">
        <s:v>2552</s:v>
      </s:c>
      <s:c r="F777" s="24">
        <s:f>'자료구성'!$B$2+TIME(INT($C$3/10000),INT(MOD($C$3,10000)/100),MOD($C$3,100))+(ROW()-ROW($C$3))/86400</s:f>
        <s:v>46247.41711805556</s:v>
      </s:c>
    </s:row>
    <s:row r="778">
      <s:c r="A778" s="0" t="n">
        <s:v>260813</s:v>
      </s:c>
      <s:c r="B778" s="0" t="inlineStr">
        <s:is>
          <s:t>이종훈</s:t>
        </s:is>
      </s:c>
      <s:c r="C778" s="0" t="n">
        <s:v>94745</s:v>
      </s:c>
      <s:c r="D778" s="0" t="n">
        <s:v>2529</s:v>
      </s:c>
      <s:c r="F778" s="24">
        <s:f>'자료구성'!$B$2+TIME(INT($C$3/10000),INT(MOD($C$3,10000)/100),MOD($C$3,100))+(ROW()-ROW($C$3))/86400</s:f>
        <s:v>46247.417129629626</s:v>
      </s:c>
    </s:row>
    <s:row r="779">
      <s:c r="A779" s="0" t="n">
        <s:v>260813</s:v>
      </s:c>
      <s:c r="B779" s="0" t="inlineStr">
        <s:is>
          <s:t>이종훈</s:t>
        </s:is>
      </s:c>
      <s:c r="C779" s="0" t="n">
        <s:v>94745</s:v>
      </s:c>
      <s:c r="D779" s="0" t="n">
        <s:v>2495</s:v>
      </s:c>
      <s:c r="F779" s="24">
        <s:f>'자료구성'!$B$2+TIME(INT($C$3/10000),INT(MOD($C$3,10000)/100),MOD($C$3,100))+(ROW()-ROW($C$3))/86400</s:f>
        <s:v>46247.4171412037</s:v>
      </s:c>
    </s:row>
    <s:row r="780">
      <s:c r="A780" s="0" t="n">
        <s:v>260813</s:v>
      </s:c>
      <s:c r="B780" s="0" t="inlineStr">
        <s:is>
          <s:t>이종훈</s:t>
        </s:is>
      </s:c>
      <s:c r="C780" s="0" t="n">
        <s:v>94745</s:v>
      </s:c>
      <s:c r="D780" s="0" t="n">
        <s:v>2459</s:v>
      </s:c>
      <s:c r="F780" s="24">
        <s:f>'자료구성'!$B$2+TIME(INT($C$3/10000),INT(MOD($C$3,10000)/100),MOD($C$3,100))+(ROW()-ROW($C$3))/86400</s:f>
        <s:v>46247.41715277778</s:v>
      </s:c>
    </s:row>
    <s:row r="781">
      <s:c r="A781" s="0" t="n">
        <s:v>260813</s:v>
      </s:c>
      <s:c r="B781" s="0" t="inlineStr">
        <s:is>
          <s:t>이종훈</s:t>
        </s:is>
      </s:c>
      <s:c r="C781" s="0" t="n">
        <s:v>94745</s:v>
      </s:c>
      <s:c r="D781" s="0" t="n">
        <s:v>2441</s:v>
      </s:c>
      <s:c r="F781" s="24">
        <s:f>'자료구성'!$B$2+TIME(INT($C$3/10000),INT(MOD($C$3,10000)/100),MOD($C$3,100))+(ROW()-ROW($C$3))/86400</s:f>
        <s:v>46247.41716435185</s:v>
      </s:c>
    </s:row>
    <s:row r="782">
      <s:c r="A782" s="0" t="n">
        <s:v>260813</s:v>
      </s:c>
      <s:c r="B782" s="0" t="inlineStr">
        <s:is>
          <s:t>이종훈</s:t>
        </s:is>
      </s:c>
      <s:c r="C782" s="0" t="n">
        <s:v>94745</s:v>
      </s:c>
      <s:c r="D782" s="0" t="n">
        <s:v>2444</s:v>
      </s:c>
      <s:c r="F782" s="24">
        <s:f>'자료구성'!$B$2+TIME(INT($C$3/10000),INT(MOD($C$3,10000)/100),MOD($C$3,100))+(ROW()-ROW($C$3))/86400</s:f>
        <s:v>46247.417175925926</s:v>
      </s:c>
    </s:row>
    <s:row r="783">
      <s:c r="A783" s="0" t="n">
        <s:v>260813</s:v>
      </s:c>
      <s:c r="B783" s="0" t="inlineStr">
        <s:is>
          <s:t>이종훈</s:t>
        </s:is>
      </s:c>
      <s:c r="C783" s="0" t="n">
        <s:v>94745</s:v>
      </s:c>
      <s:c r="D783" s="0" t="n">
        <s:v>2423</s:v>
      </s:c>
      <s:c r="F783" s="24">
        <s:f>'자료구성'!$B$2+TIME(INT($C$3/10000),INT(MOD($C$3,10000)/100),MOD($C$3,100))+(ROW()-ROW($C$3))/86400</s:f>
        <s:v>46247.4171875</s:v>
      </s:c>
    </s:row>
    <s:row r="784">
      <s:c r="A784" s="0" t="n">
        <s:v>260813</s:v>
      </s:c>
      <s:c r="B784" s="0" t="inlineStr">
        <s:is>
          <s:t>이종훈</s:t>
        </s:is>
      </s:c>
      <s:c r="C784" s="0" t="n">
        <s:v>94745</s:v>
      </s:c>
      <s:c r="D784" s="0" t="n">
        <s:v>2378</s:v>
      </s:c>
      <s:c r="F784" s="24">
        <s:f>'자료구성'!$B$2+TIME(INT($C$3/10000),INT(MOD($C$3,10000)/100),MOD($C$3,100))+(ROW()-ROW($C$3))/86400</s:f>
        <s:v>46247.41719907407</s:v>
      </s:c>
    </s:row>
    <s:row r="785">
      <s:c r="A785" s="0" t="n">
        <s:v>260813</s:v>
      </s:c>
      <s:c r="B785" s="0" t="inlineStr">
        <s:is>
          <s:t>이종훈</s:t>
        </s:is>
      </s:c>
      <s:c r="C785" s="0" t="n">
        <s:v>94745</s:v>
      </s:c>
      <s:c r="D785" s="0" t="inlineStr">
        <s:is>
          <s:t>****</s:t>
        </s:is>
      </s:c>
      <s:c r="F785" s="24">
        <s:f>'자료구성'!$B$2+TIME(INT($C$3/10000),INT(MOD($C$3,10000)/100),MOD($C$3,100))+(ROW()-ROW($C$3))/86400</s:f>
        <s:v>46247.41721064815</s:v>
      </s:c>
    </s:row>
    <s:row r="786">
      <s:c r="A786" s="0" t="n">
        <s:v>260813</s:v>
      </s:c>
      <s:c r="B786" s="0" t="inlineStr">
        <s:is>
          <s:t>이종훈</s:t>
        </s:is>
      </s:c>
      <s:c r="C786" s="0" t="n">
        <s:v>94745</s:v>
      </s:c>
      <s:c r="D786" s="0" t="n">
        <s:v>2310</s:v>
      </s:c>
      <s:c r="F786" s="24">
        <s:f>'자료구성'!$B$2+TIME(INT($C$3/10000),INT(MOD($C$3,10000)/100),MOD($C$3,100))+(ROW()-ROW($C$3))/86400</s:f>
        <s:v>46247.41722222222</s:v>
      </s:c>
    </s:row>
    <s:row r="787">
      <s:c r="A787" s="0" t="n">
        <s:v>260813</s:v>
      </s:c>
      <s:c r="B787" s="0" t="inlineStr">
        <s:is>
          <s:t>이종훈</s:t>
        </s:is>
      </s:c>
      <s:c r="C787" s="0" t="n">
        <s:v>94745</s:v>
      </s:c>
      <s:c r="D787" s="0" t="n">
        <s:v>2280</s:v>
      </s:c>
      <s:c r="F787" s="24">
        <s:f>'자료구성'!$B$2+TIME(INT($C$3/10000),INT(MOD($C$3,10000)/100),MOD($C$3,100))+(ROW()-ROW($C$3))/86400</s:f>
        <s:v>46247.417233796295</s:v>
      </s:c>
    </s:row>
    <s:row r="788">
      <s:c r="A788" s="0" t="n">
        <s:v>260813</s:v>
      </s:c>
      <s:c r="B788" s="0" t="inlineStr">
        <s:is>
          <s:t>이종훈</s:t>
        </s:is>
      </s:c>
      <s:c r="C788" s="0" t="n">
        <s:v>94745</s:v>
      </s:c>
      <s:c r="D788" s="0" t="n">
        <s:v>2266</s:v>
      </s:c>
      <s:c r="F788" s="24">
        <s:f>'자료구성'!$B$2+TIME(INT($C$3/10000),INT(MOD($C$3,10000)/100),MOD($C$3,100))+(ROW()-ROW($C$3))/86400</s:f>
        <s:v>46247.41724537037</s:v>
      </s:c>
    </s:row>
    <s:row r="789">
      <s:c r="A789" s="0" t="n">
        <s:v>260813</s:v>
      </s:c>
      <s:c r="B789" s="0" t="inlineStr">
        <s:is>
          <s:t>이종훈</s:t>
        </s:is>
      </s:c>
      <s:c r="C789" s="0" t="n">
        <s:v>94745</s:v>
      </s:c>
      <s:c r="D789" s="0" t="n">
        <s:v>2207</s:v>
      </s:c>
      <s:c r="F789" s="24">
        <s:f>'자료구성'!$B$2+TIME(INT($C$3/10000),INT(MOD($C$3,10000)/100),MOD($C$3,100))+(ROW()-ROW($C$3))/86400</s:f>
        <s:v>46247.41725694444</s:v>
      </s:c>
    </s:row>
    <s:row r="790">
      <s:c r="A790" s="0" t="n">
        <s:v>260813</s:v>
      </s:c>
      <s:c r="B790" s="0" t="inlineStr">
        <s:is>
          <s:t>이종훈</s:t>
        </s:is>
      </s:c>
      <s:c r="C790" s="0" t="n">
        <s:v>94745</s:v>
      </s:c>
      <s:c r="D790" s="0" t="n">
        <s:v>2173</s:v>
      </s:c>
      <s:c r="F790" s="24">
        <s:f>'자료구성'!$B$2+TIME(INT($C$3/10000),INT(MOD($C$3,10000)/100),MOD($C$3,100))+(ROW()-ROW($C$3))/86400</s:f>
        <s:v>46247.41726851852</s:v>
      </s:c>
    </s:row>
    <s:row r="791">
      <s:c r="A791" s="0" t="n">
        <s:v>260813</s:v>
      </s:c>
      <s:c r="B791" s="0" t="inlineStr">
        <s:is>
          <s:t>이종훈</s:t>
        </s:is>
      </s:c>
      <s:c r="C791" s="0" t="n">
        <s:v>94745</s:v>
      </s:c>
      <s:c r="D791" s="0" t="n">
        <s:v>2102</s:v>
      </s:c>
      <s:c r="F791" s="24">
        <s:f>'자료구성'!$B$2+TIME(INT($C$3/10000),INT(MOD($C$3,10000)/100),MOD($C$3,100))+(ROW()-ROW($C$3))/86400</s:f>
        <s:v>46247.417280092595</s:v>
      </s:c>
    </s:row>
    <s:row r="792">
      <s:c r="A792" s="0" t="n">
        <s:v>260813</s:v>
      </s:c>
      <s:c r="B792" s="0" t="inlineStr">
        <s:is>
          <s:t>이종훈</s:t>
        </s:is>
      </s:c>
      <s:c r="C792" s="0" t="n">
        <s:v>94745</s:v>
      </s:c>
      <s:c r="D792" s="0" t="n">
        <s:v>2034</s:v>
      </s:c>
      <s:c r="F792" s="24">
        <s:f>'자료구성'!$B$2+TIME(INT($C$3/10000),INT(MOD($C$3,10000)/100),MOD($C$3,100))+(ROW()-ROW($C$3))/86400</s:f>
        <s:v>46247.417291666665</s:v>
      </s:c>
    </s:row>
    <s:row r="793">
      <s:c r="A793" s="0" t="n">
        <s:v>260813</s:v>
      </s:c>
      <s:c r="B793" s="0" t="inlineStr">
        <s:is>
          <s:t>이종훈</s:t>
        </s:is>
      </s:c>
      <s:c r="C793" s="0" t="n">
        <s:v>94745</s:v>
      </s:c>
      <s:c r="D793" s="0" t="n">
        <s:v>1985</s:v>
      </s:c>
      <s:c r="F793" s="24">
        <s:f>'자료구성'!$B$2+TIME(INT($C$3/10000),INT(MOD($C$3,10000)/100),MOD($C$3,100))+(ROW()-ROW($C$3))/86400</s:f>
        <s:v>46247.41730324074</s:v>
      </s:c>
    </s:row>
    <s:row r="794">
      <s:c r="A794" s="0" t="n">
        <s:v>260813</s:v>
      </s:c>
      <s:c r="B794" s="0" t="inlineStr">
        <s:is>
          <s:t>이종훈</s:t>
        </s:is>
      </s:c>
      <s:c r="C794" s="0" t="n">
        <s:v>94745</s:v>
      </s:c>
      <s:c r="D794" s="0" t="n">
        <s:v>1941</s:v>
      </s:c>
      <s:c r="F794" s="24">
        <s:f>'자료구성'!$B$2+TIME(INT($C$3/10000),INT(MOD($C$3,10000)/100),MOD($C$3,100))+(ROW()-ROW($C$3))/86400</s:f>
        <s:v>46247.41731481482</s:v>
      </s:c>
    </s:row>
    <s:row r="795">
      <s:c r="A795" s="0" t="n">
        <s:v>260813</s:v>
      </s:c>
      <s:c r="B795" s="0" t="inlineStr">
        <s:is>
          <s:t>이종훈</s:t>
        </s:is>
      </s:c>
      <s:c r="C795" s="0" t="n">
        <s:v>94745</s:v>
      </s:c>
      <s:c r="D795" s="0" t="n">
        <s:v>1920</s:v>
      </s:c>
      <s:c r="F795" s="24">
        <s:f>'자료구성'!$B$2+TIME(INT($C$3/10000),INT(MOD($C$3,10000)/100),MOD($C$3,100))+(ROW()-ROW($C$3))/86400</s:f>
        <s:v>46247.41732638889</s:v>
      </s:c>
    </s:row>
    <s:row r="796">
      <s:c r="A796" s="0" t="n">
        <s:v>260813</s:v>
      </s:c>
      <s:c r="B796" s="0" t="inlineStr">
        <s:is>
          <s:t>이종훈</s:t>
        </s:is>
      </s:c>
      <s:c r="C796" s="0" t="n">
        <s:v>94745</s:v>
      </s:c>
      <s:c r="D796" s="0" t="n">
        <s:v>1905</s:v>
      </s:c>
      <s:c r="F796" s="24">
        <s:f>'자료구성'!$B$2+TIME(INT($C$3/10000),INT(MOD($C$3,10000)/100),MOD($C$3,100))+(ROW()-ROW($C$3))/86400</s:f>
        <s:v>46247.417337962965</s:v>
      </s:c>
    </s:row>
    <s:row r="797">
      <s:c r="A797" s="0" t="n">
        <s:v>260813</s:v>
      </s:c>
      <s:c r="B797" s="0" t="inlineStr">
        <s:is>
          <s:t>이종훈</s:t>
        </s:is>
      </s:c>
      <s:c r="C797" s="0" t="n">
        <s:v>94745</s:v>
      </s:c>
      <s:c r="D797" s="0" t="n">
        <s:v>1862</s:v>
      </s:c>
      <s:c r="F797" s="24">
        <s:f>'자료구성'!$B$2+TIME(INT($C$3/10000),INT(MOD($C$3,10000)/100),MOD($C$3,100))+(ROW()-ROW($C$3))/86400</s:f>
        <s:v>46247.417349537034</s:v>
      </s:c>
    </s:row>
    <s:row r="798">
      <s:c r="A798" s="0" t="n">
        <s:v>260813</s:v>
      </s:c>
      <s:c r="B798" s="0" t="inlineStr">
        <s:is>
          <s:t>이종훈</s:t>
        </s:is>
      </s:c>
      <s:c r="C798" s="0" t="n">
        <s:v>94745</s:v>
      </s:c>
      <s:c r="D798" s="0" t="n">
        <s:v>1834</s:v>
      </s:c>
      <s:c r="F798" s="24">
        <s:f>'자료구성'!$B$2+TIME(INT($C$3/10000),INT(MOD($C$3,10000)/100),MOD($C$3,100))+(ROW()-ROW($C$3))/86400</s:f>
        <s:v>46247.41736111111</s:v>
      </s:c>
    </s:row>
    <s:row r="799">
      <s:c r="A799" s="0" t="n">
        <s:v>260813</s:v>
      </s:c>
      <s:c r="B799" s="0" t="inlineStr">
        <s:is>
          <s:t>이종훈</s:t>
        </s:is>
      </s:c>
      <s:c r="C799" s="0" t="n">
        <s:v>94745</s:v>
      </s:c>
      <s:c r="D799" s="0" t="n">
        <s:v>1824</s:v>
      </s:c>
      <s:c r="F799" s="24">
        <s:f>'자료구성'!$B$2+TIME(INT($C$3/10000),INT(MOD($C$3,10000)/100),MOD($C$3,100))+(ROW()-ROW($C$3))/86400</s:f>
        <s:v>46247.41737268519</s:v>
      </s:c>
    </s:row>
    <s:row r="800">
      <s:c r="A800" s="0" t="n">
        <s:v>260813</s:v>
      </s:c>
      <s:c r="B800" s="0" t="inlineStr">
        <s:is>
          <s:t>이종훈</s:t>
        </s:is>
      </s:c>
      <s:c r="C800" s="0" t="n">
        <s:v>94745</s:v>
      </s:c>
      <s:c r="D800" s="0" t="n">
        <s:v>1819</s:v>
      </s:c>
      <s:c r="F800" s="24">
        <s:f>'자료구성'!$B$2+TIME(INT($C$3/10000),INT(MOD($C$3,10000)/100),MOD($C$3,100))+(ROW()-ROW($C$3))/86400</s:f>
        <s:v>46247.41738425926</s:v>
      </s:c>
    </s:row>
    <s:row r="801">
      <s:c r="A801" s="0" t="n">
        <s:v>260813</s:v>
      </s:c>
      <s:c r="B801" s="0" t="inlineStr">
        <s:is>
          <s:t>이종훈</s:t>
        </s:is>
      </s:c>
      <s:c r="C801" s="0" t="n">
        <s:v>94745</s:v>
      </s:c>
      <s:c r="D801" s="0" t="n">
        <s:v>1852</s:v>
      </s:c>
      <s:c r="F801" s="24">
        <s:f>'자료구성'!$B$2+TIME(INT($C$3/10000),INT(MOD($C$3,10000)/100),MOD($C$3,100))+(ROW()-ROW($C$3))/86400</s:f>
        <s:v>46247.417395833334</s:v>
      </s:c>
    </s:row>
    <s:row r="802">
      <s:c r="A802" s="0" t="n">
        <s:v>260813</s:v>
      </s:c>
      <s:c r="B802" s="0" t="inlineStr">
        <s:is>
          <s:t>이종훈</s:t>
        </s:is>
      </s:c>
      <s:c r="C802" s="0" t="n">
        <s:v>94745</s:v>
      </s:c>
      <s:c r="D802" s="0" t="n">
        <s:v>1897</s:v>
      </s:c>
      <s:c r="F802" s="24">
        <s:f>'자료구성'!$B$2+TIME(INT($C$3/10000),INT(MOD($C$3,10000)/100),MOD($C$3,100))+(ROW()-ROW($C$3))/86400</s:f>
        <s:v>46247.41740740741</s:v>
      </s:c>
    </s:row>
    <s:row r="803">
      <s:c r="A803" s="0" t="n">
        <s:v>260813</s:v>
      </s:c>
      <s:c r="B803" s="0" t="inlineStr">
        <s:is>
          <s:t>이종훈</s:t>
        </s:is>
      </s:c>
      <s:c r="C803" s="0" t="n">
        <s:v>94745</s:v>
      </s:c>
      <s:c r="D803" s="0" t="n">
        <s:v>1966</s:v>
      </s:c>
      <s:c r="F803" s="24">
        <s:f>'자료구성'!$B$2+TIME(INT($C$3/10000),INT(MOD($C$3,10000)/100),MOD($C$3,100))+(ROW()-ROW($C$3))/86400</s:f>
        <s:v>46247.41741898148</s:v>
      </s:c>
    </s:row>
    <s:row r="804">
      <s:c r="A804" s="0" t="n">
        <s:v>260813</s:v>
      </s:c>
      <s:c r="B804" s="0" t="inlineStr">
        <s:is>
          <s:t>이종훈</s:t>
        </s:is>
      </s:c>
      <s:c r="C804" s="0" t="n">
        <s:v>94745</s:v>
      </s:c>
      <s:c r="D804" s="0" t="n">
        <s:v>2006</s:v>
      </s:c>
      <s:c r="F804" s="24">
        <s:f>'자료구성'!$B$2+TIME(INT($C$3/10000),INT(MOD($C$3,10000)/100),MOD($C$3,100))+(ROW()-ROW($C$3))/86400</s:f>
        <s:v>46247.41743055556</s:v>
      </s:c>
    </s:row>
    <s:row r="805">
      <s:c r="A805" s="0" t="n">
        <s:v>260813</s:v>
      </s:c>
      <s:c r="B805" s="0" t="inlineStr">
        <s:is>
          <s:t>이종훈</s:t>
        </s:is>
      </s:c>
      <s:c r="C805" s="0" t="n">
        <s:v>94745</s:v>
      </s:c>
      <s:c r="D805" s="0" t="n">
        <s:v>2045</s:v>
      </s:c>
      <s:c r="F805" s="24">
        <s:f>'자료구성'!$B$2+TIME(INT($C$3/10000),INT(MOD($C$3,10000)/100),MOD($C$3,100))+(ROW()-ROW($C$3))/86400</s:f>
        <s:v>46247.41744212963</s:v>
      </s:c>
    </s:row>
    <s:row r="806">
      <s:c r="A806" s="0" t="n">
        <s:v>260813</s:v>
      </s:c>
      <s:c r="B806" s="0" t="inlineStr">
        <s:is>
          <s:t>이종훈</s:t>
        </s:is>
      </s:c>
      <s:c r="C806" s="0" t="n">
        <s:v>94745</s:v>
      </s:c>
      <s:c r="D806" s="0" t="n">
        <s:v>2067</s:v>
      </s:c>
      <s:c r="F806" s="24">
        <s:f>'자료구성'!$B$2+TIME(INT($C$3/10000),INT(MOD($C$3,10000)/100),MOD($C$3,100))+(ROW()-ROW($C$3))/86400</s:f>
        <s:v>46247.4174537037</s:v>
      </s:c>
    </s:row>
    <s:row r="807">
      <s:c r="A807" s="0" t="n">
        <s:v>260813</s:v>
      </s:c>
      <s:c r="B807" s="0" t="inlineStr">
        <s:is>
          <s:t>이종훈</s:t>
        </s:is>
      </s:c>
      <s:c r="C807" s="0" t="n">
        <s:v>94745</s:v>
      </s:c>
      <s:c r="D807" s="0" t="n">
        <s:v>2092</s:v>
      </s:c>
      <s:c r="F807" s="24">
        <s:f>'자료구성'!$B$2+TIME(INT($C$3/10000),INT(MOD($C$3,10000)/100),MOD($C$3,100))+(ROW()-ROW($C$3))/86400</s:f>
        <s:v>46247.41746527778</s:v>
      </s:c>
    </s:row>
    <s:row r="808">
      <s:c r="A808" s="0" t="n">
        <s:v>260813</s:v>
      </s:c>
      <s:c r="B808" s="0" t="inlineStr">
        <s:is>
          <s:t>이종훈</s:t>
        </s:is>
      </s:c>
      <s:c r="C808" s="0" t="n">
        <s:v>94745</s:v>
      </s:c>
      <s:c r="D808" s="0" t="n">
        <s:v>2074</s:v>
      </s:c>
      <s:c r="F808" s="24">
        <s:f>'자료구성'!$B$2+TIME(INT($C$3/10000),INT(MOD($C$3,10000)/100),MOD($C$3,100))+(ROW()-ROW($C$3))/86400</s:f>
        <s:v>46247.41747685185</s:v>
      </s:c>
    </s:row>
    <s:row r="809">
      <s:c r="A809" s="0" t="n">
        <s:v>260813</s:v>
      </s:c>
      <s:c r="B809" s="0" t="inlineStr">
        <s:is>
          <s:t>이종훈</s:t>
        </s:is>
      </s:c>
      <s:c r="C809" s="0" t="n">
        <s:v>94745</s:v>
      </s:c>
      <s:c r="D809" s="0" t="n">
        <s:v>2069</s:v>
      </s:c>
      <s:c r="F809" s="24">
        <s:f>'자료구성'!$B$2+TIME(INT($C$3/10000),INT(MOD($C$3,10000)/100),MOD($C$3,100))+(ROW()-ROW($C$3))/86400</s:f>
        <s:v>46247.41748842593</s:v>
      </s:c>
    </s:row>
    <s:row r="810">
      <s:c r="A810" s="0" t="n">
        <s:v>260813</s:v>
      </s:c>
      <s:c r="B810" s="0" t="inlineStr">
        <s:is>
          <s:t>이종훈</s:t>
        </s:is>
      </s:c>
      <s:c r="C810" s="0" t="n">
        <s:v>94745</s:v>
      </s:c>
      <s:c r="D810" s="0" t="n">
        <s:v>2097</s:v>
      </s:c>
      <s:c r="F810" s="24">
        <s:f>'자료구성'!$B$2+TIME(INT($C$3/10000),INT(MOD($C$3,10000)/100),MOD($C$3,100))+(ROW()-ROW($C$3))/86400</s:f>
        <s:v>46247.4175</s:v>
      </s:c>
    </s:row>
    <s:row r="811">
      <s:c r="A811" s="0" t="n">
        <s:v>260813</s:v>
      </s:c>
      <s:c r="B811" s="0" t="inlineStr">
        <s:is>
          <s:t>이종훈</s:t>
        </s:is>
      </s:c>
      <s:c r="C811" s="0" t="n">
        <s:v>94745</s:v>
      </s:c>
      <s:c r="D811" s="0" t="n">
        <s:v>2074</s:v>
      </s:c>
      <s:c r="F811" s="24">
        <s:f>'자료구성'!$B$2+TIME(INT($C$3/10000),INT(MOD($C$3,10000)/100),MOD($C$3,100))+(ROW()-ROW($C$3))/86400</s:f>
        <s:v>46247.41751157407</s:v>
      </s:c>
    </s:row>
    <s:row r="812">
      <s:c r="A812" s="0" t="n">
        <s:v>260813</s:v>
      </s:c>
      <s:c r="B812" s="0" t="inlineStr">
        <s:is>
          <s:t>이종훈</s:t>
        </s:is>
      </s:c>
      <s:c r="C812" s="0" t="n">
        <s:v>94745</s:v>
      </s:c>
      <s:c r="D812" s="0" t="n">
        <s:v>2085</s:v>
      </s:c>
      <s:c r="F812" s="24">
        <s:f>'자료구성'!$B$2+TIME(INT($C$3/10000),INT(MOD($C$3,10000)/100),MOD($C$3,100))+(ROW()-ROW($C$3))/86400</s:f>
        <s:v>46247.41752314815</s:v>
      </s:c>
    </s:row>
    <s:row r="813">
      <s:c r="A813" s="0" t="n">
        <s:v>260813</s:v>
      </s:c>
      <s:c r="B813" s="0" t="inlineStr">
        <s:is>
          <s:t>이종훈</s:t>
        </s:is>
      </s:c>
      <s:c r="C813" s="0" t="n">
        <s:v>94745</s:v>
      </s:c>
      <s:c r="D813" s="0" t="n">
        <s:v>2104</s:v>
      </s:c>
      <s:c r="F813" s="24">
        <s:f>'자료구성'!$B$2+TIME(INT($C$3/10000),INT(MOD($C$3,10000)/100),MOD($C$3,100))+(ROW()-ROW($C$3))/86400</s:f>
        <s:v>46247.41753472222</s:v>
      </s:c>
    </s:row>
    <s:row r="814">
      <s:c r="A814" s="0" t="n">
        <s:v>260813</s:v>
      </s:c>
      <s:c r="B814" s="0" t="inlineStr">
        <s:is>
          <s:t>이종훈</s:t>
        </s:is>
      </s:c>
      <s:c r="C814" s="0" t="n">
        <s:v>94745</s:v>
      </s:c>
      <s:c r="D814" s="0" t="n">
        <s:v>2138</s:v>
      </s:c>
      <s:c r="F814" s="24">
        <s:f>'자료구성'!$B$2+TIME(INT($C$3/10000),INT(MOD($C$3,10000)/100),MOD($C$3,100))+(ROW()-ROW($C$3))/86400</s:f>
        <s:v>46247.417546296296</s:v>
      </s:c>
    </s:row>
    <s:row r="815">
      <s:c r="A815" s="0" t="n">
        <s:v>260813</s:v>
      </s:c>
      <s:c r="B815" s="0" t="inlineStr">
        <s:is>
          <s:t>이종훈</s:t>
        </s:is>
      </s:c>
      <s:c r="C815" s="0" t="n">
        <s:v>94745</s:v>
      </s:c>
      <s:c r="D815" s="0" t="n">
        <s:v>2168</s:v>
      </s:c>
      <s:c r="F815" s="24">
        <s:f>'자료구성'!$B$2+TIME(INT($C$3/10000),INT(MOD($C$3,10000)/100),MOD($C$3,100))+(ROW()-ROW($C$3))/86400</s:f>
        <s:v>46247.41755787037</s:v>
      </s:c>
    </s:row>
    <s:row r="816">
      <s:c r="A816" s="0" t="n">
        <s:v>260813</s:v>
      </s:c>
      <s:c r="B816" s="0" t="inlineStr">
        <s:is>
          <s:t>이종훈</s:t>
        </s:is>
      </s:c>
      <s:c r="C816" s="0" t="n">
        <s:v>94745</s:v>
      </s:c>
      <s:c r="D816" s="0" t="n">
        <s:v>2153</s:v>
      </s:c>
      <s:c r="F816" s="24">
        <s:f>'자료구성'!$B$2+TIME(INT($C$3/10000),INT(MOD($C$3,10000)/100),MOD($C$3,100))+(ROW()-ROW($C$3))/86400</s:f>
        <s:v>46247.41756944444</s:v>
      </s:c>
    </s:row>
    <s:row r="817">
      <s:c r="A817" s="0" t="n">
        <s:v>260813</s:v>
      </s:c>
      <s:c r="B817" s="0" t="inlineStr">
        <s:is>
          <s:t>이종훈</s:t>
        </s:is>
      </s:c>
      <s:c r="C817" s="0" t="n">
        <s:v>94745</s:v>
      </s:c>
      <s:c r="D817" s="0" t="n">
        <s:v>2139</s:v>
      </s:c>
      <s:c r="F817" s="24">
        <s:f>'자료구성'!$B$2+TIME(INT($C$3/10000),INT(MOD($C$3,10000)/100),MOD($C$3,100))+(ROW()-ROW($C$3))/86400</s:f>
        <s:v>46247.41758101852</s:v>
      </s:c>
    </s:row>
    <s:row r="818">
      <s:c r="A818" s="0" t="n">
        <s:v>260813</s:v>
      </s:c>
      <s:c r="B818" s="0" t="inlineStr">
        <s:is>
          <s:t>이종훈</s:t>
        </s:is>
      </s:c>
      <s:c r="C818" s="0" t="n">
        <s:v>94745</s:v>
      </s:c>
      <s:c r="D818" s="0" t="n">
        <s:v>2110</s:v>
      </s:c>
      <s:c r="F818" s="24">
        <s:f>'자료구성'!$B$2+TIME(INT($C$3/10000),INT(MOD($C$3,10000)/100),MOD($C$3,100))+(ROW()-ROW($C$3))/86400</s:f>
        <s:v>46247.417592592596</s:v>
      </s:c>
    </s:row>
    <s:row r="819">
      <s:c r="A819" s="0" t="n">
        <s:v>260813</s:v>
      </s:c>
      <s:c r="B819" s="0" t="inlineStr">
        <s:is>
          <s:t>이종훈</s:t>
        </s:is>
      </s:c>
      <s:c r="C819" s="0" t="n">
        <s:v>94745</s:v>
      </s:c>
      <s:c r="D819" s="0" t="n">
        <s:v>2088</s:v>
      </s:c>
      <s:c r="F819" s="24">
        <s:f>'자료구성'!$B$2+TIME(INT($C$3/10000),INT(MOD($C$3,10000)/100),MOD($C$3,100))+(ROW()-ROW($C$3))/86400</s:f>
        <s:v>46247.417604166665</s:v>
      </s:c>
    </s:row>
    <s:row r="820">
      <s:c r="A820" s="0" t="n">
        <s:v>260813</s:v>
      </s:c>
      <s:c r="B820" s="0" t="inlineStr">
        <s:is>
          <s:t>이종훈</s:t>
        </s:is>
      </s:c>
      <s:c r="C820" s="0" t="n">
        <s:v>94745</s:v>
      </s:c>
      <s:c r="D820" s="0" t="n">
        <s:v>2086</s:v>
      </s:c>
      <s:c r="F820" s="24">
        <s:f>'자료구성'!$B$2+TIME(INT($C$3/10000),INT(MOD($C$3,10000)/100),MOD($C$3,100))+(ROW()-ROW($C$3))/86400</s:f>
        <s:v>46247.41761574074</s:v>
      </s:c>
    </s:row>
    <s:row r="821">
      <s:c r="A821" s="0" t="n">
        <s:v>260813</s:v>
      </s:c>
      <s:c r="B821" s="0" t="inlineStr">
        <s:is>
          <s:t>이종훈</s:t>
        </s:is>
      </s:c>
      <s:c r="C821" s="0" t="n">
        <s:v>94745</s:v>
      </s:c>
      <s:c r="D821" s="0" t="n">
        <s:v>2088</s:v>
      </s:c>
      <s:c r="F821" s="24">
        <s:f>'자료구성'!$B$2+TIME(INT($C$3/10000),INT(MOD($C$3,10000)/100),MOD($C$3,100))+(ROW()-ROW($C$3))/86400</s:f>
        <s:v>46247.41762731481</s:v>
      </s:c>
    </s:row>
    <s:row r="822">
      <s:c r="A822" s="0" t="n">
        <s:v>260813</s:v>
      </s:c>
      <s:c r="B822" s="0" t="inlineStr">
        <s:is>
          <s:t>이종훈</s:t>
        </s:is>
      </s:c>
      <s:c r="C822" s="0" t="n">
        <s:v>94745</s:v>
      </s:c>
      <s:c r="D822" s="0" t="n">
        <s:v>2194</s:v>
      </s:c>
      <s:c r="F822" s="24">
        <s:f>'자료구성'!$B$2+TIME(INT($C$3/10000),INT(MOD($C$3,10000)/100),MOD($C$3,100))+(ROW()-ROW($C$3))/86400</s:f>
        <s:v>46247.41763888889</s:v>
      </s:c>
    </s:row>
    <s:row r="823">
      <s:c r="A823" s="0" t="n">
        <s:v>260813</s:v>
      </s:c>
      <s:c r="B823" s="0" t="inlineStr">
        <s:is>
          <s:t>이종훈</s:t>
        </s:is>
      </s:c>
      <s:c r="C823" s="0" t="n">
        <s:v>94745</s:v>
      </s:c>
      <s:c r="D823" s="0" t="n">
        <s:v>2401</s:v>
      </s:c>
      <s:c r="F823" s="24">
        <s:f>'자료구성'!$B$2+TIME(INT($C$3/10000),INT(MOD($C$3,10000)/100),MOD($C$3,100))+(ROW()-ROW($C$3))/86400</s:f>
        <s:v>46247.417650462965</s:v>
      </s:c>
    </s:row>
    <s:row r="824">
      <s:c r="A824" s="0" t="n">
        <s:v>260813</s:v>
      </s:c>
      <s:c r="B824" s="0" t="inlineStr">
        <s:is>
          <s:t>이종훈</s:t>
        </s:is>
      </s:c>
      <s:c r="C824" s="0" t="n">
        <s:v>94745</s:v>
      </s:c>
      <s:c r="D824" s="0" t="n">
        <s:v>2655</s:v>
      </s:c>
      <s:c r="F824" s="24">
        <s:f>'자료구성'!$B$2+TIME(INT($C$3/10000),INT(MOD($C$3,10000)/100),MOD($C$3,100))+(ROW()-ROW($C$3))/86400</s:f>
        <s:v>46247.417662037034</s:v>
      </s:c>
    </s:row>
    <s:row r="825">
      <s:c r="A825" s="0" t="n">
        <s:v>260813</s:v>
      </s:c>
      <s:c r="B825" s="0" t="inlineStr">
        <s:is>
          <s:t>이종훈</s:t>
        </s:is>
      </s:c>
      <s:c r="C825" s="0" t="n">
        <s:v>94745</s:v>
      </s:c>
      <s:c r="D825" s="0" t="n">
        <s:v>3026</s:v>
      </s:c>
      <s:c r="F825" s="24">
        <s:f>'자료구성'!$B$2+TIME(INT($C$3/10000),INT(MOD($C$3,10000)/100),MOD($C$3,100))+(ROW()-ROW($C$3))/86400</s:f>
        <s:v>46247.41767361111</s:v>
      </s:c>
    </s:row>
    <s:row r="826">
      <s:c r="A826" s="0" t="n">
        <s:v>260813</s:v>
      </s:c>
      <s:c r="B826" s="0" t="inlineStr">
        <s:is>
          <s:t>이종훈</s:t>
        </s:is>
      </s:c>
      <s:c r="C826" s="0" t="n">
        <s:v>94745</s:v>
      </s:c>
      <s:c r="D826" s="0" t="n">
        <s:v>3395</s:v>
      </s:c>
      <s:c r="F826" s="24">
        <s:f>'자료구성'!$B$2+TIME(INT($C$3/10000),INT(MOD($C$3,10000)/100),MOD($C$3,100))+(ROW()-ROW($C$3))/86400</s:f>
        <s:v>46247.41768518519</s:v>
      </s:c>
    </s:row>
    <s:row r="827">
      <s:c r="A827" s="0" t="n">
        <s:v>260813</s:v>
      </s:c>
      <s:c r="B827" s="0" t="inlineStr">
        <s:is>
          <s:t>이종훈</s:t>
        </s:is>
      </s:c>
      <s:c r="C827" s="0" t="n">
        <s:v>94745</s:v>
      </s:c>
      <s:c r="D827" s="0" t="n">
        <s:v>3677</s:v>
      </s:c>
      <s:c r="F827" s="24">
        <s:f>'자료구성'!$B$2+TIME(INT($C$3/10000),INT(MOD($C$3,10000)/100),MOD($C$3,100))+(ROW()-ROW($C$3))/86400</s:f>
        <s:v>46247.41769675926</s:v>
      </s:c>
    </s:row>
    <s:row r="828">
      <s:c r="A828" s="0" t="n">
        <s:v>260813</s:v>
      </s:c>
      <s:c r="B828" s="0" t="inlineStr">
        <s:is>
          <s:t>이종훈</s:t>
        </s:is>
      </s:c>
      <s:c r="C828" s="0" t="n">
        <s:v>94745</s:v>
      </s:c>
      <s:c r="D828" s="0" t="n">
        <s:v>3920</s:v>
      </s:c>
      <s:c r="F828" s="24">
        <s:f>'자료구성'!$B$2+TIME(INT($C$3/10000),INT(MOD($C$3,10000)/100),MOD($C$3,100))+(ROW()-ROW($C$3))/86400</s:f>
        <s:v>46247.417708333334</s:v>
      </s:c>
    </s:row>
    <s:row r="829">
      <s:c r="A829" s="0" t="n">
        <s:v>260813</s:v>
      </s:c>
      <s:c r="B829" s="0" t="inlineStr">
        <s:is>
          <s:t>이종훈</s:t>
        </s:is>
      </s:c>
      <s:c r="C829" s="0" t="n">
        <s:v>94745</s:v>
      </s:c>
      <s:c r="D829" s="0" t="n">
        <s:v>4070</s:v>
      </s:c>
      <s:c r="F829" s="24">
        <s:f>'자료구성'!$B$2+TIME(INT($C$3/10000),INT(MOD($C$3,10000)/100),MOD($C$3,100))+(ROW()-ROW($C$3))/86400</s:f>
        <s:v>46247.417719907404</s:v>
      </s:c>
    </s:row>
    <s:row r="830">
      <s:c r="A830" s="0" t="n">
        <s:v>260813</s:v>
      </s:c>
      <s:c r="B830" s="0" t="inlineStr">
        <s:is>
          <s:t>이종훈</s:t>
        </s:is>
      </s:c>
      <s:c r="C830" s="0" t="n">
        <s:v>94745</s:v>
      </s:c>
      <s:c r="D830" s="0" t="n">
        <s:v>4169</s:v>
      </s:c>
      <s:c r="F830" s="24">
        <s:f>'자료구성'!$B$2+TIME(INT($C$3/10000),INT(MOD($C$3,10000)/100),MOD($C$3,100))+(ROW()-ROW($C$3))/86400</s:f>
        <s:v>46247.41773148148</s:v>
      </s:c>
    </s:row>
    <s:row r="831">
      <s:c r="A831" s="0" t="n">
        <s:v>260813</s:v>
      </s:c>
      <s:c r="B831" s="0" t="inlineStr">
        <s:is>
          <s:t>이종훈</s:t>
        </s:is>
      </s:c>
      <s:c r="C831" s="0" t="n">
        <s:v>94745</s:v>
      </s:c>
      <s:c r="D831" s="0" t="n">
        <s:v>4284</s:v>
      </s:c>
      <s:c r="F831" s="24">
        <s:f>'자료구성'!$B$2+TIME(INT($C$3/10000),INT(MOD($C$3,10000)/100),MOD($C$3,100))+(ROW()-ROW($C$3))/86400</s:f>
        <s:v>46247.41774305556</s:v>
      </s:c>
    </s:row>
    <s:row r="832">
      <s:c r="A832" s="0" t="n">
        <s:v>260813</s:v>
      </s:c>
      <s:c r="B832" s="0" t="inlineStr">
        <s:is>
          <s:t>이종훈</s:t>
        </s:is>
      </s:c>
      <s:c r="C832" s="0" t="n">
        <s:v>94745</s:v>
      </s:c>
      <s:c r="D832" s="0" t="n">
        <s:v>4351</s:v>
      </s:c>
      <s:c r="F832" s="24">
        <s:f>'자료구성'!$B$2+TIME(INT($C$3/10000),INT(MOD($C$3,10000)/100),MOD($C$3,100))+(ROW()-ROW($C$3))/86400</s:f>
        <s:v>46247.41775462963</s:v>
      </s:c>
    </s:row>
    <s:row r="833">
      <s:c r="A833" s="0" t="n">
        <s:v>260813</s:v>
      </s:c>
      <s:c r="B833" s="0" t="inlineStr">
        <s:is>
          <s:t>이종훈</s:t>
        </s:is>
      </s:c>
      <s:c r="C833" s="0" t="n">
        <s:v>94745</s:v>
      </s:c>
      <s:c r="D833" s="0" t="n">
        <s:v>4393</s:v>
      </s:c>
      <s:c r="F833" s="24">
        <s:f>'자료구성'!$B$2+TIME(INT($C$3/10000),INT(MOD($C$3,10000)/100),MOD($C$3,100))+(ROW()-ROW($C$3))/86400</s:f>
        <s:v>46247.417766203704</s:v>
      </s:c>
    </s:row>
    <s:row r="834">
      <s:c r="A834" s="0" t="n">
        <s:v>260813</s:v>
      </s:c>
      <s:c r="B834" s="0" t="inlineStr">
        <s:is>
          <s:t>이종훈</s:t>
        </s:is>
      </s:c>
      <s:c r="C834" s="0" t="n">
        <s:v>94745</s:v>
      </s:c>
      <s:c r="D834" s="0" t="n">
        <s:v>4375</s:v>
      </s:c>
      <s:c r="F834" s="24">
        <s:f>'자료구성'!$B$2+TIME(INT($C$3/10000),INT(MOD($C$3,10000)/100),MOD($C$3,100))+(ROW()-ROW($C$3))/86400</s:f>
        <s:v>46247.41777777778</s:v>
      </s:c>
    </s:row>
    <s:row r="835">
      <s:c r="A835" s="0" t="n">
        <s:v>260813</s:v>
      </s:c>
      <s:c r="B835" s="0" t="inlineStr">
        <s:is>
          <s:t>이종훈</s:t>
        </s:is>
      </s:c>
      <s:c r="C835" s="0" t="n">
        <s:v>94745</s:v>
      </s:c>
      <s:c r="D835" s="0" t="n">
        <s:v>4333</s:v>
      </s:c>
      <s:c r="F835" s="24">
        <s:f>'자료구성'!$B$2+TIME(INT($C$3/10000),INT(MOD($C$3,10000)/100),MOD($C$3,100))+(ROW()-ROW($C$3))/86400</s:f>
        <s:v>46247.41778935185</s:v>
      </s:c>
    </s:row>
    <s:row r="836">
      <s:c r="A836" s="0" t="n">
        <s:v>260813</s:v>
      </s:c>
      <s:c r="B836" s="0" t="inlineStr">
        <s:is>
          <s:t>이종훈</s:t>
        </s:is>
      </s:c>
      <s:c r="C836" s="0" t="n">
        <s:v>94745</s:v>
      </s:c>
      <s:c r="D836" s="0" t="n">
        <s:v>4365</s:v>
      </s:c>
      <s:c r="F836" s="24">
        <s:f>'자료구성'!$B$2+TIME(INT($C$3/10000),INT(MOD($C$3,10000)/100),MOD($C$3,100))+(ROW()-ROW($C$3))/86400</s:f>
        <s:v>46247.41780092593</s:v>
      </s:c>
    </s:row>
    <s:row r="837">
      <s:c r="A837" s="0" t="n">
        <s:v>260813</s:v>
      </s:c>
      <s:c r="B837" s="0" t="inlineStr">
        <s:is>
          <s:t>이종훈</s:t>
        </s:is>
      </s:c>
      <s:c r="C837" s="0" t="n">
        <s:v>94745</s:v>
      </s:c>
      <s:c r="D837" s="0" t="n">
        <s:v>4527</s:v>
      </s:c>
      <s:c r="F837" s="24">
        <s:f>'자료구성'!$B$2+TIME(INT($C$3/10000),INT(MOD($C$3,10000)/100),MOD($C$3,100))+(ROW()-ROW($C$3))/86400</s:f>
        <s:v>46247.4178125</s:v>
      </s:c>
    </s:row>
    <s:row r="838">
      <s:c r="A838" s="0" t="n">
        <s:v>260813</s:v>
      </s:c>
      <s:c r="B838" s="0" t="inlineStr">
        <s:is>
          <s:t>이종훈</s:t>
        </s:is>
      </s:c>
      <s:c r="C838" s="0" t="n">
        <s:v>94745</s:v>
      </s:c>
      <s:c r="D838" s="0" t="n">
        <s:v>4703</s:v>
      </s:c>
      <s:c r="F838" s="24">
        <s:f>'자료구성'!$B$2+TIME(INT($C$3/10000),INT(MOD($C$3,10000)/100),MOD($C$3,100))+(ROW()-ROW($C$3))/86400</s:f>
        <s:v>46247.41782407407</s:v>
      </s:c>
    </s:row>
    <s:row r="839">
      <s:c r="A839" s="0" t="n">
        <s:v>260813</s:v>
      </s:c>
      <s:c r="B839" s="0" t="inlineStr">
        <s:is>
          <s:t>이종훈</s:t>
        </s:is>
      </s:c>
      <s:c r="C839" s="0" t="n">
        <s:v>94745</s:v>
      </s:c>
      <s:c r="D839" s="0" t="n">
        <s:v>4792</s:v>
      </s:c>
      <s:c r="F839" s="24">
        <s:f>'자료구성'!$B$2+TIME(INT($C$3/10000),INT(MOD($C$3,10000)/100),MOD($C$3,100))+(ROW()-ROW($C$3))/86400</s:f>
        <s:v>46247.41783564815</s:v>
      </s:c>
    </s:row>
    <s:row r="840">
      <s:c r="A840" s="0" t="n">
        <s:v>260813</s:v>
      </s:c>
      <s:c r="B840" s="0" t="inlineStr">
        <s:is>
          <s:t>이종훈</s:t>
        </s:is>
      </s:c>
      <s:c r="C840" s="0" t="n">
        <s:v>94745</s:v>
      </s:c>
      <s:c r="D840" s="0" t="n">
        <s:v>5032</s:v>
      </s:c>
      <s:c r="F840" s="24">
        <s:f>'자료구성'!$B$2+TIME(INT($C$3/10000),INT(MOD($C$3,10000)/100),MOD($C$3,100))+(ROW()-ROW($C$3))/86400</s:f>
        <s:v>46247.41784722222</s:v>
      </s:c>
    </s:row>
    <s:row r="841">
      <s:c r="A841" s="0" t="n">
        <s:v>260813</s:v>
      </s:c>
      <s:c r="B841" s="0" t="inlineStr">
        <s:is>
          <s:t>이종훈</s:t>
        </s:is>
      </s:c>
      <s:c r="C841" s="0" t="n">
        <s:v>94745</s:v>
      </s:c>
      <s:c r="D841" s="0" t="n">
        <s:v>5273</s:v>
      </s:c>
      <s:c r="F841" s="24">
        <s:f>'자료구성'!$B$2+TIME(INT($C$3/10000),INT(MOD($C$3,10000)/100),MOD($C$3,100))+(ROW()-ROW($C$3))/86400</s:f>
        <s:v>46247.417858796296</s:v>
      </s:c>
    </s:row>
    <s:row r="842">
      <s:c r="A842" s="0" t="n">
        <s:v>260813</s:v>
      </s:c>
      <s:c r="B842" s="0" t="inlineStr">
        <s:is>
          <s:t>이종훈</s:t>
        </s:is>
      </s:c>
      <s:c r="C842" s="0" t="n">
        <s:v>94745</s:v>
      </s:c>
      <s:c r="D842" s="0" t="n">
        <s:v>5378</s:v>
      </s:c>
      <s:c r="F842" s="24">
        <s:f>'자료구성'!$B$2+TIME(INT($C$3/10000),INT(MOD($C$3,10000)/100),MOD($C$3,100))+(ROW()-ROW($C$3))/86400</s:f>
        <s:v>46247.41787037037</s:v>
      </s:c>
    </s:row>
    <s:row r="843">
      <s:c r="A843" s="0" t="n">
        <s:v>260813</s:v>
      </s:c>
      <s:c r="B843" s="0" t="inlineStr">
        <s:is>
          <s:t>이종훈</s:t>
        </s:is>
      </s:c>
      <s:c r="C843" s="0" t="n">
        <s:v>94745</s:v>
      </s:c>
      <s:c r="D843" s="0" t="n">
        <s:v>5458</s:v>
      </s:c>
      <s:c r="F843" s="24">
        <s:f>'자료구성'!$B$2+TIME(INT($C$3/10000),INT(MOD($C$3,10000)/100),MOD($C$3,100))+(ROW()-ROW($C$3))/86400</s:f>
        <s:v>46247.41788194444</s:v>
      </s:c>
    </s:row>
    <s:row r="844">
      <s:c r="A844" s="0" t="n">
        <s:v>260813</s:v>
      </s:c>
      <s:c r="B844" s="0" t="inlineStr">
        <s:is>
          <s:t>이종훈</s:t>
        </s:is>
      </s:c>
      <s:c r="C844" s="0" t="n">
        <s:v>94745</s:v>
      </s:c>
      <s:c r="D844" s="0" t="n">
        <s:v>5476</s:v>
      </s:c>
      <s:c r="F844" s="24">
        <s:f>'자료구성'!$B$2+TIME(INT($C$3/10000),INT(MOD($C$3,10000)/100),MOD($C$3,100))+(ROW()-ROW($C$3))/86400</s:f>
        <s:v>46247.41789351852</s:v>
      </s:c>
    </s:row>
    <s:row r="845">
      <s:c r="A845" s="0" t="n">
        <s:v>260813</s:v>
      </s:c>
      <s:c r="B845" s="0" t="inlineStr">
        <s:is>
          <s:t>이종훈</s:t>
        </s:is>
      </s:c>
      <s:c r="C845" s="0" t="n">
        <s:v>94745</s:v>
      </s:c>
      <s:c r="D845" s="0" t="n">
        <s:v>5340</s:v>
      </s:c>
      <s:c r="F845" s="24">
        <s:f>'자료구성'!$B$2+TIME(INT($C$3/10000),INT(MOD($C$3,10000)/100),MOD($C$3,100))+(ROW()-ROW($C$3))/86400</s:f>
        <s:v>46247.417905092596</s:v>
      </s:c>
    </s:row>
    <s:row r="846">
      <s:c r="A846" s="0" t="n">
        <s:v>260813</s:v>
      </s:c>
      <s:c r="B846" s="0" t="inlineStr">
        <s:is>
          <s:t>이종훈</s:t>
        </s:is>
      </s:c>
      <s:c r="C846" s="0" t="n">
        <s:v>94745</s:v>
      </s:c>
      <s:c r="D846" s="0" t="n">
        <s:v>5207</s:v>
      </s:c>
      <s:c r="F846" s="24">
        <s:f>'자료구성'!$B$2+TIME(INT($C$3/10000),INT(MOD($C$3,10000)/100),MOD($C$3,100))+(ROW()-ROW($C$3))/86400</s:f>
        <s:v>46247.417916666665</s:v>
      </s:c>
    </s:row>
    <s:row r="847">
      <s:c r="A847" s="0" t="n">
        <s:v>260813</s:v>
      </s:c>
      <s:c r="B847" s="0" t="inlineStr">
        <s:is>
          <s:t>이종훈</s:t>
        </s:is>
      </s:c>
      <s:c r="C847" s="0" t="n">
        <s:v>94745</s:v>
      </s:c>
      <s:c r="D847" s="0" t="n">
        <s:v>5268</s:v>
      </s:c>
      <s:c r="F847" s="24">
        <s:f>'자료구성'!$B$2+TIME(INT($C$3/10000),INT(MOD($C$3,10000)/100),MOD($C$3,100))+(ROW()-ROW($C$3))/86400</s:f>
        <s:v>46247.41792824074</s:v>
      </s:c>
    </s:row>
    <s:row r="848">
      <s:c r="A848" s="0" t="n">
        <s:v>260813</s:v>
      </s:c>
      <s:c r="B848" s="0" t="inlineStr">
        <s:is>
          <s:t>이종훈</s:t>
        </s:is>
      </s:c>
      <s:c r="C848" s="0" t="n">
        <s:v>94745</s:v>
      </s:c>
      <s:c r="D848" s="0" t="n">
        <s:v>5192</s:v>
      </s:c>
      <s:c r="F848" s="24">
        <s:f>'자료구성'!$B$2+TIME(INT($C$3/10000),INT(MOD($C$3,10000)/100),MOD($C$3,100))+(ROW()-ROW($C$3))/86400</s:f>
        <s:v>46247.41793981481</s:v>
      </s:c>
    </s:row>
    <s:row r="849">
      <s:c r="A849" s="0" t="n">
        <s:v>260813</s:v>
      </s:c>
      <s:c r="B849" s="0" t="inlineStr">
        <s:is>
          <s:t>이종훈</s:t>
        </s:is>
      </s:c>
      <s:c r="C849" s="0" t="n">
        <s:v>94745</s:v>
      </s:c>
      <s:c r="D849" s="0" t="n">
        <s:v>5010</s:v>
      </s:c>
      <s:c r="F849" s="24">
        <s:f>'자료구성'!$B$2+TIME(INT($C$3/10000),INT(MOD($C$3,10000)/100),MOD($C$3,100))+(ROW()-ROW($C$3))/86400</s:f>
        <s:v>46247.41795138889</s:v>
      </s:c>
    </s:row>
    <s:row r="850">
      <s:c r="A850" s="0" t="n">
        <s:v>260813</s:v>
      </s:c>
      <s:c r="B850" s="0" t="inlineStr">
        <s:is>
          <s:t>이종훈</s:t>
        </s:is>
      </s:c>
      <s:c r="C850" s="0" t="n">
        <s:v>94745</s:v>
      </s:c>
      <s:c r="D850" s="0" t="n">
        <s:v>4761</s:v>
      </s:c>
      <s:c r="F850" s="24">
        <s:f>'자료구성'!$B$2+TIME(INT($C$3/10000),INT(MOD($C$3,10000)/100),MOD($C$3,100))+(ROW()-ROW($C$3))/86400</s:f>
        <s:v>46247.417962962965</s:v>
      </s:c>
    </s:row>
    <s:row r="851">
      <s:c r="A851" s="0" t="n">
        <s:v>260813</s:v>
      </s:c>
      <s:c r="B851" s="0" t="inlineStr">
        <s:is>
          <s:t>이종훈</s:t>
        </s:is>
      </s:c>
      <s:c r="C851" s="0" t="n">
        <s:v>94745</s:v>
      </s:c>
      <s:c r="D851" s="0" t="n">
        <s:v>4560</s:v>
      </s:c>
      <s:c r="F851" s="24">
        <s:f>'자료구성'!$B$2+TIME(INT($C$3/10000),INT(MOD($C$3,10000)/100),MOD($C$3,100))+(ROW()-ROW($C$3))/86400</s:f>
        <s:v>46247.417974537035</s:v>
      </s:c>
    </s:row>
    <s:row r="852">
      <s:c r="A852" s="0" t="n">
        <s:v>260813</s:v>
      </s:c>
      <s:c r="B852" s="0" t="inlineStr">
        <s:is>
          <s:t>이종훈</s:t>
        </s:is>
      </s:c>
      <s:c r="C852" s="0" t="n">
        <s:v>94745</s:v>
      </s:c>
      <s:c r="D852" s="0" t="n">
        <s:v>4536</s:v>
      </s:c>
      <s:c r="F852" s="24">
        <s:f>'자료구성'!$B$2+TIME(INT($C$3/10000),INT(MOD($C$3,10000)/100),MOD($C$3,100))+(ROW()-ROW($C$3))/86400</s:f>
        <s:v>46247.41798611111</s:v>
      </s:c>
    </s:row>
    <s:row r="853">
      <s:c r="A853" s="0" t="n">
        <s:v>260813</s:v>
      </s:c>
      <s:c r="B853" s="0" t="inlineStr">
        <s:is>
          <s:t>이종훈</s:t>
        </s:is>
      </s:c>
      <s:c r="C853" s="0" t="n">
        <s:v>94745</s:v>
      </s:c>
      <s:c r="D853" s="0" t="n">
        <s:v>4774</s:v>
      </s:c>
      <s:c r="F853" s="24">
        <s:f>'자료구성'!$B$2+TIME(INT($C$3/10000),INT(MOD($C$3,10000)/100),MOD($C$3,100))+(ROW()-ROW($C$3))/86400</s:f>
        <s:v>46247.41799768519</s:v>
      </s:c>
    </s:row>
    <s:row r="854">
      <s:c r="A854" s="0" t="n">
        <s:v>260813</s:v>
      </s:c>
      <s:c r="B854" s="0" t="inlineStr">
        <s:is>
          <s:t>이종훈</s:t>
        </s:is>
      </s:c>
      <s:c r="C854" s="0" t="n">
        <s:v>94745</s:v>
      </s:c>
      <s:c r="D854" s="0" t="n">
        <s:v>4681</s:v>
      </s:c>
      <s:c r="F854" s="24">
        <s:f>'자료구성'!$B$2+TIME(INT($C$3/10000),INT(MOD($C$3,10000)/100),MOD($C$3,100))+(ROW()-ROW($C$3))/86400</s:f>
        <s:v>46247.41800925926</s:v>
      </s:c>
    </s:row>
    <s:row r="855">
      <s:c r="A855" s="0" t="n">
        <s:v>260813</s:v>
      </s:c>
      <s:c r="B855" s="0" t="inlineStr">
        <s:is>
          <s:t>이종훈</s:t>
        </s:is>
      </s:c>
      <s:c r="C855" s="0" t="n">
        <s:v>94745</s:v>
      </s:c>
      <s:c r="D855" s="0" t="n">
        <s:v>4387</s:v>
      </s:c>
      <s:c r="F855" s="24">
        <s:f>'자료구성'!$B$2+TIME(INT($C$3/10000),INT(MOD($C$3,10000)/100),MOD($C$3,100))+(ROW()-ROW($C$3))/86400</s:f>
        <s:v>46247.418020833335</s:v>
      </s:c>
    </s:row>
    <s:row r="856">
      <s:c r="A856" s="0" t="n">
        <s:v>260813</s:v>
      </s:c>
      <s:c r="B856" s="0" t="inlineStr">
        <s:is>
          <s:t>이종훈</s:t>
        </s:is>
      </s:c>
      <s:c r="C856" s="0" t="n">
        <s:v>94745</s:v>
      </s:c>
      <s:c r="D856" s="0" t="n">
        <s:v>4200</s:v>
      </s:c>
      <s:c r="F856" s="24">
        <s:f>'자료구성'!$B$2+TIME(INT($C$3/10000),INT(MOD($C$3,10000)/100),MOD($C$3,100))+(ROW()-ROW($C$3))/86400</s:f>
        <s:v>46247.418032407404</s:v>
      </s:c>
    </s:row>
    <s:row r="857">
      <s:c r="A857" s="0" t="n">
        <s:v>260813</s:v>
      </s:c>
      <s:c r="B857" s="0" t="inlineStr">
        <s:is>
          <s:t>이종훈</s:t>
        </s:is>
      </s:c>
      <s:c r="C857" s="0" t="n">
        <s:v>94745</s:v>
      </s:c>
      <s:c r="D857" s="0" t="n">
        <s:v>4165</s:v>
      </s:c>
      <s:c r="F857" s="24">
        <s:f>'자료구성'!$B$2+TIME(INT($C$3/10000),INT(MOD($C$3,10000)/100),MOD($C$3,100))+(ROW()-ROW($C$3))/86400</s:f>
        <s:v>46247.41804398148</s:v>
      </s:c>
    </s:row>
    <s:row r="858">
      <s:c r="A858" s="0" t="n">
        <s:v>260813</s:v>
      </s:c>
      <s:c r="B858" s="0" t="inlineStr">
        <s:is>
          <s:t>이종훈</s:t>
        </s:is>
      </s:c>
      <s:c r="C858" s="0" t="n">
        <s:v>94745</s:v>
      </s:c>
      <s:c r="D858" s="0" t="n">
        <s:v>4139</s:v>
      </s:c>
      <s:c r="F858" s="24">
        <s:f>'자료구성'!$B$2+TIME(INT($C$3/10000),INT(MOD($C$3,10000)/100),MOD($C$3,100))+(ROW()-ROW($C$3))/86400</s:f>
        <s:v>46247.41805555556</s:v>
      </s:c>
    </s:row>
    <s:row r="859">
      <s:c r="A859" s="0" t="n">
        <s:v>260813</s:v>
      </s:c>
      <s:c r="B859" s="0" t="inlineStr">
        <s:is>
          <s:t>이종훈</s:t>
        </s:is>
      </s:c>
      <s:c r="C859" s="0" t="n">
        <s:v>94745</s:v>
      </s:c>
      <s:c r="D859" s="0" t="n">
        <s:v>4056</s:v>
      </s:c>
      <s:c r="F859" s="24">
        <s:f>'자료구성'!$B$2+TIME(INT($C$3/10000),INT(MOD($C$3,10000)/100),MOD($C$3,100))+(ROW()-ROW($C$3))/86400</s:f>
        <s:v>46247.41806712963</s:v>
      </s:c>
    </s:row>
    <s:row r="860">
      <s:c r="A860" s="0" t="n">
        <s:v>260813</s:v>
      </s:c>
      <s:c r="B860" s="0" t="inlineStr">
        <s:is>
          <s:t>이종훈</s:t>
        </s:is>
      </s:c>
      <s:c r="C860" s="0" t="n">
        <s:v>94745</s:v>
      </s:c>
      <s:c r="D860" s="0" t="n">
        <s:v>3936</s:v>
      </s:c>
      <s:c r="F860" s="24">
        <s:f>'자료구성'!$B$2+TIME(INT($C$3/10000),INT(MOD($C$3,10000)/100),MOD($C$3,100))+(ROW()-ROW($C$3))/86400</s:f>
        <s:v>46247.418078703704</s:v>
      </s:c>
    </s:row>
    <s:row r="861">
      <s:c r="A861" s="0" t="n">
        <s:v>260813</s:v>
      </s:c>
      <s:c r="B861" s="0" t="inlineStr">
        <s:is>
          <s:t>이종훈</s:t>
        </s:is>
      </s:c>
      <s:c r="C861" s="0" t="n">
        <s:v>94745</s:v>
      </s:c>
      <s:c r="D861" s="0" t="n">
        <s:v>3831</s:v>
      </s:c>
      <s:c r="F861" s="24">
        <s:f>'자료구성'!$B$2+TIME(INT($C$3/10000),INT(MOD($C$3,10000)/100),MOD($C$3,100))+(ROW()-ROW($C$3))/86400</s:f>
        <s:v>46247.41809027778</s:v>
      </s:c>
    </s:row>
    <s:row r="862">
      <s:c r="A862" s="0" t="n">
        <s:v>260813</s:v>
      </s:c>
      <s:c r="B862" s="0" t="inlineStr">
        <s:is>
          <s:t>이종훈</s:t>
        </s:is>
      </s:c>
      <s:c r="C862" s="0" t="n">
        <s:v>94745</s:v>
      </s:c>
      <s:c r="D862" s="0" t="n">
        <s:v>3989</s:v>
      </s:c>
      <s:c r="F862" s="24">
        <s:f>'자료구성'!$B$2+TIME(INT($C$3/10000),INT(MOD($C$3,10000)/100),MOD($C$3,100))+(ROW()-ROW($C$3))/86400</s:f>
        <s:v>46247.41810185185</s:v>
      </s:c>
    </s:row>
    <s:row r="863">
      <s:c r="A863" s="0" t="n">
        <s:v>260813</s:v>
      </s:c>
      <s:c r="B863" s="0" t="inlineStr">
        <s:is>
          <s:t>이종훈</s:t>
        </s:is>
      </s:c>
      <s:c r="C863" s="0" t="n">
        <s:v>94745</s:v>
      </s:c>
      <s:c r="D863" s="0" t="n">
        <s:v>4298</s:v>
      </s:c>
      <s:c r="F863" s="24">
        <s:f>'자료구성'!$B$2+TIME(INT($C$3/10000),INT(MOD($C$3,10000)/100),MOD($C$3,100))+(ROW()-ROW($C$3))/86400</s:f>
        <s:v>46247.41811342593</s:v>
      </s:c>
    </s:row>
    <s:row r="864">
      <s:c r="A864" s="0" t="n">
        <s:v>260813</s:v>
      </s:c>
      <s:c r="B864" s="0" t="inlineStr">
        <s:is>
          <s:t>이종훈</s:t>
        </s:is>
      </s:c>
      <s:c r="C864" s="0" t="n">
        <s:v>94745</s:v>
      </s:c>
      <s:c r="D864" s="0" t="n">
        <s:v>4270</s:v>
      </s:c>
      <s:c r="F864" s="24">
        <s:f>'자료구성'!$B$2+TIME(INT($C$3/10000),INT(MOD($C$3,10000)/100),MOD($C$3,100))+(ROW()-ROW($C$3))/86400</s:f>
        <s:v>46247.418125</s:v>
      </s:c>
    </s:row>
    <s:row r="865">
      <s:c r="A865" s="0" t="n">
        <s:v>260813</s:v>
      </s:c>
      <s:c r="B865" s="0" t="inlineStr">
        <s:is>
          <s:t>이종훈</s:t>
        </s:is>
      </s:c>
      <s:c r="C865" s="0" t="n">
        <s:v>94745</s:v>
      </s:c>
      <s:c r="D865" s="0" t="n">
        <s:v>4114</s:v>
      </s:c>
      <s:c r="F865" s="24">
        <s:f>'자료구성'!$B$2+TIME(INT($C$3/10000),INT(MOD($C$3,10000)/100),MOD($C$3,100))+(ROW()-ROW($C$3))/86400</s:f>
        <s:v>46247.41813657407</s:v>
      </s:c>
    </s:row>
    <s:row r="866">
      <s:c r="A866" s="0" t="n">
        <s:v>260813</s:v>
      </s:c>
      <s:c r="B866" s="0" t="inlineStr">
        <s:is>
          <s:t>이종훈</s:t>
        </s:is>
      </s:c>
      <s:c r="C866" s="0" t="n">
        <s:v>94745</s:v>
      </s:c>
      <s:c r="D866" s="0" t="n">
        <s:v>3999</s:v>
      </s:c>
      <s:c r="F866" s="24">
        <s:f>'자료구성'!$B$2+TIME(INT($C$3/10000),INT(MOD($C$3,10000)/100),MOD($C$3,100))+(ROW()-ROW($C$3))/86400</s:f>
        <s:v>46247.41814814815</s:v>
      </s:c>
    </s:row>
    <s:row r="867">
      <s:c r="A867" s="0" t="n">
        <s:v>260813</s:v>
      </s:c>
      <s:c r="B867" s="0" t="inlineStr">
        <s:is>
          <s:t>이종훈</s:t>
        </s:is>
      </s:c>
      <s:c r="C867" s="0" t="n">
        <s:v>94745</s:v>
      </s:c>
      <s:c r="D867" s="0" t="n">
        <s:v>3847</s:v>
      </s:c>
      <s:c r="F867" s="24">
        <s:f>'자료구성'!$B$2+TIME(INT($C$3/10000),INT(MOD($C$3,10000)/100),MOD($C$3,100))+(ROW()-ROW($C$3))/86400</s:f>
        <s:v>46247.41815972222</s:v>
      </s:c>
    </s:row>
    <s:row r="868">
      <s:c r="A868" s="0" t="n">
        <s:v>260813</s:v>
      </s:c>
      <s:c r="B868" s="0" t="inlineStr">
        <s:is>
          <s:t>이종훈</s:t>
        </s:is>
      </s:c>
      <s:c r="C868" s="0" t="n">
        <s:v>94745</s:v>
      </s:c>
      <s:c r="D868" s="0" t="n">
        <s:v>3686</s:v>
      </s:c>
      <s:c r="F868" s="24">
        <s:f>'자료구성'!$B$2+TIME(INT($C$3/10000),INT(MOD($C$3,10000)/100),MOD($C$3,100))+(ROW()-ROW($C$3))/86400</s:f>
        <s:v>46247.418171296296</s:v>
      </s:c>
    </s:row>
    <s:row r="869">
      <s:c r="A869" s="0" t="n">
        <s:v>260813</s:v>
      </s:c>
      <s:c r="B869" s="0" t="inlineStr">
        <s:is>
          <s:t>이종훈</s:t>
        </s:is>
      </s:c>
      <s:c r="C869" s="0" t="n">
        <s:v>94745</s:v>
      </s:c>
      <s:c r="D869" s="0" t="n">
        <s:v>3535</s:v>
      </s:c>
      <s:c r="F869" s="24">
        <s:f>'자료구성'!$B$2+TIME(INT($C$3/10000),INT(MOD($C$3,10000)/100),MOD($C$3,100))+(ROW()-ROW($C$3))/86400</s:f>
        <s:v>46247.41818287037</s:v>
      </s:c>
    </s:row>
    <s:row r="870">
      <s:c r="A870" s="0" t="n">
        <s:v>260813</s:v>
      </s:c>
      <s:c r="B870" s="0" t="inlineStr">
        <s:is>
          <s:t>이종훈</s:t>
        </s:is>
      </s:c>
      <s:c r="C870" s="0" t="n">
        <s:v>94745</s:v>
      </s:c>
      <s:c r="D870" s="0" t="n">
        <s:v>3388</s:v>
      </s:c>
      <s:c r="F870" s="24">
        <s:f>'자료구성'!$B$2+TIME(INT($C$3/10000),INT(MOD($C$3,10000)/100),MOD($C$3,100))+(ROW()-ROW($C$3))/86400</s:f>
        <s:v>46247.41819444444</s:v>
      </s:c>
    </s:row>
    <s:row r="871">
      <s:c r="A871" s="0" t="n">
        <s:v>260813</s:v>
      </s:c>
      <s:c r="B871" s="0" t="inlineStr">
        <s:is>
          <s:t>이종훈</s:t>
        </s:is>
      </s:c>
      <s:c r="C871" s="0" t="n">
        <s:v>94745</s:v>
      </s:c>
      <s:c r="D871" s="0" t="n">
        <s:v>3258</s:v>
      </s:c>
      <s:c r="F871" s="24">
        <s:f>'자료구성'!$B$2+TIME(INT($C$3/10000),INT(MOD($C$3,10000)/100),MOD($C$3,100))+(ROW()-ROW($C$3))/86400</s:f>
        <s:v>46247.41820601852</s:v>
      </s:c>
    </s:row>
    <s:row r="872">
      <s:c r="A872" s="0" t="n">
        <s:v>260813</s:v>
      </s:c>
      <s:c r="B872" s="0" t="inlineStr">
        <s:is>
          <s:t>이종훈</s:t>
        </s:is>
      </s:c>
      <s:c r="C872" s="0" t="n">
        <s:v>94745</s:v>
      </s:c>
      <s:c r="D872" s="0" t="n">
        <s:v>3166</s:v>
      </s:c>
      <s:c r="F872" s="24">
        <s:f>'자료구성'!$B$2+TIME(INT($C$3/10000),INT(MOD($C$3,10000)/100),MOD($C$3,100))+(ROW()-ROW($C$3))/86400</s:f>
        <s:v>46247.418217592596</s:v>
      </s:c>
    </s:row>
    <s:row r="873">
      <s:c r="A873" s="0" t="n">
        <s:v>260813</s:v>
      </s:c>
      <s:c r="B873" s="0" t="inlineStr">
        <s:is>
          <s:t>이종훈</s:t>
        </s:is>
      </s:c>
      <s:c r="C873" s="0" t="n">
        <s:v>94745</s:v>
      </s:c>
      <s:c r="D873" s="0" t="n">
        <s:v>3082</s:v>
      </s:c>
      <s:c r="F873" s="24">
        <s:f>'자료구성'!$B$2+TIME(INT($C$3/10000),INT(MOD($C$3,10000)/100),MOD($C$3,100))+(ROW()-ROW($C$3))/86400</s:f>
        <s:v>46247.418229166666</s:v>
      </s:c>
    </s:row>
    <s:row r="874">
      <s:c r="A874" s="0" t="n">
        <s:v>260813</s:v>
      </s:c>
      <s:c r="B874" s="0" t="inlineStr">
        <s:is>
          <s:t>이종훈</s:t>
        </s:is>
      </s:c>
      <s:c r="C874" s="0" t="n">
        <s:v>94745</s:v>
      </s:c>
      <s:c r="D874" s="0" t="n">
        <s:v>3049</s:v>
      </s:c>
      <s:c r="F874" s="24">
        <s:f>'자료구성'!$B$2+TIME(INT($C$3/10000),INT(MOD($C$3,10000)/100),MOD($C$3,100))+(ROW()-ROW($C$3))/86400</s:f>
        <s:v>46247.41824074074</s:v>
      </s:c>
    </s:row>
    <s:row r="875">
      <s:c r="A875" s="0" t="n">
        <s:v>260813</s:v>
      </s:c>
      <s:c r="B875" s="0" t="inlineStr">
        <s:is>
          <s:t>이종훈</s:t>
        </s:is>
      </s:c>
      <s:c r="C875" s="0" t="n">
        <s:v>94745</s:v>
      </s:c>
      <s:c r="D875" s="0" t="n">
        <s:v>3044</s:v>
      </s:c>
      <s:c r="F875" s="24">
        <s:f>'자료구성'!$B$2+TIME(INT($C$3/10000),INT(MOD($C$3,10000)/100),MOD($C$3,100))+(ROW()-ROW($C$3))/86400</s:f>
        <s:v>46247.41825231481</s:v>
      </s:c>
    </s:row>
    <s:row r="876">
      <s:c r="A876" s="0" t="n">
        <s:v>260813</s:v>
      </s:c>
      <s:c r="B876" s="0" t="inlineStr">
        <s:is>
          <s:t>이종훈</s:t>
        </s:is>
      </s:c>
      <s:c r="C876" s="0" t="n">
        <s:v>94745</s:v>
      </s:c>
      <s:c r="D876" s="0" t="n">
        <s:v>3028</s:v>
      </s:c>
      <s:c r="F876" s="24">
        <s:f>'자료구성'!$B$2+TIME(INT($C$3/10000),INT(MOD($C$3,10000)/100),MOD($C$3,100))+(ROW()-ROW($C$3))/86400</s:f>
        <s:v>46247.41826388889</s:v>
      </s:c>
    </s:row>
    <s:row r="877">
      <s:c r="A877" s="0" t="n">
        <s:v>260813</s:v>
      </s:c>
      <s:c r="B877" s="0" t="inlineStr">
        <s:is>
          <s:t>이종훈</s:t>
        </s:is>
      </s:c>
      <s:c r="C877" s="0" t="n">
        <s:v>94745</s:v>
      </s:c>
      <s:c r="D877" s="0" t="n">
        <s:v>3096</s:v>
      </s:c>
      <s:c r="F877" s="24">
        <s:f>'자료구성'!$B$2+TIME(INT($C$3/10000),INT(MOD($C$3,10000)/100),MOD($C$3,100))+(ROW()-ROW($C$3))/86400</s:f>
        <s:v>46247.418275462966</s:v>
      </s:c>
    </s:row>
    <s:row r="878">
      <s:c r="A878" s="0" t="n">
        <s:v>260813</s:v>
      </s:c>
      <s:c r="B878" s="0" t="inlineStr">
        <s:is>
          <s:t>이종훈</s:t>
        </s:is>
      </s:c>
      <s:c r="C878" s="0" t="n">
        <s:v>94745</s:v>
      </s:c>
      <s:c r="D878" s="0" t="n">
        <s:v>3086</s:v>
      </s:c>
      <s:c r="F878" s="24">
        <s:f>'자료구성'!$B$2+TIME(INT($C$3/10000),INT(MOD($C$3,10000)/100),MOD($C$3,100))+(ROW()-ROW($C$3))/86400</s:f>
        <s:v>46247.418287037035</s:v>
      </s:c>
    </s:row>
    <s:row r="879">
      <s:c r="A879" s="0" t="n">
        <s:v>260813</s:v>
      </s:c>
      <s:c r="B879" s="0" t="inlineStr">
        <s:is>
          <s:t>이종훈</s:t>
        </s:is>
      </s:c>
      <s:c r="C879" s="0" t="n">
        <s:v>94745</s:v>
      </s:c>
      <s:c r="D879" s="0" t="n">
        <s:v>3053</s:v>
      </s:c>
      <s:c r="F879" s="24">
        <s:f>'자료구성'!$B$2+TIME(INT($C$3/10000),INT(MOD($C$3,10000)/100),MOD($C$3,100))+(ROW()-ROW($C$3))/86400</s:f>
        <s:v>46247.41829861111</s:v>
      </s:c>
    </s:row>
    <s:row r="880">
      <s:c r="A880" s="0" t="n">
        <s:v>260813</s:v>
      </s:c>
      <s:c r="B880" s="0" t="inlineStr">
        <s:is>
          <s:t>이종훈</s:t>
        </s:is>
      </s:c>
      <s:c r="C880" s="0" t="n">
        <s:v>94745</s:v>
      </s:c>
      <s:c r="D880" s="0" t="n">
        <s:v>3071</s:v>
      </s:c>
      <s:c r="F880" s="24">
        <s:f>'자료구성'!$B$2+TIME(INT($C$3/10000),INT(MOD($C$3,10000)/100),MOD($C$3,100))+(ROW()-ROW($C$3))/86400</s:f>
        <s:v>46247.41831018519</s:v>
      </s:c>
    </s:row>
    <s:row r="881">
      <s:c r="A881" s="0" t="n">
        <s:v>260813</s:v>
      </s:c>
      <s:c r="B881" s="0" t="inlineStr">
        <s:is>
          <s:t>이종훈</s:t>
        </s:is>
      </s:c>
      <s:c r="C881" s="0" t="n">
        <s:v>94745</s:v>
      </s:c>
      <s:c r="D881" s="0" t="n">
        <s:v>3071</s:v>
      </s:c>
      <s:c r="F881" s="24">
        <s:f>'자료구성'!$B$2+TIME(INT($C$3/10000),INT(MOD($C$3,10000)/100),MOD($C$3,100))+(ROW()-ROW($C$3))/86400</s:f>
        <s:v>46247.41832175926</s:v>
      </s:c>
    </s:row>
    <s:row r="882">
      <s:c r="A882" s="0" t="n">
        <s:v>260813</s:v>
      </s:c>
      <s:c r="B882" s="0" t="inlineStr">
        <s:is>
          <s:t>이종훈</s:t>
        </s:is>
      </s:c>
      <s:c r="C882" s="0" t="n">
        <s:v>94745</s:v>
      </s:c>
      <s:c r="D882" s="0" t="n">
        <s:v>3017</s:v>
      </s:c>
      <s:c r="F882" s="24">
        <s:f>'자료구성'!$B$2+TIME(INT($C$3/10000),INT(MOD($C$3,10000)/100),MOD($C$3,100))+(ROW()-ROW($C$3))/86400</s:f>
        <s:v>46247.418333333335</s:v>
      </s:c>
    </s:row>
    <s:row r="883">
      <s:c r="A883" s="0" t="n">
        <s:v>260813</s:v>
      </s:c>
      <s:c r="B883" s="0" t="inlineStr">
        <s:is>
          <s:t>이종훈</s:t>
        </s:is>
      </s:c>
      <s:c r="C883" s="0" t="n">
        <s:v>94745</s:v>
      </s:c>
      <s:c r="D883" s="0" t="n">
        <s:v>2917</s:v>
      </s:c>
      <s:c r="F883" s="24">
        <s:f>'자료구성'!$B$2+TIME(INT($C$3/10000),INT(MOD($C$3,10000)/100),MOD($C$3,100))+(ROW()-ROW($C$3))/86400</s:f>
        <s:v>46247.418344907404</s:v>
      </s:c>
    </s:row>
    <s:row r="884">
      <s:c r="A884" s="0" t="n">
        <s:v>260813</s:v>
      </s:c>
      <s:c r="B884" s="0" t="inlineStr">
        <s:is>
          <s:t>이종훈</s:t>
        </s:is>
      </s:c>
      <s:c r="C884" s="0" t="n">
        <s:v>94745</s:v>
      </s:c>
      <s:c r="D884" s="0" t="n">
        <s:v>2815</s:v>
      </s:c>
      <s:c r="F884" s="24">
        <s:f>'자료구성'!$B$2+TIME(INT($C$3/10000),INT(MOD($C$3,10000)/100),MOD($C$3,100))+(ROW()-ROW($C$3))/86400</s:f>
        <s:v>46247.41835648148</s:v>
      </s:c>
    </s:row>
    <s:row r="885">
      <s:c r="A885" s="0" t="n">
        <s:v>260813</s:v>
      </s:c>
      <s:c r="B885" s="0" t="inlineStr">
        <s:is>
          <s:t>이종훈</s:t>
        </s:is>
      </s:c>
      <s:c r="C885" s="0" t="n">
        <s:v>94745</s:v>
      </s:c>
      <s:c r="D885" s="0" t="n">
        <s:v>2852</s:v>
      </s:c>
      <s:c r="F885" s="24">
        <s:f>'자료구성'!$B$2+TIME(INT($C$3/10000),INT(MOD($C$3,10000)/100),MOD($C$3,100))+(ROW()-ROW($C$3))/86400</s:f>
        <s:v>46247.41836805556</s:v>
      </s:c>
    </s:row>
    <s:row r="886">
      <s:c r="A886" s="0" t="n">
        <s:v>260813</s:v>
      </s:c>
      <s:c r="B886" s="0" t="inlineStr">
        <s:is>
          <s:t>이종훈</s:t>
        </s:is>
      </s:c>
      <s:c r="C886" s="0" t="n">
        <s:v>94745</s:v>
      </s:c>
      <s:c r="D886" s="0" t="n">
        <s:v>2921</s:v>
      </s:c>
      <s:c r="F886" s="24">
        <s:f>'자료구성'!$B$2+TIME(INT($C$3/10000),INT(MOD($C$3,10000)/100),MOD($C$3,100))+(ROW()-ROW($C$3))/86400</s:f>
        <s:v>46247.41837962963</s:v>
      </s:c>
    </s:row>
    <s:row r="887">
      <s:c r="A887" s="0" t="n">
        <s:v>260813</s:v>
      </s:c>
      <s:c r="B887" s="0" t="inlineStr">
        <s:is>
          <s:t>이종훈</s:t>
        </s:is>
      </s:c>
      <s:c r="C887" s="0" t="n">
        <s:v>94745</s:v>
      </s:c>
      <s:c r="D887" s="0" t="n">
        <s:v>3024</s:v>
      </s:c>
      <s:c r="F887" s="24">
        <s:f>'자료구성'!$B$2+TIME(INT($C$3/10000),INT(MOD($C$3,10000)/100),MOD($C$3,100))+(ROW()-ROW($C$3))/86400</s:f>
        <s:v>46247.418391203704</s:v>
      </s:c>
    </s:row>
    <s:row r="888">
      <s:c r="A888" s="0" t="n">
        <s:v>260813</s:v>
      </s:c>
      <s:c r="B888" s="0" t="inlineStr">
        <s:is>
          <s:t>이종훈</s:t>
        </s:is>
      </s:c>
      <s:c r="C888" s="0" t="n">
        <s:v>94745</s:v>
      </s:c>
      <s:c r="D888" s="0" t="n">
        <s:v>3211</s:v>
      </s:c>
      <s:c r="F888" s="24">
        <s:f>'자료구성'!$B$2+TIME(INT($C$3/10000),INT(MOD($C$3,10000)/100),MOD($C$3,100))+(ROW()-ROW($C$3))/86400</s:f>
        <s:v>46247.41840277778</s:v>
      </s:c>
    </s:row>
    <s:row r="889">
      <s:c r="A889" s="0" t="n">
        <s:v>260813</s:v>
      </s:c>
      <s:c r="B889" s="0" t="inlineStr">
        <s:is>
          <s:t>이종훈</s:t>
        </s:is>
      </s:c>
      <s:c r="C889" s="0" t="n">
        <s:v>94745</s:v>
      </s:c>
      <s:c r="D889" s="0" t="n">
        <s:v>3401</s:v>
      </s:c>
      <s:c r="F889" s="24">
        <s:f>'자료구성'!$B$2+TIME(INT($C$3/10000),INT(MOD($C$3,10000)/100),MOD($C$3,100))+(ROW()-ROW($C$3))/86400</s:f>
        <s:v>46247.41841435185</s:v>
      </s:c>
    </s:row>
    <s:row r="890">
      <s:c r="A890" s="0" t="n">
        <s:v>260813</s:v>
      </s:c>
      <s:c r="B890" s="0" t="inlineStr">
        <s:is>
          <s:t>이종훈</s:t>
        </s:is>
      </s:c>
      <s:c r="C890" s="0" t="n">
        <s:v>94745</s:v>
      </s:c>
      <s:c r="D890" s="0" t="n">
        <s:v>3722</s:v>
      </s:c>
      <s:c r="F890" s="24">
        <s:f>'자료구성'!$B$2+TIME(INT($C$3/10000),INT(MOD($C$3,10000)/100),MOD($C$3,100))+(ROW()-ROW($C$3))/86400</s:f>
        <s:v>46247.41842592593</s:v>
      </s:c>
    </s:row>
    <s:row r="891">
      <s:c r="A891" s="0" t="n">
        <s:v>260813</s:v>
      </s:c>
      <s:c r="B891" s="0" t="inlineStr">
        <s:is>
          <s:t>이종훈</s:t>
        </s:is>
      </s:c>
      <s:c r="C891" s="0" t="n">
        <s:v>94745</s:v>
      </s:c>
      <s:c r="D891" s="0" t="n">
        <s:v>4006</s:v>
      </s:c>
      <s:c r="F891" s="24">
        <s:f>'자료구성'!$B$2+TIME(INT($C$3/10000),INT(MOD($C$3,10000)/100),MOD($C$3,100))+(ROW()-ROW($C$3))/86400</s:f>
        <s:v>46247.4184375</s:v>
      </s:c>
    </s:row>
    <s:row r="892">
      <s:c r="A892" s="0" t="n">
        <s:v>260813</s:v>
      </s:c>
      <s:c r="B892" s="0" t="inlineStr">
        <s:is>
          <s:t>이종훈</s:t>
        </s:is>
      </s:c>
      <s:c r="C892" s="0" t="n">
        <s:v>94745</s:v>
      </s:c>
      <s:c r="D892" s="0" t="n">
        <s:v>3975</s:v>
      </s:c>
      <s:c r="F892" s="24">
        <s:f>'자료구성'!$B$2+TIME(INT($C$3/10000),INT(MOD($C$3,10000)/100),MOD($C$3,100))+(ROW()-ROW($C$3))/86400</s:f>
        <s:v>46247.41844907407</s:v>
      </s:c>
    </s:row>
    <s:row r="893">
      <s:c r="A893" s="0" t="n">
        <s:v>260813</s:v>
      </s:c>
      <s:c r="B893" s="0" t="inlineStr">
        <s:is>
          <s:t>이종훈</s:t>
        </s:is>
      </s:c>
      <s:c r="C893" s="0" t="n">
        <s:v>94745</s:v>
      </s:c>
      <s:c r="D893" s="0" t="n">
        <s:v>3857</s:v>
      </s:c>
      <s:c r="F893" s="24">
        <s:f>'자료구성'!$B$2+TIME(INT($C$3/10000),INT(MOD($C$3,10000)/100),MOD($C$3,100))+(ROW()-ROW($C$3))/86400</s:f>
        <s:v>46247.41846064815</s:v>
      </s:c>
    </s:row>
    <s:row r="894">
      <s:c r="A894" s="0" t="n">
        <s:v>260813</s:v>
      </s:c>
      <s:c r="B894" s="0" t="inlineStr">
        <s:is>
          <s:t>이종훈</s:t>
        </s:is>
      </s:c>
      <s:c r="C894" s="0" t="n">
        <s:v>94745</s:v>
      </s:c>
      <s:c r="D894" s="0" t="n">
        <s:v>3857</s:v>
      </s:c>
      <s:c r="F894" s="24">
        <s:f>'자료구성'!$B$2+TIME(INT($C$3/10000),INT(MOD($C$3,10000)/100),MOD($C$3,100))+(ROW()-ROW($C$3))/86400</s:f>
        <s:v>46247.41847222222</s:v>
      </s:c>
    </s:row>
    <s:row r="895">
      <s:c r="A895" s="0" t="n">
        <s:v>260813</s:v>
      </s:c>
      <s:c r="B895" s="0" t="inlineStr">
        <s:is>
          <s:t>이종훈</s:t>
        </s:is>
      </s:c>
      <s:c r="C895" s="0" t="n">
        <s:v>94745</s:v>
      </s:c>
      <s:c r="D895" s="0" t="n">
        <s:v>3659</s:v>
      </s:c>
      <s:c r="F895" s="24">
        <s:f>'자료구성'!$B$2+TIME(INT($C$3/10000),INT(MOD($C$3,10000)/100),MOD($C$3,100))+(ROW()-ROW($C$3))/86400</s:f>
        <s:v>46247.4184837963</s:v>
      </s:c>
    </s:row>
    <s:row r="896">
      <s:c r="A896" s="0" t="n">
        <s:v>260813</s:v>
      </s:c>
      <s:c r="B896" s="0" t="inlineStr">
        <s:is>
          <s:t>이종훈</s:t>
        </s:is>
      </s:c>
      <s:c r="C896" s="0" t="n">
        <s:v>94745</s:v>
      </s:c>
      <s:c r="D896" s="0" t="n">
        <s:v>3500</s:v>
      </s:c>
      <s:c r="F896" s="24">
        <s:f>'자료구성'!$B$2+TIME(INT($C$3/10000),INT(MOD($C$3,10000)/100),MOD($C$3,100))+(ROW()-ROW($C$3))/86400</s:f>
        <s:v>46247.41849537037</s:v>
      </s:c>
    </s:row>
    <s:row r="897">
      <s:c r="A897" s="0" t="n">
        <s:v>260813</s:v>
      </s:c>
      <s:c r="B897" s="0" t="inlineStr">
        <s:is>
          <s:t>이종훈</s:t>
        </s:is>
      </s:c>
      <s:c r="C897" s="0" t="n">
        <s:v>94745</s:v>
      </s:c>
      <s:c r="D897" s="0" t="n">
        <s:v>3317</s:v>
      </s:c>
      <s:c r="F897" s="24">
        <s:f>'자료구성'!$B$2+TIME(INT($C$3/10000),INT(MOD($C$3,10000)/100),MOD($C$3,100))+(ROW()-ROW($C$3))/86400</s:f>
        <s:v>46247.41850694444</s:v>
      </s:c>
    </s:row>
    <s:row r="898">
      <s:c r="A898" s="0" t="n">
        <s:v>260813</s:v>
      </s:c>
      <s:c r="B898" s="0" t="inlineStr">
        <s:is>
          <s:t>이종훈</s:t>
        </s:is>
      </s:c>
      <s:c r="C898" s="0" t="n">
        <s:v>94745</s:v>
      </s:c>
      <s:c r="D898" s="0" t="n">
        <s:v>3185</s:v>
      </s:c>
      <s:c r="F898" s="24">
        <s:f>'자료구성'!$B$2+TIME(INT($C$3/10000),INT(MOD($C$3,10000)/100),MOD($C$3,100))+(ROW()-ROW($C$3))/86400</s:f>
        <s:v>46247.41851851852</s:v>
      </s:c>
    </s:row>
    <s:row r="899">
      <s:c r="A899" s="0" t="n">
        <s:v>260813</s:v>
      </s:c>
      <s:c r="B899" s="0" t="inlineStr">
        <s:is>
          <s:t>이종훈</s:t>
        </s:is>
      </s:c>
      <s:c r="C899" s="0" t="n">
        <s:v>94745</s:v>
      </s:c>
      <s:c r="D899" s="0" t="n">
        <s:v>3024</s:v>
      </s:c>
      <s:c r="F899" s="24">
        <s:f>'자료구성'!$B$2+TIME(INT($C$3/10000),INT(MOD($C$3,10000)/100),MOD($C$3,100))+(ROW()-ROW($C$3))/86400</s:f>
        <s:v>46247.41853009259</s:v>
      </s:c>
    </s:row>
    <s:row r="900">
      <s:c r="A900" s="0" t="n">
        <s:v>260813</s:v>
      </s:c>
      <s:c r="B900" s="0" t="inlineStr">
        <s:is>
          <s:t>이종훈</s:t>
        </s:is>
      </s:c>
      <s:c r="C900" s="0" t="n">
        <s:v>94745</s:v>
      </s:c>
      <s:c r="D900" s="0" t="n">
        <s:v>2868</s:v>
      </s:c>
      <s:c r="F900" s="24">
        <s:f>'자료구성'!$B$2+TIME(INT($C$3/10000),INT(MOD($C$3,10000)/100),MOD($C$3,100))+(ROW()-ROW($C$3))/86400</s:f>
        <s:v>46247.418541666666</s:v>
      </s:c>
    </s:row>
    <s:row r="901">
      <s:c r="A901" s="0" t="n">
        <s:v>260813</s:v>
      </s:c>
      <s:c r="B901" s="0" t="inlineStr">
        <s:is>
          <s:t>이종훈</s:t>
        </s:is>
      </s:c>
      <s:c r="C901" s="0" t="n">
        <s:v>94745</s:v>
      </s:c>
      <s:c r="D901" s="0" t="n">
        <s:v>2727</s:v>
      </s:c>
      <s:c r="F901" s="24">
        <s:f>'자료구성'!$B$2+TIME(INT($C$3/10000),INT(MOD($C$3,10000)/100),MOD($C$3,100))+(ROW()-ROW($C$3))/86400</s:f>
        <s:v>46247.41855324074</s:v>
      </s:c>
    </s:row>
    <s:row r="902">
      <s:c r="A902" s="0" t="n">
        <s:v>260813</s:v>
      </s:c>
      <s:c r="B902" s="0" t="inlineStr">
        <s:is>
          <s:t>이종훈</s:t>
        </s:is>
      </s:c>
      <s:c r="C902" s="0" t="n">
        <s:v>94745</s:v>
      </s:c>
      <s:c r="D902" s="0" t="n">
        <s:v>2639</s:v>
      </s:c>
      <s:c r="F902" s="24">
        <s:f>'자료구성'!$B$2+TIME(INT($C$3/10000),INT(MOD($C$3,10000)/100),MOD($C$3,100))+(ROW()-ROW($C$3))/86400</s:f>
        <s:v>46247.41856481481</s:v>
      </s:c>
    </s:row>
  </s:sheetData>
  <s:mergeCells count="1">
    <s:mergeCell ref="A1:E1"/>
  </s:mergeCells>
  <s:pageMargins left="0.7" right="0.7" top="0.75" bottom="0.75" header="0.3" footer="0.3"/>
  <s:legacyDrawing r:id="anysvml"/>
</s:worksheet>
</file>

<file path=xl/worksheets/sheet9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/>
  </s:sheetPr>
  <s:dimension ref="A1:F902"/>
  <s:sheetViews>
    <s:sheetView workbookViewId="0">
      <s:pane ySplit="2" topLeftCell="A3" activePane="bottomLeft" state="frozen"/>
      <s:selection pane="bottomLeft" activeCell="D902" sqref="D3:D902"/>
    </s:sheetView>
  </s:sheetViews>
  <s:sheetFormatPr baseColWidth="8" defaultRowHeight="16.5"/>
  <s:cols>
    <s:col width="25" customWidth="1" style="7" min="6" max="6"/>
  </s:cols>
  <s:sheetData>
    <s:row r="1">
      <s:c r="A1" s="4" t="inlineStr">
        <s:is>
          <s:t>버드나무B</s:t>
        </s:is>
      </s:c>
    </s:row>
    <s:row r="2" ht="17.25" customHeight="1" s="7" thickBot="1">
      <s:c r="A2" s="2" t="inlineStr">
        <s:is>
          <s:t>조사일자</s:t>
        </s:is>
      </s:c>
      <s:c r="B2" s="3" t="inlineStr">
        <s:is>
          <s:t>조사자명</s:t>
        </s:is>
      </s:c>
      <s:c r="C2" s="3" t="inlineStr">
        <s:is>
          <s:t>조사시작시간</s:t>
        </s:is>
      </s:c>
      <s:c r="D2" s="3" t="inlineStr">
        <s:is>
          <s:t>음이온발생량</s:t>
        </s:is>
      </s:c>
      <s:c r="E2" s="1" t="inlineStr">
        <s:is>
          <s:t>비고</s:t>
        </s:is>
      </s:c>
      <s:c r="F2" s="3" t="inlineStr">
        <s:is>
          <s:t>측정일시</s:t>
        </s:is>
      </s:c>
    </s:row>
    <s:row r="3">
      <s:c r="A3" s="0" t="n">
        <s:v>260813</s:v>
      </s:c>
      <s:c r="B3" s="0" t="inlineStr">
        <s:is>
          <s:t>이종훈</s:t>
        </s:is>
      </s:c>
      <s:c r="C3" s="0" t="n">
        <s:v>91255</s:v>
      </s:c>
      <s:c r="D3" s="0" t="n">
        <s:v>2457</s:v>
      </s:c>
      <s:c r="E3" s="0" t="n">
        <s:v>24.499</s:v>
      </s:c>
      <s:c r="F3" s="24">
        <s:f>'자료구성'!$B$2+TIME(INT($C$3/10000),INT(MOD($C$3,10000)/100),MOD($C$3,100))+(ROW()-ROW($C$3))/86400</s:f>
        <s:v>46247.38396990741</s:v>
      </s:c>
    </s:row>
    <s:row r="4">
      <s:c r="A4" s="0" t="n">
        <s:v>260813</s:v>
      </s:c>
      <s:c r="B4" s="0" t="inlineStr">
        <s:is>
          <s:t>이종훈</s:t>
        </s:is>
      </s:c>
      <s:c r="C4" s="0" t="n">
        <s:v>91255</s:v>
      </s:c>
      <s:c r="D4" s="0" t="n">
        <s:v>2502</s:v>
      </s:c>
      <s:c r="E4" s="0" t="n">
        <s:v>24.499</s:v>
      </s:c>
      <s:c r="F4" s="24">
        <s:f>'자료구성'!$B$2+TIME(INT($C$3/10000),INT(MOD($C$3,10000)/100),MOD($C$3,100))+(ROW()-ROW($C$3))/86400</s:f>
        <s:v>46247.38398148148</s:v>
      </s:c>
    </s:row>
    <s:row r="5">
      <s:c r="A5" s="0" t="n">
        <s:v>260813</s:v>
      </s:c>
      <s:c r="B5" s="0" t="inlineStr">
        <s:is>
          <s:t>이종훈</s:t>
        </s:is>
      </s:c>
      <s:c r="C5" s="0" t="n">
        <s:v>91255</s:v>
      </s:c>
      <s:c r="D5" s="0" t="n">
        <s:v>2552</s:v>
      </s:c>
      <s:c r="E5" s="0" t="n">
        <s:v>24.499</s:v>
      </s:c>
      <s:c r="F5" s="24">
        <s:f>'자료구성'!$B$2+TIME(INT($C$3/10000),INT(MOD($C$3,10000)/100),MOD($C$3,100))+(ROW()-ROW($C$3))/86400</s:f>
        <s:v>46247.383993055555</s:v>
      </s:c>
    </s:row>
    <s:row r="6">
      <s:c r="A6" s="0" t="n">
        <s:v>260813</s:v>
      </s:c>
      <s:c r="B6" s="0" t="inlineStr">
        <s:is>
          <s:t>이종훈</s:t>
        </s:is>
      </s:c>
      <s:c r="C6" s="0" t="n">
        <s:v>91255</s:v>
      </s:c>
      <s:c r="D6" s="0" t="n">
        <s:v>2471</s:v>
      </s:c>
      <s:c r="E6" s="0" t="n">
        <s:v>24.499</s:v>
      </s:c>
      <s:c r="F6" s="24">
        <s:f>'자료구성'!$B$2+TIME(INT($C$3/10000),INT(MOD($C$3,10000)/100),MOD($C$3,100))+(ROW()-ROW($C$3))/86400</s:f>
        <s:v>46247.38400462963</s:v>
      </s:c>
    </s:row>
    <s:row r="7">
      <s:c r="A7" s="0" t="n">
        <s:v>260813</s:v>
      </s:c>
      <s:c r="B7" s="0" t="inlineStr">
        <s:is>
          <s:t>이종훈</s:t>
        </s:is>
      </s:c>
      <s:c r="C7" s="0" t="n">
        <s:v>91255</s:v>
      </s:c>
      <s:c r="D7" s="0" t="n">
        <s:v>2358</s:v>
      </s:c>
      <s:c r="E7" s="0" t="n">
        <s:v>24.499</s:v>
      </s:c>
      <s:c r="F7" s="24">
        <s:f>'자료구성'!$B$2+TIME(INT($C$3/10000),INT(MOD($C$3,10000)/100),MOD($C$3,100))+(ROW()-ROW($C$3))/86400</s:f>
        <s:v>46247.3840162037</s:v>
      </s:c>
    </s:row>
    <s:row r="8">
      <s:c r="A8" s="0" t="n">
        <s:v>260813</s:v>
      </s:c>
      <s:c r="B8" s="0" t="inlineStr">
        <s:is>
          <s:t>이종훈</s:t>
        </s:is>
      </s:c>
      <s:c r="C8" s="0" t="n">
        <s:v>91255</s:v>
      </s:c>
      <s:c r="D8" s="0" t="n">
        <s:v>2289</s:v>
      </s:c>
      <s:c r="E8" s="0" t="n">
        <s:v>24.399</s:v>
      </s:c>
      <s:c r="F8" s="24">
        <s:f>'자료구성'!$B$2+TIME(INT($C$3/10000),INT(MOD($C$3,10000)/100),MOD($C$3,100))+(ROW()-ROW($C$3))/86400</s:f>
        <s:v>46247.38402777778</s:v>
      </s:c>
    </s:row>
    <s:row r="9">
      <s:c r="A9" s="0" t="n">
        <s:v>260813</s:v>
      </s:c>
      <s:c r="B9" s="0" t="inlineStr">
        <s:is>
          <s:t>이종훈</s:t>
        </s:is>
      </s:c>
      <s:c r="C9" s="0" t="n">
        <s:v>91255</s:v>
      </s:c>
      <s:c r="D9" s="0" t="n">
        <s:v>2214</s:v>
      </s:c>
      <s:c r="E9" s="0" t="n">
        <s:v>24.399</s:v>
      </s:c>
      <s:c r="F9" s="24">
        <s:f>'자료구성'!$B$2+TIME(INT($C$3/10000),INT(MOD($C$3,10000)/100),MOD($C$3,100))+(ROW()-ROW($C$3))/86400</s:f>
        <s:v>46247.384039351855</s:v>
      </s:c>
    </s:row>
    <s:row r="10">
      <s:c r="A10" s="0" t="n">
        <s:v>260813</s:v>
      </s:c>
      <s:c r="B10" s="0" t="inlineStr">
        <s:is>
          <s:t>이종훈</s:t>
        </s:is>
      </s:c>
      <s:c r="C10" s="0" t="n">
        <s:v>91255</s:v>
      </s:c>
      <s:c r="D10" s="0" t="n">
        <s:v>2167</s:v>
      </s:c>
      <s:c r="E10" s="0" t="n">
        <s:v>24.399</s:v>
      </s:c>
      <s:c r="F10" s="24">
        <s:f>'자료구성'!$B$2+TIME(INT($C$3/10000),INT(MOD($C$3,10000)/100),MOD($C$3,100))+(ROW()-ROW($C$3))/86400</s:f>
        <s:v>46247.384050925924</s:v>
      </s:c>
    </s:row>
    <s:row r="11">
      <s:c r="A11" s="0" t="n">
        <s:v>260813</s:v>
      </s:c>
      <s:c r="B11" s="0" t="inlineStr">
        <s:is>
          <s:t>이종훈</s:t>
        </s:is>
      </s:c>
      <s:c r="C11" s="0" t="n">
        <s:v>91255</s:v>
      </s:c>
      <s:c r="D11" s="0" t="n">
        <s:v>2200</s:v>
      </s:c>
      <s:c r="E11" s="0" t="n">
        <s:v>24.399</s:v>
      </s:c>
      <s:c r="F11" s="24">
        <s:f>'자료구성'!$B$2+TIME(INT($C$3/10000),INT(MOD($C$3,10000)/100),MOD($C$3,100))+(ROW()-ROW($C$3))/86400</s:f>
        <s:v>46247.3840625</s:v>
      </s:c>
    </s:row>
    <s:row r="12">
      <s:c r="A12" s="0" t="n">
        <s:v>260813</s:v>
      </s:c>
      <s:c r="B12" s="0" t="inlineStr">
        <s:is>
          <s:t>이종훈</s:t>
        </s:is>
      </s:c>
      <s:c r="C12" s="0" t="n">
        <s:v>91255</s:v>
      </s:c>
      <s:c r="D12" s="0" t="n">
        <s:v>2229</s:v>
      </s:c>
      <s:c r="E12" s="0" t="n">
        <s:v>24.499</s:v>
      </s:c>
      <s:c r="F12" s="24">
        <s:f>'자료구성'!$B$2+TIME(INT($C$3/10000),INT(MOD($C$3,10000)/100),MOD($C$3,100))+(ROW()-ROW($C$3))/86400</s:f>
        <s:v>46247.38407407407</s:v>
      </s:c>
    </s:row>
    <s:row r="13">
      <s:c r="A13" s="0" t="n">
        <s:v>260813</s:v>
      </s:c>
      <s:c r="B13" s="0" t="inlineStr">
        <s:is>
          <s:t>이종훈</s:t>
        </s:is>
      </s:c>
      <s:c r="C13" s="0" t="n">
        <s:v>91255</s:v>
      </s:c>
      <s:c r="D13" s="0" t="n">
        <s:v>2425</s:v>
      </s:c>
      <s:c r="E13" s="0" t="n">
        <s:v>24.499</s:v>
      </s:c>
      <s:c r="F13" s="24">
        <s:f>'자료구성'!$B$2+TIME(INT($C$3/10000),INT(MOD($C$3,10000)/100),MOD($C$3,100))+(ROW()-ROW($C$3))/86400</s:f>
        <s:v>46247.38408564815</s:v>
      </s:c>
    </s:row>
    <s:row r="14">
      <s:c r="A14" s="0" t="n">
        <s:v>260813</s:v>
      </s:c>
      <s:c r="B14" s="0" t="inlineStr">
        <s:is>
          <s:t>이종훈</s:t>
        </s:is>
      </s:c>
      <s:c r="C14" s="0" t="n">
        <s:v>91255</s:v>
      </s:c>
      <s:c r="D14" s="0" t="n">
        <s:v>2551</s:v>
      </s:c>
      <s:c r="E14" s="0" t="n">
        <s:v>24.499</s:v>
      </s:c>
      <s:c r="F14" s="24">
        <s:f>'자료구성'!$B$2+TIME(INT($C$3/10000),INT(MOD($C$3,10000)/100),MOD($C$3,100))+(ROW()-ROW($C$3))/86400</s:f>
        <s:v>46247.384097222224</s:v>
      </s:c>
    </s:row>
    <s:row r="15">
      <s:c r="A15" s="0" t="n">
        <s:v>260813</s:v>
      </s:c>
      <s:c r="B15" s="0" t="inlineStr">
        <s:is>
          <s:t>이종훈</s:t>
        </s:is>
      </s:c>
      <s:c r="C15" s="0" t="n">
        <s:v>91255</s:v>
      </s:c>
      <s:c r="D15" s="0" t="n">
        <s:v>2775</s:v>
      </s:c>
      <s:c r="E15" s="0" t="n">
        <s:v>24.499</s:v>
      </s:c>
      <s:c r="F15" s="24">
        <s:f>'자료구성'!$B$2+TIME(INT($C$3/10000),INT(MOD($C$3,10000)/100),MOD($C$3,100))+(ROW()-ROW($C$3))/86400</s:f>
        <s:v>46247.384108796294</s:v>
      </s:c>
    </s:row>
    <s:row r="16">
      <s:c r="A16" s="0" t="n">
        <s:v>260813</s:v>
      </s:c>
      <s:c r="B16" s="0" t="inlineStr">
        <s:is>
          <s:t>이종훈</s:t>
        </s:is>
      </s:c>
      <s:c r="C16" s="0" t="n">
        <s:v>91255</s:v>
      </s:c>
      <s:c r="D16" s="0" t="n">
        <s:v>3094</s:v>
      </s:c>
      <s:c r="E16" s="0" t="n">
        <s:v>24.499</s:v>
      </s:c>
      <s:c r="F16" s="24">
        <s:f>'자료구성'!$B$2+TIME(INT($C$3/10000),INT(MOD($C$3,10000)/100),MOD($C$3,100))+(ROW()-ROW($C$3))/86400</s:f>
        <s:v>46247.38412037037</s:v>
      </s:c>
    </s:row>
    <s:row r="17">
      <s:c r="A17" s="0" t="n">
        <s:v>260813</s:v>
      </s:c>
      <s:c r="B17" s="0" t="inlineStr">
        <s:is>
          <s:t>이종훈</s:t>
        </s:is>
      </s:c>
      <s:c r="C17" s="0" t="n">
        <s:v>91255</s:v>
      </s:c>
      <s:c r="D17" s="0" t="n">
        <s:v>3094</s:v>
      </s:c>
      <s:c r="E17" s="0" t="n">
        <s:v>24.499</s:v>
      </s:c>
      <s:c r="F17" s="24">
        <s:f>'자료구성'!$B$2+TIME(INT($C$3/10000),INT(MOD($C$3,10000)/100),MOD($C$3,100))+(ROW()-ROW($C$3))/86400</s:f>
        <s:v>46247.38413194445</s:v>
      </s:c>
    </s:row>
    <s:row r="18">
      <s:c r="A18" s="0" t="n">
        <s:v>260813</s:v>
      </s:c>
      <s:c r="B18" s="0" t="inlineStr">
        <s:is>
          <s:t>이종훈</s:t>
        </s:is>
      </s:c>
      <s:c r="C18" s="0" t="n">
        <s:v>91255</s:v>
      </s:c>
      <s:c r="D18" s="0" t="n">
        <s:v>3366</s:v>
      </s:c>
      <s:c r="E18" s="0" t="n">
        <s:v>24.499</s:v>
      </s:c>
      <s:c r="F18" s="24">
        <s:f>'자료구성'!$B$2+TIME(INT($C$3/10000),INT(MOD($C$3,10000)/100),MOD($C$3,100))+(ROW()-ROW($C$3))/86400</s:f>
        <s:v>46247.38414351852</s:v>
      </s:c>
    </s:row>
    <s:row r="19">
      <s:c r="A19" s="0" t="n">
        <s:v>260813</s:v>
      </s:c>
      <s:c r="B19" s="0" t="inlineStr">
        <s:is>
          <s:t>이종훈</s:t>
        </s:is>
      </s:c>
      <s:c r="C19" s="0" t="n">
        <s:v>91255</s:v>
      </s:c>
      <s:c r="D19" s="0" t="n">
        <s:v>3593</s:v>
      </s:c>
      <s:c r="E19" s="0" t="n">
        <s:v>24.499</s:v>
      </s:c>
      <s:c r="F19" s="24">
        <s:f>'자료구성'!$B$2+TIME(INT($C$3/10000),INT(MOD($C$3,10000)/100),MOD($C$3,100))+(ROW()-ROW($C$3))/86400</s:f>
        <s:v>46247.38415509259</s:v>
      </s:c>
    </s:row>
    <s:row r="20">
      <s:c r="A20" s="0" t="n">
        <s:v>260813</s:v>
      </s:c>
      <s:c r="B20" s="0" t="inlineStr">
        <s:is>
          <s:t>이종훈</s:t>
        </s:is>
      </s:c>
      <s:c r="C20" s="0" t="n">
        <s:v>91255</s:v>
      </s:c>
      <s:c r="D20" s="0" t="n">
        <s:v>3801</s:v>
      </s:c>
      <s:c r="E20" s="0" t="n">
        <s:v>24.499</s:v>
      </s:c>
      <s:c r="F20" s="24">
        <s:f>'자료구성'!$B$2+TIME(INT($C$3/10000),INT(MOD($C$3,10000)/100),MOD($C$3,100))+(ROW()-ROW($C$3))/86400</s:f>
        <s:v>46247.38416666666</s:v>
      </s:c>
    </s:row>
    <s:row r="21">
      <s:c r="A21" s="0" t="n">
        <s:v>260813</s:v>
      </s:c>
      <s:c r="B21" s="0" t="inlineStr">
        <s:is>
          <s:t>이종훈</s:t>
        </s:is>
      </s:c>
      <s:c r="C21" s="0" t="n">
        <s:v>91255</s:v>
      </s:c>
      <s:c r="D21" s="0" t="n">
        <s:v>4115</s:v>
      </s:c>
      <s:c r="E21" s="0" t="n">
        <s:v>24.499</s:v>
      </s:c>
      <s:c r="F21" s="24">
        <s:f>'자료구성'!$B$2+TIME(INT($C$3/10000),INT(MOD($C$3,10000)/100),MOD($C$3,100))+(ROW()-ROW($C$3))/86400</s:f>
        <s:v>46247.38417824074</s:v>
      </s:c>
    </s:row>
    <s:row r="22">
      <s:c r="A22" s="0" t="n">
        <s:v>260813</s:v>
      </s:c>
      <s:c r="B22" s="0" t="inlineStr">
        <s:is>
          <s:t>이종훈</s:t>
        </s:is>
      </s:c>
      <s:c r="C22" s="0" t="n">
        <s:v>91255</s:v>
      </s:c>
      <s:c r="D22" s="0" t="n">
        <s:v>4115</s:v>
      </s:c>
      <s:c r="E22" s="0" t="n">
        <s:v>24.499</s:v>
      </s:c>
      <s:c r="F22" s="24">
        <s:f>'자료구성'!$B$2+TIME(INT($C$3/10000),INT(MOD($C$3,10000)/100),MOD($C$3,100))+(ROW()-ROW($C$3))/86400</s:f>
        <s:v>46247.38418981482</s:v>
      </s:c>
    </s:row>
    <s:row r="23">
      <s:c r="A23" s="0" t="n">
        <s:v>260813</s:v>
      </s:c>
      <s:c r="B23" s="0" t="inlineStr">
        <s:is>
          <s:t>이종훈</s:t>
        </s:is>
      </s:c>
      <s:c r="C23" s="0" t="n">
        <s:v>91255</s:v>
      </s:c>
      <s:c r="D23" s="0" t="n">
        <s:v>4588</s:v>
      </s:c>
      <s:c r="E23" s="0" t="n">
        <s:v>24.499</s:v>
      </s:c>
      <s:c r="F23" s="24">
        <s:f>'자료구성'!$B$2+TIME(INT($C$3/10000),INT(MOD($C$3,10000)/100),MOD($C$3,100))+(ROW()-ROW($C$3))/86400</s:f>
        <s:v>46247.384201388886</s:v>
      </s:c>
    </s:row>
    <s:row r="24">
      <s:c r="A24" s="0" t="n">
        <s:v>260813</s:v>
      </s:c>
      <s:c r="B24" s="0" t="inlineStr">
        <s:is>
          <s:t>이종훈</s:t>
        </s:is>
      </s:c>
      <s:c r="C24" s="0" t="n">
        <s:v>91255</s:v>
      </s:c>
      <s:c r="D24" s="0" t="n">
        <s:v>4822</s:v>
      </s:c>
      <s:c r="E24" s="0" t="n">
        <s:v>24.499</s:v>
      </s:c>
      <s:c r="F24" s="24">
        <s:f>'자료구성'!$B$2+TIME(INT($C$3/10000),INT(MOD($C$3,10000)/100),MOD($C$3,100))+(ROW()-ROW($C$3))/86400</s:f>
        <s:v>46247.38421296296</s:v>
      </s:c>
    </s:row>
    <s:row r="25">
      <s:c r="A25" s="0" t="n">
        <s:v>260813</s:v>
      </s:c>
      <s:c r="B25" s="0" t="inlineStr">
        <s:is>
          <s:t>이종훈</s:t>
        </s:is>
      </s:c>
      <s:c r="C25" s="0" t="n">
        <s:v>91255</s:v>
      </s:c>
      <s:c r="D25" s="0" t="n">
        <s:v>5095</s:v>
      </s:c>
      <s:c r="E25" s="0" t="n">
        <s:v>24.499</s:v>
      </s:c>
      <s:c r="F25" s="24">
        <s:f>'자료구성'!$B$2+TIME(INT($C$3/10000),INT(MOD($C$3,10000)/100),MOD($C$3,100))+(ROW()-ROW($C$3))/86400</s:f>
        <s:v>46247.38422453704</s:v>
      </s:c>
    </s:row>
    <s:row r="26">
      <s:c r="A26" s="0" t="n">
        <s:v>260813</s:v>
      </s:c>
      <s:c r="B26" s="0" t="inlineStr">
        <s:is>
          <s:t>이종훈</s:t>
        </s:is>
      </s:c>
      <s:c r="C26" s="0" t="n">
        <s:v>91255</s:v>
      </s:c>
      <s:c r="D26" s="0" t="n">
        <s:v>5240</s:v>
      </s:c>
      <s:c r="E26" s="0" t="n">
        <s:v>24.499</s:v>
      </s:c>
      <s:c r="F26" s="24">
        <s:f>'자료구성'!$B$2+TIME(INT($C$3/10000),INT(MOD($C$3,10000)/100),MOD($C$3,100))+(ROW()-ROW($C$3))/86400</s:f>
        <s:v>46247.38423611111</s:v>
      </s:c>
    </s:row>
    <s:row r="27">
      <s:c r="A27" s="0" t="n">
        <s:v>260813</s:v>
      </s:c>
      <s:c r="B27" s="0" t="inlineStr">
        <s:is>
          <s:t>이종훈</s:t>
        </s:is>
      </s:c>
      <s:c r="C27" s="0" t="n">
        <s:v>91255</s:v>
      </s:c>
      <s:c r="D27" s="0" t="n">
        <s:v>5322</s:v>
      </s:c>
      <s:c r="E27" s="0" t="n">
        <s:v>24.499</s:v>
      </s:c>
      <s:c r="F27" s="24">
        <s:f>'자료구성'!$B$2+TIME(INT($C$3/10000),INT(MOD($C$3,10000)/100),MOD($C$3,100))+(ROW()-ROW($C$3))/86400</s:f>
        <s:v>46247.384247685186</s:v>
      </s:c>
    </s:row>
    <s:row r="28">
      <s:c r="A28" s="0" t="n">
        <s:v>260813</s:v>
      </s:c>
      <s:c r="B28" s="0" t="inlineStr">
        <s:is>
          <s:t>이종훈</s:t>
        </s:is>
      </s:c>
      <s:c r="C28" s="0" t="n">
        <s:v>91255</s:v>
      </s:c>
      <s:c r="D28" s="0" t="n">
        <s:v>5465</s:v>
      </s:c>
      <s:c r="E28" s="0" t="n">
        <s:v>24.499</s:v>
      </s:c>
      <s:c r="F28" s="24">
        <s:f>'자료구성'!$B$2+TIME(INT($C$3/10000),INT(MOD($C$3,10000)/100),MOD($C$3,100))+(ROW()-ROW($C$3))/86400</s:f>
        <s:v>46247.38425925926</s:v>
      </s:c>
    </s:row>
    <s:row r="29">
      <s:c r="A29" s="0" t="n">
        <s:v>260813</s:v>
      </s:c>
      <s:c r="B29" s="0" t="inlineStr">
        <s:is>
          <s:t>이종훈</s:t>
        </s:is>
      </s:c>
      <s:c r="C29" s="0" t="n">
        <s:v>91255</s:v>
      </s:c>
      <s:c r="D29" s="0" t="n">
        <s:v>5701</s:v>
      </s:c>
      <s:c r="E29" s="0" t="n">
        <s:v>24.499</s:v>
      </s:c>
      <s:c r="F29" s="24">
        <s:f>'자료구성'!$B$2+TIME(INT($C$3/10000),INT(MOD($C$3,10000)/100),MOD($C$3,100))+(ROW()-ROW($C$3))/86400</s:f>
        <s:v>46247.38427083333</s:v>
      </s:c>
    </s:row>
    <s:row r="30">
      <s:c r="A30" s="0" t="n">
        <s:v>260813</s:v>
      </s:c>
      <s:c r="B30" s="0" t="inlineStr">
        <s:is>
          <s:t>이종훈</s:t>
        </s:is>
      </s:c>
      <s:c r="C30" s="0" t="n">
        <s:v>91255</s:v>
      </s:c>
      <s:c r="D30" s="0" t="n">
        <s:v>5927</s:v>
      </s:c>
      <s:c r="E30" s="0" t="n">
        <s:v>24.499</s:v>
      </s:c>
      <s:c r="F30" s="24">
        <s:f>'자료구성'!$B$2+TIME(INT($C$3/10000),INT(MOD($C$3,10000)/100),MOD($C$3,100))+(ROW()-ROW($C$3))/86400</s:f>
        <s:v>46247.38428240741</s:v>
      </s:c>
    </s:row>
    <s:row r="31">
      <s:c r="A31" s="0" t="n">
        <s:v>260813</s:v>
      </s:c>
      <s:c r="B31" s="0" t="inlineStr">
        <s:is>
          <s:t>이종훈</s:t>
        </s:is>
      </s:c>
      <s:c r="C31" s="0" t="n">
        <s:v>91255</s:v>
      </s:c>
      <s:c r="D31" s="0" t="n">
        <s:v>6236</s:v>
      </s:c>
      <s:c r="E31" s="0" t="n">
        <s:v>24.499</s:v>
      </s:c>
      <s:c r="F31" s="24">
        <s:f>'자료구성'!$B$2+TIME(INT($C$3/10000),INT(MOD($C$3,10000)/100),MOD($C$3,100))+(ROW()-ROW($C$3))/86400</s:f>
        <s:v>46247.38429398148</s:v>
      </s:c>
    </s:row>
    <s:row r="32">
      <s:c r="A32" s="0" t="n">
        <s:v>260813</s:v>
      </s:c>
      <s:c r="B32" s="0" t="inlineStr">
        <s:is>
          <s:t>이종훈</s:t>
        </s:is>
      </s:c>
      <s:c r="C32" s="0" t="n">
        <s:v>91255</s:v>
      </s:c>
      <s:c r="D32" s="0" t="n">
        <s:v>6453</s:v>
      </s:c>
      <s:c r="E32" s="0" t="n">
        <s:v>24.499</s:v>
      </s:c>
      <s:c r="F32" s="24">
        <s:f>'자료구성'!$B$2+TIME(INT($C$3/10000),INT(MOD($C$3,10000)/100),MOD($C$3,100))+(ROW()-ROW($C$3))/86400</s:f>
        <s:v>46247.384305555555</s:v>
      </s:c>
    </s:row>
    <s:row r="33">
      <s:c r="A33" s="0" t="n">
        <s:v>260813</s:v>
      </s:c>
      <s:c r="B33" s="0" t="inlineStr">
        <s:is>
          <s:t>이종훈</s:t>
        </s:is>
      </s:c>
      <s:c r="C33" s="0" t="n">
        <s:v>91255</s:v>
      </s:c>
      <s:c r="D33" s="0" t="n">
        <s:v>6420</s:v>
      </s:c>
      <s:c r="E33" s="0" t="n">
        <s:v>24.499</s:v>
      </s:c>
      <s:c r="F33" s="24">
        <s:f>'자료구성'!$B$2+TIME(INT($C$3/10000),INT(MOD($C$3,10000)/100),MOD($C$3,100))+(ROW()-ROW($C$3))/86400</s:f>
        <s:v>46247.38431712963</s:v>
      </s:c>
    </s:row>
    <s:row r="34">
      <s:c r="A34" s="0" t="n">
        <s:v>260813</s:v>
      </s:c>
      <s:c r="B34" s="0" t="inlineStr">
        <s:is>
          <s:t>이종훈</s:t>
        </s:is>
      </s:c>
      <s:c r="C34" s="0" t="n">
        <s:v>91255</s:v>
      </s:c>
      <s:c r="D34" s="0" t="n">
        <s:v>6421</s:v>
      </s:c>
      <s:c r="E34" s="0" t="n">
        <s:v>24.499</s:v>
      </s:c>
      <s:c r="F34" s="24">
        <s:f>'자료구성'!$B$2+TIME(INT($C$3/10000),INT(MOD($C$3,10000)/100),MOD($C$3,100))+(ROW()-ROW($C$3))/86400</s:f>
        <s:v>46247.3843287037</s:v>
      </s:c>
    </s:row>
    <s:row r="35">
      <s:c r="A35" s="0" t="n">
        <s:v>260813</s:v>
      </s:c>
      <s:c r="B35" s="0" t="inlineStr">
        <s:is>
          <s:t>이종훈</s:t>
        </s:is>
      </s:c>
      <s:c r="C35" s="0" t="n">
        <s:v>91255</s:v>
      </s:c>
      <s:c r="D35" s="0" t="n">
        <s:v>6596</s:v>
      </s:c>
      <s:c r="E35" s="0" t="n">
        <s:v>24.499</s:v>
      </s:c>
      <s:c r="F35" s="24">
        <s:f>'자료구성'!$B$2+TIME(INT($C$3/10000),INT(MOD($C$3,10000)/100),MOD($C$3,100))+(ROW()-ROW($C$3))/86400</s:f>
        <s:v>46247.38434027778</s:v>
      </s:c>
    </s:row>
    <s:row r="36">
      <s:c r="A36" s="0" t="n">
        <s:v>260813</s:v>
      </s:c>
      <s:c r="B36" s="0" t="inlineStr">
        <s:is>
          <s:t>이종훈</s:t>
        </s:is>
      </s:c>
      <s:c r="C36" s="0" t="n">
        <s:v>91255</s:v>
      </s:c>
      <s:c r="D36" s="0" t="n">
        <s:v>6795</s:v>
      </s:c>
      <s:c r="E36" s="0" t="n">
        <s:v>24.499</s:v>
      </s:c>
      <s:c r="F36" s="24">
        <s:f>'자료구성'!$B$2+TIME(INT($C$3/10000),INT(MOD($C$3,10000)/100),MOD($C$3,100))+(ROW()-ROW($C$3))/86400</s:f>
        <s:v>46247.384351851855</s:v>
      </s:c>
    </s:row>
    <s:row r="37">
      <s:c r="A37" s="0" t="n">
        <s:v>260813</s:v>
      </s:c>
      <s:c r="B37" s="0" t="inlineStr">
        <s:is>
          <s:t>이종훈</s:t>
        </s:is>
      </s:c>
      <s:c r="C37" s="0" t="n">
        <s:v>91255</s:v>
      </s:c>
      <s:c r="D37" s="0" t="n">
        <s:v>6861</s:v>
      </s:c>
      <s:c r="E37" s="0" t="n">
        <s:v>24.499</s:v>
      </s:c>
      <s:c r="F37" s="24">
        <s:f>'자료구성'!$B$2+TIME(INT($C$3/10000),INT(MOD($C$3,10000)/100),MOD($C$3,100))+(ROW()-ROW($C$3))/86400</s:f>
        <s:v>46247.384363425925</s:v>
      </s:c>
    </s:row>
    <s:row r="38">
      <s:c r="A38" s="0" t="n">
        <s:v>260813</s:v>
      </s:c>
      <s:c r="B38" s="0" t="inlineStr">
        <s:is>
          <s:t>이종훈</s:t>
        </s:is>
      </s:c>
      <s:c r="C38" s="0" t="n">
        <s:v>91255</s:v>
      </s:c>
      <s:c r="D38" s="0" t="n">
        <s:v>6851</s:v>
      </s:c>
      <s:c r="E38" s="0" t="n">
        <s:v>24.499</s:v>
      </s:c>
      <s:c r="F38" s="24">
        <s:f>'자료구성'!$B$2+TIME(INT($C$3/10000),INT(MOD($C$3,10000)/100),MOD($C$3,100))+(ROW()-ROW($C$3))/86400</s:f>
        <s:v>46247.384375</s:v>
      </s:c>
    </s:row>
    <s:row r="39">
      <s:c r="A39" s="0" t="n">
        <s:v>260813</s:v>
      </s:c>
      <s:c r="B39" s="0" t="inlineStr">
        <s:is>
          <s:t>이종훈</s:t>
        </s:is>
      </s:c>
      <s:c r="C39" s="0" t="n">
        <s:v>91255</s:v>
      </s:c>
      <s:c r="D39" s="0" t="n">
        <s:v>6800</s:v>
      </s:c>
      <s:c r="E39" s="0" t="n">
        <s:v>24.499</s:v>
      </s:c>
      <s:c r="F39" s="24">
        <s:f>'자료구성'!$B$2+TIME(INT($C$3/10000),INT(MOD($C$3,10000)/100),MOD($C$3,100))+(ROW()-ROW($C$3))/86400</s:f>
        <s:v>46247.38438657407</s:v>
      </s:c>
    </s:row>
    <s:row r="40">
      <s:c r="A40" s="0" t="n">
        <s:v>260813</s:v>
      </s:c>
      <s:c r="B40" s="0" t="inlineStr">
        <s:is>
          <s:t>이종훈</s:t>
        </s:is>
      </s:c>
      <s:c r="C40" s="0" t="n">
        <s:v>91255</s:v>
      </s:c>
      <s:c r="D40" s="0" t="n">
        <s:v>6949</s:v>
      </s:c>
      <s:c r="E40" s="0" t="n">
        <s:v>24.499</s:v>
      </s:c>
      <s:c r="F40" s="24">
        <s:f>'자료구성'!$B$2+TIME(INT($C$3/10000),INT(MOD($C$3,10000)/100),MOD($C$3,100))+(ROW()-ROW($C$3))/86400</s:f>
        <s:v>46247.38439814815</s:v>
      </s:c>
    </s:row>
    <s:row r="41">
      <s:c r="A41" s="0" t="n">
        <s:v>260813</s:v>
      </s:c>
      <s:c r="B41" s="0" t="inlineStr">
        <s:is>
          <s:t>이종훈</s:t>
        </s:is>
      </s:c>
      <s:c r="C41" s="0" t="n">
        <s:v>91255</s:v>
      </s:c>
      <s:c r="D41" s="0" t="n">
        <s:v>7086</s:v>
      </s:c>
      <s:c r="E41" s="0" t="n">
        <s:v>24.499</s:v>
      </s:c>
      <s:c r="F41" s="24">
        <s:f>'자료구성'!$B$2+TIME(INT($C$3/10000),INT(MOD($C$3,10000)/100),MOD($C$3,100))+(ROW()-ROW($C$3))/86400</s:f>
        <s:v>46247.384409722225</s:v>
      </s:c>
    </s:row>
    <s:row r="42">
      <s:c r="A42" s="0" t="n">
        <s:v>260813</s:v>
      </s:c>
      <s:c r="B42" s="0" t="inlineStr">
        <s:is>
          <s:t>이종훈</s:t>
        </s:is>
      </s:c>
      <s:c r="C42" s="0" t="n">
        <s:v>91255</s:v>
      </s:c>
      <s:c r="D42" s="0" t="n">
        <s:v>7201</s:v>
      </s:c>
      <s:c r="E42" s="0" t="n">
        <s:v>24.499</s:v>
      </s:c>
      <s:c r="F42" s="24">
        <s:f>'자료구성'!$B$2+TIME(INT($C$3/10000),INT(MOD($C$3,10000)/100),MOD($C$3,100))+(ROW()-ROW($C$3))/86400</s:f>
        <s:v>46247.384421296294</s:v>
      </s:c>
    </s:row>
    <s:row r="43">
      <s:c r="A43" s="0" t="n">
        <s:v>260813</s:v>
      </s:c>
      <s:c r="B43" s="0" t="inlineStr">
        <s:is>
          <s:t>이종훈</s:t>
        </s:is>
      </s:c>
      <s:c r="C43" s="0" t="n">
        <s:v>91255</s:v>
      </s:c>
      <s:c r="D43" s="0" t="n">
        <s:v>7245</s:v>
      </s:c>
      <s:c r="E43" s="0" t="n">
        <s:v>24.499</s:v>
      </s:c>
      <s:c r="F43" s="24">
        <s:f>'자료구성'!$B$2+TIME(INT($C$3/10000),INT(MOD($C$3,10000)/100),MOD($C$3,100))+(ROW()-ROW($C$3))/86400</s:f>
        <s:v>46247.38443287037</s:v>
      </s:c>
    </s:row>
    <s:row r="44">
      <s:c r="A44" s="0" t="n">
        <s:v>260813</s:v>
      </s:c>
      <s:c r="B44" s="0" t="inlineStr">
        <s:is>
          <s:t>이종훈</s:t>
        </s:is>
      </s:c>
      <s:c r="C44" s="0" t="n">
        <s:v>91255</s:v>
      </s:c>
      <s:c r="D44" s="0" t="n">
        <s:v>7196</s:v>
      </s:c>
      <s:c r="E44" s="0" t="n">
        <s:v>24.499</s:v>
      </s:c>
      <s:c r="F44" s="24">
        <s:f>'자료구성'!$B$2+TIME(INT($C$3/10000),INT(MOD($C$3,10000)/100),MOD($C$3,100))+(ROW()-ROW($C$3))/86400</s:f>
        <s:v>46247.38444444445</s:v>
      </s:c>
    </s:row>
    <s:row r="45">
      <s:c r="A45" s="0" t="n">
        <s:v>260813</s:v>
      </s:c>
      <s:c r="B45" s="0" t="inlineStr">
        <s:is>
          <s:t>이종훈</s:t>
        </s:is>
      </s:c>
      <s:c r="C45" s="0" t="n">
        <s:v>91255</s:v>
      </s:c>
      <s:c r="D45" s="0" t="n">
        <s:v>7295</s:v>
      </s:c>
      <s:c r="E45" s="0" t="n">
        <s:v>24.499</s:v>
      </s:c>
      <s:c r="F45" s="24">
        <s:f>'자료구성'!$B$2+TIME(INT($C$3/10000),INT(MOD($C$3,10000)/100),MOD($C$3,100))+(ROW()-ROW($C$3))/86400</s:f>
        <s:v>46247.38445601852</s:v>
      </s:c>
    </s:row>
    <s:row r="46">
      <s:c r="A46" s="0" t="n">
        <s:v>260813</s:v>
      </s:c>
      <s:c r="B46" s="0" t="inlineStr">
        <s:is>
          <s:t>이종훈</s:t>
        </s:is>
      </s:c>
      <s:c r="C46" s="0" t="n">
        <s:v>91255</s:v>
      </s:c>
      <s:c r="D46" s="0" t="n">
        <s:v>7285</s:v>
      </s:c>
      <s:c r="E46" s="0" t="n">
        <s:v>24.499</s:v>
      </s:c>
      <s:c r="F46" s="24">
        <s:f>'자료구성'!$B$2+TIME(INT($C$3/10000),INT(MOD($C$3,10000)/100),MOD($C$3,100))+(ROW()-ROW($C$3))/86400</s:f>
        <s:v>46247.384467592594</s:v>
      </s:c>
    </s:row>
    <s:row r="47">
      <s:c r="A47" s="0" t="n">
        <s:v>260813</s:v>
      </s:c>
      <s:c r="B47" s="0" t="inlineStr">
        <s:is>
          <s:t>이종훈</s:t>
        </s:is>
      </s:c>
      <s:c r="C47" s="0" t="n">
        <s:v>91255</s:v>
      </s:c>
      <s:c r="D47" s="0" t="n">
        <s:v>7301</s:v>
      </s:c>
      <s:c r="E47" s="0" t="n">
        <s:v>24.499</s:v>
      </s:c>
      <s:c r="F47" s="24">
        <s:f>'자료구성'!$B$2+TIME(INT($C$3/10000),INT(MOD($C$3,10000)/100),MOD($C$3,100))+(ROW()-ROW($C$3))/86400</s:f>
        <s:v>46247.38447916666</s:v>
      </s:c>
    </s:row>
    <s:row r="48">
      <s:c r="A48" s="0" t="n">
        <s:v>260813</s:v>
      </s:c>
      <s:c r="B48" s="0" t="inlineStr">
        <s:is>
          <s:t>이종훈</s:t>
        </s:is>
      </s:c>
      <s:c r="C48" s="0" t="n">
        <s:v>91255</s:v>
      </s:c>
      <s:c r="D48" s="0" t="n">
        <s:v>7354</s:v>
      </s:c>
      <s:c r="E48" s="0" t="n">
        <s:v>24.499</s:v>
      </s:c>
      <s:c r="F48" s="24">
        <s:f>'자료구성'!$B$2+TIME(INT($C$3/10000),INT(MOD($C$3,10000)/100),MOD($C$3,100))+(ROW()-ROW($C$3))/86400</s:f>
        <s:v>46247.38449074074</s:v>
      </s:c>
    </s:row>
    <s:row r="49">
      <s:c r="A49" s="0" t="n">
        <s:v>260813</s:v>
      </s:c>
      <s:c r="B49" s="0" t="inlineStr">
        <s:is>
          <s:t>이종훈</s:t>
        </s:is>
      </s:c>
      <s:c r="C49" s="0" t="n">
        <s:v>91255</s:v>
      </s:c>
      <s:c r="D49" s="0" t="n">
        <s:v>7377</s:v>
      </s:c>
      <s:c r="E49" s="0" t="n">
        <s:v>24.499</s:v>
      </s:c>
      <s:c r="F49" s="24">
        <s:f>'자료구성'!$B$2+TIME(INT($C$3/10000),INT(MOD($C$3,10000)/100),MOD($C$3,100))+(ROW()-ROW($C$3))/86400</s:f>
        <s:v>46247.38450231482</s:v>
      </s:c>
    </s:row>
    <s:row r="50">
      <s:c r="A50" s="0" t="n">
        <s:v>260813</s:v>
      </s:c>
      <s:c r="B50" s="0" t="inlineStr">
        <s:is>
          <s:t>이종훈</s:t>
        </s:is>
      </s:c>
      <s:c r="C50" s="0" t="n">
        <s:v>91255</s:v>
      </s:c>
      <s:c r="D50" s="0" t="n">
        <s:v>7335</s:v>
      </s:c>
      <s:c r="E50" s="0" t="n">
        <s:v>24.499</s:v>
      </s:c>
      <s:c r="F50" s="24">
        <s:f>'자료구성'!$B$2+TIME(INT($C$3/10000),INT(MOD($C$3,10000)/100),MOD($C$3,100))+(ROW()-ROW($C$3))/86400</s:f>
        <s:v>46247.38451388889</s:v>
      </s:c>
    </s:row>
    <s:row r="51">
      <s:c r="A51" s="0" t="n">
        <s:v>260813</s:v>
      </s:c>
      <s:c r="B51" s="0" t="inlineStr">
        <s:is>
          <s:t>이종훈</s:t>
        </s:is>
      </s:c>
      <s:c r="C51" s="0" t="n">
        <s:v>91255</s:v>
      </s:c>
      <s:c r="D51" s="0" t="n">
        <s:v>7216</s:v>
      </s:c>
      <s:c r="E51" s="0" t="n">
        <s:v>24.499</s:v>
      </s:c>
      <s:c r="F51" s="24">
        <s:f>'자료구성'!$B$2+TIME(INT($C$3/10000),INT(MOD($C$3,10000)/100),MOD($C$3,100))+(ROW()-ROW($C$3))/86400</s:f>
        <s:v>46247.38452546296</s:v>
      </s:c>
    </s:row>
    <s:row r="52">
      <s:c r="A52" s="0" t="n">
        <s:v>260813</s:v>
      </s:c>
      <s:c r="B52" s="0" t="inlineStr">
        <s:is>
          <s:t>이종훈</s:t>
        </s:is>
      </s:c>
      <s:c r="C52" s="0" t="n">
        <s:v>91255</s:v>
      </s:c>
      <s:c r="D52" s="0" t="n">
        <s:v>7001</s:v>
      </s:c>
      <s:c r="E52" s="0" t="n">
        <s:v>24.499</s:v>
      </s:c>
      <s:c r="F52" s="24">
        <s:f>'자료구성'!$B$2+TIME(INT($C$3/10000),INT(MOD($C$3,10000)/100),MOD($C$3,100))+(ROW()-ROW($C$3))/86400</s:f>
        <s:v>46247.38453703704</s:v>
      </s:c>
    </s:row>
    <s:row r="53">
      <s:c r="A53" s="0" t="n">
        <s:v>260813</s:v>
      </s:c>
      <s:c r="B53" s="0" t="inlineStr">
        <s:is>
          <s:t>이종훈</s:t>
        </s:is>
      </s:c>
      <s:c r="C53" s="0" t="n">
        <s:v>91255</s:v>
      </s:c>
      <s:c r="D53" s="0" t="n">
        <s:v>6950</s:v>
      </s:c>
      <s:c r="E53" s="0" t="n">
        <s:v>24.499</s:v>
      </s:c>
      <s:c r="F53" s="24">
        <s:f>'자료구성'!$B$2+TIME(INT($C$3/10000),INT(MOD($C$3,10000)/100),MOD($C$3,100))+(ROW()-ROW($C$3))/86400</s:f>
        <s:v>46247.38454861111</s:v>
      </s:c>
    </s:row>
    <s:row r="54">
      <s:c r="A54" s="0" t="n">
        <s:v>260813</s:v>
      </s:c>
      <s:c r="B54" s="0" t="inlineStr">
        <s:is>
          <s:t>이종훈</s:t>
        </s:is>
      </s:c>
      <s:c r="C54" s="0" t="n">
        <s:v>91255</s:v>
      </s:c>
      <s:c r="D54" s="0" t="n">
        <s:v>6971</s:v>
      </s:c>
      <s:c r="E54" s="0" t="n">
        <s:v>24.499</s:v>
      </s:c>
      <s:c r="F54" s="24">
        <s:f>'자료구성'!$B$2+TIME(INT($C$3/10000),INT(MOD($C$3,10000)/100),MOD($C$3,100))+(ROW()-ROW($C$3))/86400</s:f>
        <s:v>46247.384560185186</s:v>
      </s:c>
    </s:row>
    <s:row r="55">
      <s:c r="A55" s="0" t="n">
        <s:v>260813</s:v>
      </s:c>
      <s:c r="B55" s="0" t="inlineStr">
        <s:is>
          <s:t>이종훈</s:t>
        </s:is>
      </s:c>
      <s:c r="C55" s="0" t="n">
        <s:v>91255</s:v>
      </s:c>
      <s:c r="D55" s="0" t="n">
        <s:v>7066</s:v>
      </s:c>
      <s:c r="E55" s="0" t="n">
        <s:v>24.499</s:v>
      </s:c>
      <s:c r="F55" s="24">
        <s:f>'자료구성'!$B$2+TIME(INT($C$3/10000),INT(MOD($C$3,10000)/100),MOD($C$3,100))+(ROW()-ROW($C$3))/86400</s:f>
        <s:v>46247.384571759256</s:v>
      </s:c>
    </s:row>
    <s:row r="56">
      <s:c r="A56" s="0" t="n">
        <s:v>260813</s:v>
      </s:c>
      <s:c r="B56" s="0" t="inlineStr">
        <s:is>
          <s:t>이종훈</s:t>
        </s:is>
      </s:c>
      <s:c r="C56" s="0" t="n">
        <s:v>91255</s:v>
      </s:c>
      <s:c r="D56" s="0" t="n">
        <s:v>7172</s:v>
      </s:c>
      <s:c r="E56" s="0" t="n">
        <s:v>24.499</s:v>
      </s:c>
      <s:c r="F56" s="24">
        <s:f>'자료구성'!$B$2+TIME(INT($C$3/10000),INT(MOD($C$3,10000)/100),MOD($C$3,100))+(ROW()-ROW($C$3))/86400</s:f>
        <s:v>46247.38458333333</s:v>
      </s:c>
    </s:row>
    <s:row r="57">
      <s:c r="A57" s="0" t="n">
        <s:v>260813</s:v>
      </s:c>
      <s:c r="B57" s="0" t="inlineStr">
        <s:is>
          <s:t>이종훈</s:t>
        </s:is>
      </s:c>
      <s:c r="C57" s="0" t="n">
        <s:v>91255</s:v>
      </s:c>
      <s:c r="D57" s="0" t="n">
        <s:v>7172</s:v>
      </s:c>
      <s:c r="E57" s="0" t="n">
        <s:v>24.499</s:v>
      </s:c>
      <s:c r="F57" s="24">
        <s:f>'자료구성'!$B$2+TIME(INT($C$3/10000),INT(MOD($C$3,10000)/100),MOD($C$3,100))+(ROW()-ROW($C$3))/86400</s:f>
        <s:v>46247.38459490741</s:v>
      </s:c>
    </s:row>
    <s:row r="58">
      <s:c r="A58" s="0" t="n">
        <s:v>260813</s:v>
      </s:c>
      <s:c r="B58" s="0" t="inlineStr">
        <s:is>
          <s:t>이종훈</s:t>
        </s:is>
      </s:c>
      <s:c r="C58" s="0" t="n">
        <s:v>91255</s:v>
      </s:c>
      <s:c r="D58" s="0" t="n">
        <s:v>7199</s:v>
      </s:c>
      <s:c r="E58" s="0" t="n">
        <s:v>24.499</s:v>
      </s:c>
      <s:c r="F58" s="24">
        <s:f>'자료구성'!$B$2+TIME(INT($C$3/10000),INT(MOD($C$3,10000)/100),MOD($C$3,100))+(ROW()-ROW($C$3))/86400</s:f>
        <s:v>46247.38460648148</s:v>
      </s:c>
    </s:row>
    <s:row r="59">
      <s:c r="A59" s="0" t="n">
        <s:v>260813</s:v>
      </s:c>
      <s:c r="B59" s="0" t="inlineStr">
        <s:is>
          <s:t>이종훈</s:t>
        </s:is>
      </s:c>
      <s:c r="C59" s="0" t="n">
        <s:v>91255</s:v>
      </s:c>
      <s:c r="D59" s="0" t="n">
        <s:v>7264</s:v>
      </s:c>
      <s:c r="E59" s="0" t="n">
        <s:v>24.499</s:v>
      </s:c>
      <s:c r="F59" s="24">
        <s:f>'자료구성'!$B$2+TIME(INT($C$3/10000),INT(MOD($C$3,10000)/100),MOD($C$3,100))+(ROW()-ROW($C$3))/86400</s:f>
        <s:v>46247.384618055556</s:v>
      </s:c>
    </s:row>
    <s:row r="60">
      <s:c r="A60" s="0" t="n">
        <s:v>260813</s:v>
      </s:c>
      <s:c r="B60" s="0" t="inlineStr">
        <s:is>
          <s:t>이종훈</s:t>
        </s:is>
      </s:c>
      <s:c r="C60" s="0" t="n">
        <s:v>91255</s:v>
      </s:c>
      <s:c r="D60" s="0" t="n">
        <s:v>7385</s:v>
      </s:c>
      <s:c r="E60" s="0" t="n">
        <s:v>24.499</s:v>
      </s:c>
      <s:c r="F60" s="24">
        <s:f>'자료구성'!$B$2+TIME(INT($C$3/10000),INT(MOD($C$3,10000)/100),MOD($C$3,100))+(ROW()-ROW($C$3))/86400</s:f>
        <s:v>46247.38462962963</s:v>
      </s:c>
    </s:row>
    <s:row r="61">
      <s:c r="A61" s="0" t="n">
        <s:v>260813</s:v>
      </s:c>
      <s:c r="B61" s="0" t="inlineStr">
        <s:is>
          <s:t>이종훈</s:t>
        </s:is>
      </s:c>
      <s:c r="C61" s="0" t="n">
        <s:v>91255</s:v>
      </s:c>
      <s:c r="D61" s="0" t="n">
        <s:v>7324</s:v>
      </s:c>
      <s:c r="E61" s="0" t="n">
        <s:v>24.499</s:v>
      </s:c>
      <s:c r="F61" s="24">
        <s:f>'자료구성'!$B$2+TIME(INT($C$3/10000),INT(MOD($C$3,10000)/100),MOD($C$3,100))+(ROW()-ROW($C$3))/86400</s:f>
        <s:v>46247.3846412037</s:v>
      </s:c>
    </s:row>
    <s:row r="62">
      <s:c r="A62" s="0" t="n">
        <s:v>260813</s:v>
      </s:c>
      <s:c r="B62" s="0" t="inlineStr">
        <s:is>
          <s:t>이종훈</s:t>
        </s:is>
      </s:c>
      <s:c r="C62" s="0" t="n">
        <s:v>91255</s:v>
      </s:c>
      <s:c r="D62" s="0" t="n">
        <s:v>7061</s:v>
      </s:c>
      <s:c r="E62" s="0" t="n">
        <s:v>24.499</s:v>
      </s:c>
      <s:c r="F62" s="24">
        <s:f>'자료구성'!$B$2+TIME(INT($C$3/10000),INT(MOD($C$3,10000)/100),MOD($C$3,100))+(ROW()-ROW($C$3))/86400</s:f>
        <s:v>46247.38465277778</s:v>
      </s:c>
    </s:row>
    <s:row r="63">
      <s:c r="A63" s="0" t="n">
        <s:v>260813</s:v>
      </s:c>
      <s:c r="B63" s="0" t="inlineStr">
        <s:is>
          <s:t>이종훈</s:t>
        </s:is>
      </s:c>
      <s:c r="C63" s="0" t="n">
        <s:v>91255</s:v>
      </s:c>
      <s:c r="D63" s="0" t="n">
        <s:v>6612</s:v>
      </s:c>
      <s:c r="E63" s="0" t="n">
        <s:v>24.499</s:v>
      </s:c>
      <s:c r="F63" s="24">
        <s:f>'자료구성'!$B$2+TIME(INT($C$3/10000),INT(MOD($C$3,10000)/100),MOD($C$3,100))+(ROW()-ROW($C$3))/86400</s:f>
        <s:v>46247.384664351855</s:v>
      </s:c>
    </s:row>
    <s:row r="64">
      <s:c r="A64" s="0" t="n">
        <s:v>260813</s:v>
      </s:c>
      <s:c r="B64" s="0" t="inlineStr">
        <s:is>
          <s:t>이종훈</s:t>
        </s:is>
      </s:c>
      <s:c r="C64" s="0" t="n">
        <s:v>91255</s:v>
      </s:c>
      <s:c r="D64" s="0" t="n">
        <s:v>6233</s:v>
      </s:c>
      <s:c r="E64" s="0" t="n">
        <s:v>24.499</s:v>
      </s:c>
      <s:c r="F64" s="24">
        <s:f>'자료구성'!$B$2+TIME(INT($C$3/10000),INT(MOD($C$3,10000)/100),MOD($C$3,100))+(ROW()-ROW($C$3))/86400</s:f>
        <s:v>46247.384675925925</s:v>
      </s:c>
    </s:row>
    <s:row r="65">
      <s:c r="A65" s="0" t="n">
        <s:v>260813</s:v>
      </s:c>
      <s:c r="B65" s="0" t="inlineStr">
        <s:is>
          <s:t>이종훈</s:t>
        </s:is>
      </s:c>
      <s:c r="C65" s="0" t="n">
        <s:v>91255</s:v>
      </s:c>
      <s:c r="D65" s="0" t="n">
        <s:v>5836</s:v>
      </s:c>
      <s:c r="E65" s="0" t="n">
        <s:v>24.499</s:v>
      </s:c>
      <s:c r="F65" s="24">
        <s:f>'자료구성'!$B$2+TIME(INT($C$3/10000),INT(MOD($C$3,10000)/100),MOD($C$3,100))+(ROW()-ROW($C$3))/86400</s:f>
        <s:v>46247.3846875</s:v>
      </s:c>
    </s:row>
    <s:row r="66">
      <s:c r="A66" s="0" t="n">
        <s:v>260813</s:v>
      </s:c>
      <s:c r="B66" s="0" t="inlineStr">
        <s:is>
          <s:t>이종훈</s:t>
        </s:is>
      </s:c>
      <s:c r="C66" s="0" t="n">
        <s:v>91255</s:v>
      </s:c>
      <s:c r="D66" s="0" t="n">
        <s:v>5498</s:v>
      </s:c>
      <s:c r="E66" s="0" t="n">
        <s:v>24.499</s:v>
      </s:c>
      <s:c r="F66" s="24">
        <s:f>'자료구성'!$B$2+TIME(INT($C$3/10000),INT(MOD($C$3,10000)/100),MOD($C$3,100))+(ROW()-ROW($C$3))/86400</s:f>
        <s:v>46247.38469907407</s:v>
      </s:c>
    </s:row>
    <s:row r="67">
      <s:c r="A67" s="0" t="n">
        <s:v>260813</s:v>
      </s:c>
      <s:c r="B67" s="0" t="inlineStr">
        <s:is>
          <s:t>이종훈</s:t>
        </s:is>
      </s:c>
      <s:c r="C67" s="0" t="n">
        <s:v>91255</s:v>
      </s:c>
      <s:c r="D67" s="0" t="n">
        <s:v>5292</s:v>
      </s:c>
      <s:c r="E67" s="0" t="n">
        <s:v>24.499</s:v>
      </s:c>
      <s:c r="F67" s="24">
        <s:f>'자료구성'!$B$2+TIME(INT($C$3/10000),INT(MOD($C$3,10000)/100),MOD($C$3,100))+(ROW()-ROW($C$3))/86400</s:f>
        <s:v>46247.38471064815</s:v>
      </s:c>
    </s:row>
    <s:row r="68">
      <s:c r="A68" s="0" t="n">
        <s:v>260813</s:v>
      </s:c>
      <s:c r="B68" s="0" t="inlineStr">
        <s:is>
          <s:t>이종훈</s:t>
        </s:is>
      </s:c>
      <s:c r="C68" s="0" t="n">
        <s:v>91255</s:v>
      </s:c>
      <s:c r="D68" s="0" t="n">
        <s:v>5085</s:v>
      </s:c>
      <s:c r="E68" s="0" t="n">
        <s:v>24.499</s:v>
      </s:c>
      <s:c r="F68" s="24">
        <s:f>'자료구성'!$B$2+TIME(INT($C$3/10000),INT(MOD($C$3,10000)/100),MOD($C$3,100))+(ROW()-ROW($C$3))/86400</s:f>
        <s:v>46247.384722222225</s:v>
      </s:c>
    </s:row>
    <s:row r="69">
      <s:c r="A69" s="0" t="n">
        <s:v>260813</s:v>
      </s:c>
      <s:c r="B69" s="0" t="inlineStr">
        <s:is>
          <s:t>이종훈</s:t>
        </s:is>
      </s:c>
      <s:c r="C69" s="0" t="n">
        <s:v>91255</s:v>
      </s:c>
      <s:c r="D69" s="0" t="n">
        <s:v>4858</s:v>
      </s:c>
      <s:c r="E69" s="0" t="n">
        <s:v>24.499</s:v>
      </s:c>
      <s:c r="F69" s="24">
        <s:f>'자료구성'!$B$2+TIME(INT($C$3/10000),INT(MOD($C$3,10000)/100),MOD($C$3,100))+(ROW()-ROW($C$3))/86400</s:f>
        <s:v>46247.384733796294</s:v>
      </s:c>
    </s:row>
    <s:row r="70">
      <s:c r="A70" s="0" t="n">
        <s:v>260813</s:v>
      </s:c>
      <s:c r="B70" s="0" t="inlineStr">
        <s:is>
          <s:t>이종훈</s:t>
        </s:is>
      </s:c>
      <s:c r="C70" s="0" t="n">
        <s:v>91255</s:v>
      </s:c>
      <s:c r="D70" s="0" t="n">
        <s:v>4662</s:v>
      </s:c>
      <s:c r="E70" s="0" t="n">
        <s:v>24.499</s:v>
      </s:c>
      <s:c r="F70" s="24">
        <s:f>'자료구성'!$B$2+TIME(INT($C$3/10000),INT(MOD($C$3,10000)/100),MOD($C$3,100))+(ROW()-ROW($C$3))/86400</s:f>
        <s:v>46247.38474537037</s:v>
      </s:c>
    </s:row>
    <s:row r="71">
      <s:c r="A71" s="0" t="n">
        <s:v>260813</s:v>
      </s:c>
      <s:c r="B71" s="0" t="inlineStr">
        <s:is>
          <s:t>이종훈</s:t>
        </s:is>
      </s:c>
      <s:c r="C71" s="0" t="n">
        <s:v>91255</s:v>
      </s:c>
      <s:c r="D71" s="0" t="n">
        <s:v>4455</s:v>
      </s:c>
      <s:c r="E71" s="0" t="n">
        <s:v>24.499</s:v>
      </s:c>
      <s:c r="F71" s="24">
        <s:f>'자료구성'!$B$2+TIME(INT($C$3/10000),INT(MOD($C$3,10000)/100),MOD($C$3,100))+(ROW()-ROW($C$3))/86400</s:f>
        <s:v>46247.38475694445</s:v>
      </s:c>
    </s:row>
    <s:row r="72">
      <s:c r="A72" s="0" t="n">
        <s:v>260813</s:v>
      </s:c>
      <s:c r="B72" s="0" t="inlineStr">
        <s:is>
          <s:t>이종훈</s:t>
        </s:is>
      </s:c>
      <s:c r="C72" s="0" t="n">
        <s:v>91255</s:v>
      </s:c>
      <s:c r="D72" s="0" t="n">
        <s:v>4270</s:v>
      </s:c>
      <s:c r="E72" s="0" t="n">
        <s:v>24.499</s:v>
      </s:c>
      <s:c r="F72" s="24">
        <s:f>'자료구성'!$B$2+TIME(INT($C$3/10000),INT(MOD($C$3,10000)/100),MOD($C$3,100))+(ROW()-ROW($C$3))/86400</s:f>
        <s:v>46247.38476851852</s:v>
      </s:c>
    </s:row>
    <s:row r="73">
      <s:c r="A73" s="0" t="n">
        <s:v>260813</s:v>
      </s:c>
      <s:c r="B73" s="0" t="inlineStr">
        <s:is>
          <s:t>이종훈</s:t>
        </s:is>
      </s:c>
      <s:c r="C73" s="0" t="n">
        <s:v>91255</s:v>
      </s:c>
      <s:c r="D73" s="0" t="n">
        <s:v>4088</s:v>
      </s:c>
      <s:c r="E73" s="0" t="n">
        <s:v>24.499</s:v>
      </s:c>
      <s:c r="F73" s="24">
        <s:f>'자료구성'!$B$2+TIME(INT($C$3/10000),INT(MOD($C$3,10000)/100),MOD($C$3,100))+(ROW()-ROW($C$3))/86400</s:f>
        <s:v>46247.384780092594</s:v>
      </s:c>
    </s:row>
    <s:row r="74">
      <s:c r="A74" s="0" t="n">
        <s:v>260813</s:v>
      </s:c>
      <s:c r="B74" s="0" t="inlineStr">
        <s:is>
          <s:t>이종훈</s:t>
        </s:is>
      </s:c>
      <s:c r="C74" s="0" t="n">
        <s:v>91255</s:v>
      </s:c>
      <s:c r="D74" s="0" t="n">
        <s:v>3953</s:v>
      </s:c>
      <s:c r="E74" s="0" t="n">
        <s:v>24.499</s:v>
      </s:c>
      <s:c r="F74" s="24">
        <s:f>'자료구성'!$B$2+TIME(INT($C$3/10000),INT(MOD($C$3,10000)/100),MOD($C$3,100))+(ROW()-ROW($C$3))/86400</s:f>
        <s:v>46247.384791666664</s:v>
      </s:c>
    </s:row>
    <s:row r="75">
      <s:c r="A75" s="0" t="n">
        <s:v>260813</s:v>
      </s:c>
      <s:c r="B75" s="0" t="inlineStr">
        <s:is>
          <s:t>이종훈</s:t>
        </s:is>
      </s:c>
      <s:c r="C75" s="0" t="n">
        <s:v>91255</s:v>
      </s:c>
      <s:c r="D75" s="0" t="n">
        <s:v>3852</s:v>
      </s:c>
      <s:c r="E75" s="0" t="n">
        <s:v>24.499</s:v>
      </s:c>
      <s:c r="F75" s="24">
        <s:f>'자료구성'!$B$2+TIME(INT($C$3/10000),INT(MOD($C$3,10000)/100),MOD($C$3,100))+(ROW()-ROW($C$3))/86400</s:f>
        <s:v>46247.38480324074</s:v>
      </s:c>
    </s:row>
    <s:row r="76">
      <s:c r="A76" s="0" t="n">
        <s:v>260813</s:v>
      </s:c>
      <s:c r="B76" s="0" t="inlineStr">
        <s:is>
          <s:t>이종훈</s:t>
        </s:is>
      </s:c>
      <s:c r="C76" s="0" t="n">
        <s:v>91255</s:v>
      </s:c>
      <s:c r="D76" s="0" t="n">
        <s:v>3856</s:v>
      </s:c>
      <s:c r="E76" s="0" t="n">
        <s:v>24.499</s:v>
      </s:c>
      <s:c r="F76" s="24">
        <s:f>'자료구성'!$B$2+TIME(INT($C$3/10000),INT(MOD($C$3,10000)/100),MOD($C$3,100))+(ROW()-ROW($C$3))/86400</s:f>
        <s:v>46247.38481481482</s:v>
      </s:c>
    </s:row>
    <s:row r="77">
      <s:c r="A77" s="0" t="n">
        <s:v>260813</s:v>
      </s:c>
      <s:c r="B77" s="0" t="inlineStr">
        <s:is>
          <s:t>이종훈</s:t>
        </s:is>
      </s:c>
      <s:c r="C77" s="0" t="n">
        <s:v>91255</s:v>
      </s:c>
      <s:c r="D77" s="0" t="n">
        <s:v>3889</s:v>
      </s:c>
      <s:c r="E77" s="0" t="n">
        <s:v>24.499</s:v>
      </s:c>
      <s:c r="F77" s="24">
        <s:f>'자료구성'!$B$2+TIME(INT($C$3/10000),INT(MOD($C$3,10000)/100),MOD($C$3,100))+(ROW()-ROW($C$3))/86400</s:f>
        <s:v>46247.38482638889</s:v>
      </s:c>
    </s:row>
    <s:row r="78">
      <s:c r="A78" s="0" t="n">
        <s:v>260813</s:v>
      </s:c>
      <s:c r="B78" s="0" t="inlineStr">
        <s:is>
          <s:t>이종훈</s:t>
        </s:is>
      </s:c>
      <s:c r="C78" s="0" t="n">
        <s:v>91255</s:v>
      </s:c>
      <s:c r="D78" s="0" t="n">
        <s:v>3937</s:v>
      </s:c>
      <s:c r="E78" s="0" t="n">
        <s:v>24.499</s:v>
      </s:c>
      <s:c r="F78" s="24">
        <s:f>'자료구성'!$B$2+TIME(INT($C$3/10000),INT(MOD($C$3,10000)/100),MOD($C$3,100))+(ROW()-ROW($C$3))/86400</s:f>
        <s:v>46247.38483796296</s:v>
      </s:c>
    </s:row>
    <s:row r="79">
      <s:c r="A79" s="0" t="n">
        <s:v>260813</s:v>
      </s:c>
      <s:c r="B79" s="0" t="inlineStr">
        <s:is>
          <s:t>이종훈</s:t>
        </s:is>
      </s:c>
      <s:c r="C79" s="0" t="n">
        <s:v>91255</s:v>
      </s:c>
      <s:c r="D79" s="0" t="n">
        <s:v>4035</s:v>
      </s:c>
      <s:c r="E79" s="0" t="n">
        <s:v>24.499</s:v>
      </s:c>
      <s:c r="F79" s="24">
        <s:f>'자료구성'!$B$2+TIME(INT($C$3/10000),INT(MOD($C$3,10000)/100),MOD($C$3,100))+(ROW()-ROW($C$3))/86400</s:f>
        <s:v>46247.38484953704</s:v>
      </s:c>
    </s:row>
    <s:row r="80">
      <s:c r="A80" s="0" t="n">
        <s:v>260813</s:v>
      </s:c>
      <s:c r="B80" s="0" t="inlineStr">
        <s:is>
          <s:t>이종훈</s:t>
        </s:is>
      </s:c>
      <s:c r="C80" s="0" t="n">
        <s:v>91255</s:v>
      </s:c>
      <s:c r="D80" s="0" t="n">
        <s:v>4410</s:v>
      </s:c>
      <s:c r="E80" s="0" t="n">
        <s:v>24.499</s:v>
      </s:c>
      <s:c r="F80" s="24">
        <s:f>'자료구성'!$B$2+TIME(INT($C$3/10000),INT(MOD($C$3,10000)/100),MOD($C$3,100))+(ROW()-ROW($C$3))/86400</s:f>
        <s:v>46247.38486111111</s:v>
      </s:c>
    </s:row>
    <s:row r="81">
      <s:c r="A81" s="0" t="n">
        <s:v>260813</s:v>
      </s:c>
      <s:c r="B81" s="0" t="inlineStr">
        <s:is>
          <s:t>이종훈</s:t>
        </s:is>
      </s:c>
      <s:c r="C81" s="0" t="n">
        <s:v>91255</s:v>
      </s:c>
      <s:c r="D81" s="0" t="n">
        <s:v>4821</s:v>
      </s:c>
      <s:c r="E81" s="0" t="n">
        <s:v>24.499</s:v>
      </s:c>
      <s:c r="F81" s="24">
        <s:f>'자료구성'!$B$2+TIME(INT($C$3/10000),INT(MOD($C$3,10000)/100),MOD($C$3,100))+(ROW()-ROW($C$3))/86400</s:f>
        <s:v>46247.38487268519</s:v>
      </s:c>
    </s:row>
    <s:row r="82">
      <s:c r="A82" s="0" t="n">
        <s:v>260813</s:v>
      </s:c>
      <s:c r="B82" s="0" t="inlineStr">
        <s:is>
          <s:t>이종훈</s:t>
        </s:is>
      </s:c>
      <s:c r="C82" s="0" t="n">
        <s:v>91255</s:v>
      </s:c>
      <s:c r="D82" s="0" t="n">
        <s:v>4986</s:v>
      </s:c>
      <s:c r="E82" s="0" t="n">
        <s:v>24.499</s:v>
      </s:c>
      <s:c r="F82" s="24">
        <s:f>'자료구성'!$B$2+TIME(INT($C$3/10000),INT(MOD($C$3,10000)/100),MOD($C$3,100))+(ROW()-ROW($C$3))/86400</s:f>
        <s:v>46247.384884259256</s:v>
      </s:c>
    </s:row>
    <s:row r="83">
      <s:c r="A83" s="0" t="n">
        <s:v>260813</s:v>
      </s:c>
      <s:c r="B83" s="0" t="inlineStr">
        <s:is>
          <s:t>이종훈</s:t>
        </s:is>
      </s:c>
      <s:c r="C83" s="0" t="n">
        <s:v>91255</s:v>
      </s:c>
      <s:c r="D83" s="0" t="n">
        <s:v>4743</s:v>
      </s:c>
      <s:c r="E83" s="0" t="n">
        <s:v>24.499</s:v>
      </s:c>
      <s:c r="F83" s="24">
        <s:f>'자료구성'!$B$2+TIME(INT($C$3/10000),INT(MOD($C$3,10000)/100),MOD($C$3,100))+(ROW()-ROW($C$3))/86400</s:f>
        <s:v>46247.38489583333</s:v>
      </s:c>
    </s:row>
    <s:row r="84">
      <s:c r="A84" s="0" t="n">
        <s:v>260813</s:v>
      </s:c>
      <s:c r="B84" s="0" t="inlineStr">
        <s:is>
          <s:t>이종훈</s:t>
        </s:is>
      </s:c>
      <s:c r="C84" s="0" t="n">
        <s:v>91255</s:v>
      </s:c>
      <s:c r="D84" s="0" t="n">
        <s:v>4507</s:v>
      </s:c>
      <s:c r="E84" s="0" t="n">
        <s:v>24.499</s:v>
      </s:c>
      <s:c r="F84" s="24">
        <s:f>'자료구성'!$B$2+TIME(INT($C$3/10000),INT(MOD($C$3,10000)/100),MOD($C$3,100))+(ROW()-ROW($C$3))/86400</s:f>
        <s:v>46247.38490740741</s:v>
      </s:c>
    </s:row>
    <s:row r="85">
      <s:c r="A85" s="0" t="n">
        <s:v>260813</s:v>
      </s:c>
      <s:c r="B85" s="0" t="inlineStr">
        <s:is>
          <s:t>이종훈</s:t>
        </s:is>
      </s:c>
      <s:c r="C85" s="0" t="n">
        <s:v>91255</s:v>
      </s:c>
      <s:c r="D85" s="0" t="n">
        <s:v>4270</s:v>
      </s:c>
      <s:c r="E85" s="0" t="n">
        <s:v>24.499</s:v>
      </s:c>
      <s:c r="F85" s="24">
        <s:f>'자료구성'!$B$2+TIME(INT($C$3/10000),INT(MOD($C$3,10000)/100),MOD($C$3,100))+(ROW()-ROW($C$3))/86400</s:f>
        <s:v>46247.38491898148</s:v>
      </s:c>
    </s:row>
    <s:row r="86">
      <s:c r="A86" s="0" t="n">
        <s:v>260813</s:v>
      </s:c>
      <s:c r="B86" s="0" t="inlineStr">
        <s:is>
          <s:t>이종훈</s:t>
        </s:is>
      </s:c>
      <s:c r="C86" s="0" t="n">
        <s:v>91255</s:v>
      </s:c>
      <s:c r="D86" s="0" t="n">
        <s:v>4057</s:v>
      </s:c>
      <s:c r="E86" s="0" t="n">
        <s:v>24.499</s:v>
      </s:c>
      <s:c r="F86" s="24">
        <s:f>'자료구성'!$B$2+TIME(INT($C$3/10000),INT(MOD($C$3,10000)/100),MOD($C$3,100))+(ROW()-ROW($C$3))/86400</s:f>
        <s:v>46247.384930555556</s:v>
      </s:c>
    </s:row>
    <s:row r="87">
      <s:c r="A87" s="0" t="n">
        <s:v>260813</s:v>
      </s:c>
      <s:c r="B87" s="0" t="inlineStr">
        <s:is>
          <s:t>이종훈</s:t>
        </s:is>
      </s:c>
      <s:c r="C87" s="0" t="n">
        <s:v>91255</s:v>
      </s:c>
      <s:c r="D87" s="0" t="n">
        <s:v>3832</s:v>
      </s:c>
      <s:c r="E87" s="0" t="n">
        <s:v>24.499</s:v>
      </s:c>
      <s:c r="F87" s="24">
        <s:f>'자료구성'!$B$2+TIME(INT($C$3/10000),INT(MOD($C$3,10000)/100),MOD($C$3,100))+(ROW()-ROW($C$3))/86400</s:f>
        <s:v>46247.38494212963</s:v>
      </s:c>
    </s:row>
    <s:row r="88">
      <s:c r="A88" s="0" t="n">
        <s:v>260813</s:v>
      </s:c>
      <s:c r="B88" s="0" t="inlineStr">
        <s:is>
          <s:t>이종훈</s:t>
        </s:is>
      </s:c>
      <s:c r="C88" s="0" t="n">
        <s:v>91255</s:v>
      </s:c>
      <s:c r="D88" s="0" t="n">
        <s:v>3652</s:v>
      </s:c>
      <s:c r="E88" s="0" t="n">
        <s:v>24.499</s:v>
      </s:c>
      <s:c r="F88" s="24">
        <s:f>'자료구성'!$B$2+TIME(INT($C$3/10000),INT(MOD($C$3,10000)/100),MOD($C$3,100))+(ROW()-ROW($C$3))/86400</s:f>
        <s:v>46247.3849537037</s:v>
      </s:c>
    </s:row>
    <s:row r="89">
      <s:c r="A89" s="0" t="n">
        <s:v>260813</s:v>
      </s:c>
      <s:c r="B89" s="0" t="inlineStr">
        <s:is>
          <s:t>이종훈</s:t>
        </s:is>
      </s:c>
      <s:c r="C89" s="0" t="n">
        <s:v>91255</s:v>
      </s:c>
      <s:c r="D89" s="0" t="n">
        <s:v>3496</s:v>
      </s:c>
      <s:c r="E89" s="0" t="n">
        <s:v>24.499</s:v>
      </s:c>
      <s:c r="F89" s="24">
        <s:f>'자료구성'!$B$2+TIME(INT($C$3/10000),INT(MOD($C$3,10000)/100),MOD($C$3,100))+(ROW()-ROW($C$3))/86400</s:f>
        <s:v>46247.38496527778</s:v>
      </s:c>
    </s:row>
    <s:row r="90">
      <s:c r="A90" s="0" t="n">
        <s:v>260813</s:v>
      </s:c>
      <s:c r="B90" s="0" t="inlineStr">
        <s:is>
          <s:t>이종훈</s:t>
        </s:is>
      </s:c>
      <s:c r="C90" s="0" t="n">
        <s:v>91255</s:v>
      </s:c>
      <s:c r="D90" s="0" t="n">
        <s:v>3352</s:v>
      </s:c>
      <s:c r="E90" s="0" t="n">
        <s:v>24.499</s:v>
      </s:c>
      <s:c r="F90" s="24">
        <s:f>'자료구성'!$B$2+TIME(INT($C$3/10000),INT(MOD($C$3,10000)/100),MOD($C$3,100))+(ROW()-ROW($C$3))/86400</s:f>
        <s:v>46247.38497685185</s:v>
      </s:c>
    </s:row>
    <s:row r="91">
      <s:c r="A91" s="0" t="n">
        <s:v>260813</s:v>
      </s:c>
      <s:c r="B91" s="0" t="inlineStr">
        <s:is>
          <s:t>이종훈</s:t>
        </s:is>
      </s:c>
      <s:c r="C91" s="0" t="n">
        <s:v>91255</s:v>
      </s:c>
      <s:c r="D91" s="0" t="n">
        <s:v>3261</s:v>
      </s:c>
      <s:c r="E91" s="0" t="n">
        <s:v>24.499</s:v>
      </s:c>
      <s:c r="F91" s="24">
        <s:f>'자료구성'!$B$2+TIME(INT($C$3/10000),INT(MOD($C$3,10000)/100),MOD($C$3,100))+(ROW()-ROW($C$3))/86400</s:f>
        <s:v>46247.384988425925</s:v>
      </s:c>
    </s:row>
    <s:row r="92">
      <s:c r="A92" s="0" t="n">
        <s:v>260813</s:v>
      </s:c>
      <s:c r="B92" s="0" t="inlineStr">
        <s:is>
          <s:t>이종훈</s:t>
        </s:is>
      </s:c>
      <s:c r="C92" s="0" t="n">
        <s:v>91255</s:v>
      </s:c>
      <s:c r="D92" s="0" t="n">
        <s:v>3196</s:v>
      </s:c>
      <s:c r="E92" s="0" t="n">
        <s:v>24.599</s:v>
      </s:c>
      <s:c r="F92" s="24">
        <s:f>'자료구성'!$B$2+TIME(INT($C$3/10000),INT(MOD($C$3,10000)/100),MOD($C$3,100))+(ROW()-ROW($C$3))/86400</s:f>
        <s:v>46247.385</s:v>
      </s:c>
    </s:row>
    <s:row r="93">
      <s:c r="A93" s="0" t="n">
        <s:v>260813</s:v>
      </s:c>
      <s:c r="B93" s="0" t="inlineStr">
        <s:is>
          <s:t>이종훈</s:t>
        </s:is>
      </s:c>
      <s:c r="C93" s="0" t="n">
        <s:v>91255</s:v>
      </s:c>
      <s:c r="D93" s="0" t="n">
        <s:v>3114</s:v>
      </s:c>
      <s:c r="E93" s="0" t="n">
        <s:v>24.599</s:v>
      </s:c>
      <s:c r="F93" s="24">
        <s:f>'자료구성'!$B$2+TIME(INT($C$3/10000),INT(MOD($C$3,10000)/100),MOD($C$3,100))+(ROW()-ROW($C$3))/86400</s:f>
        <s:v>46247.38501157407</s:v>
      </s:c>
    </s:row>
    <s:row r="94">
      <s:c r="A94" s="0" t="n">
        <s:v>260813</s:v>
      </s:c>
      <s:c r="B94" s="0" t="inlineStr">
        <s:is>
          <s:t>이종훈</s:t>
        </s:is>
      </s:c>
      <s:c r="C94" s="0" t="n">
        <s:v>91255</s:v>
      </s:c>
      <s:c r="D94" s="0" t="n">
        <s:v>3021</s:v>
      </s:c>
      <s:c r="E94" s="0" t="n">
        <s:v>24.599</s:v>
      </s:c>
      <s:c r="F94" s="24">
        <s:f>'자료구성'!$B$2+TIME(INT($C$3/10000),INT(MOD($C$3,10000)/100),MOD($C$3,100))+(ROW()-ROW($C$3))/86400</s:f>
        <s:v>46247.38502314815</s:v>
      </s:c>
    </s:row>
    <s:row r="95">
      <s:c r="A95" s="0" t="n">
        <s:v>260813</s:v>
      </s:c>
      <s:c r="B95" s="0" t="inlineStr">
        <s:is>
          <s:t>이종훈</s:t>
        </s:is>
      </s:c>
      <s:c r="C95" s="0" t="n">
        <s:v>91255</s:v>
      </s:c>
      <s:c r="D95" s="0" t="n">
        <s:v>2962</s:v>
      </s:c>
      <s:c r="E95" s="0" t="n">
        <s:v>24.599</s:v>
      </s:c>
      <s:c r="F95" s="24">
        <s:f>'자료구성'!$B$2+TIME(INT($C$3/10000),INT(MOD($C$3,10000)/100),MOD($C$3,100))+(ROW()-ROW($C$3))/86400</s:f>
        <s:v>46247.385034722225</s:v>
      </s:c>
    </s:row>
    <s:row r="96">
      <s:c r="A96" s="0" t="n">
        <s:v>260813</s:v>
      </s:c>
      <s:c r="B96" s="0" t="inlineStr">
        <s:is>
          <s:t>이종훈</s:t>
        </s:is>
      </s:c>
      <s:c r="C96" s="0" t="n">
        <s:v>91255</s:v>
      </s:c>
      <s:c r="D96" s="0" t="n">
        <s:v>2958</s:v>
      </s:c>
      <s:c r="E96" s="0" t="n">
        <s:v>24.499</s:v>
      </s:c>
      <s:c r="F96" s="24">
        <s:f>'자료구성'!$B$2+TIME(INT($C$3/10000),INT(MOD($C$3,10000)/100),MOD($C$3,100))+(ROW()-ROW($C$3))/86400</s:f>
        <s:v>46247.385046296295</s:v>
      </s:c>
    </s:row>
    <s:row r="97">
      <s:c r="A97" s="0" t="n">
        <s:v>260813</s:v>
      </s:c>
      <s:c r="B97" s="0" t="inlineStr">
        <s:is>
          <s:t>이종훈</s:t>
        </s:is>
      </s:c>
      <s:c r="C97" s="0" t="n">
        <s:v>91255</s:v>
      </s:c>
      <s:c r="D97" s="0" t="n">
        <s:v>2954</s:v>
      </s:c>
      <s:c r="E97" s="0" t="n">
        <s:v>24.499</s:v>
      </s:c>
      <s:c r="F97" s="24">
        <s:f>'자료구성'!$B$2+TIME(INT($C$3/10000),INT(MOD($C$3,10000)/100),MOD($C$3,100))+(ROW()-ROW($C$3))/86400</s:f>
        <s:v>46247.38505787037</s:v>
      </s:c>
    </s:row>
    <s:row r="98">
      <s:c r="A98" s="0" t="n">
        <s:v>260813</s:v>
      </s:c>
      <s:c r="B98" s="0" t="inlineStr">
        <s:is>
          <s:t>이종훈</s:t>
        </s:is>
      </s:c>
      <s:c r="C98" s="0" t="n">
        <s:v>91255</s:v>
      </s:c>
      <s:c r="D98" s="0" t="n">
        <s:v>2944</s:v>
      </s:c>
      <s:c r="E98" s="0" t="n">
        <s:v>24.499</s:v>
      </s:c>
      <s:c r="F98" s="24">
        <s:f>'자료구성'!$B$2+TIME(INT($C$3/10000),INT(MOD($C$3,10000)/100),MOD($C$3,100))+(ROW()-ROW($C$3))/86400</s:f>
        <s:v>46247.38506944444</s:v>
      </s:c>
    </s:row>
    <s:row r="99">
      <s:c r="A99" s="0" t="n">
        <s:v>260813</s:v>
      </s:c>
      <s:c r="B99" s="0" t="inlineStr">
        <s:is>
          <s:t>이종훈</s:t>
        </s:is>
      </s:c>
      <s:c r="C99" s="0" t="n">
        <s:v>91255</s:v>
      </s:c>
      <s:c r="D99" s="0" t="n">
        <s:v>2932</s:v>
      </s:c>
      <s:c r="E99" s="0" t="n">
        <s:v>24.499</s:v>
      </s:c>
      <s:c r="F99" s="24">
        <s:f>'자료구성'!$B$2+TIME(INT($C$3/10000),INT(MOD($C$3,10000)/100),MOD($C$3,100))+(ROW()-ROW($C$3))/86400</s:f>
        <s:v>46247.38508101852</s:v>
      </s:c>
    </s:row>
    <s:row r="100">
      <s:c r="A100" s="0" t="n">
        <s:v>260813</s:v>
      </s:c>
      <s:c r="B100" s="0" t="inlineStr">
        <s:is>
          <s:t>이종훈</s:t>
        </s:is>
      </s:c>
      <s:c r="C100" s="0" t="n">
        <s:v>91255</s:v>
      </s:c>
      <s:c r="D100" s="0" t="n">
        <s:v>2933</s:v>
      </s:c>
      <s:c r="E100" s="0" t="n">
        <s:v>24.499</s:v>
      </s:c>
      <s:c r="F100" s="24">
        <s:f>'자료구성'!$B$2+TIME(INT($C$3/10000),INT(MOD($C$3,10000)/100),MOD($C$3,100))+(ROW()-ROW($C$3))/86400</s:f>
        <s:v>46247.385092592594</s:v>
      </s:c>
    </s:row>
    <s:row r="101">
      <s:c r="A101" s="0" t="n">
        <s:v>260813</s:v>
      </s:c>
      <s:c r="B101" s="0" t="inlineStr">
        <s:is>
          <s:t>이종훈</s:t>
        </s:is>
      </s:c>
      <s:c r="C101" s="0" t="n">
        <s:v>91255</s:v>
      </s:c>
      <s:c r="D101" s="0" t="n">
        <s:v>3005</s:v>
      </s:c>
      <s:c r="E101" s="0" t="n">
        <s:v>24.499</s:v>
      </s:c>
      <s:c r="F101" s="24">
        <s:f>'자료구성'!$B$2+TIME(INT($C$3/10000),INT(MOD($C$3,10000)/100),MOD($C$3,100))+(ROW()-ROW($C$3))/86400</s:f>
        <s:v>46247.385104166664</s:v>
      </s:c>
    </s:row>
    <s:row r="102">
      <s:c r="A102" s="0" t="n">
        <s:v>260813</s:v>
      </s:c>
      <s:c r="B102" s="0" t="inlineStr">
        <s:is>
          <s:t>이종훈</s:t>
        </s:is>
      </s:c>
      <s:c r="C102" s="0" t="n">
        <s:v>91255</s:v>
      </s:c>
      <s:c r="D102" s="0" t="n">
        <s:v>3094</s:v>
      </s:c>
      <s:c r="E102" s="0" t="n">
        <s:v>24.499</s:v>
      </s:c>
      <s:c r="F102" s="24">
        <s:f>'자료구성'!$B$2+TIME(INT($C$3/10000),INT(MOD($C$3,10000)/100),MOD($C$3,100))+(ROW()-ROW($C$3))/86400</s:f>
        <s:v>46247.38511574074</s:v>
      </s:c>
    </s:row>
    <s:row r="103">
      <s:c r="A103" s="0" t="n">
        <s:v>260813</s:v>
      </s:c>
      <s:c r="B103" s="0" t="inlineStr">
        <s:is>
          <s:t>이종훈</s:t>
        </s:is>
      </s:c>
      <s:c r="C103" s="0" t="n">
        <s:v>91255</s:v>
      </s:c>
      <s:c r="D103" s="0" t="n">
        <s:v>3136</s:v>
      </s:c>
      <s:c r="E103" s="0" t="n">
        <s:v>24.499</s:v>
      </s:c>
      <s:c r="F103" s="24">
        <s:f>'자료구성'!$B$2+TIME(INT($C$3/10000),INT(MOD($C$3,10000)/100),MOD($C$3,100))+(ROW()-ROW($C$3))/86400</s:f>
        <s:v>46247.38512731482</s:v>
      </s:c>
    </s:row>
    <s:row r="104">
      <s:c r="A104" s="0" t="n">
        <s:v>260813</s:v>
      </s:c>
      <s:c r="B104" s="0" t="inlineStr">
        <s:is>
          <s:t>이종훈</s:t>
        </s:is>
      </s:c>
      <s:c r="C104" s="0" t="n">
        <s:v>91255</s:v>
      </s:c>
      <s:c r="D104" s="0" t="n">
        <s:v>3182</s:v>
      </s:c>
      <s:c r="E104" s="0" t="n">
        <s:v>24.499</s:v>
      </s:c>
      <s:c r="F104" s="24">
        <s:f>'자료구성'!$B$2+TIME(INT($C$3/10000),INT(MOD($C$3,10000)/100),MOD($C$3,100))+(ROW()-ROW($C$3))/86400</s:f>
        <s:v>46247.38513888889</s:v>
      </s:c>
    </s:row>
    <s:row r="105">
      <s:c r="A105" s="0" t="n">
        <s:v>260813</s:v>
      </s:c>
      <s:c r="B105" s="0" t="inlineStr">
        <s:is>
          <s:t>이종훈</s:t>
        </s:is>
      </s:c>
      <s:c r="C105" s="0" t="n">
        <s:v>91255</s:v>
      </s:c>
      <s:c r="D105" s="0" t="n">
        <s:v>3256</s:v>
      </s:c>
      <s:c r="E105" s="0" t="n">
        <s:v>24.499</s:v>
      </s:c>
      <s:c r="F105" s="24">
        <s:f>'자료구성'!$B$2+TIME(INT($C$3/10000),INT(MOD($C$3,10000)/100),MOD($C$3,100))+(ROW()-ROW($C$3))/86400</s:f>
        <s:v>46247.385150462964</s:v>
      </s:c>
    </s:row>
    <s:row r="106">
      <s:c r="A106" s="0" t="n">
        <s:v>260813</s:v>
      </s:c>
      <s:c r="B106" s="0" t="inlineStr">
        <s:is>
          <s:t>이종훈</s:t>
        </s:is>
      </s:c>
      <s:c r="C106" s="0" t="n">
        <s:v>91255</s:v>
      </s:c>
      <s:c r="D106" s="0" t="n">
        <s:v>3334</s:v>
      </s:c>
      <s:c r="E106" s="0" t="n">
        <s:v>24.499</s:v>
      </s:c>
      <s:c r="F106" s="24">
        <s:f>'자료구성'!$B$2+TIME(INT($C$3/10000),INT(MOD($C$3,10000)/100),MOD($C$3,100))+(ROW()-ROW($C$3))/86400</s:f>
        <s:v>46247.38516203704</s:v>
      </s:c>
    </s:row>
    <s:row r="107">
      <s:c r="A107" s="0" t="n">
        <s:v>260813</s:v>
      </s:c>
      <s:c r="B107" s="0" t="inlineStr">
        <s:is>
          <s:t>이종훈</s:t>
        </s:is>
      </s:c>
      <s:c r="C107" s="0" t="n">
        <s:v>91255</s:v>
      </s:c>
      <s:c r="D107" s="0" t="n">
        <s:v>3391</s:v>
      </s:c>
      <s:c r="E107" s="0" t="n">
        <s:v>24.499</s:v>
      </s:c>
      <s:c r="F107" s="24">
        <s:f>'자료구성'!$B$2+TIME(INT($C$3/10000),INT(MOD($C$3,10000)/100),MOD($C$3,100))+(ROW()-ROW($C$3))/86400</s:f>
        <s:v>46247.38517361111</s:v>
      </s:c>
    </s:row>
    <s:row r="108">
      <s:c r="A108" s="0" t="n">
        <s:v>260813</s:v>
      </s:c>
      <s:c r="B108" s="0" t="inlineStr">
        <s:is>
          <s:t>이종훈</s:t>
        </s:is>
      </s:c>
      <s:c r="C108" s="0" t="n">
        <s:v>91255</s:v>
      </s:c>
      <s:c r="D108" s="0" t="n">
        <s:v>3401</s:v>
      </s:c>
      <s:c r="E108" s="0" t="n">
        <s:v>24.499</s:v>
      </s:c>
      <s:c r="F108" s="24">
        <s:f>'자료구성'!$B$2+TIME(INT($C$3/10000),INT(MOD($C$3,10000)/100),MOD($C$3,100))+(ROW()-ROW($C$3))/86400</s:f>
        <s:v>46247.38518518519</s:v>
      </s:c>
    </s:row>
    <s:row r="109">
      <s:c r="A109" s="0" t="n">
        <s:v>260813</s:v>
      </s:c>
      <s:c r="B109" s="0" t="inlineStr">
        <s:is>
          <s:t>이종훈</s:t>
        </s:is>
      </s:c>
      <s:c r="C109" s="0" t="n">
        <s:v>91255</s:v>
      </s:c>
      <s:c r="D109" s="0" t="n">
        <s:v>3450</s:v>
      </s:c>
      <s:c r="E109" s="0" t="n">
        <s:v>24.499</s:v>
      </s:c>
      <s:c r="F109" s="24">
        <s:f>'자료구성'!$B$2+TIME(INT($C$3/10000),INT(MOD($C$3,10000)/100),MOD($C$3,100))+(ROW()-ROW($C$3))/86400</s:f>
        <s:v>46247.385196759256</s:v>
      </s:c>
    </s:row>
    <s:row r="110">
      <s:c r="A110" s="0" t="n">
        <s:v>260813</s:v>
      </s:c>
      <s:c r="B110" s="0" t="inlineStr">
        <s:is>
          <s:t>이종훈</s:t>
        </s:is>
      </s:c>
      <s:c r="C110" s="0" t="n">
        <s:v>91255</s:v>
      </s:c>
      <s:c r="D110" s="0" t="n">
        <s:v>3526</s:v>
      </s:c>
      <s:c r="E110" s="0" t="n">
        <s:v>24.499</s:v>
      </s:c>
      <s:c r="F110" s="24">
        <s:f>'자료구성'!$B$2+TIME(INT($C$3/10000),INT(MOD($C$3,10000)/100),MOD($C$3,100))+(ROW()-ROW($C$3))/86400</s:f>
        <s:v>46247.38520833333</s:v>
      </s:c>
    </s:row>
    <s:row r="111">
      <s:c r="A111" s="0" t="n">
        <s:v>260813</s:v>
      </s:c>
      <s:c r="B111" s="0" t="inlineStr">
        <s:is>
          <s:t>이종훈</s:t>
        </s:is>
      </s:c>
      <s:c r="C111" s="0" t="n">
        <s:v>91255</s:v>
      </s:c>
      <s:c r="D111" s="0" t="n">
        <s:v>3665</s:v>
      </s:c>
      <s:c r="E111" s="0" t="n">
        <s:v>24.499</s:v>
      </s:c>
      <s:c r="F111" s="24">
        <s:f>'자료구성'!$B$2+TIME(INT($C$3/10000),INT(MOD($C$3,10000)/100),MOD($C$3,100))+(ROW()-ROW($C$3))/86400</s:f>
        <s:v>46247.38521990741</s:v>
      </s:c>
    </s:row>
    <s:row r="112">
      <s:c r="A112" s="0" t="n">
        <s:v>260813</s:v>
      </s:c>
      <s:c r="B112" s="0" t="inlineStr">
        <s:is>
          <s:t>이종훈</s:t>
        </s:is>
      </s:c>
      <s:c r="C112" s="0" t="n">
        <s:v>91255</s:v>
      </s:c>
      <s:c r="D112" s="0" t="n">
        <s:v>3760</s:v>
      </s:c>
      <s:c r="E112" s="0" t="n">
        <s:v>24.499</s:v>
      </s:c>
      <s:c r="F112" s="24">
        <s:f>'자료구성'!$B$2+TIME(INT($C$3/10000),INT(MOD($C$3,10000)/100),MOD($C$3,100))+(ROW()-ROW($C$3))/86400</s:f>
        <s:v>46247.38523148148</s:v>
      </s:c>
    </s:row>
    <s:row r="113">
      <s:c r="A113" s="0" t="n">
        <s:v>260813</s:v>
      </s:c>
      <s:c r="B113" s="0" t="inlineStr">
        <s:is>
          <s:t>이종훈</s:t>
        </s:is>
      </s:c>
      <s:c r="C113" s="0" t="n">
        <s:v>91255</s:v>
      </s:c>
      <s:c r="D113" s="0" t="n">
        <s:v>3790</s:v>
      </s:c>
      <s:c r="E113" s="0" t="n">
        <s:v>24.499</s:v>
      </s:c>
      <s:c r="F113" s="24">
        <s:f>'자료구성'!$B$2+TIME(INT($C$3/10000),INT(MOD($C$3,10000)/100),MOD($C$3,100))+(ROW()-ROW($C$3))/86400</s:f>
        <s:v>46247.385243055556</s:v>
      </s:c>
    </s:row>
    <s:row r="114">
      <s:c r="A114" s="0" t="n">
        <s:v>260813</s:v>
      </s:c>
      <s:c r="B114" s="0" t="inlineStr">
        <s:is>
          <s:t>이종훈</s:t>
        </s:is>
      </s:c>
      <s:c r="C114" s="0" t="n">
        <s:v>91255</s:v>
      </s:c>
      <s:c r="D114" s="0" t="n">
        <s:v>3790</s:v>
      </s:c>
      <s:c r="E114" s="0" t="n">
        <s:v>24.499</s:v>
      </s:c>
      <s:c r="F114" s="24">
        <s:f>'자료구성'!$B$2+TIME(INT($C$3/10000),INT(MOD($C$3,10000)/100),MOD($C$3,100))+(ROW()-ROW($C$3))/86400</s:f>
        <s:v>46247.38525462963</s:v>
      </s:c>
    </s:row>
    <s:row r="115">
      <s:c r="A115" s="0" t="n">
        <s:v>260813</s:v>
      </s:c>
      <s:c r="B115" s="0" t="inlineStr">
        <s:is>
          <s:t>이종훈</s:t>
        </s:is>
      </s:c>
      <s:c r="C115" s="0" t="n">
        <s:v>91255</s:v>
      </s:c>
      <s:c r="D115" s="0" t="n">
        <s:v>3880</s:v>
      </s:c>
      <s:c r="E115" s="0" t="n">
        <s:v>24.499</s:v>
      </s:c>
      <s:c r="F115" s="24">
        <s:f>'자료구성'!$B$2+TIME(INT($C$3/10000),INT(MOD($C$3,10000)/100),MOD($C$3,100))+(ROW()-ROW($C$3))/86400</s:f>
        <s:v>46247.3852662037</s:v>
      </s:c>
    </s:row>
    <s:row r="116">
      <s:c r="A116" s="0" t="n">
        <s:v>260813</s:v>
      </s:c>
      <s:c r="B116" s="0" t="inlineStr">
        <s:is>
          <s:t>이종훈</s:t>
        </s:is>
      </s:c>
      <s:c r="C116" s="0" t="n">
        <s:v>91255</s:v>
      </s:c>
      <s:c r="D116" s="0" t="n">
        <s:v>3993</s:v>
      </s:c>
      <s:c r="E116" s="0" t="n">
        <s:v>24.499</s:v>
      </s:c>
      <s:c r="F116" s="24">
        <s:f>'자료구성'!$B$2+TIME(INT($C$3/10000),INT(MOD($C$3,10000)/100),MOD($C$3,100))+(ROW()-ROW($C$3))/86400</s:f>
        <s:v>46247.38527777778</s:v>
      </s:c>
    </s:row>
    <s:row r="117">
      <s:c r="A117" s="0" t="n">
        <s:v>260813</s:v>
      </s:c>
      <s:c r="B117" s="0" t="inlineStr">
        <s:is>
          <s:t>이종훈</s:t>
        </s:is>
      </s:c>
      <s:c r="C117" s="0" t="n">
        <s:v>91255</s:v>
      </s:c>
      <s:c r="D117" s="0" t="n">
        <s:v>4072</s:v>
      </s:c>
      <s:c r="E117" s="0" t="n">
        <s:v>24.499</s:v>
      </s:c>
      <s:c r="F117" s="24">
        <s:f>'자료구성'!$B$2+TIME(INT($C$3/10000),INT(MOD($C$3,10000)/100),MOD($C$3,100))+(ROW()-ROW($C$3))/86400</s:f>
        <s:v>46247.38528935185</s:v>
      </s:c>
    </s:row>
    <s:row r="118">
      <s:c r="A118" s="0" t="n">
        <s:v>260813</s:v>
      </s:c>
      <s:c r="B118" s="0" t="inlineStr">
        <s:is>
          <s:t>이종훈</s:t>
        </s:is>
      </s:c>
      <s:c r="C118" s="0" t="n">
        <s:v>91255</s:v>
      </s:c>
      <s:c r="D118" s="0" t="n">
        <s:v>4218</s:v>
      </s:c>
      <s:c r="E118" s="0" t="n">
        <s:v>24.499</s:v>
      </s:c>
      <s:c r="F118" s="24">
        <s:f>'자료구성'!$B$2+TIME(INT($C$3/10000),INT(MOD($C$3,10000)/100),MOD($C$3,100))+(ROW()-ROW($C$3))/86400</s:f>
        <s:v>46247.385300925926</s:v>
      </s:c>
    </s:row>
    <s:row r="119">
      <s:c r="A119" s="0" t="n">
        <s:v>260813</s:v>
      </s:c>
      <s:c r="B119" s="0" t="inlineStr">
        <s:is>
          <s:t>이종훈</s:t>
        </s:is>
      </s:c>
      <s:c r="C119" s="0" t="n">
        <s:v>91255</s:v>
      </s:c>
      <s:c r="D119" s="0" t="n">
        <s:v>4349</s:v>
      </s:c>
      <s:c r="E119" s="0" t="n">
        <s:v>24.499</s:v>
      </s:c>
      <s:c r="F119" s="24">
        <s:f>'자료구성'!$B$2+TIME(INT($C$3/10000),INT(MOD($C$3,10000)/100),MOD($C$3,100))+(ROW()-ROW($C$3))/86400</s:f>
        <s:v>46247.3853125</s:v>
      </s:c>
    </s:row>
    <s:row r="120">
      <s:c r="A120" s="0" t="n">
        <s:v>260813</s:v>
      </s:c>
      <s:c r="B120" s="0" t="inlineStr">
        <s:is>
          <s:t>이종훈</s:t>
        </s:is>
      </s:c>
      <s:c r="C120" s="0" t="n">
        <s:v>91255</s:v>
      </s:c>
      <s:c r="D120" s="0" t="n">
        <s:v>4426</s:v>
      </s:c>
      <s:c r="E120" s="0" t="n">
        <s:v>24.499</s:v>
      </s:c>
      <s:c r="F120" s="24">
        <s:f>'자료구성'!$B$2+TIME(INT($C$3/10000),INT(MOD($C$3,10000)/100),MOD($C$3,100))+(ROW()-ROW($C$3))/86400</s:f>
        <s:v>46247.38532407407</s:v>
      </s:c>
    </s:row>
    <s:row r="121">
      <s:c r="A121" s="0" t="n">
        <s:v>260813</s:v>
      </s:c>
      <s:c r="B121" s="0" t="inlineStr">
        <s:is>
          <s:t>이종훈</s:t>
        </s:is>
      </s:c>
      <s:c r="C121" s="0" t="n">
        <s:v>91255</s:v>
      </s:c>
      <s:c r="D121" s="0" t="n">
        <s:v>4368</s:v>
      </s:c>
      <s:c r="E121" s="0" t="n">
        <s:v>24.499</s:v>
      </s:c>
      <s:c r="F121" s="24">
        <s:f>'자료구성'!$B$2+TIME(INT($C$3/10000),INT(MOD($C$3,10000)/100),MOD($C$3,100))+(ROW()-ROW($C$3))/86400</s:f>
        <s:v>46247.38533564815</s:v>
      </s:c>
    </s:row>
    <s:row r="122">
      <s:c r="A122" s="0" t="n">
        <s:v>260813</s:v>
      </s:c>
      <s:c r="B122" s="0" t="inlineStr">
        <s:is>
          <s:t>이종훈</s:t>
        </s:is>
      </s:c>
      <s:c r="C122" s="0" t="n">
        <s:v>91255</s:v>
      </s:c>
      <s:c r="D122" s="0" t="n">
        <s:v>4309</s:v>
      </s:c>
      <s:c r="E122" s="0" t="n">
        <s:v>24.499</s:v>
      </s:c>
      <s:c r="F122" s="24">
        <s:f>'자료구성'!$B$2+TIME(INT($C$3/10000),INT(MOD($C$3,10000)/100),MOD($C$3,100))+(ROW()-ROW($C$3))/86400</s:f>
        <s:v>46247.385347222225</s:v>
      </s:c>
    </s:row>
    <s:row r="123">
      <s:c r="A123" s="0" t="n">
        <s:v>260813</s:v>
      </s:c>
      <s:c r="B123" s="0" t="inlineStr">
        <s:is>
          <s:t>이종훈</s:t>
        </s:is>
      </s:c>
      <s:c r="C123" s="0" t="n">
        <s:v>91255</s:v>
      </s:c>
      <s:c r="D123" s="0" t="n">
        <s:v>4265</s:v>
      </s:c>
      <s:c r="E123" s="0" t="n">
        <s:v>24.499</s:v>
      </s:c>
      <s:c r="F123" s="24">
        <s:f>'자료구성'!$B$2+TIME(INT($C$3/10000),INT(MOD($C$3,10000)/100),MOD($C$3,100))+(ROW()-ROW($C$3))/86400</s:f>
        <s:v>46247.385358796295</s:v>
      </s:c>
    </s:row>
    <s:row r="124">
      <s:c r="A124" s="0" t="n">
        <s:v>260813</s:v>
      </s:c>
      <s:c r="B124" s="0" t="inlineStr">
        <s:is>
          <s:t>이종훈</s:t>
        </s:is>
      </s:c>
      <s:c r="C124" s="0" t="n">
        <s:v>91255</s:v>
      </s:c>
      <s:c r="D124" s="0" t="n">
        <s:v>4247</s:v>
      </s:c>
      <s:c r="E124" s="0" t="n">
        <s:v>24.499</s:v>
      </s:c>
      <s:c r="F124" s="24">
        <s:f>'자료구성'!$B$2+TIME(INT($C$3/10000),INT(MOD($C$3,10000)/100),MOD($C$3,100))+(ROW()-ROW($C$3))/86400</s:f>
        <s:v>46247.38537037037</s:v>
      </s:c>
    </s:row>
    <s:row r="125">
      <s:c r="A125" s="0" t="n">
        <s:v>260813</s:v>
      </s:c>
      <s:c r="B125" s="0" t="inlineStr">
        <s:is>
          <s:t>이종훈</s:t>
        </s:is>
      </s:c>
      <s:c r="C125" s="0" t="n">
        <s:v>91255</s:v>
      </s:c>
      <s:c r="D125" s="0" t="n">
        <s:v>4170</s:v>
      </s:c>
      <s:c r="E125" s="0" t="n">
        <s:v>24.499</s:v>
      </s:c>
      <s:c r="F125" s="24">
        <s:f>'자료구성'!$B$2+TIME(INT($C$3/10000),INT(MOD($C$3,10000)/100),MOD($C$3,100))+(ROW()-ROW($C$3))/86400</s:f>
        <s:v>46247.38538194444</s:v>
      </s:c>
    </s:row>
    <s:row r="126">
      <s:c r="A126" s="0" t="n">
        <s:v>260813</s:v>
      </s:c>
      <s:c r="B126" s="0" t="inlineStr">
        <s:is>
          <s:t>이종훈</s:t>
        </s:is>
      </s:c>
      <s:c r="C126" s="0" t="n">
        <s:v>91255</s:v>
      </s:c>
      <s:c r="D126" s="0" t="n">
        <s:v>4083</s:v>
      </s:c>
      <s:c r="E126" s="0" t="n">
        <s:v>24.499</s:v>
      </s:c>
      <s:c r="F126" s="24">
        <s:f>'자료구성'!$B$2+TIME(INT($C$3/10000),INT(MOD($C$3,10000)/100),MOD($C$3,100))+(ROW()-ROW($C$3))/86400</s:f>
        <s:v>46247.38539351852</s:v>
      </s:c>
    </s:row>
    <s:row r="127">
      <s:c r="A127" s="0" t="n">
        <s:v>260813</s:v>
      </s:c>
      <s:c r="B127" s="0" t="inlineStr">
        <s:is>
          <s:t>이종훈</s:t>
        </s:is>
      </s:c>
      <s:c r="C127" s="0" t="n">
        <s:v>91255</s:v>
      </s:c>
      <s:c r="D127" s="0" t="n">
        <s:v>3994</s:v>
      </s:c>
      <s:c r="E127" s="0" t="n">
        <s:v>24.499</s:v>
      </s:c>
      <s:c r="F127" s="24">
        <s:f>'자료구성'!$B$2+TIME(INT($C$3/10000),INT(MOD($C$3,10000)/100),MOD($C$3,100))+(ROW()-ROW($C$3))/86400</s:f>
        <s:v>46247.385405092595</s:v>
      </s:c>
    </s:row>
    <s:row r="128">
      <s:c r="A128" s="0" t="n">
        <s:v>260813</s:v>
      </s:c>
      <s:c r="B128" s="0" t="inlineStr">
        <s:is>
          <s:t>이종훈</s:t>
        </s:is>
      </s:c>
      <s:c r="C128" s="0" t="n">
        <s:v>91255</s:v>
      </s:c>
      <s:c r="D128" s="0" t="n">
        <s:v>3926</s:v>
      </s:c>
      <s:c r="E128" s="0" t="n">
        <s:v>24.499</s:v>
      </s:c>
      <s:c r="F128" s="24">
        <s:f>'자료구성'!$B$2+TIME(INT($C$3/10000),INT(MOD($C$3,10000)/100),MOD($C$3,100))+(ROW()-ROW($C$3))/86400</s:f>
        <s:v>46247.385416666664</s:v>
      </s:c>
    </s:row>
    <s:row r="129">
      <s:c r="A129" s="0" t="n">
        <s:v>260813</s:v>
      </s:c>
      <s:c r="B129" s="0" t="inlineStr">
        <s:is>
          <s:t>이종훈</s:t>
        </s:is>
      </s:c>
      <s:c r="C129" s="0" t="n">
        <s:v>91255</s:v>
      </s:c>
      <s:c r="D129" s="0" t="n">
        <s:v>3851</s:v>
      </s:c>
      <s:c r="E129" s="0" t="n">
        <s:v>24.499</s:v>
      </s:c>
      <s:c r="F129" s="24">
        <s:f>'자료구성'!$B$2+TIME(INT($C$3/10000),INT(MOD($C$3,10000)/100),MOD($C$3,100))+(ROW()-ROW($C$3))/86400</s:f>
        <s:v>46247.38542824074</s:v>
      </s:c>
    </s:row>
    <s:row r="130">
      <s:c r="A130" s="0" t="n">
        <s:v>260813</s:v>
      </s:c>
      <s:c r="B130" s="0" t="inlineStr">
        <s:is>
          <s:t>이종훈</s:t>
        </s:is>
      </s:c>
      <s:c r="C130" s="0" t="n">
        <s:v>91255</s:v>
      </s:c>
      <s:c r="D130" s="0" t="n">
        <s:v>3797</s:v>
      </s:c>
      <s:c r="E130" s="0" t="n">
        <s:v>24.499</s:v>
      </s:c>
      <s:c r="F130" s="24">
        <s:f>'자료구성'!$B$2+TIME(INT($C$3/10000),INT(MOD($C$3,10000)/100),MOD($C$3,100))+(ROW()-ROW($C$3))/86400</s:f>
        <s:v>46247.38543981482</s:v>
      </s:c>
    </s:row>
    <s:row r="131">
      <s:c r="A131" s="0" t="n">
        <s:v>260813</s:v>
      </s:c>
      <s:c r="B131" s="0" t="inlineStr">
        <s:is>
          <s:t>이종훈</s:t>
        </s:is>
      </s:c>
      <s:c r="C131" s="0" t="n">
        <s:v>91255</s:v>
      </s:c>
      <s:c r="D131" s="0" t="n">
        <s:v>3751</s:v>
      </s:c>
      <s:c r="E131" s="0" t="n">
        <s:v>24.499</s:v>
      </s:c>
      <s:c r="F131" s="24">
        <s:f>'자료구성'!$B$2+TIME(INT($C$3/10000),INT(MOD($C$3,10000)/100),MOD($C$3,100))+(ROW()-ROW($C$3))/86400</s:f>
        <s:v>46247.38545138889</s:v>
      </s:c>
    </s:row>
    <s:row r="132">
      <s:c r="A132" s="0" t="n">
        <s:v>260813</s:v>
      </s:c>
      <s:c r="B132" s="0" t="inlineStr">
        <s:is>
          <s:t>이종훈</s:t>
        </s:is>
      </s:c>
      <s:c r="C132" s="0" t="n">
        <s:v>91255</s:v>
      </s:c>
      <s:c r="D132" s="0" t="n">
        <s:v>3719</s:v>
      </s:c>
      <s:c r="E132" s="0" t="n">
        <s:v>24.499</s:v>
      </s:c>
      <s:c r="F132" s="24">
        <s:f>'자료구성'!$B$2+TIME(INT($C$3/10000),INT(MOD($C$3,10000)/100),MOD($C$3,100))+(ROW()-ROW($C$3))/86400</s:f>
        <s:v>46247.385462962964</s:v>
      </s:c>
    </s:row>
    <s:row r="133">
      <s:c r="A133" s="0" t="n">
        <s:v>260813</s:v>
      </s:c>
      <s:c r="B133" s="0" t="inlineStr">
        <s:is>
          <s:t>이종훈</s:t>
        </s:is>
      </s:c>
      <s:c r="C133" s="0" t="n">
        <s:v>91255</s:v>
      </s:c>
      <s:c r="D133" s="0" t="n">
        <s:v>3729</s:v>
      </s:c>
      <s:c r="E133" s="0" t="n">
        <s:v>24.499</s:v>
      </s:c>
      <s:c r="F133" s="24">
        <s:f>'자료구성'!$B$2+TIME(INT($C$3/10000),INT(MOD($C$3,10000)/100),MOD($C$3,100))+(ROW()-ROW($C$3))/86400</s:f>
        <s:v>46247.38547453703</s:v>
      </s:c>
    </s:row>
    <s:row r="134">
      <s:c r="A134" s="0" t="n">
        <s:v>260813</s:v>
      </s:c>
      <s:c r="B134" s="0" t="inlineStr">
        <s:is>
          <s:t>이종훈</s:t>
        </s:is>
      </s:c>
      <s:c r="C134" s="0" t="n">
        <s:v>91255</s:v>
      </s:c>
      <s:c r="D134" s="0" t="n">
        <s:v>3709</s:v>
      </s:c>
      <s:c r="E134" s="0" t="n">
        <s:v>24.499</s:v>
      </s:c>
      <s:c r="F134" s="24">
        <s:f>'자료구성'!$B$2+TIME(INT($C$3/10000),INT(MOD($C$3,10000)/100),MOD($C$3,100))+(ROW()-ROW($C$3))/86400</s:f>
        <s:v>46247.38548611111</s:v>
      </s:c>
    </s:row>
    <s:row r="135">
      <s:c r="A135" s="0" t="n">
        <s:v>260813</s:v>
      </s:c>
      <s:c r="B135" s="0" t="inlineStr">
        <s:is>
          <s:t>이종훈</s:t>
        </s:is>
      </s:c>
      <s:c r="C135" s="0" t="n">
        <s:v>91255</s:v>
      </s:c>
      <s:c r="D135" s="0" t="n">
        <s:v>3701</s:v>
      </s:c>
      <s:c r="E135" s="0" t="n">
        <s:v>24.499</s:v>
      </s:c>
      <s:c r="F135" s="24">
        <s:f>'자료구성'!$B$2+TIME(INT($C$3/10000),INT(MOD($C$3,10000)/100),MOD($C$3,100))+(ROW()-ROW($C$3))/86400</s:f>
        <s:v>46247.38549768519</s:v>
      </s:c>
    </s:row>
    <s:row r="136">
      <s:c r="A136" s="0" t="n">
        <s:v>260813</s:v>
      </s:c>
      <s:c r="B136" s="0" t="inlineStr">
        <s:is>
          <s:t>이종훈</s:t>
        </s:is>
      </s:c>
      <s:c r="C136" s="0" t="n">
        <s:v>91255</s:v>
      </s:c>
      <s:c r="D136" s="0" t="n">
        <s:v>3679</s:v>
      </s:c>
      <s:c r="E136" s="0" t="n">
        <s:v>24.399</s:v>
      </s:c>
      <s:c r="F136" s="24">
        <s:f>'자료구성'!$B$2+TIME(INT($C$3/10000),INT(MOD($C$3,10000)/100),MOD($C$3,100))+(ROW()-ROW($C$3))/86400</s:f>
        <s:v>46247.38550925926</s:v>
      </s:c>
    </s:row>
    <s:row r="137">
      <s:c r="A137" s="0" t="n">
        <s:v>260813</s:v>
      </s:c>
      <s:c r="B137" s="0" t="inlineStr">
        <s:is>
          <s:t>이종훈</s:t>
        </s:is>
      </s:c>
      <s:c r="C137" s="0" t="n">
        <s:v>91255</s:v>
      </s:c>
      <s:c r="D137" s="0" t="n">
        <s:v>3636</s:v>
      </s:c>
      <s:c r="E137" s="0" t="n">
        <s:v>24.399</s:v>
      </s:c>
      <s:c r="F137" s="24">
        <s:f>'자료구성'!$B$2+TIME(INT($C$3/10000),INT(MOD($C$3,10000)/100),MOD($C$3,100))+(ROW()-ROW($C$3))/86400</s:f>
        <s:v>46247.38552083333</s:v>
      </s:c>
    </s:row>
    <s:row r="138">
      <s:c r="A138" s="0" t="n">
        <s:v>260813</s:v>
      </s:c>
      <s:c r="B138" s="0" t="inlineStr">
        <s:is>
          <s:t>이종훈</s:t>
        </s:is>
      </s:c>
      <s:c r="C138" s="0" t="n">
        <s:v>91255</s:v>
      </s:c>
      <s:c r="D138" s="0" t="n">
        <s:v>3574</s:v>
      </s:c>
      <s:c r="E138" s="0" t="n">
        <s:v>24.399</s:v>
      </s:c>
      <s:c r="F138" s="24">
        <s:f>'자료구성'!$B$2+TIME(INT($C$3/10000),INT(MOD($C$3,10000)/100),MOD($C$3,100))+(ROW()-ROW($C$3))/86400</s:f>
        <s:v>46247.38553240741</s:v>
      </s:c>
    </s:row>
    <s:row r="139">
      <s:c r="A139" s="0" t="n">
        <s:v>260813</s:v>
      </s:c>
      <s:c r="B139" s="0" t="inlineStr">
        <s:is>
          <s:t>이종훈</s:t>
        </s:is>
      </s:c>
      <s:c r="C139" s="0" t="n">
        <s:v>91255</s:v>
      </s:c>
      <s:c r="D139" s="0" t="n">
        <s:v>3484</s:v>
      </s:c>
      <s:c r="E139" s="0" t="n">
        <s:v>24.399</s:v>
      </s:c>
      <s:c r="F139" s="24">
        <s:f>'자료구성'!$B$2+TIME(INT($C$3/10000),INT(MOD($C$3,10000)/100),MOD($C$3,100))+(ROW()-ROW($C$3))/86400</s:f>
        <s:v>46247.38554398148</s:v>
      </s:c>
    </s:row>
    <s:row r="140">
      <s:c r="A140" s="0" t="n">
        <s:v>260813</s:v>
      </s:c>
      <s:c r="B140" s="0" t="inlineStr">
        <s:is>
          <s:t>이종훈</s:t>
        </s:is>
      </s:c>
      <s:c r="C140" s="0" t="n">
        <s:v>91255</s:v>
      </s:c>
      <s:c r="D140" s="0" t="n">
        <s:v>3421</s:v>
      </s:c>
      <s:c r="E140" s="0" t="n">
        <s:v>24.499</s:v>
      </s:c>
      <s:c r="F140" s="24">
        <s:f>'자료구성'!$B$2+TIME(INT($C$3/10000),INT(MOD($C$3,10000)/100),MOD($C$3,100))+(ROW()-ROW($C$3))/86400</s:f>
        <s:v>46247.38555555556</s:v>
      </s:c>
    </s:row>
    <s:row r="141">
      <s:c r="A141" s="0" t="n">
        <s:v>260813</s:v>
      </s:c>
      <s:c r="B141" s="0" t="inlineStr">
        <s:is>
          <s:t>이종훈</s:t>
        </s:is>
      </s:c>
      <s:c r="C141" s="0" t="n">
        <s:v>91255</s:v>
      </s:c>
      <s:c r="D141" s="0" t="n">
        <s:v>3369</s:v>
      </s:c>
      <s:c r="E141" s="0" t="n">
        <s:v>24.499</s:v>
      </s:c>
      <s:c r="F141" s="24">
        <s:f>'자료구성'!$B$2+TIME(INT($C$3/10000),INT(MOD($C$3,10000)/100),MOD($C$3,100))+(ROW()-ROW($C$3))/86400</s:f>
        <s:v>46247.385567129626</s:v>
      </s:c>
    </s:row>
    <s:row r="142">
      <s:c r="A142" s="0" t="n">
        <s:v>260813</s:v>
      </s:c>
      <s:c r="B142" s="0" t="inlineStr">
        <s:is>
          <s:t>이종훈</s:t>
        </s:is>
      </s:c>
      <s:c r="C142" s="0" t="n">
        <s:v>91255</s:v>
      </s:c>
      <s:c r="D142" s="0" t="n">
        <s:v>3348</s:v>
      </s:c>
      <s:c r="E142" s="0" t="n">
        <s:v>24.499</s:v>
      </s:c>
      <s:c r="F142" s="24">
        <s:f>'자료구성'!$B$2+TIME(INT($C$3/10000),INT(MOD($C$3,10000)/100),MOD($C$3,100))+(ROW()-ROW($C$3))/86400</s:f>
        <s:v>46247.3855787037</s:v>
      </s:c>
    </s:row>
    <s:row r="143">
      <s:c r="A143" s="0" t="n">
        <s:v>260813</s:v>
      </s:c>
      <s:c r="B143" s="0" t="inlineStr">
        <s:is>
          <s:t>이종훈</s:t>
        </s:is>
      </s:c>
      <s:c r="C143" s="0" t="n">
        <s:v>91255</s:v>
      </s:c>
      <s:c r="D143" s="0" t="n">
        <s:v>3324</s:v>
      </s:c>
      <s:c r="E143" s="0" t="n">
        <s:v>24.499</s:v>
      </s:c>
      <s:c r="F143" s="24">
        <s:f>'자료구성'!$B$2+TIME(INT($C$3/10000),INT(MOD($C$3,10000)/100),MOD($C$3,100))+(ROW()-ROW($C$3))/86400</s:f>
        <s:v>46247.38559027778</s:v>
      </s:c>
    </s:row>
    <s:row r="144">
      <s:c r="A144" s="0" t="n">
        <s:v>260813</s:v>
      </s:c>
      <s:c r="B144" s="0" t="inlineStr">
        <s:is>
          <s:t>이종훈</s:t>
        </s:is>
      </s:c>
      <s:c r="C144" s="0" t="n">
        <s:v>91255</s:v>
      </s:c>
      <s:c r="D144" s="0" t="n">
        <s:v>3313</s:v>
      </s:c>
      <s:c r="E144" s="0" t="n">
        <s:v>24.499</s:v>
      </s:c>
      <s:c r="F144" s="24">
        <s:f>'자료구성'!$B$2+TIME(INT($C$3/10000),INT(MOD($C$3,10000)/100),MOD($C$3,100))+(ROW()-ROW($C$3))/86400</s:f>
        <s:v>46247.38560185185</s:v>
      </s:c>
    </s:row>
    <s:row r="145">
      <s:c r="A145" s="0" t="n">
        <s:v>260813</s:v>
      </s:c>
      <s:c r="B145" s="0" t="inlineStr">
        <s:is>
          <s:t>이종훈</s:t>
        </s:is>
      </s:c>
      <s:c r="C145" s="0" t="n">
        <s:v>91255</s:v>
      </s:c>
      <s:c r="D145" s="0" t="n">
        <s:v>3332</s:v>
      </s:c>
      <s:c r="E145" s="0" t="n">
        <s:v>24.499</s:v>
      </s:c>
      <s:c r="F145" s="24">
        <s:f>'자료구성'!$B$2+TIME(INT($C$3/10000),INT(MOD($C$3,10000)/100),MOD($C$3,100))+(ROW()-ROW($C$3))/86400</s:f>
        <s:v>46247.385613425926</s:v>
      </s:c>
    </s:row>
    <s:row r="146">
      <s:c r="A146" s="0" t="n">
        <s:v>260813</s:v>
      </s:c>
      <s:c r="B146" s="0" t="inlineStr">
        <s:is>
          <s:t>이종훈</s:t>
        </s:is>
      </s:c>
      <s:c r="C146" s="0" t="n">
        <s:v>91255</s:v>
      </s:c>
      <s:c r="D146" s="0" t="n">
        <s:v>3326</s:v>
      </s:c>
      <s:c r="E146" s="0" t="n">
        <s:v>24.499</s:v>
      </s:c>
      <s:c r="F146" s="24">
        <s:f>'자료구성'!$B$2+TIME(INT($C$3/10000),INT(MOD($C$3,10000)/100),MOD($C$3,100))+(ROW()-ROW($C$3))/86400</s:f>
        <s:v>46247.385625</s:v>
      </s:c>
    </s:row>
    <s:row r="147">
      <s:c r="A147" s="0" t="n">
        <s:v>260813</s:v>
      </s:c>
      <s:c r="B147" s="0" t="inlineStr">
        <s:is>
          <s:t>이종훈</s:t>
        </s:is>
      </s:c>
      <s:c r="C147" s="0" t="n">
        <s:v>91255</s:v>
      </s:c>
      <s:c r="D147" s="0" t="n">
        <s:v>3370</s:v>
      </s:c>
      <s:c r="E147" s="0" t="n">
        <s:v>24.499</s:v>
      </s:c>
      <s:c r="F147" s="24">
        <s:f>'자료구성'!$B$2+TIME(INT($C$3/10000),INT(MOD($C$3,10000)/100),MOD($C$3,100))+(ROW()-ROW($C$3))/86400</s:f>
        <s:v>46247.38563657407</s:v>
      </s:c>
    </s:row>
    <s:row r="148">
      <s:c r="A148" s="0" t="n">
        <s:v>260813</s:v>
      </s:c>
      <s:c r="B148" s="0" t="inlineStr">
        <s:is>
          <s:t>이종훈</s:t>
        </s:is>
      </s:c>
      <s:c r="C148" s="0" t="n">
        <s:v>91255</s:v>
      </s:c>
      <s:c r="D148" s="0" t="n">
        <s:v>3418</s:v>
      </s:c>
      <s:c r="E148" s="0" t="n">
        <s:v>24.399</s:v>
      </s:c>
      <s:c r="F148" s="24">
        <s:f>'자료구성'!$B$2+TIME(INT($C$3/10000),INT(MOD($C$3,10000)/100),MOD($C$3,100))+(ROW()-ROW($C$3))/86400</s:f>
        <s:v>46247.38564814815</s:v>
      </s:c>
    </s:row>
    <s:row r="149">
      <s:c r="A149" s="0" t="n">
        <s:v>260813</s:v>
      </s:c>
      <s:c r="B149" s="0" t="inlineStr">
        <s:is>
          <s:t>이종훈</s:t>
        </s:is>
      </s:c>
      <s:c r="C149" s="0" t="n">
        <s:v>91255</s:v>
      </s:c>
      <s:c r="D149" s="0" t="n">
        <s:v>3509</s:v>
      </s:c>
      <s:c r="E149" s="0" t="n">
        <s:v>24.399</s:v>
      </s:c>
      <s:c r="F149" s="24">
        <s:f>'자료구성'!$B$2+TIME(INT($C$3/10000),INT(MOD($C$3,10000)/100),MOD($C$3,100))+(ROW()-ROW($C$3))/86400</s:f>
        <s:v>46247.385659722226</s:v>
      </s:c>
    </s:row>
    <s:row r="150">
      <s:c r="A150" s="0" t="n">
        <s:v>260813</s:v>
      </s:c>
      <s:c r="B150" s="0" t="inlineStr">
        <s:is>
          <s:t>이종훈</s:t>
        </s:is>
      </s:c>
      <s:c r="C150" s="0" t="n">
        <s:v>91255</s:v>
      </s:c>
      <s:c r="D150" s="0" t="n">
        <s:v>3494</s:v>
      </s:c>
      <s:c r="E150" s="0" t="n">
        <s:v>24.399</s:v>
      </s:c>
      <s:c r="F150" s="24">
        <s:f>'자료구성'!$B$2+TIME(INT($C$3/10000),INT(MOD($C$3,10000)/100),MOD($C$3,100))+(ROW()-ROW($C$3))/86400</s:f>
        <s:v>46247.385671296295</s:v>
      </s:c>
    </s:row>
    <s:row r="151">
      <s:c r="A151" s="0" t="n">
        <s:v>260813</s:v>
      </s:c>
      <s:c r="B151" s="0" t="inlineStr">
        <s:is>
          <s:t>이종훈</s:t>
        </s:is>
      </s:c>
      <s:c r="C151" s="0" t="n">
        <s:v>91255</s:v>
      </s:c>
      <s:c r="D151" s="0" t="n">
        <s:v>3435</s:v>
      </s:c>
      <s:c r="E151" s="0" t="n">
        <s:v>24.399</s:v>
      </s:c>
      <s:c r="F151" s="24">
        <s:f>'자료구성'!$B$2+TIME(INT($C$3/10000),INT(MOD($C$3,10000)/100),MOD($C$3,100))+(ROW()-ROW($C$3))/86400</s:f>
        <s:v>46247.38568287037</s:v>
      </s:c>
    </s:row>
    <s:row r="152">
      <s:c r="A152" s="0" t="n">
        <s:v>260813</s:v>
      </s:c>
      <s:c r="B152" s="0" t="inlineStr">
        <s:is>
          <s:t>이종훈</s:t>
        </s:is>
      </s:c>
      <s:c r="C152" s="0" t="n">
        <s:v>91255</s:v>
      </s:c>
      <s:c r="D152" s="0" t="n">
        <s:v>3400</s:v>
      </s:c>
      <s:c r="E152" s="0" t="n">
        <s:v>24.399</s:v>
      </s:c>
      <s:c r="F152" s="24">
        <s:f>'자료구성'!$B$2+TIME(INT($C$3/10000),INT(MOD($C$3,10000)/100),MOD($C$3,100))+(ROW()-ROW($C$3))/86400</s:f>
        <s:v>46247.38569444444</s:v>
      </s:c>
    </s:row>
    <s:row r="153">
      <s:c r="A153" s="0" t="n">
        <s:v>260813</s:v>
      </s:c>
      <s:c r="B153" s="0" t="inlineStr">
        <s:is>
          <s:t>이종훈</s:t>
        </s:is>
      </s:c>
      <s:c r="C153" s="0" t="n">
        <s:v>91255</s:v>
      </s:c>
      <s:c r="D153" s="0" t="n">
        <s:v>3413</s:v>
      </s:c>
      <s:c r="E153" s="0" t="n">
        <s:v>24.399</s:v>
      </s:c>
      <s:c r="F153" s="24">
        <s:f>'자료구성'!$B$2+TIME(INT($C$3/10000),INT(MOD($C$3,10000)/100),MOD($C$3,100))+(ROW()-ROW($C$3))/86400</s:f>
        <s:v>46247.38570601852</s:v>
      </s:c>
    </s:row>
    <s:row r="154">
      <s:c r="A154" s="0" t="n">
        <s:v>260813</s:v>
      </s:c>
      <s:c r="B154" s="0" t="inlineStr">
        <s:is>
          <s:t>이종훈</s:t>
        </s:is>
      </s:c>
      <s:c r="C154" s="0" t="n">
        <s:v>91255</s:v>
      </s:c>
      <s:c r="D154" s="0" t="n">
        <s:v>3473</s:v>
      </s:c>
      <s:c r="E154" s="0" t="n">
        <s:v>24.399</s:v>
      </s:c>
      <s:c r="F154" s="24">
        <s:f>'자료구성'!$B$2+TIME(INT($C$3/10000),INT(MOD($C$3,10000)/100),MOD($C$3,100))+(ROW()-ROW($C$3))/86400</s:f>
        <s:v>46247.385717592595</s:v>
      </s:c>
    </s:row>
    <s:row r="155">
      <s:c r="A155" s="0" t="n">
        <s:v>260813</s:v>
      </s:c>
      <s:c r="B155" s="0" t="inlineStr">
        <s:is>
          <s:t>이종훈</s:t>
        </s:is>
      </s:c>
      <s:c r="C155" s="0" t="n">
        <s:v>91255</s:v>
      </s:c>
      <s:c r="D155" s="0" t="n">
        <s:v>3543</s:v>
      </s:c>
      <s:c r="E155" s="0" t="n">
        <s:v>24.399</s:v>
      </s:c>
      <s:c r="F155" s="24">
        <s:f>'자료구성'!$B$2+TIME(INT($C$3/10000),INT(MOD($C$3,10000)/100),MOD($C$3,100))+(ROW()-ROW($C$3))/86400</s:f>
        <s:v>46247.385729166665</s:v>
      </s:c>
    </s:row>
    <s:row r="156">
      <s:c r="A156" s="0" t="n">
        <s:v>260813</s:v>
      </s:c>
      <s:c r="B156" s="0" t="inlineStr">
        <s:is>
          <s:t>이종훈</s:t>
        </s:is>
      </s:c>
      <s:c r="C156" s="0" t="n">
        <s:v>91255</s:v>
      </s:c>
      <s:c r="D156" s="0" t="n">
        <s:v>3650</s:v>
      </s:c>
      <s:c r="E156" s="0" t="n">
        <s:v>24.399</s:v>
      </s:c>
      <s:c r="F156" s="24">
        <s:f>'자료구성'!$B$2+TIME(INT($C$3/10000),INT(MOD($C$3,10000)/100),MOD($C$3,100))+(ROW()-ROW($C$3))/86400</s:f>
        <s:v>46247.38574074074</s:v>
      </s:c>
    </s:row>
    <s:row r="157">
      <s:c r="A157" s="0" t="n">
        <s:v>260813</s:v>
      </s:c>
      <s:c r="B157" s="0" t="inlineStr">
        <s:is>
          <s:t>이종훈</s:t>
        </s:is>
      </s:c>
      <s:c r="C157" s="0" t="n">
        <s:v>91255</s:v>
      </s:c>
      <s:c r="D157" s="0" t="n">
        <s:v>3767</s:v>
      </s:c>
      <s:c r="E157" s="0" t="n">
        <s:v>24.399</s:v>
      </s:c>
      <s:c r="F157" s="24">
        <s:f>'자료구성'!$B$2+TIME(INT($C$3/10000),INT(MOD($C$3,10000)/100),MOD($C$3,100))+(ROW()-ROW($C$3))/86400</s:f>
        <s:v>46247.38575231482</s:v>
      </s:c>
    </s:row>
    <s:row r="158">
      <s:c r="A158" s="0" t="n">
        <s:v>260813</s:v>
      </s:c>
      <s:c r="B158" s="0" t="inlineStr">
        <s:is>
          <s:t>이종훈</s:t>
        </s:is>
      </s:c>
      <s:c r="C158" s="0" t="n">
        <s:v>91255</s:v>
      </s:c>
      <s:c r="D158" s="0" t="n">
        <s:v>3841</s:v>
      </s:c>
      <s:c r="E158" s="0" t="n">
        <s:v>24.399</s:v>
      </s:c>
      <s:c r="F158" s="24">
        <s:f>'자료구성'!$B$2+TIME(INT($C$3/10000),INT(MOD($C$3,10000)/100),MOD($C$3,100))+(ROW()-ROW($C$3))/86400</s:f>
        <s:v>46247.38576388889</s:v>
      </s:c>
    </s:row>
    <s:row r="159">
      <s:c r="A159" s="0" t="n">
        <s:v>260813</s:v>
      </s:c>
      <s:c r="B159" s="0" t="inlineStr">
        <s:is>
          <s:t>이종훈</s:t>
        </s:is>
      </s:c>
      <s:c r="C159" s="0" t="n">
        <s:v>91255</s:v>
      </s:c>
      <s:c r="D159" s="0" t="n">
        <s:v>3790</s:v>
      </s:c>
      <s:c r="E159" s="0" t="n">
        <s:v>24.399</s:v>
      </s:c>
      <s:c r="F159" s="24">
        <s:f>'자료구성'!$B$2+TIME(INT($C$3/10000),INT(MOD($C$3,10000)/100),MOD($C$3,100))+(ROW()-ROW($C$3))/86400</s:f>
        <s:v>46247.385775462964</s:v>
      </s:c>
    </s:row>
    <s:row r="160">
      <s:c r="A160" s="0" t="n">
        <s:v>260813</s:v>
      </s:c>
      <s:c r="B160" s="0" t="inlineStr">
        <s:is>
          <s:t>이종훈</s:t>
        </s:is>
      </s:c>
      <s:c r="C160" s="0" t="n">
        <s:v>91255</s:v>
      </s:c>
      <s:c r="D160" s="0" t="n">
        <s:v>3711</s:v>
      </s:c>
      <s:c r="E160" s="0" t="n">
        <s:v>24.399</s:v>
      </s:c>
      <s:c r="F160" s="24">
        <s:f>'자료구성'!$B$2+TIME(INT($C$3/10000),INT(MOD($C$3,10000)/100),MOD($C$3,100))+(ROW()-ROW($C$3))/86400</s:f>
        <s:v>46247.385787037034</s:v>
      </s:c>
    </s:row>
    <s:row r="161">
      <s:c r="A161" s="0" t="n">
        <s:v>260813</s:v>
      </s:c>
      <s:c r="B161" s="0" t="inlineStr">
        <s:is>
          <s:t>이종훈</s:t>
        </s:is>
      </s:c>
      <s:c r="C161" s="0" t="n">
        <s:v>91255</s:v>
      </s:c>
      <s:c r="D161" s="0" t="n">
        <s:v>3640</s:v>
      </s:c>
      <s:c r="E161" s="0" t="n">
        <s:v>24.399</s:v>
      </s:c>
      <s:c r="F161" s="24">
        <s:f>'자료구성'!$B$2+TIME(INT($C$3/10000),INT(MOD($C$3,10000)/100),MOD($C$3,100))+(ROW()-ROW($C$3))/86400</s:f>
        <s:v>46247.38579861111</s:v>
      </s:c>
    </s:row>
    <s:row r="162">
      <s:c r="A162" s="0" t="n">
        <s:v>260813</s:v>
      </s:c>
      <s:c r="B162" s="0" t="inlineStr">
        <s:is>
          <s:t>이종훈</s:t>
        </s:is>
      </s:c>
      <s:c r="C162" s="0" t="n">
        <s:v>91255</s:v>
      </s:c>
      <s:c r="D162" s="0" t="n">
        <s:v>3562</s:v>
      </s:c>
      <s:c r="E162" s="0" t="n">
        <s:v>24.399</s:v>
      </s:c>
      <s:c r="F162" s="24">
        <s:f>'자료구성'!$B$2+TIME(INT($C$3/10000),INT(MOD($C$3,10000)/100),MOD($C$3,100))+(ROW()-ROW($C$3))/86400</s:f>
        <s:v>46247.38581018519</s:v>
      </s:c>
    </s:row>
    <s:row r="163">
      <s:c r="A163" s="0" t="n">
        <s:v>260813</s:v>
      </s:c>
      <s:c r="B163" s="0" t="inlineStr">
        <s:is>
          <s:t>이종훈</s:t>
        </s:is>
      </s:c>
      <s:c r="C163" s="0" t="n">
        <s:v>91255</s:v>
      </s:c>
      <s:c r="D163" s="0" t="n">
        <s:v>3510</s:v>
      </s:c>
      <s:c r="E163" s="0" t="n">
        <s:v>24.399</s:v>
      </s:c>
      <s:c r="F163" s="24">
        <s:f>'자료구성'!$B$2+TIME(INT($C$3/10000),INT(MOD($C$3,10000)/100),MOD($C$3,100))+(ROW()-ROW($C$3))/86400</s:f>
        <s:v>46247.38582175926</s:v>
      </s:c>
    </s:row>
    <s:row r="164">
      <s:c r="A164" s="0" t="n">
        <s:v>260813</s:v>
      </s:c>
      <s:c r="B164" s="0" t="inlineStr">
        <s:is>
          <s:t>이종훈</s:t>
        </s:is>
      </s:c>
      <s:c r="C164" s="0" t="n">
        <s:v>91255</s:v>
      </s:c>
      <s:c r="D164" s="0" t="n">
        <s:v>3463</s:v>
      </s:c>
      <s:c r="E164" s="0" t="n">
        <s:v>24.399</s:v>
      </s:c>
      <s:c r="F164" s="24">
        <s:f>'자료구성'!$B$2+TIME(INT($C$3/10000),INT(MOD($C$3,10000)/100),MOD($C$3,100))+(ROW()-ROW($C$3))/86400</s:f>
        <s:v>46247.385833333334</s:v>
      </s:c>
    </s:row>
    <s:row r="165">
      <s:c r="A165" s="0" t="n">
        <s:v>260813</s:v>
      </s:c>
      <s:c r="B165" s="0" t="inlineStr">
        <s:is>
          <s:t>이종훈</s:t>
        </s:is>
      </s:c>
      <s:c r="C165" s="0" t="n">
        <s:v>91255</s:v>
      </s:c>
      <s:c r="D165" s="0" t="n">
        <s:v>3414</s:v>
      </s:c>
      <s:c r="E165" s="0" t="n">
        <s:v>24.399</s:v>
      </s:c>
      <s:c r="F165" s="24">
        <s:f>'자료구성'!$B$2+TIME(INT($C$3/10000),INT(MOD($C$3,10000)/100),MOD($C$3,100))+(ROW()-ROW($C$3))/86400</s:f>
        <s:v>46247.38584490741</s:v>
      </s:c>
    </s:row>
    <s:row r="166">
      <s:c r="A166" s="0" t="n">
        <s:v>260813</s:v>
      </s:c>
      <s:c r="B166" s="0" t="inlineStr">
        <s:is>
          <s:t>이종훈</s:t>
        </s:is>
      </s:c>
      <s:c r="C166" s="0" t="n">
        <s:v>91255</s:v>
      </s:c>
      <s:c r="D166" s="0" t="n">
        <s:v>3395</s:v>
      </s:c>
      <s:c r="E166" s="0" t="n">
        <s:v>24.399</s:v>
      </s:c>
      <s:c r="F166" s="24">
        <s:f>'자료구성'!$B$2+TIME(INT($C$3/10000),INT(MOD($C$3,10000)/100),MOD($C$3,100))+(ROW()-ROW($C$3))/86400</s:f>
        <s:v>46247.38585648148</s:v>
      </s:c>
    </s:row>
    <s:row r="167">
      <s:c r="A167" s="0" t="n">
        <s:v>260813</s:v>
      </s:c>
      <s:c r="B167" s="0" t="inlineStr">
        <s:is>
          <s:t>이종훈</s:t>
        </s:is>
      </s:c>
      <s:c r="C167" s="0" t="n">
        <s:v>91255</s:v>
      </s:c>
      <s:c r="D167" s="0" t="n">
        <s:v>3356</s:v>
      </s:c>
      <s:c r="E167" s="0" t="n">
        <s:v>24.399</s:v>
      </s:c>
      <s:c r="F167" s="24">
        <s:f>'자료구성'!$B$2+TIME(INT($C$3/10000),INT(MOD($C$3,10000)/100),MOD($C$3,100))+(ROW()-ROW($C$3))/86400</s:f>
        <s:v>46247.38586805556</s:v>
      </s:c>
    </s:row>
    <s:row r="168">
      <s:c r="A168" s="0" t="n">
        <s:v>260813</s:v>
      </s:c>
      <s:c r="B168" s="0" t="inlineStr">
        <s:is>
          <s:t>이종훈</s:t>
        </s:is>
      </s:c>
      <s:c r="C168" s="0" t="n">
        <s:v>91255</s:v>
      </s:c>
      <s:c r="D168" s="0" t="n">
        <s:v>3315</s:v>
      </s:c>
      <s:c r="E168" s="0" t="n">
        <s:v>24.399</s:v>
      </s:c>
      <s:c r="F168" s="24">
        <s:f>'자료구성'!$B$2+TIME(INT($C$3/10000),INT(MOD($C$3,10000)/100),MOD($C$3,100))+(ROW()-ROW($C$3))/86400</s:f>
        <s:v>46247.385879629626</s:v>
      </s:c>
    </s:row>
    <s:row r="169">
      <s:c r="A169" s="0" t="n">
        <s:v>260813</s:v>
      </s:c>
      <s:c r="B169" s="0" t="inlineStr">
        <s:is>
          <s:t>이종훈</s:t>
        </s:is>
      </s:c>
      <s:c r="C169" s="0" t="n">
        <s:v>91255</s:v>
      </s:c>
      <s:c r="D169" s="0" t="n">
        <s:v>3302</s:v>
      </s:c>
      <s:c r="E169" s="0" t="n">
        <s:v>24.399</s:v>
      </s:c>
      <s:c r="F169" s="24">
        <s:f>'자료구성'!$B$2+TIME(INT($C$3/10000),INT(MOD($C$3,10000)/100),MOD($C$3,100))+(ROW()-ROW($C$3))/86400</s:f>
        <s:v>46247.3858912037</s:v>
      </s:c>
    </s:row>
    <s:row r="170">
      <s:c r="A170" s="0" t="n">
        <s:v>260813</s:v>
      </s:c>
      <s:c r="B170" s="0" t="inlineStr">
        <s:is>
          <s:t>이종훈</s:t>
        </s:is>
      </s:c>
      <s:c r="C170" s="0" t="n">
        <s:v>91255</s:v>
      </s:c>
      <s:c r="D170" s="0" t="n">
        <s:v>3322</s:v>
      </s:c>
      <s:c r="E170" s="0" t="n">
        <s:v>24.399</s:v>
      </s:c>
      <s:c r="F170" s="24">
        <s:f>'자료구성'!$B$2+TIME(INT($C$3/10000),INT(MOD($C$3,10000)/100),MOD($C$3,100))+(ROW()-ROW($C$3))/86400</s:f>
        <s:v>46247.38590277778</s:v>
      </s:c>
    </s:row>
    <s:row r="171">
      <s:c r="A171" s="0" t="n">
        <s:v>260813</s:v>
      </s:c>
      <s:c r="B171" s="0" t="inlineStr">
        <s:is>
          <s:t>이종훈</s:t>
        </s:is>
      </s:c>
      <s:c r="C171" s="0" t="n">
        <s:v>91255</s:v>
      </s:c>
      <s:c r="D171" s="0" t="n">
        <s:v>3359</s:v>
      </s:c>
      <s:c r="E171" s="0" t="n">
        <s:v>24.399</s:v>
      </s:c>
      <s:c r="F171" s="24">
        <s:f>'자료구성'!$B$2+TIME(INT($C$3/10000),INT(MOD($C$3,10000)/100),MOD($C$3,100))+(ROW()-ROW($C$3))/86400</s:f>
        <s:v>46247.38591435185</s:v>
      </s:c>
    </s:row>
    <s:row r="172">
      <s:c r="A172" s="0" t="n">
        <s:v>260813</s:v>
      </s:c>
      <s:c r="B172" s="0" t="inlineStr">
        <s:is>
          <s:t>이종훈</s:t>
        </s:is>
      </s:c>
      <s:c r="C172" s="0" t="n">
        <s:v>91255</s:v>
      </s:c>
      <s:c r="D172" s="0" t="n">
        <s:v>3479</s:v>
      </s:c>
      <s:c r="E172" s="0" t="n">
        <s:v>24.399</s:v>
      </s:c>
      <s:c r="F172" s="24">
        <s:f>'자료구성'!$B$2+TIME(INT($C$3/10000),INT(MOD($C$3,10000)/100),MOD($C$3,100))+(ROW()-ROW($C$3))/86400</s:f>
        <s:v>46247.385925925926</s:v>
      </s:c>
    </s:row>
    <s:row r="173">
      <s:c r="A173" s="0" t="n">
        <s:v>260813</s:v>
      </s:c>
      <s:c r="B173" s="0" t="inlineStr">
        <s:is>
          <s:t>이종훈</s:t>
        </s:is>
      </s:c>
      <s:c r="C173" s="0" t="n">
        <s:v>91255</s:v>
      </s:c>
      <s:c r="D173" s="0" t="n">
        <s:v>3540</s:v>
      </s:c>
      <s:c r="E173" s="0" t="n">
        <s:v>24.399</s:v>
      </s:c>
      <s:c r="F173" s="24">
        <s:f>'자료구성'!$B$2+TIME(INT($C$3/10000),INT(MOD($C$3,10000)/100),MOD($C$3,100))+(ROW()-ROW($C$3))/86400</s:f>
        <s:v>46247.3859375</s:v>
      </s:c>
    </s:row>
    <s:row r="174">
      <s:c r="A174" s="0" t="n">
        <s:v>260813</s:v>
      </s:c>
      <s:c r="B174" s="0" t="inlineStr">
        <s:is>
          <s:t>이종훈</s:t>
        </s:is>
      </s:c>
      <s:c r="C174" s="0" t="n">
        <s:v>91255</s:v>
      </s:c>
      <s:c r="D174" s="0" t="n">
        <s:v>3630</s:v>
      </s:c>
      <s:c r="E174" s="0" t="n">
        <s:v>24.399</s:v>
      </s:c>
      <s:c r="F174" s="24">
        <s:f>'자료구성'!$B$2+TIME(INT($C$3/10000),INT(MOD($C$3,10000)/100),MOD($C$3,100))+(ROW()-ROW($C$3))/86400</s:f>
        <s:v>46247.38594907407</s:v>
      </s:c>
    </s:row>
    <s:row r="175">
      <s:c r="A175" s="0" t="n">
        <s:v>260813</s:v>
      </s:c>
      <s:c r="B175" s="0" t="inlineStr">
        <s:is>
          <s:t>이종훈</s:t>
        </s:is>
      </s:c>
      <s:c r="C175" s="0" t="n">
        <s:v>91255</s:v>
      </s:c>
      <s:c r="D175" s="0" t="n">
        <s:v>3679</s:v>
      </s:c>
      <s:c r="E175" s="0" t="n">
        <s:v>24.399</s:v>
      </s:c>
      <s:c r="F175" s="24">
        <s:f>'자료구성'!$B$2+TIME(INT($C$3/10000),INT(MOD($C$3,10000)/100),MOD($C$3,100))+(ROW()-ROW($C$3))/86400</s:f>
        <s:v>46247.38596064815</s:v>
      </s:c>
    </s:row>
    <s:row r="176">
      <s:c r="A176" s="0" t="n">
        <s:v>260813</s:v>
      </s:c>
      <s:c r="B176" s="0" t="inlineStr">
        <s:is>
          <s:t>이종훈</s:t>
        </s:is>
      </s:c>
      <s:c r="C176" s="0" t="n">
        <s:v>91255</s:v>
      </s:c>
      <s:c r="D176" s="0" t="n">
        <s:v>3666</s:v>
      </s:c>
      <s:c r="E176" s="0" t="n">
        <s:v>24.399</s:v>
      </s:c>
      <s:c r="F176" s="24">
        <s:f>'자료구성'!$B$2+TIME(INT($C$3/10000),INT(MOD($C$3,10000)/100),MOD($C$3,100))+(ROW()-ROW($C$3))/86400</s:f>
        <s:v>46247.38597222222</s:v>
      </s:c>
    </s:row>
    <s:row r="177">
      <s:c r="A177" s="0" t="n">
        <s:v>260813</s:v>
      </s:c>
      <s:c r="B177" s="0" t="inlineStr">
        <s:is>
          <s:t>이종훈</s:t>
        </s:is>
      </s:c>
      <s:c r="C177" s="0" t="n">
        <s:v>91255</s:v>
      </s:c>
      <s:c r="D177" s="0" t="n">
        <s:v>3650</s:v>
      </s:c>
      <s:c r="E177" s="0" t="n">
        <s:v>24.399</s:v>
      </s:c>
      <s:c r="F177" s="24">
        <s:f>'자료구성'!$B$2+TIME(INT($C$3/10000),INT(MOD($C$3,10000)/100),MOD($C$3,100))+(ROW()-ROW($C$3))/86400</s:f>
        <s:v>46247.385983796295</s:v>
      </s:c>
    </s:row>
    <s:row r="178">
      <s:c r="A178" s="0" t="n">
        <s:v>260813</s:v>
      </s:c>
      <s:c r="B178" s="0" t="inlineStr">
        <s:is>
          <s:t>이종훈</s:t>
        </s:is>
      </s:c>
      <s:c r="C178" s="0" t="n">
        <s:v>91255</s:v>
      </s:c>
      <s:c r="D178" s="0" t="n">
        <s:v>3646</s:v>
      </s:c>
      <s:c r="E178" s="0" t="n">
        <s:v>24.399</s:v>
      </s:c>
      <s:c r="F178" s="24">
        <s:f>'자료구성'!$B$2+TIME(INT($C$3/10000),INT(MOD($C$3,10000)/100),MOD($C$3,100))+(ROW()-ROW($C$3))/86400</s:f>
        <s:v>46247.38599537037</s:v>
      </s:c>
    </s:row>
    <s:row r="179">
      <s:c r="A179" s="0" t="n">
        <s:v>260813</s:v>
      </s:c>
      <s:c r="B179" s="0" t="inlineStr">
        <s:is>
          <s:t>이종훈</s:t>
        </s:is>
      </s:c>
      <s:c r="C179" s="0" t="n">
        <s:v>91255</s:v>
      </s:c>
      <s:c r="D179" s="0" t="n">
        <s:v>3671</s:v>
      </s:c>
      <s:c r="E179" s="0" t="n">
        <s:v>24.399</s:v>
      </s:c>
      <s:c r="F179" s="24">
        <s:f>'자료구성'!$B$2+TIME(INT($C$3/10000),INT(MOD($C$3,10000)/100),MOD($C$3,100))+(ROW()-ROW($C$3))/86400</s:f>
        <s:v>46247.38600694444</s:v>
      </s:c>
    </s:row>
    <s:row r="180">
      <s:c r="A180" s="0" t="n">
        <s:v>260813</s:v>
      </s:c>
      <s:c r="B180" s="0" t="inlineStr">
        <s:is>
          <s:t>이종훈</s:t>
        </s:is>
      </s:c>
      <s:c r="C180" s="0" t="n">
        <s:v>91255</s:v>
      </s:c>
      <s:c r="D180" s="0" t="n">
        <s:v>3768</s:v>
      </s:c>
      <s:c r="E180" s="0" t="n">
        <s:v>24.399</s:v>
      </s:c>
      <s:c r="F180" s="24">
        <s:f>'자료구성'!$B$2+TIME(INT($C$3/10000),INT(MOD($C$3,10000)/100),MOD($C$3,100))+(ROW()-ROW($C$3))/86400</s:f>
        <s:v>46247.38601851852</s:v>
      </s:c>
    </s:row>
    <s:row r="181">
      <s:c r="A181" s="0" t="n">
        <s:v>260813</s:v>
      </s:c>
      <s:c r="B181" s="0" t="inlineStr">
        <s:is>
          <s:t>이종훈</s:t>
        </s:is>
      </s:c>
      <s:c r="C181" s="0" t="n">
        <s:v>91255</s:v>
      </s:c>
      <s:c r="D181" s="0" t="n">
        <s:v>3933</s:v>
      </s:c>
      <s:c r="E181" s="0" t="n">
        <s:v>24.399</s:v>
      </s:c>
      <s:c r="F181" s="24">
        <s:f>'자료구성'!$B$2+TIME(INT($C$3/10000),INT(MOD($C$3,10000)/100),MOD($C$3,100))+(ROW()-ROW($C$3))/86400</s:f>
        <s:v>46247.386030092595</s:v>
      </s:c>
    </s:row>
    <s:row r="182">
      <s:c r="A182" s="0" t="n">
        <s:v>260813</s:v>
      </s:c>
      <s:c r="B182" s="0" t="inlineStr">
        <s:is>
          <s:t>이종훈</s:t>
        </s:is>
      </s:c>
      <s:c r="C182" s="0" t="n">
        <s:v>91255</s:v>
      </s:c>
      <s:c r="D182" s="0" t="n">
        <s:v>4047</s:v>
      </s:c>
      <s:c r="E182" s="0" t="n">
        <s:v>24.399</s:v>
      </s:c>
      <s:c r="F182" s="24">
        <s:f>'자료구성'!$B$2+TIME(INT($C$3/10000),INT(MOD($C$3,10000)/100),MOD($C$3,100))+(ROW()-ROW($C$3))/86400</s:f>
        <s:v>46247.386041666665</s:v>
      </s:c>
    </s:row>
    <s:row r="183">
      <s:c r="A183" s="0" t="n">
        <s:v>260813</s:v>
      </s:c>
      <s:c r="B183" s="0" t="inlineStr">
        <s:is>
          <s:t>이종훈</s:t>
        </s:is>
      </s:c>
      <s:c r="C183" s="0" t="n">
        <s:v>91255</s:v>
      </s:c>
      <s:c r="D183" s="0" t="n">
        <s:v>4145</s:v>
      </s:c>
      <s:c r="E183" s="0" t="n">
        <s:v>24.399</s:v>
      </s:c>
      <s:c r="F183" s="24">
        <s:f>'자료구성'!$B$2+TIME(INT($C$3/10000),INT(MOD($C$3,10000)/100),MOD($C$3,100))+(ROW()-ROW($C$3))/86400</s:f>
        <s:v>46247.38605324074</s:v>
      </s:c>
    </s:row>
    <s:row r="184">
      <s:c r="A184" s="0" t="n">
        <s:v>260813</s:v>
      </s:c>
      <s:c r="B184" s="0" t="inlineStr">
        <s:is>
          <s:t>이종훈</s:t>
        </s:is>
      </s:c>
      <s:c r="C184" s="0" t="n">
        <s:v>91255</s:v>
      </s:c>
      <s:c r="D184" s="0" t="n">
        <s:v>4135</s:v>
      </s:c>
      <s:c r="E184" s="0" t="n">
        <s:v>24.399</s:v>
      </s:c>
      <s:c r="F184" s="24">
        <s:f>'자료구성'!$B$2+TIME(INT($C$3/10000),INT(MOD($C$3,10000)/100),MOD($C$3,100))+(ROW()-ROW($C$3))/86400</s:f>
        <s:v>46247.38606481482</s:v>
      </s:c>
    </s:row>
    <s:row r="185">
      <s:c r="A185" s="0" t="n">
        <s:v>260813</s:v>
      </s:c>
      <s:c r="B185" s="0" t="inlineStr">
        <s:is>
          <s:t>이종훈</s:t>
        </s:is>
      </s:c>
      <s:c r="C185" s="0" t="n">
        <s:v>91255</s:v>
      </s:c>
      <s:c r="D185" s="0" t="n">
        <s:v>4212</s:v>
      </s:c>
      <s:c r="E185" s="0" t="n">
        <s:v>24.399</s:v>
      </s:c>
      <s:c r="F185" s="24">
        <s:f>'자료구성'!$B$2+TIME(INT($C$3/10000),INT(MOD($C$3,10000)/100),MOD($C$3,100))+(ROW()-ROW($C$3))/86400</s:f>
        <s:v>46247.38607638889</s:v>
      </s:c>
    </s:row>
    <s:row r="186">
      <s:c r="A186" s="0" t="n">
        <s:v>260813</s:v>
      </s:c>
      <s:c r="B186" s="0" t="inlineStr">
        <s:is>
          <s:t>이종훈</s:t>
        </s:is>
      </s:c>
      <s:c r="C186" s="0" t="n">
        <s:v>91255</s:v>
      </s:c>
      <s:c r="D186" s="0" t="n">
        <s:v>4309</s:v>
      </s:c>
      <s:c r="E186" s="0" t="n">
        <s:v>24.399</s:v>
      </s:c>
      <s:c r="F186" s="24">
        <s:f>'자료구성'!$B$2+TIME(INT($C$3/10000),INT(MOD($C$3,10000)/100),MOD($C$3,100))+(ROW()-ROW($C$3))/86400</s:f>
        <s:v>46247.386087962965</s:v>
      </s:c>
    </s:row>
    <s:row r="187">
      <s:c r="A187" s="0" t="n">
        <s:v>260813</s:v>
      </s:c>
      <s:c r="B187" s="0" t="inlineStr">
        <s:is>
          <s:t>이종훈</s:t>
        </s:is>
      </s:c>
      <s:c r="C187" s="0" t="n">
        <s:v>91255</s:v>
      </s:c>
      <s:c r="D187" s="0" t="n">
        <s:v>4441</s:v>
      </s:c>
      <s:c r="E187" s="0" t="n">
        <s:v>24.399</s:v>
      </s:c>
      <s:c r="F187" s="24">
        <s:f>'자료구성'!$B$2+TIME(INT($C$3/10000),INT(MOD($C$3,10000)/100),MOD($C$3,100))+(ROW()-ROW($C$3))/86400</s:f>
        <s:v>46247.386099537034</s:v>
      </s:c>
    </s:row>
    <s:row r="188">
      <s:c r="A188" s="0" t="n">
        <s:v>260813</s:v>
      </s:c>
      <s:c r="B188" s="0" t="inlineStr">
        <s:is>
          <s:t>이종훈</s:t>
        </s:is>
      </s:c>
      <s:c r="C188" s="0" t="n">
        <s:v>91255</s:v>
      </s:c>
      <s:c r="D188" s="0" t="n">
        <s:v>4469</s:v>
      </s:c>
      <s:c r="E188" s="0" t="n">
        <s:v>24.399</s:v>
      </s:c>
      <s:c r="F188" s="24">
        <s:f>'자료구성'!$B$2+TIME(INT($C$3/10000),INT(MOD($C$3,10000)/100),MOD($C$3,100))+(ROW()-ROW($C$3))/86400</s:f>
        <s:v>46247.38611111111</s:v>
      </s:c>
    </s:row>
    <s:row r="189">
      <s:c r="A189" s="0" t="n">
        <s:v>260813</s:v>
      </s:c>
      <s:c r="B189" s="0" t="inlineStr">
        <s:is>
          <s:t>이종훈</s:t>
        </s:is>
      </s:c>
      <s:c r="C189" s="0" t="n">
        <s:v>91255</s:v>
      </s:c>
      <s:c r="D189" s="0" t="n">
        <s:v>4469</s:v>
      </s:c>
      <s:c r="E189" s="0" t="n">
        <s:v>24.399</s:v>
      </s:c>
      <s:c r="F189" s="24">
        <s:f>'자료구성'!$B$2+TIME(INT($C$3/10000),INT(MOD($C$3,10000)/100),MOD($C$3,100))+(ROW()-ROW($C$3))/86400</s:f>
        <s:v>46247.38612268519</s:v>
      </s:c>
    </s:row>
    <s:row r="190">
      <s:c r="A190" s="0" t="n">
        <s:v>260813</s:v>
      </s:c>
      <s:c r="B190" s="0" t="inlineStr">
        <s:is>
          <s:t>이종훈</s:t>
        </s:is>
      </s:c>
      <s:c r="C190" s="0" t="n">
        <s:v>91255</s:v>
      </s:c>
      <s:c r="D190" s="0" t="n">
        <s:v>4409</s:v>
      </s:c>
      <s:c r="E190" s="0" t="n">
        <s:v>24.399</s:v>
      </s:c>
      <s:c r="F190" s="24">
        <s:f>'자료구성'!$B$2+TIME(INT($C$3/10000),INT(MOD($C$3,10000)/100),MOD($C$3,100))+(ROW()-ROW($C$3))/86400</s:f>
        <s:v>46247.38613425926</s:v>
      </s:c>
    </s:row>
    <s:row r="191">
      <s:c r="A191" s="0" t="n">
        <s:v>260813</s:v>
      </s:c>
      <s:c r="B191" s="0" t="inlineStr">
        <s:is>
          <s:t>이종훈</s:t>
        </s:is>
      </s:c>
      <s:c r="C191" s="0" t="n">
        <s:v>91255</s:v>
      </s:c>
      <s:c r="D191" s="0" t="n">
        <s:v>4338</s:v>
      </s:c>
      <s:c r="E191" s="0" t="n">
        <s:v>24.399</s:v>
      </s:c>
      <s:c r="F191" s="24">
        <s:f>'자료구성'!$B$2+TIME(INT($C$3/10000),INT(MOD($C$3,10000)/100),MOD($C$3,100))+(ROW()-ROW($C$3))/86400</s:f>
        <s:v>46247.386145833334</s:v>
      </s:c>
    </s:row>
    <s:row r="192">
      <s:c r="A192" s="0" t="n">
        <s:v>260813</s:v>
      </s:c>
      <s:c r="B192" s="0" t="inlineStr">
        <s:is>
          <s:t>이종훈</s:t>
        </s:is>
      </s:c>
      <s:c r="C192" s="0" t="n">
        <s:v>91255</s:v>
      </s:c>
      <s:c r="D192" s="0" t="n">
        <s:v>4263</s:v>
      </s:c>
      <s:c r="E192" s="0" t="n">
        <s:v>24.399</s:v>
      </s:c>
      <s:c r="F192" s="24">
        <s:f>'자료구성'!$B$2+TIME(INT($C$3/10000),INT(MOD($C$3,10000)/100),MOD($C$3,100))+(ROW()-ROW($C$3))/86400</s:f>
        <s:v>46247.38615740741</s:v>
      </s:c>
    </s:row>
    <s:row r="193">
      <s:c r="A193" s="0" t="n">
        <s:v>260813</s:v>
      </s:c>
      <s:c r="B193" s="0" t="inlineStr">
        <s:is>
          <s:t>이종훈</s:t>
        </s:is>
      </s:c>
      <s:c r="C193" s="0" t="n">
        <s:v>91255</s:v>
      </s:c>
      <s:c r="D193" s="0" t="n">
        <s:v>4204</s:v>
      </s:c>
      <s:c r="E193" s="0" t="n">
        <s:v>24.399</s:v>
      </s:c>
      <s:c r="F193" s="24">
        <s:f>'자료구성'!$B$2+TIME(INT($C$3/10000),INT(MOD($C$3,10000)/100),MOD($C$3,100))+(ROW()-ROW($C$3))/86400</s:f>
        <s:v>46247.38616898148</s:v>
      </s:c>
    </s:row>
    <s:row r="194">
      <s:c r="A194" s="0" t="n">
        <s:v>260813</s:v>
      </s:c>
      <s:c r="B194" s="0" t="inlineStr">
        <s:is>
          <s:t>이종훈</s:t>
        </s:is>
      </s:c>
      <s:c r="C194" s="0" t="n">
        <s:v>91255</s:v>
      </s:c>
      <s:c r="D194" s="0" t="n">
        <s:v>4121</s:v>
      </s:c>
      <s:c r="E194" s="0" t="n">
        <s:v>24.399</s:v>
      </s:c>
      <s:c r="F194" s="24">
        <s:f>'자료구성'!$B$2+TIME(INT($C$3/10000),INT(MOD($C$3,10000)/100),MOD($C$3,100))+(ROW()-ROW($C$3))/86400</s:f>
        <s:v>46247.38618055556</s:v>
      </s:c>
    </s:row>
    <s:row r="195">
      <s:c r="A195" s="0" t="n">
        <s:v>260813</s:v>
      </s:c>
      <s:c r="B195" s="0" t="inlineStr">
        <s:is>
          <s:t>이종훈</s:t>
        </s:is>
      </s:c>
      <s:c r="C195" s="0" t="n">
        <s:v>91255</s:v>
      </s:c>
      <s:c r="D195" s="0" t="n">
        <s:v>4026</s:v>
      </s:c>
      <s:c r="E195" s="0" t="n">
        <s:v>24.399</s:v>
      </s:c>
      <s:c r="F195" s="24">
        <s:f>'자료구성'!$B$2+TIME(INT($C$3/10000),INT(MOD($C$3,10000)/100),MOD($C$3,100))+(ROW()-ROW($C$3))/86400</s:f>
        <s:v>46247.38619212963</s:v>
      </s:c>
    </s:row>
    <s:row r="196">
      <s:c r="A196" s="0" t="n">
        <s:v>260813</s:v>
      </s:c>
      <s:c r="B196" s="0" t="inlineStr">
        <s:is>
          <s:t>이종훈</s:t>
        </s:is>
      </s:c>
      <s:c r="C196" s="0" t="n">
        <s:v>91255</s:v>
      </s:c>
      <s:c r="D196" s="0" t="n">
        <s:v>3932</s:v>
      </s:c>
      <s:c r="E196" s="0" t="n">
        <s:v>24.399</s:v>
      </s:c>
      <s:c r="F196" s="24">
        <s:f>'자료구성'!$B$2+TIME(INT($C$3/10000),INT(MOD($C$3,10000)/100),MOD($C$3,100))+(ROW()-ROW($C$3))/86400</s:f>
        <s:v>46247.3862037037</s:v>
      </s:c>
    </s:row>
    <s:row r="197">
      <s:c r="A197" s="0" t="n">
        <s:v>260813</s:v>
      </s:c>
      <s:c r="B197" s="0" t="inlineStr">
        <s:is>
          <s:t>이종훈</s:t>
        </s:is>
      </s:c>
      <s:c r="C197" s="0" t="n">
        <s:v>91255</s:v>
      </s:c>
      <s:c r="D197" s="0" t="n">
        <s:v>3823</s:v>
      </s:c>
      <s:c r="E197" s="0" t="n">
        <s:v>24.399</s:v>
      </s:c>
      <s:c r="F197" s="24">
        <s:f>'자료구성'!$B$2+TIME(INT($C$3/10000),INT(MOD($C$3,10000)/100),MOD($C$3,100))+(ROW()-ROW($C$3))/86400</s:f>
        <s:v>46247.38621527778</s:v>
      </s:c>
    </s:row>
    <s:row r="198">
      <s:c r="A198" s="0" t="n">
        <s:v>260813</s:v>
      </s:c>
      <s:c r="B198" s="0" t="inlineStr">
        <s:is>
          <s:t>이종훈</s:t>
        </s:is>
      </s:c>
      <s:c r="C198" s="0" t="n">
        <s:v>91255</s:v>
      </s:c>
      <s:c r="D198" s="0" t="n">
        <s:v>3717</s:v>
      </s:c>
      <s:c r="E198" s="0" t="n">
        <s:v>24.399</s:v>
      </s:c>
      <s:c r="F198" s="24">
        <s:f>'자료구성'!$B$2+TIME(INT($C$3/10000),INT(MOD($C$3,10000)/100),MOD($C$3,100))+(ROW()-ROW($C$3))/86400</s:f>
        <s:v>46247.38622685185</s:v>
      </s:c>
    </s:row>
    <s:row r="199">
      <s:c r="A199" s="0" t="n">
        <s:v>260813</s:v>
      </s:c>
      <s:c r="B199" s="0" t="inlineStr">
        <s:is>
          <s:t>이종훈</s:t>
        </s:is>
      </s:c>
      <s:c r="C199" s="0" t="n">
        <s:v>91255</s:v>
      </s:c>
      <s:c r="D199" s="0" t="n">
        <s:v>3630</s:v>
      </s:c>
      <s:c r="E199" s="0" t="n">
        <s:v>24.399</s:v>
      </s:c>
      <s:c r="F199" s="24">
        <s:f>'자료구성'!$B$2+TIME(INT($C$3/10000),INT(MOD($C$3,10000)/100),MOD($C$3,100))+(ROW()-ROW($C$3))/86400</s:f>
        <s:v>46247.38623842593</s:v>
      </s:c>
    </s:row>
    <s:row r="200">
      <s:c r="A200" s="0" t="n">
        <s:v>260813</s:v>
      </s:c>
      <s:c r="B200" s="0" t="inlineStr">
        <s:is>
          <s:t>이종훈</s:t>
        </s:is>
      </s:c>
      <s:c r="C200" s="0" t="n">
        <s:v>91255</s:v>
      </s:c>
      <s:c r="D200" s="0" t="n">
        <s:v>3600</s:v>
      </s:c>
      <s:c r="E200" s="0" t="n">
        <s:v>24.399</s:v>
      </s:c>
      <s:c r="F200" s="24">
        <s:f>'자료구성'!$B$2+TIME(INT($C$3/10000),INT(MOD($C$3,10000)/100),MOD($C$3,100))+(ROW()-ROW($C$3))/86400</s:f>
        <s:v>46247.38625</s:v>
      </s:c>
    </s:row>
    <s:row r="201">
      <s:c r="A201" s="0" t="n">
        <s:v>260813</s:v>
      </s:c>
      <s:c r="B201" s="0" t="inlineStr">
        <s:is>
          <s:t>이종훈</s:t>
        </s:is>
      </s:c>
      <s:c r="C201" s="0" t="n">
        <s:v>91255</s:v>
      </s:c>
      <s:c r="D201" s="0" t="n">
        <s:v>3567</s:v>
      </s:c>
      <s:c r="E201" s="0" t="n">
        <s:v>24.399</s:v>
      </s:c>
      <s:c r="F201" s="24">
        <s:f>'자료구성'!$B$2+TIME(INT($C$3/10000),INT(MOD($C$3,10000)/100),MOD($C$3,100))+(ROW()-ROW($C$3))/86400</s:f>
        <s:v>46247.38626157407</s:v>
      </s:c>
    </s:row>
    <s:row r="202">
      <s:c r="A202" s="0" t="n">
        <s:v>260813</s:v>
      </s:c>
      <s:c r="B202" s="0" t="inlineStr">
        <s:is>
          <s:t>이종훈</s:t>
        </s:is>
      </s:c>
      <s:c r="C202" s="0" t="n">
        <s:v>91255</s:v>
      </s:c>
      <s:c r="D202" s="0" t="n">
        <s:v>3561</s:v>
      </s:c>
      <s:c r="E202" s="0" t="n">
        <s:v>24.399</s:v>
      </s:c>
      <s:c r="F202" s="24">
        <s:f>'자료구성'!$B$2+TIME(INT($C$3/10000),INT(MOD($C$3,10000)/100),MOD($C$3,100))+(ROW()-ROW($C$3))/86400</s:f>
        <s:v>46247.38627314815</s:v>
      </s:c>
    </s:row>
    <s:row r="203">
      <s:c r="A203" s="0" t="n">
        <s:v>260813</s:v>
      </s:c>
      <s:c r="B203" s="0" t="inlineStr">
        <s:is>
          <s:t>이종훈</s:t>
        </s:is>
      </s:c>
      <s:c r="C203" s="0" t="n">
        <s:v>91255</s:v>
      </s:c>
      <s:c r="D203" s="0" t="n">
        <s:v>3561</s:v>
      </s:c>
      <s:c r="E203" s="0" t="n">
        <s:v>24.399</s:v>
      </s:c>
      <s:c r="F203" s="24">
        <s:f>'자료구성'!$B$2+TIME(INT($C$3/10000),INT(MOD($C$3,10000)/100),MOD($C$3,100))+(ROW()-ROW($C$3))/86400</s:f>
        <s:v>46247.38628472222</s:v>
      </s:c>
    </s:row>
    <s:row r="204">
      <s:c r="A204" s="0" t="n">
        <s:v>260813</s:v>
      </s:c>
      <s:c r="B204" s="0" t="inlineStr">
        <s:is>
          <s:t>이종훈</s:t>
        </s:is>
      </s:c>
      <s:c r="C204" s="0" t="n">
        <s:v>91255</s:v>
      </s:c>
      <s:c r="D204" s="0" t="n">
        <s:v>3548</s:v>
      </s:c>
      <s:c r="E204" s="0" t="n">
        <s:v>24.399</s:v>
      </s:c>
      <s:c r="F204" s="24">
        <s:f>'자료구성'!$B$2+TIME(INT($C$3/10000),INT(MOD($C$3,10000)/100),MOD($C$3,100))+(ROW()-ROW($C$3))/86400</s:f>
        <s:v>46247.386296296296</s:v>
      </s:c>
    </s:row>
    <s:row r="205">
      <s:c r="A205" s="0" t="n">
        <s:v>260813</s:v>
      </s:c>
      <s:c r="B205" s="0" t="inlineStr">
        <s:is>
          <s:t>이종훈</s:t>
        </s:is>
      </s:c>
      <s:c r="C205" s="0" t="n">
        <s:v>91255</s:v>
      </s:c>
      <s:c r="D205" s="0" t="n">
        <s:v>3504</s:v>
      </s:c>
      <s:c r="E205" s="0" t="n">
        <s:v>24.399</s:v>
      </s:c>
      <s:c r="F205" s="24">
        <s:f>'자료구성'!$B$2+TIME(INT($C$3/10000),INT(MOD($C$3,10000)/100),MOD($C$3,100))+(ROW()-ROW($C$3))/86400</s:f>
        <s:v>46247.38630787037</s:v>
      </s:c>
    </s:row>
    <s:row r="206">
      <s:c r="A206" s="0" t="n">
        <s:v>260813</s:v>
      </s:c>
      <s:c r="B206" s="0" t="inlineStr">
        <s:is>
          <s:t>이종훈</s:t>
        </s:is>
      </s:c>
      <s:c r="C206" s="0" t="n">
        <s:v>91255</s:v>
      </s:c>
      <s:c r="D206" s="0" t="n">
        <s:v>3491</s:v>
      </s:c>
      <s:c r="E206" s="0" t="n">
        <s:v>24.399</s:v>
      </s:c>
      <s:c r="F206" s="24">
        <s:f>'자료구성'!$B$2+TIME(INT($C$3/10000),INT(MOD($C$3,10000)/100),MOD($C$3,100))+(ROW()-ROW($C$3))/86400</s:f>
        <s:v>46247.38631944444</s:v>
      </s:c>
    </s:row>
    <s:row r="207">
      <s:c r="A207" s="0" t="n">
        <s:v>260813</s:v>
      </s:c>
      <s:c r="B207" s="0" t="inlineStr">
        <s:is>
          <s:t>이종훈</s:t>
        </s:is>
      </s:c>
      <s:c r="C207" s="0" t="n">
        <s:v>91255</s:v>
      </s:c>
      <s:c r="D207" s="0" t="n">
        <s:v>3503</s:v>
      </s:c>
      <s:c r="E207" s="0" t="n">
        <s:v>24.399</s:v>
      </s:c>
      <s:c r="F207" s="24">
        <s:f>'자료구성'!$B$2+TIME(INT($C$3/10000),INT(MOD($C$3,10000)/100),MOD($C$3,100))+(ROW()-ROW($C$3))/86400</s:f>
        <s:v>46247.38633101852</s:v>
      </s:c>
    </s:row>
    <s:row r="208">
      <s:c r="A208" s="0" t="n">
        <s:v>260813</s:v>
      </s:c>
      <s:c r="B208" s="0" t="inlineStr">
        <s:is>
          <s:t>이종훈</s:t>
        </s:is>
      </s:c>
      <s:c r="C208" s="0" t="n">
        <s:v>91255</s:v>
      </s:c>
      <s:c r="D208" s="0" t="n">
        <s:v>3544</s:v>
      </s:c>
      <s:c r="E208" s="0" t="n">
        <s:v>24.399</s:v>
      </s:c>
      <s:c r="F208" s="24">
        <s:f>'자료구성'!$B$2+TIME(INT($C$3/10000),INT(MOD($C$3,10000)/100),MOD($C$3,100))+(ROW()-ROW($C$3))/86400</s:f>
        <s:v>46247.386342592596</s:v>
      </s:c>
    </s:row>
    <s:row r="209">
      <s:c r="A209" s="0" t="n">
        <s:v>260813</s:v>
      </s:c>
      <s:c r="B209" s="0" t="inlineStr">
        <s:is>
          <s:t>이종훈</s:t>
        </s:is>
      </s:c>
      <s:c r="C209" s="0" t="n">
        <s:v>91255</s:v>
      </s:c>
      <s:c r="D209" s="0" t="n">
        <s:v>3582</s:v>
      </s:c>
      <s:c r="E209" s="0" t="n">
        <s:v>24.399</s:v>
      </s:c>
      <s:c r="F209" s="24">
        <s:f>'자료구성'!$B$2+TIME(INT($C$3/10000),INT(MOD($C$3,10000)/100),MOD($C$3,100))+(ROW()-ROW($C$3))/86400</s:f>
        <s:v>46247.386354166665</s:v>
      </s:c>
    </s:row>
    <s:row r="210">
      <s:c r="A210" s="0" t="n">
        <s:v>260813</s:v>
      </s:c>
      <s:c r="B210" s="0" t="inlineStr">
        <s:is>
          <s:t>이종훈</s:t>
        </s:is>
      </s:c>
      <s:c r="C210" s="0" t="n">
        <s:v>91255</s:v>
      </s:c>
      <s:c r="D210" s="0" t="n">
        <s:v>3582</s:v>
      </s:c>
      <s:c r="E210" s="0" t="n">
        <s:v>24.399</s:v>
      </s:c>
      <s:c r="F210" s="24">
        <s:f>'자료구성'!$B$2+TIME(INT($C$3/10000),INT(MOD($C$3,10000)/100),MOD($C$3,100))+(ROW()-ROW($C$3))/86400</s:f>
        <s:v>46247.38636574074</s:v>
      </s:c>
    </s:row>
    <s:row r="211">
      <s:c r="A211" s="0" t="n">
        <s:v>260813</s:v>
      </s:c>
      <s:c r="B211" s="0" t="inlineStr">
        <s:is>
          <s:t>이종훈</s:t>
        </s:is>
      </s:c>
      <s:c r="C211" s="0" t="n">
        <s:v>91255</s:v>
      </s:c>
      <s:c r="D211" s="0" t="n">
        <s:v>3636</s:v>
      </s:c>
      <s:c r="E211" s="0" t="n">
        <s:v>24.399</s:v>
      </s:c>
      <s:c r="F211" s="24">
        <s:f>'자료구성'!$B$2+TIME(INT($C$3/10000),INT(MOD($C$3,10000)/100),MOD($C$3,100))+(ROW()-ROW($C$3))/86400</s:f>
        <s:v>46247.38637731481</s:v>
      </s:c>
    </s:row>
    <s:row r="212">
      <s:c r="A212" s="0" t="n">
        <s:v>260813</s:v>
      </s:c>
      <s:c r="B212" s="0" t="inlineStr">
        <s:is>
          <s:t>이종훈</s:t>
        </s:is>
      </s:c>
      <s:c r="C212" s="0" t="n">
        <s:v>91255</s:v>
      </s:c>
      <s:c r="D212" s="0" t="n">
        <s:v>3695</s:v>
      </s:c>
      <s:c r="E212" s="0" t="n">
        <s:v>24.399</s:v>
      </s:c>
      <s:c r="F212" s="24">
        <s:f>'자료구성'!$B$2+TIME(INT($C$3/10000),INT(MOD($C$3,10000)/100),MOD($C$3,100))+(ROW()-ROW($C$3))/86400</s:f>
        <s:v>46247.38638888889</s:v>
      </s:c>
    </s:row>
    <s:row r="213">
      <s:c r="A213" s="0" t="n">
        <s:v>260813</s:v>
      </s:c>
      <s:c r="B213" s="0" t="inlineStr">
        <s:is>
          <s:t>이종훈</s:t>
        </s:is>
      </s:c>
      <s:c r="C213" s="0" t="n">
        <s:v>91255</s:v>
      </s:c>
      <s:c r="D213" s="0" t="n">
        <s:v>3736</s:v>
      </s:c>
      <s:c r="E213" s="0" t="n">
        <s:v>24.399</s:v>
      </s:c>
      <s:c r="F213" s="24">
        <s:f>'자료구성'!$B$2+TIME(INT($C$3/10000),INT(MOD($C$3,10000)/100),MOD($C$3,100))+(ROW()-ROW($C$3))/86400</s:f>
        <s:v>46247.386400462965</s:v>
      </s:c>
    </s:row>
    <s:row r="214">
      <s:c r="A214" s="0" t="n">
        <s:v>260813</s:v>
      </s:c>
      <s:c r="B214" s="0" t="inlineStr">
        <s:is>
          <s:t>이종훈</s:t>
        </s:is>
      </s:c>
      <s:c r="C214" s="0" t="n">
        <s:v>91255</s:v>
      </s:c>
      <s:c r="D214" s="0" t="n">
        <s:v>3765</s:v>
      </s:c>
      <s:c r="E214" s="0" t="n">
        <s:v>24.399</s:v>
      </s:c>
      <s:c r="F214" s="24">
        <s:f>'자료구성'!$B$2+TIME(INT($C$3/10000),INT(MOD($C$3,10000)/100),MOD($C$3,100))+(ROW()-ROW($C$3))/86400</s:f>
        <s:v>46247.386412037034</s:v>
      </s:c>
    </s:row>
    <s:row r="215">
      <s:c r="A215" s="0" t="n">
        <s:v>260813</s:v>
      </s:c>
      <s:c r="B215" s="0" t="inlineStr">
        <s:is>
          <s:t>이종훈</s:t>
        </s:is>
      </s:c>
      <s:c r="C215" s="0" t="n">
        <s:v>91255</s:v>
      </s:c>
      <s:c r="D215" s="0" t="n">
        <s:v>3789</s:v>
      </s:c>
      <s:c r="E215" s="0" t="n">
        <s:v>24.399</s:v>
      </s:c>
      <s:c r="F215" s="24">
        <s:f>'자료구성'!$B$2+TIME(INT($C$3/10000),INT(MOD($C$3,10000)/100),MOD($C$3,100))+(ROW()-ROW($C$3))/86400</s:f>
        <s:v>46247.38642361111</s:v>
      </s:c>
    </s:row>
    <s:row r="216">
      <s:c r="A216" s="0" t="n">
        <s:v>260813</s:v>
      </s:c>
      <s:c r="B216" s="0" t="inlineStr">
        <s:is>
          <s:t>이종훈</s:t>
        </s:is>
      </s:c>
      <s:c r="C216" s="0" t="n">
        <s:v>91255</s:v>
      </s:c>
      <s:c r="D216" s="0" t="n">
        <s:v>3819</s:v>
      </s:c>
      <s:c r="E216" s="0" t="n">
        <s:v>24.399</s:v>
      </s:c>
      <s:c r="F216" s="24">
        <s:f>'자료구성'!$B$2+TIME(INT($C$3/10000),INT(MOD($C$3,10000)/100),MOD($C$3,100))+(ROW()-ROW($C$3))/86400</s:f>
        <s:v>46247.38643518519</s:v>
      </s:c>
    </s:row>
    <s:row r="217">
      <s:c r="A217" s="0" t="n">
        <s:v>260813</s:v>
      </s:c>
      <s:c r="B217" s="0" t="inlineStr">
        <s:is>
          <s:t>이종훈</s:t>
        </s:is>
      </s:c>
      <s:c r="C217" s="0" t="n">
        <s:v>91255</s:v>
      </s:c>
      <s:c r="D217" s="0" t="n">
        <s:v>3853</s:v>
      </s:c>
      <s:c r="E217" s="0" t="n">
        <s:v>24.399</s:v>
      </s:c>
      <s:c r="F217" s="24">
        <s:f>'자료구성'!$B$2+TIME(INT($C$3/10000),INT(MOD($C$3,10000)/100),MOD($C$3,100))+(ROW()-ROW($C$3))/86400</s:f>
        <s:v>46247.38644675926</s:v>
      </s:c>
    </s:row>
    <s:row r="218">
      <s:c r="A218" s="0" t="n">
        <s:v>260813</s:v>
      </s:c>
      <s:c r="B218" s="0" t="inlineStr">
        <s:is>
          <s:t>이종훈</s:t>
        </s:is>
      </s:c>
      <s:c r="C218" s="0" t="n">
        <s:v>91255</s:v>
      </s:c>
      <s:c r="D218" s="0" t="n">
        <s:v>3858</s:v>
      </s:c>
      <s:c r="E218" s="0" t="n">
        <s:v>24.399</s:v>
      </s:c>
      <s:c r="F218" s="24">
        <s:f>'자료구성'!$B$2+TIME(INT($C$3/10000),INT(MOD($C$3,10000)/100),MOD($C$3,100))+(ROW()-ROW($C$3))/86400</s:f>
        <s:v>46247.386458333334</s:v>
      </s:c>
    </s:row>
    <s:row r="219">
      <s:c r="A219" s="0" t="n">
        <s:v>260813</s:v>
      </s:c>
      <s:c r="B219" s="0" t="inlineStr">
        <s:is>
          <s:t>이종훈</s:t>
        </s:is>
      </s:c>
      <s:c r="C219" s="0" t="n">
        <s:v>91255</s:v>
      </s:c>
      <s:c r="D219" s="0" t="n">
        <s:v>3871</s:v>
      </s:c>
      <s:c r="E219" s="0" t="n">
        <s:v>24.399</s:v>
      </s:c>
      <s:c r="F219" s="24">
        <s:f>'자료구성'!$B$2+TIME(INT($C$3/10000),INT(MOD($C$3,10000)/100),MOD($C$3,100))+(ROW()-ROW($C$3))/86400</s:f>
        <s:v>46247.386469907404</s:v>
      </s:c>
    </s:row>
    <s:row r="220">
      <s:c r="A220" s="0" t="n">
        <s:v>260813</s:v>
      </s:c>
      <s:c r="B220" s="0" t="inlineStr">
        <s:is>
          <s:t>이종훈</s:t>
        </s:is>
      </s:c>
      <s:c r="C220" s="0" t="n">
        <s:v>91255</s:v>
      </s:c>
      <s:c r="D220" s="0" t="n">
        <s:v>3904</s:v>
      </s:c>
      <s:c r="E220" s="0" t="n">
        <s:v>24.399</s:v>
      </s:c>
      <s:c r="F220" s="24">
        <s:f>'자료구성'!$B$2+TIME(INT($C$3/10000),INT(MOD($C$3,10000)/100),MOD($C$3,100))+(ROW()-ROW($C$3))/86400</s:f>
        <s:v>46247.38648148148</s:v>
      </s:c>
    </s:row>
    <s:row r="221">
      <s:c r="A221" s="0" t="n">
        <s:v>260813</s:v>
      </s:c>
      <s:c r="B221" s="0" t="inlineStr">
        <s:is>
          <s:t>이종훈</s:t>
        </s:is>
      </s:c>
      <s:c r="C221" s="0" t="n">
        <s:v>91255</s:v>
      </s:c>
      <s:c r="D221" s="0" t="n">
        <s:v>3964</s:v>
      </s:c>
      <s:c r="E221" s="0" t="n">
        <s:v>24.399</s:v>
      </s:c>
      <s:c r="F221" s="24">
        <s:f>'자료구성'!$B$2+TIME(INT($C$3/10000),INT(MOD($C$3,10000)/100),MOD($C$3,100))+(ROW()-ROW($C$3))/86400</s:f>
        <s:v>46247.38649305556</s:v>
      </s:c>
    </s:row>
    <s:row r="222">
      <s:c r="A222" s="0" t="n">
        <s:v>260813</s:v>
      </s:c>
      <s:c r="B222" s="0" t="inlineStr">
        <s:is>
          <s:t>이종훈</s:t>
        </s:is>
      </s:c>
      <s:c r="C222" s="0" t="n">
        <s:v>91255</s:v>
      </s:c>
      <s:c r="D222" s="0" t="n">
        <s:v>3985</s:v>
      </s:c>
      <s:c r="E222" s="0" t="n">
        <s:v>24.399</s:v>
      </s:c>
      <s:c r="F222" s="24">
        <s:f>'자료구성'!$B$2+TIME(INT($C$3/10000),INT(MOD($C$3,10000)/100),MOD($C$3,100))+(ROW()-ROW($C$3))/86400</s:f>
        <s:v>46247.38650462963</s:v>
      </s:c>
    </s:row>
    <s:row r="223">
      <s:c r="A223" s="0" t="n">
        <s:v>260813</s:v>
      </s:c>
      <s:c r="B223" s="0" t="inlineStr">
        <s:is>
          <s:t>이종훈</s:t>
        </s:is>
      </s:c>
      <s:c r="C223" s="0" t="n">
        <s:v>91255</s:v>
      </s:c>
      <s:c r="D223" s="0" t="n">
        <s:v>4004</s:v>
      </s:c>
      <s:c r="E223" s="0" t="n">
        <s:v>24.399</s:v>
      </s:c>
      <s:c r="F223" s="24">
        <s:f>'자료구성'!$B$2+TIME(INT($C$3/10000),INT(MOD($C$3,10000)/100),MOD($C$3,100))+(ROW()-ROW($C$3))/86400</s:f>
        <s:v>46247.386516203704</s:v>
      </s:c>
    </s:row>
    <s:row r="224">
      <s:c r="A224" s="0" t="n">
        <s:v>260813</s:v>
      </s:c>
      <s:c r="B224" s="0" t="inlineStr">
        <s:is>
          <s:t>이종훈</s:t>
        </s:is>
      </s:c>
      <s:c r="C224" s="0" t="n">
        <s:v>91255</s:v>
      </s:c>
      <s:c r="D224" s="0" t="n">
        <s:v>4028</s:v>
      </s:c>
      <s:c r="E224" s="0" t="n">
        <s:v>24.399</s:v>
      </s:c>
      <s:c r="F224" s="24">
        <s:f>'자료구성'!$B$2+TIME(INT($C$3/10000),INT(MOD($C$3,10000)/100),MOD($C$3,100))+(ROW()-ROW($C$3))/86400</s:f>
        <s:v>46247.38652777778</s:v>
      </s:c>
    </s:row>
    <s:row r="225">
      <s:c r="A225" s="0" t="n">
        <s:v>260813</s:v>
      </s:c>
      <s:c r="B225" s="0" t="inlineStr">
        <s:is>
          <s:t>이종훈</s:t>
        </s:is>
      </s:c>
      <s:c r="C225" s="0" t="n">
        <s:v>91255</s:v>
      </s:c>
      <s:c r="D225" s="0" t="n">
        <s:v>4084</s:v>
      </s:c>
      <s:c r="E225" s="0" t="n">
        <s:v>24.399</s:v>
      </s:c>
      <s:c r="F225" s="24">
        <s:f>'자료구성'!$B$2+TIME(INT($C$3/10000),INT(MOD($C$3,10000)/100),MOD($C$3,100))+(ROW()-ROW($C$3))/86400</s:f>
        <s:v>46247.38653935185</s:v>
      </s:c>
    </s:row>
    <s:row r="226">
      <s:c r="A226" s="0" t="n">
        <s:v>260813</s:v>
      </s:c>
      <s:c r="B226" s="0" t="inlineStr">
        <s:is>
          <s:t>이종훈</s:t>
        </s:is>
      </s:c>
      <s:c r="C226" s="0" t="n">
        <s:v>91255</s:v>
      </s:c>
      <s:c r="D226" s="0" t="n">
        <s:v>4108</s:v>
      </s:c>
      <s:c r="E226" s="0" t="n">
        <s:v>24.399</s:v>
      </s:c>
      <s:c r="F226" s="24">
        <s:f>'자료구성'!$B$2+TIME(INT($C$3/10000),INT(MOD($C$3,10000)/100),MOD($C$3,100))+(ROW()-ROW($C$3))/86400</s:f>
        <s:v>46247.38655092593</s:v>
      </s:c>
    </s:row>
    <s:row r="227">
      <s:c r="A227" s="0" t="n">
        <s:v>260813</s:v>
      </s:c>
      <s:c r="B227" s="0" t="inlineStr">
        <s:is>
          <s:t>이종훈</s:t>
        </s:is>
      </s:c>
      <s:c r="C227" s="0" t="n">
        <s:v>91255</s:v>
      </s:c>
      <s:c r="D227" s="0" t="n">
        <s:v>4227</s:v>
      </s:c>
      <s:c r="E227" s="0" t="n">
        <s:v>24.399</s:v>
      </s:c>
      <s:c r="F227" s="24">
        <s:f>'자료구성'!$B$2+TIME(INT($C$3/10000),INT(MOD($C$3,10000)/100),MOD($C$3,100))+(ROW()-ROW($C$3))/86400</s:f>
        <s:v>46247.3865625</s:v>
      </s:c>
    </s:row>
    <s:row r="228">
      <s:c r="A228" s="0" t="n">
        <s:v>260813</s:v>
      </s:c>
      <s:c r="B228" s="0" t="inlineStr">
        <s:is>
          <s:t>이종훈</s:t>
        </s:is>
      </s:c>
      <s:c r="C228" s="0" t="n">
        <s:v>91255</s:v>
      </s:c>
      <s:c r="D228" s="0" t="n">
        <s:v>4336</s:v>
      </s:c>
      <s:c r="E228" s="0" t="n">
        <s:v>24.399</s:v>
      </s:c>
      <s:c r="F228" s="24">
        <s:f>'자료구성'!$B$2+TIME(INT($C$3/10000),INT(MOD($C$3,10000)/100),MOD($C$3,100))+(ROW()-ROW($C$3))/86400</s:f>
        <s:v>46247.38657407407</s:v>
      </s:c>
    </s:row>
    <s:row r="229">
      <s:c r="A229" s="0" t="n">
        <s:v>260813</s:v>
      </s:c>
      <s:c r="B229" s="0" t="inlineStr">
        <s:is>
          <s:t>이종훈</s:t>
        </s:is>
      </s:c>
      <s:c r="C229" s="0" t="n">
        <s:v>91255</s:v>
      </s:c>
      <s:c r="D229" s="0" t="n">
        <s:v>4397</s:v>
      </s:c>
      <s:c r="E229" s="0" t="n">
        <s:v>24.399</s:v>
      </s:c>
      <s:c r="F229" s="24">
        <s:f>'자료구성'!$B$2+TIME(INT($C$3/10000),INT(MOD($C$3,10000)/100),MOD($C$3,100))+(ROW()-ROW($C$3))/86400</s:f>
        <s:v>46247.38658564815</s:v>
      </s:c>
    </s:row>
    <s:row r="230">
      <s:c r="A230" s="0" t="n">
        <s:v>260813</s:v>
      </s:c>
      <s:c r="B230" s="0" t="inlineStr">
        <s:is>
          <s:t>이종훈</s:t>
        </s:is>
      </s:c>
      <s:c r="C230" s="0" t="n">
        <s:v>91255</s:v>
      </s:c>
      <s:c r="D230" s="0" t="n">
        <s:v>4478</s:v>
      </s:c>
      <s:c r="E230" s="0" t="n">
        <s:v>24.399</s:v>
      </s:c>
      <s:c r="F230" s="24">
        <s:f>'자료구성'!$B$2+TIME(INT($C$3/10000),INT(MOD($C$3,10000)/100),MOD($C$3,100))+(ROW()-ROW($C$3))/86400</s:f>
        <s:v>46247.38659722222</s:v>
      </s:c>
    </s:row>
    <s:row r="231">
      <s:c r="A231" s="0" t="n">
        <s:v>260813</s:v>
      </s:c>
      <s:c r="B231" s="0" t="inlineStr">
        <s:is>
          <s:t>이종훈</s:t>
        </s:is>
      </s:c>
      <s:c r="C231" s="0" t="n">
        <s:v>91255</s:v>
      </s:c>
      <s:c r="D231" s="0" t="n">
        <s:v>4466</s:v>
      </s:c>
      <s:c r="E231" s="0" t="n">
        <s:v>24.399</s:v>
      </s:c>
      <s:c r="F231" s="24">
        <s:f>'자료구성'!$B$2+TIME(INT($C$3/10000),INT(MOD($C$3,10000)/100),MOD($C$3,100))+(ROW()-ROW($C$3))/86400</s:f>
        <s:v>46247.386608796296</s:v>
      </s:c>
    </s:row>
    <s:row r="232">
      <s:c r="A232" s="0" t="n">
        <s:v>260813</s:v>
      </s:c>
      <s:c r="B232" s="0" t="inlineStr">
        <s:is>
          <s:t>이종훈</s:t>
        </s:is>
      </s:c>
      <s:c r="C232" s="0" t="n">
        <s:v>91255</s:v>
      </s:c>
      <s:c r="D232" s="0" t="n">
        <s:v>4419</s:v>
      </s:c>
      <s:c r="E232" s="0" t="n">
        <s:v>24.399</s:v>
      </s:c>
      <s:c r="F232" s="24">
        <s:f>'자료구성'!$B$2+TIME(INT($C$3/10000),INT(MOD($C$3,10000)/100),MOD($C$3,100))+(ROW()-ROW($C$3))/86400</s:f>
        <s:v>46247.38662037037</s:v>
      </s:c>
    </s:row>
    <s:row r="233">
      <s:c r="A233" s="0" t="n">
        <s:v>260813</s:v>
      </s:c>
      <s:c r="B233" s="0" t="inlineStr">
        <s:is>
          <s:t>이종훈</s:t>
        </s:is>
      </s:c>
      <s:c r="C233" s="0" t="n">
        <s:v>91255</s:v>
      </s:c>
      <s:c r="D233" s="0" t="n">
        <s:v>4397</s:v>
      </s:c>
      <s:c r="E233" s="0" t="n">
        <s:v>24.399</s:v>
      </s:c>
      <s:c r="F233" s="24">
        <s:f>'자료구성'!$B$2+TIME(INT($C$3/10000),INT(MOD($C$3,10000)/100),MOD($C$3,100))+(ROW()-ROW($C$3))/86400</s:f>
        <s:v>46247.38663194444</s:v>
      </s:c>
    </s:row>
    <s:row r="234">
      <s:c r="A234" s="0" t="n">
        <s:v>260813</s:v>
      </s:c>
      <s:c r="B234" s="0" t="inlineStr">
        <s:is>
          <s:t>이종훈</s:t>
        </s:is>
      </s:c>
      <s:c r="C234" s="0" t="n">
        <s:v>91255</s:v>
      </s:c>
      <s:c r="D234" s="0" t="n">
        <s:v>4410</s:v>
      </s:c>
      <s:c r="E234" s="0" t="n">
        <s:v>24.399</s:v>
      </s:c>
      <s:c r="F234" s="24">
        <s:f>'자료구성'!$B$2+TIME(INT($C$3/10000),INT(MOD($C$3,10000)/100),MOD($C$3,100))+(ROW()-ROW($C$3))/86400</s:f>
        <s:v>46247.38664351852</s:v>
      </s:c>
    </s:row>
    <s:row r="235">
      <s:c r="A235" s="0" t="n">
        <s:v>260813</s:v>
      </s:c>
      <s:c r="B235" s="0" t="inlineStr">
        <s:is>
          <s:t>이종훈</s:t>
        </s:is>
      </s:c>
      <s:c r="C235" s="0" t="n">
        <s:v>91255</s:v>
      </s:c>
      <s:c r="D235" s="0" t="n">
        <s:v>4374</s:v>
      </s:c>
      <s:c r="E235" s="0" t="n">
        <s:v>24.399</s:v>
      </s:c>
      <s:c r="F235" s="24">
        <s:f>'자료구성'!$B$2+TIME(INT($C$3/10000),INT(MOD($C$3,10000)/100),MOD($C$3,100))+(ROW()-ROW($C$3))/86400</s:f>
        <s:v>46247.386655092596</s:v>
      </s:c>
    </s:row>
    <s:row r="236">
      <s:c r="A236" s="0" t="n">
        <s:v>260813</s:v>
      </s:c>
      <s:c r="B236" s="0" t="inlineStr">
        <s:is>
          <s:t>이종훈</s:t>
        </s:is>
      </s:c>
      <s:c r="C236" s="0" t="n">
        <s:v>91255</s:v>
      </s:c>
      <s:c r="D236" s="0" t="n">
        <s:v>4340</s:v>
      </s:c>
      <s:c r="E236" s="0" t="n">
        <s:v>24.399</s:v>
      </s:c>
      <s:c r="F236" s="24">
        <s:f>'자료구성'!$B$2+TIME(INT($C$3/10000),INT(MOD($C$3,10000)/100),MOD($C$3,100))+(ROW()-ROW($C$3))/86400</s:f>
        <s:v>46247.386666666665</s:v>
      </s:c>
    </s:row>
    <s:row r="237">
      <s:c r="A237" s="0" t="n">
        <s:v>260813</s:v>
      </s:c>
      <s:c r="B237" s="0" t="inlineStr">
        <s:is>
          <s:t>이종훈</s:t>
        </s:is>
      </s:c>
      <s:c r="C237" s="0" t="n">
        <s:v>91255</s:v>
      </s:c>
      <s:c r="D237" s="0" t="n">
        <s:v>4317</s:v>
      </s:c>
      <s:c r="E237" s="0" t="n">
        <s:v>24.399</s:v>
      </s:c>
      <s:c r="F237" s="24">
        <s:f>'자료구성'!$B$2+TIME(INT($C$3/10000),INT(MOD($C$3,10000)/100),MOD($C$3,100))+(ROW()-ROW($C$3))/86400</s:f>
        <s:v>46247.38667824074</s:v>
      </s:c>
    </s:row>
    <s:row r="238">
      <s:c r="A238" s="0" t="n">
        <s:v>260813</s:v>
      </s:c>
      <s:c r="B238" s="0" t="inlineStr">
        <s:is>
          <s:t>이종훈</s:t>
        </s:is>
      </s:c>
      <s:c r="C238" s="0" t="n">
        <s:v>91255</s:v>
      </s:c>
      <s:c r="D238" s="0" t="n">
        <s:v>4290</s:v>
      </s:c>
      <s:c r="E238" s="0" t="n">
        <s:v>24.399</s:v>
      </s:c>
      <s:c r="F238" s="24">
        <s:f>'자료구성'!$B$2+TIME(INT($C$3/10000),INT(MOD($C$3,10000)/100),MOD($C$3,100))+(ROW()-ROW($C$3))/86400</s:f>
        <s:v>46247.38668981481</s:v>
      </s:c>
    </s:row>
    <s:row r="239">
      <s:c r="A239" s="0" t="n">
        <s:v>260813</s:v>
      </s:c>
      <s:c r="B239" s="0" t="inlineStr">
        <s:is>
          <s:t>이종훈</s:t>
        </s:is>
      </s:c>
      <s:c r="C239" s="0" t="n">
        <s:v>91255</s:v>
      </s:c>
      <s:c r="D239" s="0" t="n">
        <s:v>4324</s:v>
      </s:c>
      <s:c r="E239" s="0" t="n">
        <s:v>24.399</s:v>
      </s:c>
      <s:c r="F239" s="24">
        <s:f>'자료구성'!$B$2+TIME(INT($C$3/10000),INT(MOD($C$3,10000)/100),MOD($C$3,100))+(ROW()-ROW($C$3))/86400</s:f>
        <s:v>46247.38670138889</s:v>
      </s:c>
    </s:row>
    <s:row r="240">
      <s:c r="A240" s="0" t="n">
        <s:v>260813</s:v>
      </s:c>
      <s:c r="B240" s="0" t="inlineStr">
        <s:is>
          <s:t>이종훈</s:t>
        </s:is>
      </s:c>
      <s:c r="C240" s="0" t="n">
        <s:v>91255</s:v>
      </s:c>
      <s:c r="D240" s="0" t="n">
        <s:v>4341</s:v>
      </s:c>
      <s:c r="E240" s="0" t="n">
        <s:v>24.399</s:v>
      </s:c>
      <s:c r="F240" s="24">
        <s:f>'자료구성'!$B$2+TIME(INT($C$3/10000),INT(MOD($C$3,10000)/100),MOD($C$3,100))+(ROW()-ROW($C$3))/86400</s:f>
        <s:v>46247.386712962965</s:v>
      </s:c>
    </s:row>
    <s:row r="241">
      <s:c r="A241" s="0" t="n">
        <s:v>260813</s:v>
      </s:c>
      <s:c r="B241" s="0" t="inlineStr">
        <s:is>
          <s:t>이종훈</s:t>
        </s:is>
      </s:c>
      <s:c r="C241" s="0" t="n">
        <s:v>91255</s:v>
      </s:c>
      <s:c r="D241" s="0" t="n">
        <s:v>4333</s:v>
      </s:c>
      <s:c r="E241" s="0" t="n">
        <s:v>24.399</s:v>
      </s:c>
      <s:c r="F241" s="24">
        <s:f>'자료구성'!$B$2+TIME(INT($C$3/10000),INT(MOD($C$3,10000)/100),MOD($C$3,100))+(ROW()-ROW($C$3))/86400</s:f>
        <s:v>46247.386724537035</s:v>
      </s:c>
    </s:row>
    <s:row r="242">
      <s:c r="A242" s="0" t="n">
        <s:v>260813</s:v>
      </s:c>
      <s:c r="B242" s="0" t="inlineStr">
        <s:is>
          <s:t>이종훈</s:t>
        </s:is>
      </s:c>
      <s:c r="C242" s="0" t="n">
        <s:v>91255</s:v>
      </s:c>
      <s:c r="D242" s="0" t="n">
        <s:v>4336</s:v>
      </s:c>
      <s:c r="E242" s="0" t="n">
        <s:v>24.399</s:v>
      </s:c>
      <s:c r="F242" s="24">
        <s:f>'자료구성'!$B$2+TIME(INT($C$3/10000),INT(MOD($C$3,10000)/100),MOD($C$3,100))+(ROW()-ROW($C$3))/86400</s:f>
        <s:v>46247.38673611111</s:v>
      </s:c>
    </s:row>
    <s:row r="243">
      <s:c r="A243" s="0" t="n">
        <s:v>260813</s:v>
      </s:c>
      <s:c r="B243" s="0" t="inlineStr">
        <s:is>
          <s:t>이종훈</s:t>
        </s:is>
      </s:c>
      <s:c r="C243" s="0" t="n">
        <s:v>91255</s:v>
      </s:c>
      <s:c r="D243" s="0" t="n">
        <s:v>4353</s:v>
      </s:c>
      <s:c r="E243" s="0" t="n">
        <s:v>24.399</s:v>
      </s:c>
      <s:c r="F243" s="24">
        <s:f>'자료구성'!$B$2+TIME(INT($C$3/10000),INT(MOD($C$3,10000)/100),MOD($C$3,100))+(ROW()-ROW($C$3))/86400</s:f>
        <s:v>46247.38674768519</s:v>
      </s:c>
    </s:row>
    <s:row r="244">
      <s:c r="A244" s="0" t="n">
        <s:v>260813</s:v>
      </s:c>
      <s:c r="B244" s="0" t="inlineStr">
        <s:is>
          <s:t>이종훈</s:t>
        </s:is>
      </s:c>
      <s:c r="C244" s="0" t="n">
        <s:v>91255</s:v>
      </s:c>
      <s:c r="D244" s="0" t="n">
        <s:v>4381</s:v>
      </s:c>
      <s:c r="E244" s="0" t="n">
        <s:v>24.399</s:v>
      </s:c>
      <s:c r="F244" s="24">
        <s:f>'자료구성'!$B$2+TIME(INT($C$3/10000),INT(MOD($C$3,10000)/100),MOD($C$3,100))+(ROW()-ROW($C$3))/86400</s:f>
        <s:v>46247.38675925926</s:v>
      </s:c>
    </s:row>
    <s:row r="245">
      <s:c r="A245" s="0" t="n">
        <s:v>260813</s:v>
      </s:c>
      <s:c r="B245" s="0" t="inlineStr">
        <s:is>
          <s:t>이종훈</s:t>
        </s:is>
      </s:c>
      <s:c r="C245" s="0" t="n">
        <s:v>91255</s:v>
      </s:c>
      <s:c r="D245" s="0" t="n">
        <s:v>4450</s:v>
      </s:c>
      <s:c r="E245" s="0" t="n">
        <s:v>24.399</s:v>
      </s:c>
      <s:c r="F245" s="24">
        <s:f>'자료구성'!$B$2+TIME(INT($C$3/10000),INT(MOD($C$3,10000)/100),MOD($C$3,100))+(ROW()-ROW($C$3))/86400</s:f>
        <s:v>46247.386770833335</s:v>
      </s:c>
    </s:row>
    <s:row r="246">
      <s:c r="A246" s="0" t="n">
        <s:v>260813</s:v>
      </s:c>
      <s:c r="B246" s="0" t="inlineStr">
        <s:is>
          <s:t>이종훈</s:t>
        </s:is>
      </s:c>
      <s:c r="C246" s="0" t="n">
        <s:v>91255</s:v>
      </s:c>
      <s:c r="D246" s="0" t="n">
        <s:v>4362</s:v>
      </s:c>
      <s:c r="E246" s="0" t="n">
        <s:v>24.399</s:v>
      </s:c>
      <s:c r="F246" s="24">
        <s:f>'자료구성'!$B$2+TIME(INT($C$3/10000),INT(MOD($C$3,10000)/100),MOD($C$3,100))+(ROW()-ROW($C$3))/86400</s:f>
        <s:v>46247.386782407404</s:v>
      </s:c>
    </s:row>
    <s:row r="247">
      <s:c r="A247" s="0" t="n">
        <s:v>260813</s:v>
      </s:c>
      <s:c r="B247" s="0" t="inlineStr">
        <s:is>
          <s:t>이종훈</s:t>
        </s:is>
      </s:c>
      <s:c r="C247" s="0" t="n">
        <s:v>91255</s:v>
      </s:c>
      <s:c r="D247" s="0" t="n">
        <s:v>4293</s:v>
      </s:c>
      <s:c r="E247" s="0" t="n">
        <s:v>24.399</s:v>
      </s:c>
      <s:c r="F247" s="24">
        <s:f>'자료구성'!$B$2+TIME(INT($C$3/10000),INT(MOD($C$3,10000)/100),MOD($C$3,100))+(ROW()-ROW($C$3))/86400</s:f>
        <s:v>46247.38679398148</s:v>
      </s:c>
    </s:row>
    <s:row r="248">
      <s:c r="A248" s="0" t="n">
        <s:v>260813</s:v>
      </s:c>
      <s:c r="B248" s="0" t="inlineStr">
        <s:is>
          <s:t>이종훈</s:t>
        </s:is>
      </s:c>
      <s:c r="C248" s="0" t="n">
        <s:v>91255</s:v>
      </s:c>
      <s:c r="D248" s="0" t="n">
        <s:v>4166</s:v>
      </s:c>
      <s:c r="E248" s="0" t="n">
        <s:v>24.399</s:v>
      </s:c>
      <s:c r="F248" s="24">
        <s:f>'자료구성'!$B$2+TIME(INT($C$3/10000),INT(MOD($C$3,10000)/100),MOD($C$3,100))+(ROW()-ROW($C$3))/86400</s:f>
        <s:v>46247.38680555556</s:v>
      </s:c>
    </s:row>
    <s:row r="249">
      <s:c r="A249" s="0" t="n">
        <s:v>260813</s:v>
      </s:c>
      <s:c r="B249" s="0" t="inlineStr">
        <s:is>
          <s:t>이종훈</s:t>
        </s:is>
      </s:c>
      <s:c r="C249" s="0" t="n">
        <s:v>91255</s:v>
      </s:c>
      <s:c r="D249" s="0" t="n">
        <s:v>3995</s:v>
      </s:c>
      <s:c r="E249" s="0" t="n">
        <s:v>24.399</s:v>
      </s:c>
      <s:c r="F249" s="24">
        <s:f>'자료구성'!$B$2+TIME(INT($C$3/10000),INT(MOD($C$3,10000)/100),MOD($C$3,100))+(ROW()-ROW($C$3))/86400</s:f>
        <s:v>46247.38681712963</s:v>
      </s:c>
    </s:row>
    <s:row r="250">
      <s:c r="A250" s="0" t="n">
        <s:v>260813</s:v>
      </s:c>
      <s:c r="B250" s="0" t="inlineStr">
        <s:is>
          <s:t>이종훈</s:t>
        </s:is>
      </s:c>
      <s:c r="C250" s="0" t="n">
        <s:v>91255</s:v>
      </s:c>
      <s:c r="D250" s="0" t="n">
        <s:v>3807</s:v>
      </s:c>
      <s:c r="E250" s="0" t="n">
        <s:v>24.399</s:v>
      </s:c>
      <s:c r="F250" s="24">
        <s:f>'자료구성'!$B$2+TIME(INT($C$3/10000),INT(MOD($C$3,10000)/100),MOD($C$3,100))+(ROW()-ROW($C$3))/86400</s:f>
        <s:v>46247.386828703704</s:v>
      </s:c>
    </s:row>
    <s:row r="251">
      <s:c r="A251" s="0" t="n">
        <s:v>260813</s:v>
      </s:c>
      <s:c r="B251" s="0" t="inlineStr">
        <s:is>
          <s:t>이종훈</s:t>
        </s:is>
      </s:c>
      <s:c r="C251" s="0" t="n">
        <s:v>91255</s:v>
      </s:c>
      <s:c r="D251" s="0" t="n">
        <s:v>3652</s:v>
      </s:c>
      <s:c r="E251" s="0" t="n">
        <s:v>24.399</s:v>
      </s:c>
      <s:c r="F251" s="24">
        <s:f>'자료구성'!$B$2+TIME(INT($C$3/10000),INT(MOD($C$3,10000)/100),MOD($C$3,100))+(ROW()-ROW($C$3))/86400</s:f>
        <s:v>46247.38684027778</s:v>
      </s:c>
    </s:row>
    <s:row r="252">
      <s:c r="A252" s="0" t="n">
        <s:v>260813</s:v>
      </s:c>
      <s:c r="B252" s="0" t="inlineStr">
        <s:is>
          <s:t>이종훈</s:t>
        </s:is>
      </s:c>
      <s:c r="C252" s="0" t="n">
        <s:v>91255</s:v>
      </s:c>
      <s:c r="D252" s="0" t="n">
        <s:v>3512</s:v>
      </s:c>
      <s:c r="E252" s="0" t="n">
        <s:v>24.399</s:v>
      </s:c>
      <s:c r="F252" s="24">
        <s:f>'자료구성'!$B$2+TIME(INT($C$3/10000),INT(MOD($C$3,10000)/100),MOD($C$3,100))+(ROW()-ROW($C$3))/86400</s:f>
        <s:v>46247.38685185185</s:v>
      </s:c>
    </s:row>
    <s:row r="253">
      <s:c r="A253" s="0" t="n">
        <s:v>260813</s:v>
      </s:c>
      <s:c r="B253" s="0" t="inlineStr">
        <s:is>
          <s:t>이종훈</s:t>
        </s:is>
      </s:c>
      <s:c r="C253" s="0" t="n">
        <s:v>91255</s:v>
      </s:c>
      <s:c r="D253" s="0" t="n">
        <s:v>3398</s:v>
      </s:c>
      <s:c r="E253" s="0" t="n">
        <s:v>24.399</s:v>
      </s:c>
      <s:c r="F253" s="24">
        <s:f>'자료구성'!$B$2+TIME(INT($C$3/10000),INT(MOD($C$3,10000)/100),MOD($C$3,100))+(ROW()-ROW($C$3))/86400</s:f>
        <s:v>46247.38686342593</s:v>
      </s:c>
    </s:row>
    <s:row r="254">
      <s:c r="A254" s="0" t="n">
        <s:v>260813</s:v>
      </s:c>
      <s:c r="B254" s="0" t="inlineStr">
        <s:is>
          <s:t>이종훈</s:t>
        </s:is>
      </s:c>
      <s:c r="C254" s="0" t="n">
        <s:v>91255</s:v>
      </s:c>
      <s:c r="D254" s="0" t="n">
        <s:v>3269</s:v>
      </s:c>
      <s:c r="E254" s="0" t="n">
        <s:v>24.399</s:v>
      </s:c>
      <s:c r="F254" s="24">
        <s:f>'자료구성'!$B$2+TIME(INT($C$3/10000),INT(MOD($C$3,10000)/100),MOD($C$3,100))+(ROW()-ROW($C$3))/86400</s:f>
        <s:v>46247.386875</s:v>
      </s:c>
    </s:row>
    <s:row r="255">
      <s:c r="A255" s="0" t="n">
        <s:v>260813</s:v>
      </s:c>
      <s:c r="B255" s="0" t="inlineStr">
        <s:is>
          <s:t>이종훈</s:t>
        </s:is>
      </s:c>
      <s:c r="C255" s="0" t="n">
        <s:v>91255</s:v>
      </s:c>
      <s:c r="D255" s="0" t="n">
        <s:v>3167</s:v>
      </s:c>
      <s:c r="E255" s="0" t="n">
        <s:v>24.399</s:v>
      </s:c>
      <s:c r="F255" s="24">
        <s:f>'자료구성'!$B$2+TIME(INT($C$3/10000),INT(MOD($C$3,10000)/100),MOD($C$3,100))+(ROW()-ROW($C$3))/86400</s:f>
        <s:v>46247.38688657407</s:v>
      </s:c>
    </s:row>
    <s:row r="256">
      <s:c r="A256" s="0" t="n">
        <s:v>260813</s:v>
      </s:c>
      <s:c r="B256" s="0" t="inlineStr">
        <s:is>
          <s:t>이종훈</s:t>
        </s:is>
      </s:c>
      <s:c r="C256" s="0" t="n">
        <s:v>91255</s:v>
      </s:c>
      <s:c r="D256" s="0" t="n">
        <s:v>3086</s:v>
      </s:c>
      <s:c r="E256" s="0" t="n">
        <s:v>24.399</s:v>
      </s:c>
      <s:c r="F256" s="24">
        <s:f>'자료구성'!$B$2+TIME(INT($C$3/10000),INT(MOD($C$3,10000)/100),MOD($C$3,100))+(ROW()-ROW($C$3))/86400</s:f>
        <s:v>46247.38689814815</s:v>
      </s:c>
    </s:row>
    <s:row r="257">
      <s:c r="A257" s="0" t="n">
        <s:v>260813</s:v>
      </s:c>
      <s:c r="B257" s="0" t="inlineStr">
        <s:is>
          <s:t>이종훈</s:t>
        </s:is>
      </s:c>
      <s:c r="C257" s="0" t="n">
        <s:v>91255</s:v>
      </s:c>
      <s:c r="D257" s="0" t="n">
        <s:v>3021</s:v>
      </s:c>
      <s:c r="E257" s="0" t="n">
        <s:v>24.399</s:v>
      </s:c>
      <s:c r="F257" s="24">
        <s:f>'자료구성'!$B$2+TIME(INT($C$3/10000),INT(MOD($C$3,10000)/100),MOD($C$3,100))+(ROW()-ROW($C$3))/86400</s:f>
        <s:v>46247.38690972222</s:v>
      </s:c>
    </s:row>
    <s:row r="258">
      <s:c r="A258" s="0" t="n">
        <s:v>260813</s:v>
      </s:c>
      <s:c r="B258" s="0" t="inlineStr">
        <s:is>
          <s:t>이종훈</s:t>
        </s:is>
      </s:c>
      <s:c r="C258" s="0" t="n">
        <s:v>91255</s:v>
      </s:c>
      <s:c r="D258" s="0" t="n">
        <s:v>2914</s:v>
      </s:c>
      <s:c r="E258" s="0" t="n">
        <s:v>24.399</s:v>
      </s:c>
      <s:c r="F258" s="24">
        <s:f>'자료구성'!$B$2+TIME(INT($C$3/10000),INT(MOD($C$3,10000)/100),MOD($C$3,100))+(ROW()-ROW($C$3))/86400</s:f>
        <s:v>46247.386921296296</s:v>
      </s:c>
    </s:row>
    <s:row r="259">
      <s:c r="A259" s="0" t="n">
        <s:v>260813</s:v>
      </s:c>
      <s:c r="B259" s="0" t="inlineStr">
        <s:is>
          <s:t>이종훈</s:t>
        </s:is>
      </s:c>
      <s:c r="C259" s="0" t="n">
        <s:v>91255</s:v>
      </s:c>
      <s:c r="D259" s="0" t="n">
        <s:v>2902</s:v>
      </s:c>
      <s:c r="E259" s="0" t="n">
        <s:v>24.399</s:v>
      </s:c>
      <s:c r="F259" s="24">
        <s:f>'자료구성'!$B$2+TIME(INT($C$3/10000),INT(MOD($C$3,10000)/100),MOD($C$3,100))+(ROW()-ROW($C$3))/86400</s:f>
        <s:v>46247.38693287037</s:v>
      </s:c>
    </s:row>
    <s:row r="260">
      <s:c r="A260" s="0" t="n">
        <s:v>260813</s:v>
      </s:c>
      <s:c r="B260" s="0" t="inlineStr">
        <s:is>
          <s:t>이종훈</s:t>
        </s:is>
      </s:c>
      <s:c r="C260" s="0" t="n">
        <s:v>91255</s:v>
      </s:c>
      <s:c r="D260" s="0" t="n">
        <s:v>2912</s:v>
      </s:c>
      <s:c r="E260" s="0" t="n">
        <s:v>24.399</s:v>
      </s:c>
      <s:c r="F260" s="24">
        <s:f>'자료구성'!$B$2+TIME(INT($C$3/10000),INT(MOD($C$3,10000)/100),MOD($C$3,100))+(ROW()-ROW($C$3))/86400</s:f>
        <s:v>46247.38694444444</s:v>
      </s:c>
    </s:row>
    <s:row r="261">
      <s:c r="A261" s="0" t="n">
        <s:v>260813</s:v>
      </s:c>
      <s:c r="B261" s="0" t="inlineStr">
        <s:is>
          <s:t>이종훈</s:t>
        </s:is>
      </s:c>
      <s:c r="C261" s="0" t="n">
        <s:v>91255</s:v>
      </s:c>
      <s:c r="D261" s="0" t="n">
        <s:v>2964</s:v>
      </s:c>
      <s:c r="E261" s="0" t="n">
        <s:v>24.399</s:v>
      </s:c>
      <s:c r="F261" s="24">
        <s:f>'자료구성'!$B$2+TIME(INT($C$3/10000),INT(MOD($C$3,10000)/100),MOD($C$3,100))+(ROW()-ROW($C$3))/86400</s:f>
        <s:v>46247.38695601852</s:v>
      </s:c>
    </s:row>
    <s:row r="262">
      <s:c r="A262" s="0" t="n">
        <s:v>260813</s:v>
      </s:c>
      <s:c r="B262" s="0" t="inlineStr">
        <s:is>
          <s:t>이종훈</s:t>
        </s:is>
      </s:c>
      <s:c r="C262" s="0" t="n">
        <s:v>91255</s:v>
      </s:c>
      <s:c r="D262" s="0" t="n">
        <s:v>3055</s:v>
      </s:c>
      <s:c r="E262" s="0" t="n">
        <s:v>24.399</s:v>
      </s:c>
      <s:c r="F262" s="24">
        <s:f>'자료구성'!$B$2+TIME(INT($C$3/10000),INT(MOD($C$3,10000)/100),MOD($C$3,100))+(ROW()-ROW($C$3))/86400</s:f>
        <s:v>46247.386967592596</s:v>
      </s:c>
    </s:row>
    <s:row r="263">
      <s:c r="A263" s="0" t="n">
        <s:v>260813</s:v>
      </s:c>
      <s:c r="B263" s="0" t="inlineStr">
        <s:is>
          <s:t>이종훈</s:t>
        </s:is>
      </s:c>
      <s:c r="C263" s="0" t="n">
        <s:v>91255</s:v>
      </s:c>
      <s:c r="D263" s="0" t="n">
        <s:v>3085</s:v>
      </s:c>
      <s:c r="E263" s="0" t="n">
        <s:v>24.399</s:v>
      </s:c>
      <s:c r="F263" s="24">
        <s:f>'자료구성'!$B$2+TIME(INT($C$3/10000),INT(MOD($C$3,10000)/100),MOD($C$3,100))+(ROW()-ROW($C$3))/86400</s:f>
        <s:v>46247.386979166666</s:v>
      </s:c>
    </s:row>
    <s:row r="264">
      <s:c r="A264" s="0" t="n">
        <s:v>260813</s:v>
      </s:c>
      <s:c r="B264" s="0" t="inlineStr">
        <s:is>
          <s:t>이종훈</s:t>
        </s:is>
      </s:c>
      <s:c r="C264" s="0" t="n">
        <s:v>91255</s:v>
      </s:c>
      <s:c r="D264" s="0" t="n">
        <s:v>3144</s:v>
      </s:c>
      <s:c r="E264" s="0" t="n">
        <s:v>24.399</s:v>
      </s:c>
      <s:c r="F264" s="24">
        <s:f>'자료구성'!$B$2+TIME(INT($C$3/10000),INT(MOD($C$3,10000)/100),MOD($C$3,100))+(ROW()-ROW($C$3))/86400</s:f>
        <s:v>46247.38699074074</s:v>
      </s:c>
    </s:row>
    <s:row r="265">
      <s:c r="A265" s="0" t="n">
        <s:v>260813</s:v>
      </s:c>
      <s:c r="B265" s="0" t="inlineStr">
        <s:is>
          <s:t>이종훈</s:t>
        </s:is>
      </s:c>
      <s:c r="C265" s="0" t="n">
        <s:v>91255</s:v>
      </s:c>
      <s:c r="D265" s="0" t="n">
        <s:v>3183</s:v>
      </s:c>
      <s:c r="E265" s="0" t="n">
        <s:v>24.399</s:v>
      </s:c>
      <s:c r="F265" s="24">
        <s:f>'자료구성'!$B$2+TIME(INT($C$3/10000),INT(MOD($C$3,10000)/100),MOD($C$3,100))+(ROW()-ROW($C$3))/86400</s:f>
        <s:v>46247.38700231481</s:v>
      </s:c>
    </s:row>
    <s:row r="266">
      <s:c r="A266" s="0" t="n">
        <s:v>260813</s:v>
      </s:c>
      <s:c r="B266" s="0" t="inlineStr">
        <s:is>
          <s:t>이종훈</s:t>
        </s:is>
      </s:c>
      <s:c r="C266" s="0" t="n">
        <s:v>91255</s:v>
      </s:c>
      <s:c r="D266" s="0" t="n">
        <s:v>3242</s:v>
      </s:c>
      <s:c r="E266" s="0" t="n">
        <s:v>24.399</s:v>
      </s:c>
      <s:c r="F266" s="24">
        <s:f>'자료구성'!$B$2+TIME(INT($C$3/10000),INT(MOD($C$3,10000)/100),MOD($C$3,100))+(ROW()-ROW($C$3))/86400</s:f>
        <s:v>46247.38701388889</s:v>
      </s:c>
    </s:row>
    <s:row r="267">
      <s:c r="A267" s="0" t="n">
        <s:v>260813</s:v>
      </s:c>
      <s:c r="B267" s="0" t="inlineStr">
        <s:is>
          <s:t>이종훈</s:t>
        </s:is>
      </s:c>
      <s:c r="C267" s="0" t="n">
        <s:v>91255</s:v>
      </s:c>
      <s:c r="D267" s="0" t="n">
        <s:v>3317</s:v>
      </s:c>
      <s:c r="E267" s="0" t="n">
        <s:v>24.399</s:v>
      </s:c>
      <s:c r="F267" s="24">
        <s:f>'자료구성'!$B$2+TIME(INT($C$3/10000),INT(MOD($C$3,10000)/100),MOD($C$3,100))+(ROW()-ROW($C$3))/86400</s:f>
        <s:v>46247.387025462966</s:v>
      </s:c>
    </s:row>
    <s:row r="268">
      <s:c r="A268" s="0" t="n">
        <s:v>260813</s:v>
      </s:c>
      <s:c r="B268" s="0" t="inlineStr">
        <s:is>
          <s:t>이종훈</s:t>
        </s:is>
      </s:c>
      <s:c r="C268" s="0" t="n">
        <s:v>91255</s:v>
      </s:c>
      <s:c r="D268" s="0" t="n">
        <s:v>3415</s:v>
      </s:c>
      <s:c r="E268" s="0" t="n">
        <s:v>24.399</s:v>
      </s:c>
      <s:c r="F268" s="24">
        <s:f>'자료구성'!$B$2+TIME(INT($C$3/10000),INT(MOD($C$3,10000)/100),MOD($C$3,100))+(ROW()-ROW($C$3))/86400</s:f>
        <s:v>46247.387037037035</s:v>
      </s:c>
    </s:row>
    <s:row r="269">
      <s:c r="A269" s="0" t="n">
        <s:v>260813</s:v>
      </s:c>
      <s:c r="B269" s="0" t="inlineStr">
        <s:is>
          <s:t>이종훈</s:t>
        </s:is>
      </s:c>
      <s:c r="C269" s="0" t="n">
        <s:v>91255</s:v>
      </s:c>
      <s:c r="D269" s="0" t="n">
        <s:v>3528</s:v>
      </s:c>
      <s:c r="E269" s="0" t="n">
        <s:v>24.399</s:v>
      </s:c>
      <s:c r="F269" s="24">
        <s:f>'자료구성'!$B$2+TIME(INT($C$3/10000),INT(MOD($C$3,10000)/100),MOD($C$3,100))+(ROW()-ROW($C$3))/86400</s:f>
        <s:v>46247.38704861111</s:v>
      </s:c>
    </s:row>
    <s:row r="270">
      <s:c r="A270" s="0" t="n">
        <s:v>260813</s:v>
      </s:c>
      <s:c r="B270" s="0" t="inlineStr">
        <s:is>
          <s:t>이종훈</s:t>
        </s:is>
      </s:c>
      <s:c r="C270" s="0" t="n">
        <s:v>91255</s:v>
      </s:c>
      <s:c r="D270" s="0" t="n">
        <s:v>3668</s:v>
      </s:c>
      <s:c r="E270" s="0" t="n">
        <s:v>24.399</s:v>
      </s:c>
      <s:c r="F270" s="24">
        <s:f>'자료구성'!$B$2+TIME(INT($C$3/10000),INT(MOD($C$3,10000)/100),MOD($C$3,100))+(ROW()-ROW($C$3))/86400</s:f>
        <s:v>46247.38706018519</s:v>
      </s:c>
    </s:row>
    <s:row r="271">
      <s:c r="A271" s="0" t="n">
        <s:v>260813</s:v>
      </s:c>
      <s:c r="B271" s="0" t="inlineStr">
        <s:is>
          <s:t>이종훈</s:t>
        </s:is>
      </s:c>
      <s:c r="C271" s="0" t="n">
        <s:v>91255</s:v>
      </s:c>
      <s:c r="D271" s="0" t="n">
        <s:v>3826</s:v>
      </s:c>
      <s:c r="E271" s="0" t="n">
        <s:v>24.399</s:v>
      </s:c>
      <s:c r="F271" s="24">
        <s:f>'자료구성'!$B$2+TIME(INT($C$3/10000),INT(MOD($C$3,10000)/100),MOD($C$3,100))+(ROW()-ROW($C$3))/86400</s:f>
        <s:v>46247.38707175926</s:v>
      </s:c>
    </s:row>
    <s:row r="272">
      <s:c r="A272" s="0" t="n">
        <s:v>260813</s:v>
      </s:c>
      <s:c r="B272" s="0" t="inlineStr">
        <s:is>
          <s:t>이종훈</s:t>
        </s:is>
      </s:c>
      <s:c r="C272" s="0" t="n">
        <s:v>91255</s:v>
      </s:c>
      <s:c r="D272" s="0" t="n">
        <s:v>3944</s:v>
      </s:c>
      <s:c r="E272" s="0" t="n">
        <s:v>24.399</s:v>
      </s:c>
      <s:c r="F272" s="24">
        <s:f>'자료구성'!$B$2+TIME(INT($C$3/10000),INT(MOD($C$3,10000)/100),MOD($C$3,100))+(ROW()-ROW($C$3))/86400</s:f>
        <s:v>46247.387083333335</s:v>
      </s:c>
    </s:row>
    <s:row r="273">
      <s:c r="A273" s="0" t="n">
        <s:v>260813</s:v>
      </s:c>
      <s:c r="B273" s="0" t="inlineStr">
        <s:is>
          <s:t>이종훈</s:t>
        </s:is>
      </s:c>
      <s:c r="C273" s="0" t="n">
        <s:v>91255</s:v>
      </s:c>
      <s:c r="D273" s="0" t="n">
        <s:v>4019</s:v>
      </s:c>
      <s:c r="E273" s="0" t="n">
        <s:v>24.399</s:v>
      </s:c>
      <s:c r="F273" s="24">
        <s:f>'자료구성'!$B$2+TIME(INT($C$3/10000),INT(MOD($C$3,10000)/100),MOD($C$3,100))+(ROW()-ROW($C$3))/86400</s:f>
        <s:v>46247.387094907404</s:v>
      </s:c>
    </s:row>
    <s:row r="274">
      <s:c r="A274" s="0" t="n">
        <s:v>260813</s:v>
      </s:c>
      <s:c r="B274" s="0" t="inlineStr">
        <s:is>
          <s:t>이종훈</s:t>
        </s:is>
      </s:c>
      <s:c r="C274" s="0" t="n">
        <s:v>91255</s:v>
      </s:c>
      <s:c r="D274" s="0" t="n">
        <s:v>4183</s:v>
      </s:c>
      <s:c r="E274" s="0" t="n">
        <s:v>24.399</s:v>
      </s:c>
      <s:c r="F274" s="24">
        <s:f>'자료구성'!$B$2+TIME(INT($C$3/10000),INT(MOD($C$3,10000)/100),MOD($C$3,100))+(ROW()-ROW($C$3))/86400</s:f>
        <s:v>46247.38710648148</s:v>
      </s:c>
    </s:row>
    <s:row r="275">
      <s:c r="A275" s="0" t="n">
        <s:v>260813</s:v>
      </s:c>
      <s:c r="B275" s="0" t="inlineStr">
        <s:is>
          <s:t>이종훈</s:t>
        </s:is>
      </s:c>
      <s:c r="C275" s="0" t="n">
        <s:v>91255</s:v>
      </s:c>
      <s:c r="D275" s="0" t="n">
        <s:v>4525</s:v>
      </s:c>
      <s:c r="E275" s="0" t="n">
        <s:v>24.399</s:v>
      </s:c>
      <s:c r="F275" s="24">
        <s:f>'자료구성'!$B$2+TIME(INT($C$3/10000),INT(MOD($C$3,10000)/100),MOD($C$3,100))+(ROW()-ROW($C$3))/86400</s:f>
        <s:v>46247.38711805556</s:v>
      </s:c>
    </s:row>
    <s:row r="276">
      <s:c r="A276" s="0" t="n">
        <s:v>260813</s:v>
      </s:c>
      <s:c r="B276" s="0" t="inlineStr">
        <s:is>
          <s:t>이종훈</s:t>
        </s:is>
      </s:c>
      <s:c r="C276" s="0" t="n">
        <s:v>91255</s:v>
      </s:c>
      <s:c r="D276" s="0" t="n">
        <s:v>5138</s:v>
      </s:c>
      <s:c r="E276" s="0" t="n">
        <s:v>24.399</s:v>
      </s:c>
      <s:c r="F276" s="24">
        <s:f>'자료구성'!$B$2+TIME(INT($C$3/10000),INT(MOD($C$3,10000)/100),MOD($C$3,100))+(ROW()-ROW($C$3))/86400</s:f>
        <s:v>46247.38712962963</s:v>
      </s:c>
    </s:row>
    <s:row r="277">
      <s:c r="A277" s="0" t="n">
        <s:v>260813</s:v>
      </s:c>
      <s:c r="B277" s="0" t="inlineStr">
        <s:is>
          <s:t>이종훈</s:t>
        </s:is>
      </s:c>
      <s:c r="C277" s="0" t="n">
        <s:v>91255</s:v>
      </s:c>
      <s:c r="D277" s="0" t="n">
        <s:v>6025</s:v>
      </s:c>
      <s:c r="E277" s="0" t="n">
        <s:v>24.399</s:v>
      </s:c>
      <s:c r="F277" s="24">
        <s:f>'자료구성'!$B$2+TIME(INT($C$3/10000),INT(MOD($C$3,10000)/100),MOD($C$3,100))+(ROW()-ROW($C$3))/86400</s:f>
        <s:v>46247.387141203704</s:v>
      </s:c>
    </s:row>
    <s:row r="278">
      <s:c r="A278" s="0" t="n">
        <s:v>260813</s:v>
      </s:c>
      <s:c r="B278" s="0" t="inlineStr">
        <s:is>
          <s:t>이종훈</s:t>
        </s:is>
      </s:c>
      <s:c r="C278" s="0" t="n">
        <s:v>91255</s:v>
      </s:c>
      <s:c r="D278" s="0" t="n">
        <s:v>7037</s:v>
      </s:c>
      <s:c r="E278" s="0" t="n">
        <s:v>24.399</s:v>
      </s:c>
      <s:c r="F278" s="24">
        <s:f>'자료구성'!$B$2+TIME(INT($C$3/10000),INT(MOD($C$3,10000)/100),MOD($C$3,100))+(ROW()-ROW($C$3))/86400</s:f>
        <s:v>46247.38715277778</s:v>
      </s:c>
    </s:row>
    <s:row r="279">
      <s:c r="A279" s="0" t="n">
        <s:v>260813</s:v>
      </s:c>
      <s:c r="B279" s="0" t="inlineStr">
        <s:is>
          <s:t>이종훈</s:t>
        </s:is>
      </s:c>
      <s:c r="C279" s="0" t="n">
        <s:v>91255</s:v>
      </s:c>
      <s:c r="D279" s="0" t="n">
        <s:v>7550</s:v>
      </s:c>
      <s:c r="E279" s="0" t="n">
        <s:v>24.399</s:v>
      </s:c>
      <s:c r="F279" s="24">
        <s:f>'자료구성'!$B$2+TIME(INT($C$3/10000),INT(MOD($C$3,10000)/100),MOD($C$3,100))+(ROW()-ROW($C$3))/86400</s:f>
        <s:v>46247.38716435185</s:v>
      </s:c>
    </s:row>
    <s:row r="280">
      <s:c r="A280" s="0" t="n">
        <s:v>260813</s:v>
      </s:c>
      <s:c r="B280" s="0" t="inlineStr">
        <s:is>
          <s:t>이종훈</s:t>
        </s:is>
      </s:c>
      <s:c r="C280" s="0" t="n">
        <s:v>91255</s:v>
      </s:c>
      <s:c r="D280" s="0" t="n">
        <s:v>7738</s:v>
      </s:c>
      <s:c r="E280" s="0" t="n">
        <s:v>24.399</s:v>
      </s:c>
      <s:c r="F280" s="24">
        <s:f>'자료구성'!$B$2+TIME(INT($C$3/10000),INT(MOD($C$3,10000)/100),MOD($C$3,100))+(ROW()-ROW($C$3))/86400</s:f>
        <s:v>46247.38717592593</s:v>
      </s:c>
    </s:row>
    <s:row r="281">
      <s:c r="A281" s="0" t="n">
        <s:v>260813</s:v>
      </s:c>
      <s:c r="B281" s="0" t="inlineStr">
        <s:is>
          <s:t>이종훈</s:t>
        </s:is>
      </s:c>
      <s:c r="C281" s="0" t="n">
        <s:v>91255</s:v>
      </s:c>
      <s:c r="D281" s="0" t="n">
        <s:v>8023</s:v>
      </s:c>
      <s:c r="E281" s="0" t="n">
        <s:v>24.399</s:v>
      </s:c>
      <s:c r="F281" s="24">
        <s:f>'자료구성'!$B$2+TIME(INT($C$3/10000),INT(MOD($C$3,10000)/100),MOD($C$3,100))+(ROW()-ROW($C$3))/86400</s:f>
        <s:v>46247.3871875</s:v>
      </s:c>
    </s:row>
    <s:row r="282">
      <s:c r="A282" s="0" t="n">
        <s:v>260813</s:v>
      </s:c>
      <s:c r="B282" s="0" t="inlineStr">
        <s:is>
          <s:t>이종훈</s:t>
        </s:is>
      </s:c>
      <s:c r="C282" s="0" t="n">
        <s:v>91255</s:v>
      </s:c>
      <s:c r="D282" s="0" t="n">
        <s:v>8516</s:v>
      </s:c>
      <s:c r="E282" s="0" t="n">
        <s:v>24.399</s:v>
      </s:c>
      <s:c r="F282" s="24">
        <s:f>'자료구성'!$B$2+TIME(INT($C$3/10000),INT(MOD($C$3,10000)/100),MOD($C$3,100))+(ROW()-ROW($C$3))/86400</s:f>
        <s:v>46247.38719907407</s:v>
      </s:c>
    </s:row>
    <s:row r="283">
      <s:c r="A283" s="0" t="n">
        <s:v>260813</s:v>
      </s:c>
      <s:c r="B283" s="0" t="inlineStr">
        <s:is>
          <s:t>이종훈</s:t>
        </s:is>
      </s:c>
      <s:c r="C283" s="0" t="n">
        <s:v>91255</s:v>
      </s:c>
      <s:c r="D283" s="0" t="n">
        <s:v>8645</s:v>
      </s:c>
      <s:c r="E283" s="0" t="n">
        <s:v>24.399</s:v>
      </s:c>
      <s:c r="F283" s="24">
        <s:f>'자료구성'!$B$2+TIME(INT($C$3/10000),INT(MOD($C$3,10000)/100),MOD($C$3,100))+(ROW()-ROW($C$3))/86400</s:f>
        <s:v>46247.38721064815</s:v>
      </s:c>
    </s:row>
    <s:row r="284">
      <s:c r="A284" s="0" t="n">
        <s:v>260813</s:v>
      </s:c>
      <s:c r="B284" s="0" t="inlineStr">
        <s:is>
          <s:t>이종훈</s:t>
        </s:is>
      </s:c>
      <s:c r="C284" s="0" t="n">
        <s:v>91255</s:v>
      </s:c>
      <s:c r="D284" s="0" t="n">
        <s:v>8645</s:v>
      </s:c>
      <s:c r="E284" s="0" t="n">
        <s:v>24.399</s:v>
      </s:c>
      <s:c r="F284" s="24">
        <s:f>'자료구성'!$B$2+TIME(INT($C$3/10000),INT(MOD($C$3,10000)/100),MOD($C$3,100))+(ROW()-ROW($C$3))/86400</s:f>
        <s:v>46247.38722222222</s:v>
      </s:c>
    </s:row>
    <s:row r="285">
      <s:c r="A285" s="0" t="n">
        <s:v>260813</s:v>
      </s:c>
      <s:c r="B285" s="0" t="inlineStr">
        <s:is>
          <s:t>이종훈</s:t>
        </s:is>
      </s:c>
      <s:c r="C285" s="0" t="n">
        <s:v>91255</s:v>
      </s:c>
      <s:c r="D285" s="0" t="n">
        <s:v>8645</s:v>
      </s:c>
      <s:c r="E285" s="0" t="n">
        <s:v>24.399</s:v>
      </s:c>
      <s:c r="F285" s="24">
        <s:f>'자료구성'!$B$2+TIME(INT($C$3/10000),INT(MOD($C$3,10000)/100),MOD($C$3,100))+(ROW()-ROW($C$3))/86400</s:f>
        <s:v>46247.3872337963</s:v>
      </s:c>
    </s:row>
    <s:row r="286">
      <s:c r="A286" s="0" t="n">
        <s:v>260813</s:v>
      </s:c>
      <s:c r="B286" s="0" t="inlineStr">
        <s:is>
          <s:t>이종훈</s:t>
        </s:is>
      </s:c>
      <s:c r="C286" s="0" t="n">
        <s:v>91255</s:v>
      </s:c>
      <s:c r="D286" s="0" t="n">
        <s:v>8645</s:v>
      </s:c>
      <s:c r="E286" s="0" t="n">
        <s:v>24.399</s:v>
      </s:c>
      <s:c r="F286" s="24">
        <s:f>'자료구성'!$B$2+TIME(INT($C$3/10000),INT(MOD($C$3,10000)/100),MOD($C$3,100))+(ROW()-ROW($C$3))/86400</s:f>
        <s:v>46247.38724537037</s:v>
      </s:c>
    </s:row>
    <s:row r="287">
      <s:c r="A287" s="0" t="n">
        <s:v>260813</s:v>
      </s:c>
      <s:c r="B287" s="0" t="inlineStr">
        <s:is>
          <s:t>이종훈</s:t>
        </s:is>
      </s:c>
      <s:c r="C287" s="0" t="n">
        <s:v>91255</s:v>
      </s:c>
      <s:c r="D287" s="0" t="n">
        <s:v>8645</s:v>
      </s:c>
      <s:c r="E287" s="0" t="n">
        <s:v>24.399</s:v>
      </s:c>
      <s:c r="F287" s="24">
        <s:f>'자료구성'!$B$2+TIME(INT($C$3/10000),INT(MOD($C$3,10000)/100),MOD($C$3,100))+(ROW()-ROW($C$3))/86400</s:f>
        <s:v>46247.38725694444</s:v>
      </s:c>
    </s:row>
    <s:row r="288">
      <s:c r="A288" s="0" t="n">
        <s:v>260813</s:v>
      </s:c>
      <s:c r="B288" s="0" t="inlineStr">
        <s:is>
          <s:t>이종훈</s:t>
        </s:is>
      </s:c>
      <s:c r="C288" s="0" t="n">
        <s:v>91255</s:v>
      </s:c>
      <s:c r="D288" s="0" t="n">
        <s:v>8645</s:v>
      </s:c>
      <s:c r="E288" s="0" t="n">
        <s:v>24.399</s:v>
      </s:c>
      <s:c r="F288" s="24">
        <s:f>'자료구성'!$B$2+TIME(INT($C$3/10000),INT(MOD($C$3,10000)/100),MOD($C$3,100))+(ROW()-ROW($C$3))/86400</s:f>
        <s:v>46247.38726851852</s:v>
      </s:c>
    </s:row>
    <s:row r="289">
      <s:c r="A289" s="0" t="n">
        <s:v>260813</s:v>
      </s:c>
      <s:c r="B289" s="0" t="inlineStr">
        <s:is>
          <s:t>이종훈</s:t>
        </s:is>
      </s:c>
      <s:c r="C289" s="0" t="n">
        <s:v>91255</s:v>
      </s:c>
      <s:c r="D289" s="0" t="n">
        <s:v>8645</s:v>
      </s:c>
      <s:c r="E289" s="0" t="n">
        <s:v>24.399</s:v>
      </s:c>
      <s:c r="F289" s="24">
        <s:f>'자료구성'!$B$2+TIME(INT($C$3/10000),INT(MOD($C$3,10000)/100),MOD($C$3,100))+(ROW()-ROW($C$3))/86400</s:f>
        <s:v>46247.38728009259</s:v>
      </s:c>
    </s:row>
    <s:row r="290">
      <s:c r="A290" s="0" t="n">
        <s:v>260813</s:v>
      </s:c>
      <s:c r="B290" s="0" t="inlineStr">
        <s:is>
          <s:t>이종훈</s:t>
        </s:is>
      </s:c>
      <s:c r="C290" s="0" t="n">
        <s:v>91255</s:v>
      </s:c>
      <s:c r="D290" s="0" t="n">
        <s:v>8645</s:v>
      </s:c>
      <s:c r="E290" s="0" t="n">
        <s:v>24.399</s:v>
      </s:c>
      <s:c r="F290" s="24">
        <s:f>'자료구성'!$B$2+TIME(INT($C$3/10000),INT(MOD($C$3,10000)/100),MOD($C$3,100))+(ROW()-ROW($C$3))/86400</s:f>
        <s:v>46247.387291666666</s:v>
      </s:c>
    </s:row>
    <s:row r="291">
      <s:c r="A291" s="0" t="n">
        <s:v>260813</s:v>
      </s:c>
      <s:c r="B291" s="0" t="inlineStr">
        <s:is>
          <s:t>이종훈</s:t>
        </s:is>
      </s:c>
      <s:c r="C291" s="0" t="n">
        <s:v>91255</s:v>
      </s:c>
      <s:c r="D291" s="0" t="n">
        <s:v>8645</s:v>
      </s:c>
      <s:c r="E291" s="0" t="n">
        <s:v>24.399</s:v>
      </s:c>
      <s:c r="F291" s="24">
        <s:f>'자료구성'!$B$2+TIME(INT($C$3/10000),INT(MOD($C$3,10000)/100),MOD($C$3,100))+(ROW()-ROW($C$3))/86400</s:f>
        <s:v>46247.38730324074</s:v>
      </s:c>
    </s:row>
    <s:row r="292">
      <s:c r="A292" s="0" t="n">
        <s:v>260813</s:v>
      </s:c>
      <s:c r="B292" s="0" t="inlineStr">
        <s:is>
          <s:t>이종훈</s:t>
        </s:is>
      </s:c>
      <s:c r="C292" s="0" t="n">
        <s:v>91255</s:v>
      </s:c>
      <s:c r="D292" s="0" t="n">
        <s:v>8645</s:v>
      </s:c>
      <s:c r="E292" s="0" t="n">
        <s:v>24.399</s:v>
      </s:c>
      <s:c r="F292" s="24">
        <s:f>'자료구성'!$B$2+TIME(INT($C$3/10000),INT(MOD($C$3,10000)/100),MOD($C$3,100))+(ROW()-ROW($C$3))/86400</s:f>
        <s:v>46247.38731481481</s:v>
      </s:c>
    </s:row>
    <s:row r="293">
      <s:c r="A293" s="0" t="n">
        <s:v>260813</s:v>
      </s:c>
      <s:c r="B293" s="0" t="inlineStr">
        <s:is>
          <s:t>이종훈</s:t>
        </s:is>
      </s:c>
      <s:c r="C293" s="0" t="n">
        <s:v>91255</s:v>
      </s:c>
      <s:c r="D293" s="0" t="n">
        <s:v>8644</s:v>
      </s:c>
      <s:c r="E293" s="0" t="n">
        <s:v>24.399</s:v>
      </s:c>
      <s:c r="F293" s="24">
        <s:f>'자료구성'!$B$2+TIME(INT($C$3/10000),INT(MOD($C$3,10000)/100),MOD($C$3,100))+(ROW()-ROW($C$3))/86400</s:f>
        <s:v>46247.38732638889</s:v>
      </s:c>
    </s:row>
    <s:row r="294">
      <s:c r="A294" s="0" t="n">
        <s:v>260813</s:v>
      </s:c>
      <s:c r="B294" s="0" t="inlineStr">
        <s:is>
          <s:t>이종훈</s:t>
        </s:is>
      </s:c>
      <s:c r="C294" s="0" t="n">
        <s:v>91255</s:v>
      </s:c>
      <s:c r="D294" s="0" t="n">
        <s:v>8645</s:v>
      </s:c>
      <s:c r="E294" s="0" t="n">
        <s:v>24.399</s:v>
      </s:c>
      <s:c r="F294" s="24">
        <s:f>'자료구성'!$B$2+TIME(INT($C$3/10000),INT(MOD($C$3,10000)/100),MOD($C$3,100))+(ROW()-ROW($C$3))/86400</s:f>
        <s:v>46247.387337962966</s:v>
      </s:c>
    </s:row>
    <s:row r="295">
      <s:c r="A295" s="0" t="n">
        <s:v>260813</s:v>
      </s:c>
      <s:c r="B295" s="0" t="inlineStr">
        <s:is>
          <s:t>이종훈</s:t>
        </s:is>
      </s:c>
      <s:c r="C295" s="0" t="n">
        <s:v>91255</s:v>
      </s:c>
      <s:c r="D295" s="0" t="n">
        <s:v>8514</s:v>
      </s:c>
      <s:c r="E295" s="0" t="n">
        <s:v>24.399</s:v>
      </s:c>
      <s:c r="F295" s="24">
        <s:f>'자료구성'!$B$2+TIME(INT($C$3/10000),INT(MOD($C$3,10000)/100),MOD($C$3,100))+(ROW()-ROW($C$3))/86400</s:f>
        <s:v>46247.387349537035</s:v>
      </s:c>
    </s:row>
    <s:row r="296">
      <s:c r="A296" s="0" t="n">
        <s:v>260813</s:v>
      </s:c>
      <s:c r="B296" s="0" t="inlineStr">
        <s:is>
          <s:t>이종훈</s:t>
        </s:is>
      </s:c>
      <s:c r="C296" s="0" t="n">
        <s:v>91255</s:v>
      </s:c>
      <s:c r="D296" s="0" t="n">
        <s:v>8237</s:v>
      </s:c>
      <s:c r="E296" s="0" t="n">
        <s:v>24.399</s:v>
      </s:c>
      <s:c r="F296" s="24">
        <s:f>'자료구성'!$B$2+TIME(INT($C$3/10000),INT(MOD($C$3,10000)/100),MOD($C$3,100))+(ROW()-ROW($C$3))/86400</s:f>
        <s:v>46247.38736111111</s:v>
      </s:c>
    </s:row>
    <s:row r="297">
      <s:c r="A297" s="0" t="n">
        <s:v>260813</s:v>
      </s:c>
      <s:c r="B297" s="0" t="inlineStr">
        <s:is>
          <s:t>이종훈</s:t>
        </s:is>
      </s:c>
      <s:c r="C297" s="0" t="n">
        <s:v>91255</s:v>
      </s:c>
      <s:c r="D297" s="0" t="n">
        <s:v>8022</s:v>
      </s:c>
      <s:c r="E297" s="0" t="n">
        <s:v>24.399</s:v>
      </s:c>
      <s:c r="F297" s="24">
        <s:f>'자료구성'!$B$2+TIME(INT($C$3/10000),INT(MOD($C$3,10000)/100),MOD($C$3,100))+(ROW()-ROW($C$3))/86400</s:f>
        <s:v>46247.38737268518</s:v>
      </s:c>
    </s:row>
    <s:row r="298">
      <s:c r="A298" s="0" t="n">
        <s:v>260813</s:v>
      </s:c>
      <s:c r="B298" s="0" t="inlineStr">
        <s:is>
          <s:t>이종훈</s:t>
        </s:is>
      </s:c>
      <s:c r="C298" s="0" t="n">
        <s:v>91255</s:v>
      </s:c>
      <s:c r="D298" s="0" t="n">
        <s:v>7847</s:v>
      </s:c>
      <s:c r="E298" s="0" t="n">
        <s:v>24.399</s:v>
      </s:c>
      <s:c r="F298" s="24">
        <s:f>'자료구성'!$B$2+TIME(INT($C$3/10000),INT(MOD($C$3,10000)/100),MOD($C$3,100))+(ROW()-ROW($C$3))/86400</s:f>
        <s:v>46247.38738425926</s:v>
      </s:c>
    </s:row>
    <s:row r="299">
      <s:c r="A299" s="0" t="n">
        <s:v>260813</s:v>
      </s:c>
      <s:c r="B299" s="0" t="inlineStr">
        <s:is>
          <s:t>이종훈</s:t>
        </s:is>
      </s:c>
      <s:c r="C299" s="0" t="n">
        <s:v>91255</s:v>
      </s:c>
      <s:c r="D299" s="0" t="n">
        <s:v>7771</s:v>
      </s:c>
      <s:c r="E299" s="0" t="n">
        <s:v>24.399</s:v>
      </s:c>
      <s:c r="F299" s="24">
        <s:f>'자료구성'!$B$2+TIME(INT($C$3/10000),INT(MOD($C$3,10000)/100),MOD($C$3,100))+(ROW()-ROW($C$3))/86400</s:f>
        <s:v>46247.387395833335</s:v>
      </s:c>
    </s:row>
    <s:row r="300">
      <s:c r="A300" s="0" t="n">
        <s:v>260813</s:v>
      </s:c>
      <s:c r="B300" s="0" t="inlineStr">
        <s:is>
          <s:t>이종훈</s:t>
        </s:is>
      </s:c>
      <s:c r="C300" s="0" t="n">
        <s:v>91255</s:v>
      </s:c>
      <s:c r="D300" s="0" t="n">
        <s:v>7713</s:v>
      </s:c>
      <s:c r="E300" s="0" t="n">
        <s:v>24.399</s:v>
      </s:c>
      <s:c r="F300" s="24">
        <s:f>'자료구성'!$B$2+TIME(INT($C$3/10000),INT(MOD($C$3,10000)/100),MOD($C$3,100))+(ROW()-ROW($C$3))/86400</s:f>
        <s:v>46247.387407407405</s:v>
      </s:c>
    </s:row>
    <s:row r="301">
      <s:c r="A301" s="0" t="n">
        <s:v>260813</s:v>
      </s:c>
      <s:c r="B301" s="0" t="inlineStr">
        <s:is>
          <s:t>이종훈</s:t>
        </s:is>
      </s:c>
      <s:c r="C301" s="0" t="n">
        <s:v>91255</s:v>
      </s:c>
      <s:c r="D301" s="0" t="n">
        <s:v>7497</s:v>
      </s:c>
      <s:c r="E301" s="0" t="n">
        <s:v>24.399</s:v>
      </s:c>
      <s:c r="F301" s="24">
        <s:f>'자료구성'!$B$2+TIME(INT($C$3/10000),INT(MOD($C$3,10000)/100),MOD($C$3,100))+(ROW()-ROW($C$3))/86400</s:f>
        <s:v>46247.38741898148</s:v>
      </s:c>
    </s:row>
    <s:row r="302">
      <s:c r="A302" s="0" t="n">
        <s:v>260813</s:v>
      </s:c>
      <s:c r="B302" s="0" t="inlineStr">
        <s:is>
          <s:t>이종훈</s:t>
        </s:is>
      </s:c>
      <s:c r="C302" s="0" t="n">
        <s:v>91255</s:v>
      </s:c>
      <s:c r="D302" s="0" t="n">
        <s:v>7419</s:v>
      </s:c>
      <s:c r="E302" s="0" t="n">
        <s:v>24.399</s:v>
      </s:c>
      <s:c r="F302" s="24">
        <s:f>'자료구성'!$B$2+TIME(INT($C$3/10000),INT(MOD($C$3,10000)/100),MOD($C$3,100))+(ROW()-ROW($C$3))/86400</s:f>
        <s:v>46247.38743055556</s:v>
      </s:c>
    </s:row>
    <s:row r="303">
      <s:c r="A303" s="0" t="n">
        <s:v>260813</s:v>
      </s:c>
      <s:c r="B303" s="0" t="inlineStr">
        <s:is>
          <s:t>이종훈</s:t>
        </s:is>
      </s:c>
      <s:c r="C303" s="0" t="n">
        <s:v>91255</s:v>
      </s:c>
      <s:c r="D303" s="0" t="n">
        <s:v>7451</s:v>
      </s:c>
      <s:c r="E303" s="0" t="n">
        <s:v>24.399</s:v>
      </s:c>
      <s:c r="F303" s="24">
        <s:f>'자료구성'!$B$2+TIME(INT($C$3/10000),INT(MOD($C$3,10000)/100),MOD($C$3,100))+(ROW()-ROW($C$3))/86400</s:f>
        <s:v>46247.38744212963</s:v>
      </s:c>
    </s:row>
    <s:row r="304">
      <s:c r="A304" s="0" t="n">
        <s:v>260813</s:v>
      </s:c>
      <s:c r="B304" s="0" t="inlineStr">
        <s:is>
          <s:t>이종훈</s:t>
        </s:is>
      </s:c>
      <s:c r="C304" s="0" t="n">
        <s:v>91255</s:v>
      </s:c>
      <s:c r="D304" s="0" t="n">
        <s:v>7503</s:v>
      </s:c>
      <s:c r="E304" s="0" t="n">
        <s:v>24.399</s:v>
      </s:c>
      <s:c r="F304" s="24">
        <s:f>'자료구성'!$B$2+TIME(INT($C$3/10000),INT(MOD($C$3,10000)/100),MOD($C$3,100))+(ROW()-ROW($C$3))/86400</s:f>
        <s:v>46247.387453703705</s:v>
      </s:c>
    </s:row>
    <s:row r="305">
      <s:c r="A305" s="0" t="n">
        <s:v>260813</s:v>
      </s:c>
      <s:c r="B305" s="0" t="inlineStr">
        <s:is>
          <s:t>이종훈</s:t>
        </s:is>
      </s:c>
      <s:c r="C305" s="0" t="n">
        <s:v>91255</s:v>
      </s:c>
      <s:c r="D305" s="0" t="n">
        <s:v>7504</s:v>
      </s:c>
      <s:c r="E305" s="0" t="n">
        <s:v>24.399</s:v>
      </s:c>
      <s:c r="F305" s="24">
        <s:f>'자료구성'!$B$2+TIME(INT($C$3/10000),INT(MOD($C$3,10000)/100),MOD($C$3,100))+(ROW()-ROW($C$3))/86400</s:f>
        <s:v>46247.38746527778</s:v>
      </s:c>
    </s:row>
    <s:row r="306">
      <s:c r="A306" s="0" t="n">
        <s:v>260813</s:v>
      </s:c>
      <s:c r="B306" s="0" t="inlineStr">
        <s:is>
          <s:t>이종훈</s:t>
        </s:is>
      </s:c>
      <s:c r="C306" s="0" t="n">
        <s:v>91255</s:v>
      </s:c>
      <s:c r="D306" s="0" t="n">
        <s:v>7584</s:v>
      </s:c>
      <s:c r="E306" s="0" t="n">
        <s:v>24.399</s:v>
      </s:c>
      <s:c r="F306" s="24">
        <s:f>'자료구성'!$B$2+TIME(INT($C$3/10000),INT(MOD($C$3,10000)/100),MOD($C$3,100))+(ROW()-ROW($C$3))/86400</s:f>
        <s:v>46247.38747685185</s:v>
      </s:c>
    </s:row>
    <s:row r="307">
      <s:c r="A307" s="0" t="n">
        <s:v>260813</s:v>
      </s:c>
      <s:c r="B307" s="0" t="inlineStr">
        <s:is>
          <s:t>이종훈</s:t>
        </s:is>
      </s:c>
      <s:c r="C307" s="0" t="n">
        <s:v>91255</s:v>
      </s:c>
      <s:c r="D307" s="0" t="n">
        <s:v>7766</s:v>
      </s:c>
      <s:c r="E307" s="0" t="n">
        <s:v>24.399</s:v>
      </s:c>
      <s:c r="F307" s="24">
        <s:f>'자료구성'!$B$2+TIME(INT($C$3/10000),INT(MOD($C$3,10000)/100),MOD($C$3,100))+(ROW()-ROW($C$3))/86400</s:f>
        <s:v>46247.38748842593</s:v>
      </s:c>
    </s:row>
    <s:row r="308">
      <s:c r="A308" s="0" t="n">
        <s:v>260813</s:v>
      </s:c>
      <s:c r="B308" s="0" t="inlineStr">
        <s:is>
          <s:t>이종훈</s:t>
        </s:is>
      </s:c>
      <s:c r="C308" s="0" t="n">
        <s:v>91255</s:v>
      </s:c>
      <s:c r="D308" s="0" t="n">
        <s:v>7771</s:v>
      </s:c>
      <s:c r="E308" s="0" t="n">
        <s:v>24.399</s:v>
      </s:c>
      <s:c r="F308" s="24">
        <s:f>'자료구성'!$B$2+TIME(INT($C$3/10000),INT(MOD($C$3,10000)/100),MOD($C$3,100))+(ROW()-ROW($C$3))/86400</s:f>
        <s:v>46247.3875</s:v>
      </s:c>
    </s:row>
    <s:row r="309">
      <s:c r="A309" s="0" t="n">
        <s:v>260813</s:v>
      </s:c>
      <s:c r="B309" s="0" t="inlineStr">
        <s:is>
          <s:t>이종훈</s:t>
        </s:is>
      </s:c>
      <s:c r="C309" s="0" t="n">
        <s:v>91255</s:v>
      </s:c>
      <s:c r="D309" s="0" t="n">
        <s:v>7814</s:v>
      </s:c>
      <s:c r="E309" s="0" t="n">
        <s:v>24.399</s:v>
      </s:c>
      <s:c r="F309" s="24">
        <s:f>'자료구성'!$B$2+TIME(INT($C$3/10000),INT(MOD($C$3,10000)/100),MOD($C$3,100))+(ROW()-ROW($C$3))/86400</s:f>
        <s:v>46247.387511574074</s:v>
      </s:c>
    </s:row>
    <s:row r="310">
      <s:c r="A310" s="0" t="n">
        <s:v>260813</s:v>
      </s:c>
      <s:c r="B310" s="0" t="inlineStr">
        <s:is>
          <s:t>이종훈</s:t>
        </s:is>
      </s:c>
      <s:c r="C310" s="0" t="n">
        <s:v>91255</s:v>
      </s:c>
      <s:c r="D310" s="0" t="n">
        <s:v>7873</s:v>
      </s:c>
      <s:c r="E310" s="0" t="n">
        <s:v>24.399</s:v>
      </s:c>
      <s:c r="F310" s="24">
        <s:f>'자료구성'!$B$2+TIME(INT($C$3/10000),INT(MOD($C$3,10000)/100),MOD($C$3,100))+(ROW()-ROW($C$3))/86400</s:f>
        <s:v>46247.38752314815</s:v>
      </s:c>
    </s:row>
    <s:row r="311">
      <s:c r="A311" s="0" t="n">
        <s:v>260813</s:v>
      </s:c>
      <s:c r="B311" s="0" t="inlineStr">
        <s:is>
          <s:t>이종훈</s:t>
        </s:is>
      </s:c>
      <s:c r="C311" s="0" t="n">
        <s:v>91255</s:v>
      </s:c>
      <s:c r="D311" s="0" t="n">
        <s:v>7859</s:v>
      </s:c>
      <s:c r="E311" s="0" t="n">
        <s:v>24.399</s:v>
      </s:c>
      <s:c r="F311" s="24">
        <s:f>'자료구성'!$B$2+TIME(INT($C$3/10000),INT(MOD($C$3,10000)/100),MOD($C$3,100))+(ROW()-ROW($C$3))/86400</s:f>
        <s:v>46247.38753472222</s:v>
      </s:c>
    </s:row>
    <s:row r="312">
      <s:c r="A312" s="0" t="n">
        <s:v>260813</s:v>
      </s:c>
      <s:c r="B312" s="0" t="inlineStr">
        <s:is>
          <s:t>이종훈</s:t>
        </s:is>
      </s:c>
      <s:c r="C312" s="0" t="n">
        <s:v>91255</s:v>
      </s:c>
      <s:c r="D312" s="0" t="n">
        <s:v>7756</s:v>
      </s:c>
      <s:c r="E312" s="0" t="n">
        <s:v>24.399</s:v>
      </s:c>
      <s:c r="F312" s="24">
        <s:f>'자료구성'!$B$2+TIME(INT($C$3/10000),INT(MOD($C$3,10000)/100),MOD($C$3,100))+(ROW()-ROW($C$3))/86400</s:f>
        <s:v>46247.3875462963</s:v>
      </s:c>
    </s:row>
    <s:row r="313">
      <s:c r="A313" s="0" t="n">
        <s:v>260813</s:v>
      </s:c>
      <s:c r="B313" s="0" t="inlineStr">
        <s:is>
          <s:t>이종훈</s:t>
        </s:is>
      </s:c>
      <s:c r="C313" s="0" t="n">
        <s:v>91255</s:v>
      </s:c>
      <s:c r="D313" s="0" t="n">
        <s:v>7744</s:v>
      </s:c>
      <s:c r="E313" s="0" t="n">
        <s:v>24.399</s:v>
      </s:c>
      <s:c r="F313" s="24">
        <s:f>'자료구성'!$B$2+TIME(INT($C$3/10000),INT(MOD($C$3,10000)/100),MOD($C$3,100))+(ROW()-ROW($C$3))/86400</s:f>
        <s:v>46247.387557870374</s:v>
      </s:c>
    </s:row>
    <s:row r="314">
      <s:c r="A314" s="0" t="n">
        <s:v>260813</s:v>
      </s:c>
      <s:c r="B314" s="0" t="inlineStr">
        <s:is>
          <s:t>이종훈</s:t>
        </s:is>
      </s:c>
      <s:c r="C314" s="0" t="n">
        <s:v>91255</s:v>
      </s:c>
      <s:c r="D314" s="0" t="n">
        <s:v>7741</s:v>
      </s:c>
      <s:c r="E314" s="0" t="n">
        <s:v>24.399</s:v>
      </s:c>
      <s:c r="F314" s="24">
        <s:f>'자료구성'!$B$2+TIME(INT($C$3/10000),INT(MOD($C$3,10000)/100),MOD($C$3,100))+(ROW()-ROW($C$3))/86400</s:f>
        <s:v>46247.38756944444</s:v>
      </s:c>
    </s:row>
    <s:row r="315">
      <s:c r="A315" s="0" t="n">
        <s:v>260813</s:v>
      </s:c>
      <s:c r="B315" s="0" t="inlineStr">
        <s:is>
          <s:t>이종훈</s:t>
        </s:is>
      </s:c>
      <s:c r="C315" s="0" t="n">
        <s:v>91255</s:v>
      </s:c>
      <s:c r="D315" s="0" t="n">
        <s:v>7763</s:v>
      </s:c>
      <s:c r="E315" s="0" t="n">
        <s:v>24.399</s:v>
      </s:c>
      <s:c r="F315" s="24">
        <s:f>'자료구성'!$B$2+TIME(INT($C$3/10000),INT(MOD($C$3,10000)/100),MOD($C$3,100))+(ROW()-ROW($C$3))/86400</s:f>
        <s:v>46247.38758101852</s:v>
      </s:c>
    </s:row>
    <s:row r="316">
      <s:c r="A316" s="0" t="n">
        <s:v>260813</s:v>
      </s:c>
      <s:c r="B316" s="0" t="inlineStr">
        <s:is>
          <s:t>이종훈</s:t>
        </s:is>
      </s:c>
      <s:c r="C316" s="0" t="n">
        <s:v>91255</s:v>
      </s:c>
      <s:c r="D316" s="0" t="n">
        <s:v>7762</s:v>
      </s:c>
      <s:c r="E316" s="0" t="n">
        <s:v>24.399</s:v>
      </s:c>
      <s:c r="F316" s="24">
        <s:f>'자료구성'!$B$2+TIME(INT($C$3/10000),INT(MOD($C$3,10000)/100),MOD($C$3,100))+(ROW()-ROW($C$3))/86400</s:f>
        <s:v>46247.38759259259</s:v>
      </s:c>
    </s:row>
    <s:row r="317">
      <s:c r="A317" s="0" t="n">
        <s:v>260813</s:v>
      </s:c>
      <s:c r="B317" s="0" t="inlineStr">
        <s:is>
          <s:t>이종훈</s:t>
        </s:is>
      </s:c>
      <s:c r="C317" s="0" t="n">
        <s:v>91255</s:v>
      </s:c>
      <s:c r="D317" s="0" t="n">
        <s:v>7778</s:v>
      </s:c>
      <s:c r="E317" s="0" t="n">
        <s:v>24.399</s:v>
      </s:c>
      <s:c r="F317" s="24">
        <s:f>'자료구성'!$B$2+TIME(INT($C$3/10000),INT(MOD($C$3,10000)/100),MOD($C$3,100))+(ROW()-ROW($C$3))/86400</s:f>
        <s:v>46247.387604166666</s:v>
      </s:c>
    </s:row>
    <s:row r="318">
      <s:c r="A318" s="0" t="n">
        <s:v>260813</s:v>
      </s:c>
      <s:c r="B318" s="0" t="inlineStr">
        <s:is>
          <s:t>이종훈</s:t>
        </s:is>
      </s:c>
      <s:c r="C318" s="0" t="n">
        <s:v>91255</s:v>
      </s:c>
      <s:c r="D318" s="0" t="n">
        <s:v>7783</s:v>
      </s:c>
      <s:c r="E318" s="0" t="n">
        <s:v>24.399</s:v>
      </s:c>
      <s:c r="F318" s="24">
        <s:f>'자료구성'!$B$2+TIME(INT($C$3/10000),INT(MOD($C$3,10000)/100),MOD($C$3,100))+(ROW()-ROW($C$3))/86400</s:f>
        <s:v>46247.38761574074</s:v>
      </s:c>
    </s:row>
    <s:row r="319">
      <s:c r="A319" s="0" t="n">
        <s:v>260813</s:v>
      </s:c>
      <s:c r="B319" s="0" t="inlineStr">
        <s:is>
          <s:t>이종훈</s:t>
        </s:is>
      </s:c>
      <s:c r="C319" s="0" t="n">
        <s:v>91255</s:v>
      </s:c>
      <s:c r="D319" s="0" t="n">
        <s:v>7759</s:v>
      </s:c>
      <s:c r="E319" s="0" t="n">
        <s:v>24.399</s:v>
      </s:c>
      <s:c r="F319" s="24">
        <s:f>'자료구성'!$B$2+TIME(INT($C$3/10000),INT(MOD($C$3,10000)/100),MOD($C$3,100))+(ROW()-ROW($C$3))/86400</s:f>
        <s:v>46247.38762731481</s:v>
      </s:c>
    </s:row>
    <s:row r="320">
      <s:c r="A320" s="0" t="n">
        <s:v>260813</s:v>
      </s:c>
      <s:c r="B320" s="0" t="inlineStr">
        <s:is>
          <s:t>이종훈</s:t>
        </s:is>
      </s:c>
      <s:c r="C320" s="0" t="n">
        <s:v>91255</s:v>
      </s:c>
      <s:c r="D320" s="0" t="n">
        <s:v>7762</s:v>
      </s:c>
      <s:c r="E320" s="0" t="n">
        <s:v>24.399</s:v>
      </s:c>
      <s:c r="F320" s="24">
        <s:f>'자료구성'!$B$2+TIME(INT($C$3/10000),INT(MOD($C$3,10000)/100),MOD($C$3,100))+(ROW()-ROW($C$3))/86400</s:f>
        <s:v>46247.38763888889</s:v>
      </s:c>
    </s:row>
    <s:row r="321">
      <s:c r="A321" s="0" t="n">
        <s:v>260813</s:v>
      </s:c>
      <s:c r="B321" s="0" t="inlineStr">
        <s:is>
          <s:t>이종훈</s:t>
        </s:is>
      </s:c>
      <s:c r="C321" s="0" t="n">
        <s:v>91255</s:v>
      </s:c>
      <s:c r="D321" s="0" t="n">
        <s:v>7712</s:v>
      </s:c>
      <s:c r="E321" s="0" t="n">
        <s:v>24.399</s:v>
      </s:c>
      <s:c r="F321" s="24">
        <s:f>'자료구성'!$B$2+TIME(INT($C$3/10000),INT(MOD($C$3,10000)/100),MOD($C$3,100))+(ROW()-ROW($C$3))/86400</s:f>
        <s:v>46247.387650462966</s:v>
      </s:c>
    </s:row>
    <s:row r="322">
      <s:c r="A322" s="0" t="n">
        <s:v>260813</s:v>
      </s:c>
      <s:c r="B322" s="0" t="inlineStr">
        <s:is>
          <s:t>이종훈</s:t>
        </s:is>
      </s:c>
      <s:c r="C322" s="0" t="n">
        <s:v>91255</s:v>
      </s:c>
      <s:c r="D322" s="0" t="n">
        <s:v>7550</s:v>
      </s:c>
      <s:c r="E322" s="0" t="n">
        <s:v>24.399</s:v>
      </s:c>
      <s:c r="F322" s="24">
        <s:f>'자료구성'!$B$2+TIME(INT($C$3/10000),INT(MOD($C$3,10000)/100),MOD($C$3,100))+(ROW()-ROW($C$3))/86400</s:f>
        <s:v>46247.387662037036</s:v>
      </s:c>
    </s:row>
    <s:row r="323">
      <s:c r="A323" s="0" t="n">
        <s:v>260813</s:v>
      </s:c>
      <s:c r="B323" s="0" t="inlineStr">
        <s:is>
          <s:t>이종훈</s:t>
        </s:is>
      </s:c>
      <s:c r="C323" s="0" t="n">
        <s:v>91255</s:v>
      </s:c>
      <s:c r="D323" s="0" t="n">
        <s:v>7472</s:v>
      </s:c>
      <s:c r="E323" s="0" t="n">
        <s:v>24.399</s:v>
      </s:c>
      <s:c r="F323" s="24">
        <s:f>'자료구성'!$B$2+TIME(INT($C$3/10000),INT(MOD($C$3,10000)/100),MOD($C$3,100))+(ROW()-ROW($C$3))/86400</s:f>
        <s:v>46247.38767361111</s:v>
      </s:c>
    </s:row>
    <s:row r="324">
      <s:c r="A324" s="0" t="n">
        <s:v>260813</s:v>
      </s:c>
      <s:c r="B324" s="0" t="inlineStr">
        <s:is>
          <s:t>이종훈</s:t>
        </s:is>
      </s:c>
      <s:c r="C324" s="0" t="n">
        <s:v>91255</s:v>
      </s:c>
      <s:c r="D324" s="0" t="n">
        <s:v>7466</s:v>
      </s:c>
      <s:c r="E324" s="0" t="n">
        <s:v>24.399</s:v>
      </s:c>
      <s:c r="F324" s="24">
        <s:f>'자료구성'!$B$2+TIME(INT($C$3/10000),INT(MOD($C$3,10000)/100),MOD($C$3,100))+(ROW()-ROW($C$3))/86400</s:f>
        <s:v>46247.38768518518</s:v>
      </s:c>
    </s:row>
    <s:row r="325">
      <s:c r="A325" s="0" t="n">
        <s:v>260813</s:v>
      </s:c>
      <s:c r="B325" s="0" t="inlineStr">
        <s:is>
          <s:t>이종훈</s:t>
        </s:is>
      </s:c>
      <s:c r="C325" s="0" t="n">
        <s:v>91255</s:v>
      </s:c>
      <s:c r="D325" s="0" t="n">
        <s:v>7457</s:v>
      </s:c>
      <s:c r="E325" s="0" t="n">
        <s:v>24.399</s:v>
      </s:c>
      <s:c r="F325" s="24">
        <s:f>'자료구성'!$B$2+TIME(INT($C$3/10000),INT(MOD($C$3,10000)/100),MOD($C$3,100))+(ROW()-ROW($C$3))/86400</s:f>
        <s:v>46247.38769675926</s:v>
      </s:c>
    </s:row>
    <s:row r="326">
      <s:c r="A326" s="0" t="n">
        <s:v>260813</s:v>
      </s:c>
      <s:c r="B326" s="0" t="inlineStr">
        <s:is>
          <s:t>이종훈</s:t>
        </s:is>
      </s:c>
      <s:c r="C326" s="0" t="n">
        <s:v>91255</s:v>
      </s:c>
      <s:c r="D326" s="0" t="n">
        <s:v>7399</s:v>
      </s:c>
      <s:c r="E326" s="0" t="n">
        <s:v>24.399</s:v>
      </s:c>
      <s:c r="F326" s="24">
        <s:f>'자료구성'!$B$2+TIME(INT($C$3/10000),INT(MOD($C$3,10000)/100),MOD($C$3,100))+(ROW()-ROW($C$3))/86400</s:f>
        <s:v>46247.387708333335</s:v>
      </s:c>
    </s:row>
    <s:row r="327">
      <s:c r="A327" s="0" t="n">
        <s:v>260813</s:v>
      </s:c>
      <s:c r="B327" s="0" t="inlineStr">
        <s:is>
          <s:t>이종훈</s:t>
        </s:is>
      </s:c>
      <s:c r="C327" s="0" t="n">
        <s:v>91255</s:v>
      </s:c>
      <s:c r="D327" s="0" t="n">
        <s:v>7341</s:v>
      </s:c>
      <s:c r="E327" s="0" t="n">
        <s:v>24.399</s:v>
      </s:c>
      <s:c r="F327" s="24">
        <s:f>'자료구성'!$B$2+TIME(INT($C$3/10000),INT(MOD($C$3,10000)/100),MOD($C$3,100))+(ROW()-ROW($C$3))/86400</s:f>
        <s:v>46247.387719907405</s:v>
      </s:c>
    </s:row>
    <s:row r="328">
      <s:c r="A328" s="0" t="n">
        <s:v>260813</s:v>
      </s:c>
      <s:c r="B328" s="0" t="inlineStr">
        <s:is>
          <s:t>이종훈</s:t>
        </s:is>
      </s:c>
      <s:c r="C328" s="0" t="n">
        <s:v>91255</s:v>
      </s:c>
      <s:c r="D328" s="0" t="n">
        <s:v>7261</s:v>
      </s:c>
      <s:c r="E328" s="0" t="n">
        <s:v>24.399</s:v>
      </s:c>
      <s:c r="F328" s="24">
        <s:f>'자료구성'!$B$2+TIME(INT($C$3/10000),INT(MOD($C$3,10000)/100),MOD($C$3,100))+(ROW()-ROW($C$3))/86400</s:f>
        <s:v>46247.38773148148</s:v>
      </s:c>
    </s:row>
    <s:row r="329">
      <s:c r="A329" s="0" t="n">
        <s:v>260813</s:v>
      </s:c>
      <s:c r="B329" s="0" t="inlineStr">
        <s:is>
          <s:t>이종훈</s:t>
        </s:is>
      </s:c>
      <s:c r="C329" s="0" t="n">
        <s:v>91255</s:v>
      </s:c>
      <s:c r="D329" s="0" t="n">
        <s:v>7177</s:v>
      </s:c>
      <s:c r="E329" s="0" t="n">
        <s:v>24.399</s:v>
      </s:c>
      <s:c r="F329" s="24">
        <s:f>'자료구성'!$B$2+TIME(INT($C$3/10000),INT(MOD($C$3,10000)/100),MOD($C$3,100))+(ROW()-ROW($C$3))/86400</s:f>
        <s:v>46247.38774305556</s:v>
      </s:c>
    </s:row>
    <s:row r="330">
      <s:c r="A330" s="0" t="n">
        <s:v>260813</s:v>
      </s:c>
      <s:c r="B330" s="0" t="inlineStr">
        <s:is>
          <s:t>이종훈</s:t>
        </s:is>
      </s:c>
      <s:c r="C330" s="0" t="n">
        <s:v>91255</s:v>
      </s:c>
      <s:c r="D330" s="0" t="n">
        <s:v>7154</s:v>
      </s:c>
      <s:c r="E330" s="0" t="n">
        <s:v>24.399</s:v>
      </s:c>
      <s:c r="F330" s="24">
        <s:f>'자료구성'!$B$2+TIME(INT($C$3/10000),INT(MOD($C$3,10000)/100),MOD($C$3,100))+(ROW()-ROW($C$3))/86400</s:f>
        <s:v>46247.38775462963</s:v>
      </s:c>
    </s:row>
    <s:row r="331">
      <s:c r="A331" s="0" t="n">
        <s:v>260813</s:v>
      </s:c>
      <s:c r="B331" s="0" t="inlineStr">
        <s:is>
          <s:t>이종훈</s:t>
        </s:is>
      </s:c>
      <s:c r="C331" s="0" t="n">
        <s:v>91255</s:v>
      </s:c>
      <s:c r="D331" s="0" t="n">
        <s:v>7202</s:v>
      </s:c>
      <s:c r="E331" s="0" t="n">
        <s:v>24.399</s:v>
      </s:c>
      <s:c r="F331" s="24">
        <s:f>'자료구성'!$B$2+TIME(INT($C$3/10000),INT(MOD($C$3,10000)/100),MOD($C$3,100))+(ROW()-ROW($C$3))/86400</s:f>
        <s:v>46247.387766203705</s:v>
      </s:c>
    </s:row>
    <s:row r="332">
      <s:c r="A332" s="0" t="n">
        <s:v>260813</s:v>
      </s:c>
      <s:c r="B332" s="0" t="inlineStr">
        <s:is>
          <s:t>이종훈</s:t>
        </s:is>
      </s:c>
      <s:c r="C332" s="0" t="n">
        <s:v>91255</s:v>
      </s:c>
      <s:c r="D332" s="0" t="n">
        <s:v>7292</s:v>
      </s:c>
      <s:c r="E332" s="0" t="n">
        <s:v>24.399</s:v>
      </s:c>
      <s:c r="F332" s="24">
        <s:f>'자료구성'!$B$2+TIME(INT($C$3/10000),INT(MOD($C$3,10000)/100),MOD($C$3,100))+(ROW()-ROW($C$3))/86400</s:f>
        <s:v>46247.387777777774</s:v>
      </s:c>
    </s:row>
    <s:row r="333">
      <s:c r="A333" s="0" t="n">
        <s:v>260813</s:v>
      </s:c>
      <s:c r="B333" s="0" t="inlineStr">
        <s:is>
          <s:t>이종훈</s:t>
        </s:is>
      </s:c>
      <s:c r="C333" s="0" t="n">
        <s:v>91255</s:v>
      </s:c>
      <s:c r="D333" s="0" t="n">
        <s:v>7253</s:v>
      </s:c>
      <s:c r="E333" s="0" t="n">
        <s:v>24.399</s:v>
      </s:c>
      <s:c r="F333" s="24">
        <s:f>'자료구성'!$B$2+TIME(INT($C$3/10000),INT(MOD($C$3,10000)/100),MOD($C$3,100))+(ROW()-ROW($C$3))/86400</s:f>
        <s:v>46247.38778935185</s:v>
      </s:c>
    </s:row>
    <s:row r="334">
      <s:c r="A334" s="0" t="n">
        <s:v>260813</s:v>
      </s:c>
      <s:c r="B334" s="0" t="inlineStr">
        <s:is>
          <s:t>이종훈</s:t>
        </s:is>
      </s:c>
      <s:c r="C334" s="0" t="n">
        <s:v>91255</s:v>
      </s:c>
      <s:c r="D334" s="0" t="n">
        <s:v>7100</s:v>
      </s:c>
      <s:c r="E334" s="0" t="n">
        <s:v>24.399</s:v>
      </s:c>
      <s:c r="F334" s="24">
        <s:f>'자료구성'!$B$2+TIME(INT($C$3/10000),INT(MOD($C$3,10000)/100),MOD($C$3,100))+(ROW()-ROW($C$3))/86400</s:f>
        <s:v>46247.38780092593</s:v>
      </s:c>
    </s:row>
    <s:row r="335">
      <s:c r="A335" s="0" t="n">
        <s:v>260813</s:v>
      </s:c>
      <s:c r="B335" s="0" t="inlineStr">
        <s:is>
          <s:t>이종훈</s:t>
        </s:is>
      </s:c>
      <s:c r="C335" s="0" t="n">
        <s:v>91255</s:v>
      </s:c>
      <s:c r="D335" s="0" t="n">
        <s:v>6908</s:v>
      </s:c>
      <s:c r="E335" s="0" t="n">
        <s:v>24.399</s:v>
      </s:c>
      <s:c r="F335" s="24">
        <s:f>'자료구성'!$B$2+TIME(INT($C$3/10000),INT(MOD($C$3,10000)/100),MOD($C$3,100))+(ROW()-ROW($C$3))/86400</s:f>
        <s:v>46247.3878125</s:v>
      </s:c>
    </s:row>
    <s:row r="336">
      <s:c r="A336" s="0" t="n">
        <s:v>260813</s:v>
      </s:c>
      <s:c r="B336" s="0" t="inlineStr">
        <s:is>
          <s:t>이종훈</s:t>
        </s:is>
      </s:c>
      <s:c r="C336" s="0" t="n">
        <s:v>91255</s:v>
      </s:c>
      <s:c r="D336" s="0" t="n">
        <s:v>6621</s:v>
      </s:c>
      <s:c r="E336" s="0" t="n">
        <s:v>24.399</s:v>
      </s:c>
      <s:c r="F336" s="24">
        <s:f>'자료구성'!$B$2+TIME(INT($C$3/10000),INT(MOD($C$3,10000)/100),MOD($C$3,100))+(ROW()-ROW($C$3))/86400</s:f>
        <s:v>46247.387824074074</s:v>
      </s:c>
    </s:row>
    <s:row r="337">
      <s:c r="A337" s="0" t="n">
        <s:v>260813</s:v>
      </s:c>
      <s:c r="B337" s="0" t="inlineStr">
        <s:is>
          <s:t>이종훈</s:t>
        </s:is>
      </s:c>
      <s:c r="C337" s="0" t="n">
        <s:v>91255</s:v>
      </s:c>
      <s:c r="D337" s="0" t="n">
        <s:v>6336</s:v>
      </s:c>
      <s:c r="E337" s="0" t="n">
        <s:v>24.399</s:v>
      </s:c>
      <s:c r="F337" s="24">
        <s:f>'자료구성'!$B$2+TIME(INT($C$3/10000),INT(MOD($C$3,10000)/100),MOD($C$3,100))+(ROW()-ROW($C$3))/86400</s:f>
        <s:v>46247.38783564815</s:v>
      </s:c>
    </s:row>
    <s:row r="338">
      <s:c r="A338" s="0" t="n">
        <s:v>260813</s:v>
      </s:c>
      <s:c r="B338" s="0" t="inlineStr">
        <s:is>
          <s:t>이종훈</s:t>
        </s:is>
      </s:c>
      <s:c r="C338" s="0" t="n">
        <s:v>91255</s:v>
      </s:c>
      <s:c r="D338" s="0" t="n">
        <s:v>6084</s:v>
      </s:c>
      <s:c r="E338" s="0" t="n">
        <s:v>24.399</s:v>
      </s:c>
      <s:c r="F338" s="24">
        <s:f>'자료구성'!$B$2+TIME(INT($C$3/10000),INT(MOD($C$3,10000)/100),MOD($C$3,100))+(ROW()-ROW($C$3))/86400</s:f>
        <s:v>46247.38784722222</s:v>
      </s:c>
    </s:row>
    <s:row r="339">
      <s:c r="A339" s="0" t="n">
        <s:v>260813</s:v>
      </s:c>
      <s:c r="B339" s="0" t="inlineStr">
        <s:is>
          <s:t>이종훈</s:t>
        </s:is>
      </s:c>
      <s:c r="C339" s="0" t="n">
        <s:v>91255</s:v>
      </s:c>
      <s:c r="D339" s="0" t="n">
        <s:v>5839</s:v>
      </s:c>
      <s:c r="E339" s="0" t="n">
        <s:v>24.399</s:v>
      </s:c>
      <s:c r="F339" s="24">
        <s:f>'자료구성'!$B$2+TIME(INT($C$3/10000),INT(MOD($C$3,10000)/100),MOD($C$3,100))+(ROW()-ROW($C$3))/86400</s:f>
        <s:v>46247.3878587963</s:v>
      </s:c>
    </s:row>
    <s:row r="340">
      <s:c r="A340" s="0" t="n">
        <s:v>260813</s:v>
      </s:c>
      <s:c r="B340" s="0" t="inlineStr">
        <s:is>
          <s:t>이종훈</s:t>
        </s:is>
      </s:c>
      <s:c r="C340" s="0" t="n">
        <s:v>91255</s:v>
      </s:c>
      <s:c r="D340" s="0" t="n">
        <s:v>5617</s:v>
      </s:c>
      <s:c r="E340" s="0" t="n">
        <s:v>24.399</s:v>
      </s:c>
      <s:c r="F340" s="24">
        <s:f>'자료구성'!$B$2+TIME(INT($C$3/10000),INT(MOD($C$3,10000)/100),MOD($C$3,100))+(ROW()-ROW($C$3))/86400</s:f>
        <s:v>46247.387870370374</s:v>
      </s:c>
    </s:row>
    <s:row r="341">
      <s:c r="A341" s="0" t="n">
        <s:v>260813</s:v>
      </s:c>
      <s:c r="B341" s="0" t="inlineStr">
        <s:is>
          <s:t>이종훈</s:t>
        </s:is>
      </s:c>
      <s:c r="C341" s="0" t="n">
        <s:v>91255</s:v>
      </s:c>
      <s:c r="D341" s="0" t="n">
        <s:v>5445</s:v>
      </s:c>
      <s:c r="E341" s="0" t="n">
        <s:v>24.399</s:v>
      </s:c>
      <s:c r="F341" s="24">
        <s:f>'자료구성'!$B$2+TIME(INT($C$3/10000),INT(MOD($C$3,10000)/100),MOD($C$3,100))+(ROW()-ROW($C$3))/86400</s:f>
        <s:v>46247.38788194444</s:v>
      </s:c>
    </s:row>
    <s:row r="342">
      <s:c r="A342" s="0" t="n">
        <s:v>260813</s:v>
      </s:c>
      <s:c r="B342" s="0" t="inlineStr">
        <s:is>
          <s:t>이종훈</s:t>
        </s:is>
      </s:c>
      <s:c r="C342" s="0" t="n">
        <s:v>91255</s:v>
      </s:c>
      <s:c r="D342" s="0" t="n">
        <s:v>5299</s:v>
      </s:c>
      <s:c r="E342" s="0" t="n">
        <s:v>24.399</s:v>
      </s:c>
      <s:c r="F342" s="24">
        <s:f>'자료구성'!$B$2+TIME(INT($C$3/10000),INT(MOD($C$3,10000)/100),MOD($C$3,100))+(ROW()-ROW($C$3))/86400</s:f>
        <s:v>46247.38789351852</s:v>
      </s:c>
    </s:row>
    <s:row r="343">
      <s:c r="A343" s="0" t="n">
        <s:v>260813</s:v>
      </s:c>
      <s:c r="B343" s="0" t="inlineStr">
        <s:is>
          <s:t>이종훈</s:t>
        </s:is>
      </s:c>
      <s:c r="C343" s="0" t="n">
        <s:v>91255</s:v>
      </s:c>
      <s:c r="D343" s="0" t="n">
        <s:v>5122</s:v>
      </s:c>
      <s:c r="E343" s="0" t="n">
        <s:v>24.399</s:v>
      </s:c>
      <s:c r="F343" s="24">
        <s:f>'자료구성'!$B$2+TIME(INT($C$3/10000),INT(MOD($C$3,10000)/100),MOD($C$3,100))+(ROW()-ROW($C$3))/86400</s:f>
        <s:v>46247.38790509259</s:v>
      </s:c>
    </s:row>
    <s:row r="344">
      <s:c r="A344" s="0" t="n">
        <s:v>260813</s:v>
      </s:c>
      <s:c r="B344" s="0" t="inlineStr">
        <s:is>
          <s:t>이종훈</s:t>
        </s:is>
      </s:c>
      <s:c r="C344" s="0" t="n">
        <s:v>91255</s:v>
      </s:c>
      <s:c r="D344" s="0" t="n">
        <s:v>4940</s:v>
      </s:c>
      <s:c r="E344" s="0" t="n">
        <s:v>24.399</s:v>
      </s:c>
      <s:c r="F344" s="24">
        <s:f>'자료구성'!$B$2+TIME(INT($C$3/10000),INT(MOD($C$3,10000)/100),MOD($C$3,100))+(ROW()-ROW($C$3))/86400</s:f>
        <s:v>46247.38791666667</s:v>
      </s:c>
    </s:row>
    <s:row r="345">
      <s:c r="A345" s="0" t="n">
        <s:v>260813</s:v>
      </s:c>
      <s:c r="B345" s="0" t="inlineStr">
        <s:is>
          <s:t>이종훈</s:t>
        </s:is>
      </s:c>
      <s:c r="C345" s="0" t="n">
        <s:v>91255</s:v>
      </s:c>
      <s:c r="D345" s="0" t="n">
        <s:v>4940</s:v>
      </s:c>
      <s:c r="E345" s="0" t="n">
        <s:v>24.399</s:v>
      </s:c>
      <s:c r="F345" s="24">
        <s:f>'자료구성'!$B$2+TIME(INT($C$3/10000),INT(MOD($C$3,10000)/100),MOD($C$3,100))+(ROW()-ROW($C$3))/86400</s:f>
        <s:v>46247.38792824074</s:v>
      </s:c>
    </s:row>
    <s:row r="346">
      <s:c r="A346" s="0" t="n">
        <s:v>260813</s:v>
      </s:c>
      <s:c r="B346" s="0" t="inlineStr">
        <s:is>
          <s:t>이종훈</s:t>
        </s:is>
      </s:c>
      <s:c r="C346" s="0" t="n">
        <s:v>91255</s:v>
      </s:c>
      <s:c r="D346" s="0" t="n">
        <s:v>4770</s:v>
      </s:c>
      <s:c r="E346" s="0" t="n">
        <s:v>24.399</s:v>
      </s:c>
      <s:c r="F346" s="24">
        <s:f>'자료구성'!$B$2+TIME(INT($C$3/10000),INT(MOD($C$3,10000)/100),MOD($C$3,100))+(ROW()-ROW($C$3))/86400</s:f>
        <s:v>46247.38793981481</s:v>
      </s:c>
    </s:row>
    <s:row r="347">
      <s:c r="A347" s="0" t="n">
        <s:v>260813</s:v>
      </s:c>
      <s:c r="B347" s="0" t="inlineStr">
        <s:is>
          <s:t>이종훈</s:t>
        </s:is>
      </s:c>
      <s:c r="C347" s="0" t="n">
        <s:v>91255</s:v>
      </s:c>
      <s:c r="D347" s="0" t="n">
        <s:v>4636</s:v>
      </s:c>
      <s:c r="E347" s="0" t="n">
        <s:v>24.399</s:v>
      </s:c>
      <s:c r="F347" s="24">
        <s:f>'자료구성'!$B$2+TIME(INT($C$3/10000),INT(MOD($C$3,10000)/100),MOD($C$3,100))+(ROW()-ROW($C$3))/86400</s:f>
        <s:v>46247.38795138889</s:v>
      </s:c>
    </s:row>
    <s:row r="348">
      <s:c r="A348" s="0" t="n">
        <s:v>260813</s:v>
      </s:c>
      <s:c r="B348" s="0" t="inlineStr">
        <s:is>
          <s:t>이종훈</s:t>
        </s:is>
      </s:c>
      <s:c r="C348" s="0" t="n">
        <s:v>91255</s:v>
      </s:c>
      <s:c r="D348" s="0" t="n">
        <s:v>4564</s:v>
      </s:c>
      <s:c r="E348" s="0" t="n">
        <s:v>24.399</s:v>
      </s:c>
      <s:c r="F348" s="24">
        <s:f>'자료구성'!$B$2+TIME(INT($C$3/10000),INT(MOD($C$3,10000)/100),MOD($C$3,100))+(ROW()-ROW($C$3))/86400</s:f>
        <s:v>46247.38796296297</s:v>
      </s:c>
    </s:row>
    <s:row r="349">
      <s:c r="A349" s="0" t="n">
        <s:v>260813</s:v>
      </s:c>
      <s:c r="B349" s="0" t="inlineStr">
        <s:is>
          <s:t>이종훈</s:t>
        </s:is>
      </s:c>
      <s:c r="C349" s="0" t="n">
        <s:v>91255</s:v>
      </s:c>
      <s:c r="D349" s="0" t="n">
        <s:v>4600</s:v>
      </s:c>
      <s:c r="E349" s="0" t="n">
        <s:v>24.399</s:v>
      </s:c>
      <s:c r="F349" s="24">
        <s:f>'자료구성'!$B$2+TIME(INT($C$3/10000),INT(MOD($C$3,10000)/100),MOD($C$3,100))+(ROW()-ROW($C$3))/86400</s:f>
        <s:v>46247.387974537036</s:v>
      </s:c>
    </s:row>
    <s:row r="350">
      <s:c r="A350" s="0" t="n">
        <s:v>260813</s:v>
      </s:c>
      <s:c r="B350" s="0" t="inlineStr">
        <s:is>
          <s:t>이종훈</s:t>
        </s:is>
      </s:c>
      <s:c r="C350" s="0" t="n">
        <s:v>91255</s:v>
      </s:c>
      <s:c r="D350" s="0" t="n">
        <s:v>4610</s:v>
      </s:c>
      <s:c r="E350" s="0" t="n">
        <s:v>24.399</s:v>
      </s:c>
      <s:c r="F350" s="24">
        <s:f>'자료구성'!$B$2+TIME(INT($C$3/10000),INT(MOD($C$3,10000)/100),MOD($C$3,100))+(ROW()-ROW($C$3))/86400</s:f>
        <s:v>46247.38798611111</s:v>
      </s:c>
    </s:row>
    <s:row r="351">
      <s:c r="A351" s="0" t="n">
        <s:v>260813</s:v>
      </s:c>
      <s:c r="B351" s="0" t="inlineStr">
        <s:is>
          <s:t>이종훈</s:t>
        </s:is>
      </s:c>
      <s:c r="C351" s="0" t="n">
        <s:v>91255</s:v>
      </s:c>
      <s:c r="D351" s="0" t="n">
        <s:v>4560</s:v>
      </s:c>
      <s:c r="E351" s="0" t="n">
        <s:v>24.399</s:v>
      </s:c>
      <s:c r="F351" s="24">
        <s:f>'자료구성'!$B$2+TIME(INT($C$3/10000),INT(MOD($C$3,10000)/100),MOD($C$3,100))+(ROW()-ROW($C$3))/86400</s:f>
        <s:v>46247.38799768518</s:v>
      </s:c>
    </s:row>
    <s:row r="352">
      <s:c r="A352" s="0" t="n">
        <s:v>260813</s:v>
      </s:c>
      <s:c r="B352" s="0" t="inlineStr">
        <s:is>
          <s:t>이종훈</s:t>
        </s:is>
      </s:c>
      <s:c r="C352" s="0" t="n">
        <s:v>91255</s:v>
      </s:c>
      <s:c r="D352" s="0" t="n">
        <s:v>4482</s:v>
      </s:c>
      <s:c r="E352" s="0" t="n">
        <s:v>24.399</s:v>
      </s:c>
      <s:c r="F352" s="24">
        <s:f>'자료구성'!$B$2+TIME(INT($C$3/10000),INT(MOD($C$3,10000)/100),MOD($C$3,100))+(ROW()-ROW($C$3))/86400</s:f>
        <s:v>46247.38800925926</s:v>
      </s:c>
    </s:row>
    <s:row r="353">
      <s:c r="A353" s="0" t="n">
        <s:v>260813</s:v>
      </s:c>
      <s:c r="B353" s="0" t="inlineStr">
        <s:is>
          <s:t>이종훈</s:t>
        </s:is>
      </s:c>
      <s:c r="C353" s="0" t="n">
        <s:v>91255</s:v>
      </s:c>
      <s:c r="D353" s="0" t="n">
        <s:v>4442</s:v>
      </s:c>
      <s:c r="E353" s="0" t="n">
        <s:v>24.399</s:v>
      </s:c>
      <s:c r="F353" s="24">
        <s:f>'자료구성'!$B$2+TIME(INT($C$3/10000),INT(MOD($C$3,10000)/100),MOD($C$3,100))+(ROW()-ROW($C$3))/86400</s:f>
        <s:v>46247.388020833336</s:v>
      </s:c>
    </s:row>
    <s:row r="354">
      <s:c r="A354" s="0" t="n">
        <s:v>260813</s:v>
      </s:c>
      <s:c r="B354" s="0" t="inlineStr">
        <s:is>
          <s:t>이종훈</s:t>
        </s:is>
      </s:c>
      <s:c r="C354" s="0" t="n">
        <s:v>91255</s:v>
      </s:c>
      <s:c r="D354" s="0" t="n">
        <s:v>4402</s:v>
      </s:c>
      <s:c r="E354" s="0" t="n">
        <s:v>24.399</s:v>
      </s:c>
      <s:c r="F354" s="24">
        <s:f>'자료구성'!$B$2+TIME(INT($C$3/10000),INT(MOD($C$3,10000)/100),MOD($C$3,100))+(ROW()-ROW($C$3))/86400</s:f>
        <s:v>46247.388032407405</s:v>
      </s:c>
    </s:row>
    <s:row r="355">
      <s:c r="A355" s="0" t="n">
        <s:v>260813</s:v>
      </s:c>
      <s:c r="B355" s="0" t="inlineStr">
        <s:is>
          <s:t>이종훈</s:t>
        </s:is>
      </s:c>
      <s:c r="C355" s="0" t="n">
        <s:v>91255</s:v>
      </s:c>
      <s:c r="D355" s="0" t="n">
        <s:v>4376</s:v>
      </s:c>
      <s:c r="E355" s="0" t="n">
        <s:v>24.399</s:v>
      </s:c>
      <s:c r="F355" s="24">
        <s:f>'자료구성'!$B$2+TIME(INT($C$3/10000),INT(MOD($C$3,10000)/100),MOD($C$3,100))+(ROW()-ROW($C$3))/86400</s:f>
        <s:v>46247.38804398148</s:v>
      </s:c>
    </s:row>
    <s:row r="356">
      <s:c r="A356" s="0" t="n">
        <s:v>260813</s:v>
      </s:c>
      <s:c r="B356" s="0" t="inlineStr">
        <s:is>
          <s:t>이종훈</s:t>
        </s:is>
      </s:c>
      <s:c r="C356" s="0" t="n">
        <s:v>91255</s:v>
      </s:c>
      <s:c r="D356" s="0" t="n">
        <s:v>4370</s:v>
      </s:c>
      <s:c r="E356" s="0" t="n">
        <s:v>24.399</s:v>
      </s:c>
      <s:c r="F356" s="24">
        <s:f>'자료구성'!$B$2+TIME(INT($C$3/10000),INT(MOD($C$3,10000)/100),MOD($C$3,100))+(ROW()-ROW($C$3))/86400</s:f>
        <s:v>46247.38805555556</s:v>
      </s:c>
    </s:row>
    <s:row r="357">
      <s:c r="A357" s="0" t="n">
        <s:v>260813</s:v>
      </s:c>
      <s:c r="B357" s="0" t="inlineStr">
        <s:is>
          <s:t>이종훈</s:t>
        </s:is>
      </s:c>
      <s:c r="C357" s="0" t="n">
        <s:v>91255</s:v>
      </s:c>
      <s:c r="D357" s="0" t="n">
        <s:v>4367</s:v>
      </s:c>
      <s:c r="E357" s="0" t="n">
        <s:v>24.399</s:v>
      </s:c>
      <s:c r="F357" s="24">
        <s:f>'자료구성'!$B$2+TIME(INT($C$3/10000),INT(MOD($C$3,10000)/100),MOD($C$3,100))+(ROW()-ROW($C$3))/86400</s:f>
        <s:v>46247.38806712963</s:v>
      </s:c>
    </s:row>
    <s:row r="358">
      <s:c r="A358" s="0" t="n">
        <s:v>260813</s:v>
      </s:c>
      <s:c r="B358" s="0" t="inlineStr">
        <s:is>
          <s:t>이종훈</s:t>
        </s:is>
      </s:c>
      <s:c r="C358" s="0" t="n">
        <s:v>91255</s:v>
      </s:c>
      <s:c r="D358" s="0" t="n">
        <s:v>4399</s:v>
      </s:c>
      <s:c r="E358" s="0" t="n">
        <s:v>24.399</s:v>
      </s:c>
      <s:c r="F358" s="24">
        <s:f>'자료구성'!$B$2+TIME(INT($C$3/10000),INT(MOD($C$3,10000)/100),MOD($C$3,100))+(ROW()-ROW($C$3))/86400</s:f>
        <s:v>46247.388078703705</s:v>
      </s:c>
    </s:row>
    <s:row r="359">
      <s:c r="A359" s="0" t="n">
        <s:v>260813</s:v>
      </s:c>
      <s:c r="B359" s="0" t="inlineStr">
        <s:is>
          <s:t>이종훈</s:t>
        </s:is>
      </s:c>
      <s:c r="C359" s="0" t="n">
        <s:v>91255</s:v>
      </s:c>
      <s:c r="D359" s="0" t="n">
        <s:v>4412</s:v>
      </s:c>
      <s:c r="E359" s="0" t="n">
        <s:v>24.399</s:v>
      </s:c>
      <s:c r="F359" s="24">
        <s:f>'자료구성'!$B$2+TIME(INT($C$3/10000),INT(MOD($C$3,10000)/100),MOD($C$3,100))+(ROW()-ROW($C$3))/86400</s:f>
        <s:v>46247.388090277775</s:v>
      </s:c>
    </s:row>
    <s:row r="360">
      <s:c r="A360" s="0" t="n">
        <s:v>260813</s:v>
      </s:c>
      <s:c r="B360" s="0" t="inlineStr">
        <s:is>
          <s:t>이종훈</s:t>
        </s:is>
      </s:c>
      <s:c r="C360" s="0" t="n">
        <s:v>91255</s:v>
      </s:c>
      <s:c r="D360" s="0" t="n">
        <s:v>4471</s:v>
      </s:c>
      <s:c r="E360" s="0" t="n">
        <s:v>24.399</s:v>
      </s:c>
      <s:c r="F360" s="24">
        <s:f>'자료구성'!$B$2+TIME(INT($C$3/10000),INT(MOD($C$3,10000)/100),MOD($C$3,100))+(ROW()-ROW($C$3))/86400</s:f>
        <s:v>46247.38810185185</s:v>
      </s:c>
    </s:row>
    <s:row r="361">
      <s:c r="A361" s="0" t="n">
        <s:v>260813</s:v>
      </s:c>
      <s:c r="B361" s="0" t="inlineStr">
        <s:is>
          <s:t>이종훈</s:t>
        </s:is>
      </s:c>
      <s:c r="C361" s="0" t="n">
        <s:v>91255</s:v>
      </s:c>
      <s:c r="D361" s="0" t="n">
        <s:v>4502</s:v>
      </s:c>
      <s:c r="E361" s="0" t="n">
        <s:v>24.399</s:v>
      </s:c>
      <s:c r="F361" s="24">
        <s:f>'자료구성'!$B$2+TIME(INT($C$3/10000),INT(MOD($C$3,10000)/100),MOD($C$3,100))+(ROW()-ROW($C$3))/86400</s:f>
        <s:v>46247.38811342593</s:v>
      </s:c>
    </s:row>
    <s:row r="362">
      <s:c r="A362" s="0" t="n">
        <s:v>260813</s:v>
      </s:c>
      <s:c r="B362" s="0" t="inlineStr">
        <s:is>
          <s:t>이종훈</s:t>
        </s:is>
      </s:c>
      <s:c r="C362" s="0" t="n">
        <s:v>91255</s:v>
      </s:c>
      <s:c r="D362" s="0" t="n">
        <s:v>4583</s:v>
      </s:c>
      <s:c r="E362" s="0" t="n">
        <s:v>24.399</s:v>
      </s:c>
      <s:c r="F362" s="24">
        <s:f>'자료구성'!$B$2+TIME(INT($C$3/10000),INT(MOD($C$3,10000)/100),MOD($C$3,100))+(ROW()-ROW($C$3))/86400</s:f>
        <s:v>46247.388125</s:v>
      </s:c>
    </s:row>
    <s:row r="363">
      <s:c r="A363" s="0" t="n">
        <s:v>260813</s:v>
      </s:c>
      <s:c r="B363" s="0" t="inlineStr">
        <s:is>
          <s:t>이종훈</s:t>
        </s:is>
      </s:c>
      <s:c r="C363" s="0" t="n">
        <s:v>91255</s:v>
      </s:c>
      <s:c r="D363" s="0" t="n">
        <s:v>4658</s:v>
      </s:c>
      <s:c r="E363" s="0" t="n">
        <s:v>24.399</s:v>
      </s:c>
      <s:c r="F363" s="24">
        <s:f>'자료구성'!$B$2+TIME(INT($C$3/10000),INT(MOD($C$3,10000)/100),MOD($C$3,100))+(ROW()-ROW($C$3))/86400</s:f>
        <s:v>46247.388136574074</s:v>
      </s:c>
    </s:row>
    <s:row r="364">
      <s:c r="A364" s="0" t="n">
        <s:v>260813</s:v>
      </s:c>
      <s:c r="B364" s="0" t="inlineStr">
        <s:is>
          <s:t>이종훈</s:t>
        </s:is>
      </s:c>
      <s:c r="C364" s="0" t="n">
        <s:v>91255</s:v>
      </s:c>
      <s:c r="D364" s="0" t="n">
        <s:v>4729</s:v>
      </s:c>
      <s:c r="E364" s="0" t="n">
        <s:v>24.399</s:v>
      </s:c>
      <s:c r="F364" s="24">
        <s:f>'자료구성'!$B$2+TIME(INT($C$3/10000),INT(MOD($C$3,10000)/100),MOD($C$3,100))+(ROW()-ROW($C$3))/86400</s:f>
        <s:v>46247.38814814815</s:v>
      </s:c>
    </s:row>
    <s:row r="365">
      <s:c r="A365" s="0" t="n">
        <s:v>260813</s:v>
      </s:c>
      <s:c r="B365" s="0" t="inlineStr">
        <s:is>
          <s:t>이종훈</s:t>
        </s:is>
      </s:c>
      <s:c r="C365" s="0" t="n">
        <s:v>91255</s:v>
      </s:c>
      <s:c r="D365" s="0" t="n">
        <s:v>4769</s:v>
      </s:c>
      <s:c r="E365" s="0" t="n">
        <s:v>24.399</s:v>
      </s:c>
      <s:c r="F365" s="24">
        <s:f>'자료구성'!$B$2+TIME(INT($C$3/10000),INT(MOD($C$3,10000)/100),MOD($C$3,100))+(ROW()-ROW($C$3))/86400</s:f>
        <s:v>46247.38815972222</s:v>
      </s:c>
    </s:row>
    <s:row r="366">
      <s:c r="A366" s="0" t="n">
        <s:v>260813</s:v>
      </s:c>
      <s:c r="B366" s="0" t="inlineStr">
        <s:is>
          <s:t>이종훈</s:t>
        </s:is>
      </s:c>
      <s:c r="C366" s="0" t="n">
        <s:v>91255</s:v>
      </s:c>
      <s:c r="D366" s="0" t="n">
        <s:v>4861</s:v>
      </s:c>
      <s:c r="E366" s="0" t="n">
        <s:v>24.399</s:v>
      </s:c>
      <s:c r="F366" s="24">
        <s:f>'자료구성'!$B$2+TIME(INT($C$3/10000),INT(MOD($C$3,10000)/100),MOD($C$3,100))+(ROW()-ROW($C$3))/86400</s:f>
        <s:v>46247.3881712963</s:v>
      </s:c>
    </s:row>
    <s:row r="367">
      <s:c r="A367" s="0" t="n">
        <s:v>260813</s:v>
      </s:c>
      <s:c r="B367" s="0" t="inlineStr">
        <s:is>
          <s:t>이종훈</s:t>
        </s:is>
      </s:c>
      <s:c r="C367" s="0" t="n">
        <s:v>91255</s:v>
      </s:c>
      <s:c r="D367" s="0" t="n">
        <s:v>4939</s:v>
      </s:c>
      <s:c r="E367" s="0" t="n">
        <s:v>24.399</s:v>
      </s:c>
      <s:c r="F367" s="24">
        <s:f>'자료구성'!$B$2+TIME(INT($C$3/10000),INT(MOD($C$3,10000)/100),MOD($C$3,100))+(ROW()-ROW($C$3))/86400</s:f>
        <s:v>46247.38818287037</s:v>
      </s:c>
    </s:row>
    <s:row r="368">
      <s:c r="A368" s="0" t="n">
        <s:v>260813</s:v>
      </s:c>
      <s:c r="B368" s="0" t="inlineStr">
        <s:is>
          <s:t>이종훈</s:t>
        </s:is>
      </s:c>
      <s:c r="C368" s="0" t="n">
        <s:v>91255</s:v>
      </s:c>
      <s:c r="D368" s="0" t="n">
        <s:v>4950</s:v>
      </s:c>
      <s:c r="E368" s="0" t="n">
        <s:v>24.399</s:v>
      </s:c>
      <s:c r="F368" s="24">
        <s:f>'자료구성'!$B$2+TIME(INT($C$3/10000),INT(MOD($C$3,10000)/100),MOD($C$3,100))+(ROW()-ROW($C$3))/86400</s:f>
        <s:v>46247.388194444444</s:v>
      </s:c>
    </s:row>
    <s:row r="369">
      <s:c r="A369" s="0" t="n">
        <s:v>260813</s:v>
      </s:c>
      <s:c r="B369" s="0" t="inlineStr">
        <s:is>
          <s:t>이종훈</s:t>
        </s:is>
      </s:c>
      <s:c r="C369" s="0" t="n">
        <s:v>91255</s:v>
      </s:c>
      <s:c r="D369" s="0" t="n">
        <s:v>4928</s:v>
      </s:c>
      <s:c r="E369" s="0" t="n">
        <s:v>24.399</s:v>
      </s:c>
      <s:c r="F369" s="24">
        <s:f>'자료구성'!$B$2+TIME(INT($C$3/10000),INT(MOD($C$3,10000)/100),MOD($C$3,100))+(ROW()-ROW($C$3))/86400</s:f>
        <s:v>46247.38820601852</s:v>
      </s:c>
    </s:row>
    <s:row r="370">
      <s:c r="A370" s="0" t="n">
        <s:v>260813</s:v>
      </s:c>
      <s:c r="B370" s="0" t="inlineStr">
        <s:is>
          <s:t>이종훈</s:t>
        </s:is>
      </s:c>
      <s:c r="C370" s="0" t="n">
        <s:v>91255</s:v>
      </s:c>
      <s:c r="D370" s="0" t="n">
        <s:v>4929</s:v>
      </s:c>
      <s:c r="E370" s="0" t="n">
        <s:v>24.399</s:v>
      </s:c>
      <s:c r="F370" s="24">
        <s:f>'자료구성'!$B$2+TIME(INT($C$3/10000),INT(MOD($C$3,10000)/100),MOD($C$3,100))+(ROW()-ROW($C$3))/86400</s:f>
        <s:v>46247.38821759259</s:v>
      </s:c>
    </s:row>
    <s:row r="371">
      <s:c r="A371" s="0" t="n">
        <s:v>260813</s:v>
      </s:c>
      <s:c r="B371" s="0" t="inlineStr">
        <s:is>
          <s:t>이종훈</s:t>
        </s:is>
      </s:c>
      <s:c r="C371" s="0" t="n">
        <s:v>91255</s:v>
      </s:c>
      <s:c r="D371" s="0" t="n">
        <s:v>4952</s:v>
      </s:c>
      <s:c r="E371" s="0" t="n">
        <s:v>24.399</s:v>
      </s:c>
      <s:c r="F371" s="24">
        <s:f>'자료구성'!$B$2+TIME(INT($C$3/10000),INT(MOD($C$3,10000)/100),MOD($C$3,100))+(ROW()-ROW($C$3))/86400</s:f>
        <s:v>46247.38822916667</s:v>
      </s:c>
    </s:row>
    <s:row r="372">
      <s:c r="A372" s="0" t="n">
        <s:v>260813</s:v>
      </s:c>
      <s:c r="B372" s="0" t="inlineStr">
        <s:is>
          <s:t>이종훈</s:t>
        </s:is>
      </s:c>
      <s:c r="C372" s="0" t="n">
        <s:v>91255</s:v>
      </s:c>
      <s:c r="D372" s="0" t="n">
        <s:v>5028</s:v>
      </s:c>
      <s:c r="E372" s="0" t="n">
        <s:v>24.399</s:v>
      </s:c>
      <s:c r="F372" s="24">
        <s:f>'자료구성'!$B$2+TIME(INT($C$3/10000),INT(MOD($C$3,10000)/100),MOD($C$3,100))+(ROW()-ROW($C$3))/86400</s:f>
        <s:v>46247.388240740744</s:v>
      </s:c>
    </s:row>
    <s:row r="373">
      <s:c r="A373" s="0" t="n">
        <s:v>260813</s:v>
      </s:c>
      <s:c r="B373" s="0" t="inlineStr">
        <s:is>
          <s:t>이종훈</s:t>
        </s:is>
      </s:c>
      <s:c r="C373" s="0" t="n">
        <s:v>91255</s:v>
      </s:c>
      <s:c r="D373" s="0" t="n">
        <s:v>5182</s:v>
      </s:c>
      <s:c r="E373" s="0" t="n">
        <s:v>24.399</s:v>
      </s:c>
      <s:c r="F373" s="24">
        <s:f>'자료구성'!$B$2+TIME(INT($C$3/10000),INT(MOD($C$3,10000)/100),MOD($C$3,100))+(ROW()-ROW($C$3))/86400</s:f>
        <s:v>46247.38825231481</s:v>
      </s:c>
    </s:row>
    <s:row r="374">
      <s:c r="A374" s="0" t="n">
        <s:v>260813</s:v>
      </s:c>
      <s:c r="B374" s="0" t="inlineStr">
        <s:is>
          <s:t>이종훈</s:t>
        </s:is>
      </s:c>
      <s:c r="C374" s="0" t="n">
        <s:v>91255</s:v>
      </s:c>
      <s:c r="D374" s="0" t="n">
        <s:v>5334</s:v>
      </s:c>
      <s:c r="E374" s="0" t="n">
        <s:v>24.399</s:v>
      </s:c>
      <s:c r="F374" s="24">
        <s:f>'자료구성'!$B$2+TIME(INT($C$3/10000),INT(MOD($C$3,10000)/100),MOD($C$3,100))+(ROW()-ROW($C$3))/86400</s:f>
        <s:v>46247.38826388889</s:v>
      </s:c>
    </s:row>
    <s:row r="375">
      <s:c r="A375" s="0" t="n">
        <s:v>260813</s:v>
      </s:c>
      <s:c r="B375" s="0" t="inlineStr">
        <s:is>
          <s:t>이종훈</s:t>
        </s:is>
      </s:c>
      <s:c r="C375" s="0" t="n">
        <s:v>91255</s:v>
      </s:c>
      <s:c r="D375" s="0" t="n">
        <s:v>5382</s:v>
      </s:c>
      <s:c r="E375" s="0" t="n">
        <s:v>24.399</s:v>
      </s:c>
      <s:c r="F375" s="24">
        <s:f>'자료구성'!$B$2+TIME(INT($C$3/10000),INT(MOD($C$3,10000)/100),MOD($C$3,100))+(ROW()-ROW($C$3))/86400</s:f>
        <s:v>46247.38827546296</s:v>
      </s:c>
    </s:row>
    <s:row r="376">
      <s:c r="A376" s="0" t="n">
        <s:v>260813</s:v>
      </s:c>
      <s:c r="B376" s="0" t="inlineStr">
        <s:is>
          <s:t>이종훈</s:t>
        </s:is>
      </s:c>
      <s:c r="C376" s="0" t="n">
        <s:v>91255</s:v>
      </s:c>
      <s:c r="D376" s="0" t="n">
        <s:v>5397</s:v>
      </s:c>
      <s:c r="E376" s="0" t="n">
        <s:v>24.399</s:v>
      </s:c>
      <s:c r="F376" s="24">
        <s:f>'자료구성'!$B$2+TIME(INT($C$3/10000),INT(MOD($C$3,10000)/100),MOD($C$3,100))+(ROW()-ROW($C$3))/86400</s:f>
        <s:v>46247.388287037036</s:v>
      </s:c>
    </s:row>
    <s:row r="377">
      <s:c r="A377" s="0" t="n">
        <s:v>260813</s:v>
      </s:c>
      <s:c r="B377" s="0" t="inlineStr">
        <s:is>
          <s:t>이종훈</s:t>
        </s:is>
      </s:c>
      <s:c r="C377" s="0" t="n">
        <s:v>91255</s:v>
      </s:c>
      <s:c r="D377" s="0" t="n">
        <s:v>5393</s:v>
      </s:c>
      <s:c r="E377" s="0" t="n">
        <s:v>24.399</s:v>
      </s:c>
      <s:c r="F377" s="24">
        <s:f>'자료구성'!$B$2+TIME(INT($C$3/10000),INT(MOD($C$3,10000)/100),MOD($C$3,100))+(ROW()-ROW($C$3))/86400</s:f>
        <s:v>46247.38829861111</s:v>
      </s:c>
    </s:row>
    <s:row r="378">
      <s:c r="A378" s="0" t="n">
        <s:v>260813</s:v>
      </s:c>
      <s:c r="B378" s="0" t="inlineStr">
        <s:is>
          <s:t>이종훈</s:t>
        </s:is>
      </s:c>
      <s:c r="C378" s="0" t="n">
        <s:v>91255</s:v>
      </s:c>
      <s:c r="D378" s="0" t="n">
        <s:v>5435</s:v>
      </s:c>
      <s:c r="E378" s="0" t="n">
        <s:v>24.399</s:v>
      </s:c>
      <s:c r="F378" s="24">
        <s:f>'자료구성'!$B$2+TIME(INT($C$3/10000),INT(MOD($C$3,10000)/100),MOD($C$3,100))+(ROW()-ROW($C$3))/86400</s:f>
        <s:v>46247.38831018518</s:v>
      </s:c>
    </s:row>
    <s:row r="379">
      <s:c r="A379" s="0" t="n">
        <s:v>260813</s:v>
      </s:c>
      <s:c r="B379" s="0" t="inlineStr">
        <s:is>
          <s:t>이종훈</s:t>
        </s:is>
      </s:c>
      <s:c r="C379" s="0" t="n">
        <s:v>91255</s:v>
      </s:c>
      <s:c r="D379" s="0" t="n">
        <s:v>5446</s:v>
      </s:c>
      <s:c r="E379" s="0" t="n">
        <s:v>24.399</s:v>
      </s:c>
      <s:c r="F379" s="24">
        <s:f>'자료구성'!$B$2+TIME(INT($C$3/10000),INT(MOD($C$3,10000)/100),MOD($C$3,100))+(ROW()-ROW($C$3))/86400</s:f>
        <s:v>46247.38832175926</s:v>
      </s:c>
    </s:row>
    <s:row r="380">
      <s:c r="A380" s="0" t="n">
        <s:v>260813</s:v>
      </s:c>
      <s:c r="B380" s="0" t="inlineStr">
        <s:is>
          <s:t>이종훈</s:t>
        </s:is>
      </s:c>
      <s:c r="C380" s="0" t="n">
        <s:v>91255</s:v>
      </s:c>
      <s:c r="D380" s="0" t="n">
        <s:v>5495</s:v>
      </s:c>
      <s:c r="E380" s="0" t="n">
        <s:v>24.399</s:v>
      </s:c>
      <s:c r="F380" s="24">
        <s:f>'자료구성'!$B$2+TIME(INT($C$3/10000),INT(MOD($C$3,10000)/100),MOD($C$3,100))+(ROW()-ROW($C$3))/86400</s:f>
        <s:v>46247.388333333336</s:v>
      </s:c>
    </s:row>
    <s:row r="381">
      <s:c r="A381" s="0" t="n">
        <s:v>260813</s:v>
      </s:c>
      <s:c r="B381" s="0" t="inlineStr">
        <s:is>
          <s:t>이종훈</s:t>
        </s:is>
      </s:c>
      <s:c r="C381" s="0" t="n">
        <s:v>91255</s:v>
      </s:c>
      <s:c r="D381" s="0" t="n">
        <s:v>5496</s:v>
      </s:c>
      <s:c r="E381" s="0" t="n">
        <s:v>24.399</s:v>
      </s:c>
      <s:c r="F381" s="24">
        <s:f>'자료구성'!$B$2+TIME(INT($C$3/10000),INT(MOD($C$3,10000)/100),MOD($C$3,100))+(ROW()-ROW($C$3))/86400</s:f>
        <s:v>46247.388344907406</s:v>
      </s:c>
    </s:row>
    <s:row r="382">
      <s:c r="A382" s="0" t="n">
        <s:v>260813</s:v>
      </s:c>
      <s:c r="B382" s="0" t="inlineStr">
        <s:is>
          <s:t>이종훈</s:t>
        </s:is>
      </s:c>
      <s:c r="C382" s="0" t="n">
        <s:v>91255</s:v>
      </s:c>
      <s:c r="D382" s="0" t="n">
        <s:v>5526</s:v>
      </s:c>
      <s:c r="E382" s="0" t="n">
        <s:v>24.399</s:v>
      </s:c>
      <s:c r="F382" s="24">
        <s:f>'자료구성'!$B$2+TIME(INT($C$3/10000),INT(MOD($C$3,10000)/100),MOD($C$3,100))+(ROW()-ROW($C$3))/86400</s:f>
        <s:v>46247.38835648148</s:v>
      </s:c>
    </s:row>
    <s:row r="383">
      <s:c r="A383" s="0" t="n">
        <s:v>260813</s:v>
      </s:c>
      <s:c r="B383" s="0" t="inlineStr">
        <s:is>
          <s:t>이종훈</s:t>
        </s:is>
      </s:c>
      <s:c r="C383" s="0" t="n">
        <s:v>91255</s:v>
      </s:c>
      <s:c r="D383" s="0" t="n">
        <s:v>5537</s:v>
      </s:c>
      <s:c r="E383" s="0" t="n">
        <s:v>24.399</s:v>
      </s:c>
      <s:c r="F383" s="24">
        <s:f>'자료구성'!$B$2+TIME(INT($C$3/10000),INT(MOD($C$3,10000)/100),MOD($C$3,100))+(ROW()-ROW($C$3))/86400</s:f>
        <s:v>46247.38836805556</s:v>
      </s:c>
    </s:row>
    <s:row r="384">
      <s:c r="A384" s="0" t="n">
        <s:v>260813</s:v>
      </s:c>
      <s:c r="B384" s="0" t="inlineStr">
        <s:is>
          <s:t>이종훈</s:t>
        </s:is>
      </s:c>
      <s:c r="C384" s="0" t="n">
        <s:v>91255</s:v>
      </s:c>
      <s:c r="D384" s="0" t="n">
        <s:v>5653</s:v>
      </s:c>
      <s:c r="E384" s="0" t="n">
        <s:v>24.399</s:v>
      </s:c>
      <s:c r="F384" s="24">
        <s:f>'자료구성'!$B$2+TIME(INT($C$3/10000),INT(MOD($C$3,10000)/100),MOD($C$3,100))+(ROW()-ROW($C$3))/86400</s:f>
        <s:v>46247.38837962963</s:v>
      </s:c>
    </s:row>
    <s:row r="385">
      <s:c r="A385" s="0" t="n">
        <s:v>260813</s:v>
      </s:c>
      <s:c r="B385" s="0" t="inlineStr">
        <s:is>
          <s:t>이종훈</s:t>
        </s:is>
      </s:c>
      <s:c r="C385" s="0" t="n">
        <s:v>91255</s:v>
      </s:c>
      <s:c r="D385" s="0" t="n">
        <s:v>5692</s:v>
      </s:c>
      <s:c r="E385" s="0" t="n">
        <s:v>24.399</s:v>
      </s:c>
      <s:c r="F385" s="24">
        <s:f>'자료구성'!$B$2+TIME(INT($C$3/10000),INT(MOD($C$3,10000)/100),MOD($C$3,100))+(ROW()-ROW($C$3))/86400</s:f>
        <s:v>46247.388391203705</s:v>
      </s:c>
    </s:row>
    <s:row r="386">
      <s:c r="A386" s="0" t="n">
        <s:v>260813</s:v>
      </s:c>
      <s:c r="B386" s="0" t="inlineStr">
        <s:is>
          <s:t>이종훈</s:t>
        </s:is>
      </s:c>
      <s:c r="C386" s="0" t="n">
        <s:v>91255</s:v>
      </s:c>
      <s:c r="D386" s="0" t="n">
        <s:v>5725</s:v>
      </s:c>
      <s:c r="E386" s="0" t="n">
        <s:v>24.399</s:v>
      </s:c>
      <s:c r="F386" s="24">
        <s:f>'자료구성'!$B$2+TIME(INT($C$3/10000),INT(MOD($C$3,10000)/100),MOD($C$3,100))+(ROW()-ROW($C$3))/86400</s:f>
        <s:v>46247.388402777775</s:v>
      </s:c>
    </s:row>
    <s:row r="387">
      <s:c r="A387" s="0" t="n">
        <s:v>260813</s:v>
      </s:c>
      <s:c r="B387" s="0" t="inlineStr">
        <s:is>
          <s:t>이종훈</s:t>
        </s:is>
      </s:c>
      <s:c r="C387" s="0" t="n">
        <s:v>91255</s:v>
      </s:c>
      <s:c r="D387" s="0" t="n">
        <s:v>5746</s:v>
      </s:c>
      <s:c r="E387" s="0" t="n">
        <s:v>24.399</s:v>
      </s:c>
      <s:c r="F387" s="24">
        <s:f>'자료구성'!$B$2+TIME(INT($C$3/10000),INT(MOD($C$3,10000)/100),MOD($C$3,100))+(ROW()-ROW($C$3))/86400</s:f>
        <s:v>46247.38841435185</s:v>
      </s:c>
    </s:row>
    <s:row r="388">
      <s:c r="A388" s="0" t="n">
        <s:v>260813</s:v>
      </s:c>
      <s:c r="B388" s="0" t="inlineStr">
        <s:is>
          <s:t>이종훈</s:t>
        </s:is>
      </s:c>
      <s:c r="C388" s="0" t="n">
        <s:v>91255</s:v>
      </s:c>
      <s:c r="D388" s="0" t="n">
        <s:v>5658</s:v>
      </s:c>
      <s:c r="E388" s="0" t="n">
        <s:v>24.399</s:v>
      </s:c>
      <s:c r="F388" s="24">
        <s:f>'자료구성'!$B$2+TIME(INT($C$3/10000),INT(MOD($C$3,10000)/100),MOD($C$3,100))+(ROW()-ROW($C$3))/86400</s:f>
        <s:v>46247.38842592593</s:v>
      </s:c>
    </s:row>
    <s:row r="389">
      <s:c r="A389" s="0" t="n">
        <s:v>260813</s:v>
      </s:c>
      <s:c r="B389" s="0" t="inlineStr">
        <s:is>
          <s:t>이종훈</s:t>
        </s:is>
      </s:c>
      <s:c r="C389" s="0" t="n">
        <s:v>91255</s:v>
      </s:c>
      <s:c r="D389" s="0" t="n">
        <s:v>5417</s:v>
      </s:c>
      <s:c r="E389" s="0" t="n">
        <s:v>24.399</s:v>
      </s:c>
      <s:c r="F389" s="24">
        <s:f>'자료구성'!$B$2+TIME(INT($C$3/10000),INT(MOD($C$3,10000)/100),MOD($C$3,100))+(ROW()-ROW($C$3))/86400</s:f>
        <s:v>46247.3884375</s:v>
      </s:c>
    </s:row>
    <s:row r="390">
      <s:c r="A390" s="0" t="n">
        <s:v>260813</s:v>
      </s:c>
      <s:c r="B390" s="0" t="inlineStr">
        <s:is>
          <s:t>이종훈</s:t>
        </s:is>
      </s:c>
      <s:c r="C390" s="0" t="n">
        <s:v>91255</s:v>
      </s:c>
      <s:c r="D390" s="0" t="n">
        <s:v>5201</s:v>
      </s:c>
      <s:c r="E390" s="0" t="n">
        <s:v>24.399</s:v>
      </s:c>
      <s:c r="F390" s="24">
        <s:f>'자료구성'!$B$2+TIME(INT($C$3/10000),INT(MOD($C$3,10000)/100),MOD($C$3,100))+(ROW()-ROW($C$3))/86400</s:f>
        <s:v>46247.388449074075</s:v>
      </s:c>
    </s:row>
    <s:row r="391">
      <s:c r="A391" s="0" t="n">
        <s:v>260813</s:v>
      </s:c>
      <s:c r="B391" s="0" t="inlineStr">
        <s:is>
          <s:t>이종훈</s:t>
        </s:is>
      </s:c>
      <s:c r="C391" s="0" t="n">
        <s:v>91255</s:v>
      </s:c>
      <s:c r="D391" s="0" t="n">
        <s:v>5160</s:v>
      </s:c>
      <s:c r="E391" s="0" t="n">
        <s:v>24.399</s:v>
      </s:c>
      <s:c r="F391" s="24">
        <s:f>'자료구성'!$B$2+TIME(INT($C$3/10000),INT(MOD($C$3,10000)/100),MOD($C$3,100))+(ROW()-ROW($C$3))/86400</s:f>
        <s:v>46247.38846064815</s:v>
      </s:c>
    </s:row>
    <s:row r="392">
      <s:c r="A392" s="0" t="n">
        <s:v>260813</s:v>
      </s:c>
      <s:c r="B392" s="0" t="inlineStr">
        <s:is>
          <s:t>이종훈</s:t>
        </s:is>
      </s:c>
      <s:c r="C392" s="0" t="n">
        <s:v>91255</s:v>
      </s:c>
      <s:c r="D392" s="0" t="n">
        <s:v>5281</s:v>
      </s:c>
      <s:c r="E392" s="0" t="n">
        <s:v>24.399</s:v>
      </s:c>
      <s:c r="F392" s="24">
        <s:f>'자료구성'!$B$2+TIME(INT($C$3/10000),INT(MOD($C$3,10000)/100),MOD($C$3,100))+(ROW()-ROW($C$3))/86400</s:f>
        <s:v>46247.38847222222</s:v>
      </s:c>
    </s:row>
    <s:row r="393">
      <s:c r="A393" s="0" t="n">
        <s:v>260813</s:v>
      </s:c>
      <s:c r="B393" s="0" t="inlineStr">
        <s:is>
          <s:t>이종훈</s:t>
        </s:is>
      </s:c>
      <s:c r="C393" s="0" t="n">
        <s:v>91255</s:v>
      </s:c>
      <s:c r="D393" s="0" t="n">
        <s:v>5464</s:v>
      </s:c>
      <s:c r="E393" s="0" t="n">
        <s:v>24.399</s:v>
      </s:c>
      <s:c r="F393" s="24">
        <s:f>'자료구성'!$B$2+TIME(INT($C$3/10000),INT(MOD($C$3,10000)/100),MOD($C$3,100))+(ROW()-ROW($C$3))/86400</s:f>
        <s:v>46247.3884837963</s:v>
      </s:c>
    </s:row>
    <s:row r="394">
      <s:c r="A394" s="0" t="n">
        <s:v>260813</s:v>
      </s:c>
      <s:c r="B394" s="0" t="inlineStr">
        <s:is>
          <s:t>이종훈</s:t>
        </s:is>
      </s:c>
      <s:c r="C394" s="0" t="n">
        <s:v>91255</s:v>
      </s:c>
      <s:c r="D394" s="0" t="n">
        <s:v>5631</s:v>
      </s:c>
      <s:c r="E394" s="0" t="n">
        <s:v>24.399</s:v>
      </s:c>
      <s:c r="F394" s="24">
        <s:f>'자료구성'!$B$2+TIME(INT($C$3/10000),INT(MOD($C$3,10000)/100),MOD($C$3,100))+(ROW()-ROW($C$3))/86400</s:f>
        <s:v>46247.38849537037</s:v>
      </s:c>
    </s:row>
    <s:row r="395">
      <s:c r="A395" s="0" t="n">
        <s:v>260813</s:v>
      </s:c>
      <s:c r="B395" s="0" t="inlineStr">
        <s:is>
          <s:t>이종훈</s:t>
        </s:is>
      </s:c>
      <s:c r="C395" s="0" t="n">
        <s:v>91255</s:v>
      </s:c>
      <s:c r="D395" s="0" t="n">
        <s:v>5830</s:v>
      </s:c>
      <s:c r="E395" s="0" t="n">
        <s:v>24.399</s:v>
      </s:c>
      <s:c r="F395" s="24">
        <s:f>'자료구성'!$B$2+TIME(INT($C$3/10000),INT(MOD($C$3,10000)/100),MOD($C$3,100))+(ROW()-ROW($C$3))/86400</s:f>
        <s:v>46247.388506944444</s:v>
      </s:c>
    </s:row>
    <s:row r="396">
      <s:c r="A396" s="0" t="n">
        <s:v>260813</s:v>
      </s:c>
      <s:c r="B396" s="0" t="inlineStr">
        <s:is>
          <s:t>이종훈</s:t>
        </s:is>
      </s:c>
      <s:c r="C396" s="0" t="n">
        <s:v>91255</s:v>
      </s:c>
      <s:c r="D396" s="0" t="n">
        <s:v>5931</s:v>
      </s:c>
      <s:c r="E396" s="0" t="n">
        <s:v>24.399</s:v>
      </s:c>
      <s:c r="F396" s="24">
        <s:f>'자료구성'!$B$2+TIME(INT($C$3/10000),INT(MOD($C$3,10000)/100),MOD($C$3,100))+(ROW()-ROW($C$3))/86400</s:f>
        <s:v>46247.38851851852</s:v>
      </s:c>
    </s:row>
    <s:row r="397">
      <s:c r="A397" s="0" t="n">
        <s:v>260813</s:v>
      </s:c>
      <s:c r="B397" s="0" t="inlineStr">
        <s:is>
          <s:t>이종훈</s:t>
        </s:is>
      </s:c>
      <s:c r="C397" s="0" t="n">
        <s:v>91255</s:v>
      </s:c>
      <s:c r="D397" s="0" t="n">
        <s:v>5965</s:v>
      </s:c>
      <s:c r="E397" s="0" t="n">
        <s:v>24.399</s:v>
      </s:c>
      <s:c r="F397" s="24">
        <s:f>'자료구성'!$B$2+TIME(INT($C$3/10000),INT(MOD($C$3,10000)/100),MOD($C$3,100))+(ROW()-ROW($C$3))/86400</s:f>
        <s:v>46247.38853009259</s:v>
      </s:c>
    </s:row>
    <s:row r="398">
      <s:c r="A398" s="0" t="n">
        <s:v>260813</s:v>
      </s:c>
      <s:c r="B398" s="0" t="inlineStr">
        <s:is>
          <s:t>이종훈</s:t>
        </s:is>
      </s:c>
      <s:c r="C398" s="0" t="n">
        <s:v>91255</s:v>
      </s:c>
      <s:c r="D398" s="0" t="n">
        <s:v>5926</s:v>
      </s:c>
      <s:c r="E398" s="0" t="n">
        <s:v>24.399</s:v>
      </s:c>
      <s:c r="F398" s="24">
        <s:f>'자료구성'!$B$2+TIME(INT($C$3/10000),INT(MOD($C$3,10000)/100),MOD($C$3,100))+(ROW()-ROW($C$3))/86400</s:f>
        <s:v>46247.38854166667</s:v>
      </s:c>
    </s:row>
    <s:row r="399">
      <s:c r="A399" s="0" t="n">
        <s:v>260813</s:v>
      </s:c>
      <s:c r="B399" s="0" t="inlineStr">
        <s:is>
          <s:t>이종훈</s:t>
        </s:is>
      </s:c>
      <s:c r="C399" s="0" t="n">
        <s:v>91255</s:v>
      </s:c>
      <s:c r="D399" s="0" t="n">
        <s:v>5996</s:v>
      </s:c>
      <s:c r="E399" s="0" t="n">
        <s:v>24.399</s:v>
      </s:c>
      <s:c r="F399" s="24">
        <s:f>'자료구성'!$B$2+TIME(INT($C$3/10000),INT(MOD($C$3,10000)/100),MOD($C$3,100))+(ROW()-ROW($C$3))/86400</s:f>
        <s:v>46247.388553240744</s:v>
      </s:c>
    </s:row>
    <s:row r="400">
      <s:c r="A400" s="0" t="n">
        <s:v>260813</s:v>
      </s:c>
      <s:c r="B400" s="0" t="inlineStr">
        <s:is>
          <s:t>이종훈</s:t>
        </s:is>
      </s:c>
      <s:c r="C400" s="0" t="n">
        <s:v>91255</s:v>
      </s:c>
      <s:c r="D400" s="0" t="n">
        <s:v>5959</s:v>
      </s:c>
      <s:c r="E400" s="0" t="n">
        <s:v>24.399</s:v>
      </s:c>
      <s:c r="F400" s="24">
        <s:f>'자료구성'!$B$2+TIME(INT($C$3/10000),INT(MOD($C$3,10000)/100),MOD($C$3,100))+(ROW()-ROW($C$3))/86400</s:f>
        <s:v>46247.38856481481</s:v>
      </s:c>
    </s:row>
    <s:row r="401">
      <s:c r="A401" s="0" t="n">
        <s:v>260813</s:v>
      </s:c>
      <s:c r="B401" s="0" t="inlineStr">
        <s:is>
          <s:t>이종훈</s:t>
        </s:is>
      </s:c>
      <s:c r="C401" s="0" t="n">
        <s:v>91255</s:v>
      </s:c>
      <s:c r="D401" s="0" t="n">
        <s:v>5973</s:v>
      </s:c>
      <s:c r="E401" s="0" t="n">
        <s:v>24.399</s:v>
      </s:c>
      <s:c r="F401" s="24">
        <s:f>'자료구성'!$B$2+TIME(INT($C$3/10000),INT(MOD($C$3,10000)/100),MOD($C$3,100))+(ROW()-ROW($C$3))/86400</s:f>
        <s:v>46247.38857638889</s:v>
      </s:c>
    </s:row>
    <s:row r="402">
      <s:c r="A402" s="0" t="n">
        <s:v>260813</s:v>
      </s:c>
      <s:c r="B402" s="0" t="inlineStr">
        <s:is>
          <s:t>이종훈</s:t>
        </s:is>
      </s:c>
      <s:c r="C402" s="0" t="n">
        <s:v>91255</s:v>
      </s:c>
      <s:c r="D402" s="0" t="n">
        <s:v>6058</s:v>
      </s:c>
      <s:c r="E402" s="0" t="n">
        <s:v>24.399</s:v>
      </s:c>
      <s:c r="F402" s="24">
        <s:f>'자료구성'!$B$2+TIME(INT($C$3/10000),INT(MOD($C$3,10000)/100),MOD($C$3,100))+(ROW()-ROW($C$3))/86400</s:f>
        <s:v>46247.38858796296</s:v>
      </s:c>
    </s:row>
    <s:row r="403">
      <s:c r="A403" s="0" t="n">
        <s:v>260813</s:v>
      </s:c>
      <s:c r="B403" s="0" t="inlineStr">
        <s:is>
          <s:t>이종훈</s:t>
        </s:is>
      </s:c>
      <s:c r="C403" s="0" t="n">
        <s:v>91255</s:v>
      </s:c>
      <s:c r="D403" s="0" t="n">
        <s:v>6241</s:v>
      </s:c>
      <s:c r="E403" s="0" t="n">
        <s:v>24.399</s:v>
      </s:c>
      <s:c r="F403" s="24">
        <s:f>'자료구성'!$B$2+TIME(INT($C$3/10000),INT(MOD($C$3,10000)/100),MOD($C$3,100))+(ROW()-ROW($C$3))/86400</s:f>
        <s:v>46247.38859953704</s:v>
      </s:c>
    </s:row>
    <s:row r="404">
      <s:c r="A404" s="0" t="n">
        <s:v>260813</s:v>
      </s:c>
      <s:c r="B404" s="0" t="inlineStr">
        <s:is>
          <s:t>이종훈</s:t>
        </s:is>
      </s:c>
      <s:c r="C404" s="0" t="n">
        <s:v>91255</s:v>
      </s:c>
      <s:c r="D404" s="0" t="n">
        <s:v>6500</s:v>
      </s:c>
      <s:c r="E404" s="0" t="n">
        <s:v>24.399</s:v>
      </s:c>
      <s:c r="F404" s="24">
        <s:f>'자료구성'!$B$2+TIME(INT($C$3/10000),INT(MOD($C$3,10000)/100),MOD($C$3,100))+(ROW()-ROW($C$3))/86400</s:f>
        <s:v>46247.38861111111</s:v>
      </s:c>
    </s:row>
    <s:row r="405">
      <s:c r="A405" s="0" t="n">
        <s:v>260813</s:v>
      </s:c>
      <s:c r="B405" s="0" t="inlineStr">
        <s:is>
          <s:t>이종훈</s:t>
        </s:is>
      </s:c>
      <s:c r="C405" s="0" t="n">
        <s:v>91255</s:v>
      </s:c>
      <s:c r="D405" s="0" t="n">
        <s:v>6700</s:v>
      </s:c>
      <s:c r="E405" s="0" t="n">
        <s:v>24.399</s:v>
      </s:c>
      <s:c r="F405" s="24">
        <s:f>'자료구성'!$B$2+TIME(INT($C$3/10000),INT(MOD($C$3,10000)/100),MOD($C$3,100))+(ROW()-ROW($C$3))/86400</s:f>
        <s:v>46247.38862268518</s:v>
      </s:c>
    </s:row>
    <s:row r="406">
      <s:c r="A406" s="0" t="n">
        <s:v>260813</s:v>
      </s:c>
      <s:c r="B406" s="0" t="inlineStr">
        <s:is>
          <s:t>이종훈</s:t>
        </s:is>
      </s:c>
      <s:c r="C406" s="0" t="n">
        <s:v>91255</s:v>
      </s:c>
      <s:c r="D406" s="0" t="n">
        <s:v>6861</s:v>
      </s:c>
      <s:c r="E406" s="0" t="n">
        <s:v>24.399</s:v>
      </s:c>
      <s:c r="F406" s="24">
        <s:f>'자료구성'!$B$2+TIME(INT($C$3/10000),INT(MOD($C$3,10000)/100),MOD($C$3,100))+(ROW()-ROW($C$3))/86400</s:f>
        <s:v>46247.38863425926</s:v>
      </s:c>
    </s:row>
    <s:row r="407">
      <s:c r="A407" s="0" t="n">
        <s:v>260813</s:v>
      </s:c>
      <s:c r="B407" s="0" t="inlineStr">
        <s:is>
          <s:t>이종훈</s:t>
        </s:is>
      </s:c>
      <s:c r="C407" s="0" t="n">
        <s:v>91255</s:v>
      </s:c>
      <s:c r="D407" s="0" t="n">
        <s:v>7006</s:v>
      </s:c>
      <s:c r="E407" s="0" t="n">
        <s:v>24.399</s:v>
      </s:c>
      <s:c r="F407" s="24">
        <s:f>'자료구성'!$B$2+TIME(INT($C$3/10000),INT(MOD($C$3,10000)/100),MOD($C$3,100))+(ROW()-ROW($C$3))/86400</s:f>
        <s:v>46247.388645833336</s:v>
      </s:c>
    </s:row>
    <s:row r="408">
      <s:c r="A408" s="0" t="n">
        <s:v>260813</s:v>
      </s:c>
      <s:c r="B408" s="0" t="inlineStr">
        <s:is>
          <s:t>이종훈</s:t>
        </s:is>
      </s:c>
      <s:c r="C408" s="0" t="n">
        <s:v>91255</s:v>
      </s:c>
      <s:c r="D408" s="0" t="n">
        <s:v>7132</s:v>
      </s:c>
      <s:c r="E408" s="0" t="n">
        <s:v>24.399</s:v>
      </s:c>
      <s:c r="F408" s="24">
        <s:f>'자료구성'!$B$2+TIME(INT($C$3/10000),INT(MOD($C$3,10000)/100),MOD($C$3,100))+(ROW()-ROW($C$3))/86400</s:f>
        <s:v>46247.388657407406</s:v>
      </s:c>
    </s:row>
    <s:row r="409">
      <s:c r="A409" s="0" t="n">
        <s:v>260813</s:v>
      </s:c>
      <s:c r="B409" s="0" t="inlineStr">
        <s:is>
          <s:t>이종훈</s:t>
        </s:is>
      </s:c>
      <s:c r="C409" s="0" t="n">
        <s:v>91255</s:v>
      </s:c>
      <s:c r="D409" s="0" t="n">
        <s:v>7270</s:v>
      </s:c>
      <s:c r="E409" s="0" t="n">
        <s:v>24.399</s:v>
      </s:c>
      <s:c r="F409" s="24">
        <s:f>'자료구성'!$B$2+TIME(INT($C$3/10000),INT(MOD($C$3,10000)/100),MOD($C$3,100))+(ROW()-ROW($C$3))/86400</s:f>
        <s:v>46247.38866898148</s:v>
      </s:c>
    </s:row>
    <s:row r="410">
      <s:c r="A410" s="0" t="n">
        <s:v>260813</s:v>
      </s:c>
      <s:c r="B410" s="0" t="inlineStr">
        <s:is>
          <s:t>이종훈</s:t>
        </s:is>
      </s:c>
      <s:c r="C410" s="0" t="n">
        <s:v>91255</s:v>
      </s:c>
      <s:c r="D410" s="0" t="n">
        <s:v>7367</s:v>
      </s:c>
      <s:c r="E410" s="0" t="n">
        <s:v>24.399</s:v>
      </s:c>
      <s:c r="F410" s="24">
        <s:f>'자료구성'!$B$2+TIME(INT($C$3/10000),INT(MOD($C$3,10000)/100),MOD($C$3,100))+(ROW()-ROW($C$3))/86400</s:f>
        <s:v>46247.38868055555</s:v>
      </s:c>
    </s:row>
    <s:row r="411">
      <s:c r="A411" s="0" t="n">
        <s:v>260813</s:v>
      </s:c>
      <s:c r="B411" s="0" t="inlineStr">
        <s:is>
          <s:t>이종훈</s:t>
        </s:is>
      </s:c>
      <s:c r="C411" s="0" t="n">
        <s:v>91255</s:v>
      </s:c>
      <s:c r="D411" s="0" t="n">
        <s:v>7483</s:v>
      </s:c>
      <s:c r="E411" s="0" t="n">
        <s:v>24.399</s:v>
      </s:c>
      <s:c r="F411" s="24">
        <s:f>'자료구성'!$B$2+TIME(INT($C$3/10000),INT(MOD($C$3,10000)/100),MOD($C$3,100))+(ROW()-ROW($C$3))/86400</s:f>
        <s:v>46247.38869212963</s:v>
      </s:c>
    </s:row>
    <s:row r="412">
      <s:c r="A412" s="0" t="n">
        <s:v>260813</s:v>
      </s:c>
      <s:c r="B412" s="0" t="inlineStr">
        <s:is>
          <s:t>이종훈</s:t>
        </s:is>
      </s:c>
      <s:c r="C412" s="0" t="n">
        <s:v>91255</s:v>
      </s:c>
      <s:c r="D412" s="0" t="n">
        <s:v>7523</s:v>
      </s:c>
      <s:c r="E412" s="0" t="n">
        <s:v>24.399</s:v>
      </s:c>
      <s:c r="F412" s="24">
        <s:f>'자료구성'!$B$2+TIME(INT($C$3/10000),INT(MOD($C$3,10000)/100),MOD($C$3,100))+(ROW()-ROW($C$3))/86400</s:f>
        <s:v>46247.388703703706</s:v>
      </s:c>
    </s:row>
    <s:row r="413">
      <s:c r="A413" s="0" t="n">
        <s:v>260813</s:v>
      </s:c>
      <s:c r="B413" s="0" t="inlineStr">
        <s:is>
          <s:t>이종훈</s:t>
        </s:is>
      </s:c>
      <s:c r="C413" s="0" t="n">
        <s:v>91255</s:v>
      </s:c>
      <s:c r="D413" s="0" t="n">
        <s:v>7502</s:v>
      </s:c>
      <s:c r="E413" s="0" t="n">
        <s:v>24.399</s:v>
      </s:c>
      <s:c r="F413" s="24">
        <s:f>'자료구성'!$B$2+TIME(INT($C$3/10000),INT(MOD($C$3,10000)/100),MOD($C$3,100))+(ROW()-ROW($C$3))/86400</s:f>
        <s:v>46247.388715277775</s:v>
      </s:c>
    </s:row>
    <s:row r="414">
      <s:c r="A414" s="0" t="n">
        <s:v>260813</s:v>
      </s:c>
      <s:c r="B414" s="0" t="inlineStr">
        <s:is>
          <s:t>이종훈</s:t>
        </s:is>
      </s:c>
      <s:c r="C414" s="0" t="n">
        <s:v>91255</s:v>
      </s:c>
      <s:c r="D414" s="0" t="n">
        <s:v>7554</s:v>
      </s:c>
      <s:c r="E414" s="0" t="n">
        <s:v>24.399</s:v>
      </s:c>
      <s:c r="F414" s="24">
        <s:f>'자료구성'!$B$2+TIME(INT($C$3/10000),INT(MOD($C$3,10000)/100),MOD($C$3,100))+(ROW()-ROW($C$3))/86400</s:f>
        <s:v>46247.38872685185</s:v>
      </s:c>
    </s:row>
    <s:row r="415">
      <s:c r="A415" s="0" t="n">
        <s:v>260813</s:v>
      </s:c>
      <s:c r="B415" s="0" t="inlineStr">
        <s:is>
          <s:t>이종훈</s:t>
        </s:is>
      </s:c>
      <s:c r="C415" s="0" t="n">
        <s:v>91255</s:v>
      </s:c>
      <s:c r="D415" s="0" t="n">
        <s:v>7540</s:v>
      </s:c>
      <s:c r="E415" s="0" t="n">
        <s:v>24.399</s:v>
      </s:c>
      <s:c r="F415" s="24">
        <s:f>'자료구성'!$B$2+TIME(INT($C$3/10000),INT(MOD($C$3,10000)/100),MOD($C$3,100))+(ROW()-ROW($C$3))/86400</s:f>
        <s:v>46247.38873842593</s:v>
      </s:c>
    </s:row>
    <s:row r="416">
      <s:c r="A416" s="0" t="n">
        <s:v>260813</s:v>
      </s:c>
      <s:c r="B416" s="0" t="inlineStr">
        <s:is>
          <s:t>이종훈</s:t>
        </s:is>
      </s:c>
      <s:c r="C416" s="0" t="n">
        <s:v>91255</s:v>
      </s:c>
      <s:c r="D416" s="0" t="n">
        <s:v>7537</s:v>
      </s:c>
      <s:c r="E416" s="0" t="n">
        <s:v>24.399</s:v>
      </s:c>
      <s:c r="F416" s="24">
        <s:f>'자료구성'!$B$2+TIME(INT($C$3/10000),INT(MOD($C$3,10000)/100),MOD($C$3,100))+(ROW()-ROW($C$3))/86400</s:f>
        <s:v>46247.38875</s:v>
      </s:c>
    </s:row>
    <s:row r="417">
      <s:c r="A417" s="0" t="n">
        <s:v>260813</s:v>
      </s:c>
      <s:c r="B417" s="0" t="inlineStr">
        <s:is>
          <s:t>이종훈</s:t>
        </s:is>
      </s:c>
      <s:c r="C417" s="0" t="n">
        <s:v>91255</s:v>
      </s:c>
      <s:c r="D417" s="0" t="n">
        <s:v>7433</s:v>
      </s:c>
      <s:c r="E417" s="0" t="n">
        <s:v>24.399</s:v>
      </s:c>
      <s:c r="F417" s="24">
        <s:f>'자료구성'!$B$2+TIME(INT($C$3/10000),INT(MOD($C$3,10000)/100),MOD($C$3,100))+(ROW()-ROW($C$3))/86400</s:f>
        <s:v>46247.388761574075</s:v>
      </s:c>
    </s:row>
    <s:row r="418">
      <s:c r="A418" s="0" t="n">
        <s:v>260813</s:v>
      </s:c>
      <s:c r="B418" s="0" t="inlineStr">
        <s:is>
          <s:t>이종훈</s:t>
        </s:is>
      </s:c>
      <s:c r="C418" s="0" t="n">
        <s:v>91255</s:v>
      </s:c>
      <s:c r="D418" s="0" t="n">
        <s:v>7284</s:v>
      </s:c>
      <s:c r="E418" s="0" t="n">
        <s:v>24.399</s:v>
      </s:c>
      <s:c r="F418" s="24">
        <s:f>'자료구성'!$B$2+TIME(INT($C$3/10000),INT(MOD($C$3,10000)/100),MOD($C$3,100))+(ROW()-ROW($C$3))/86400</s:f>
        <s:v>46247.388773148145</s:v>
      </s:c>
    </s:row>
    <s:row r="419">
      <s:c r="A419" s="0" t="n">
        <s:v>260813</s:v>
      </s:c>
      <s:c r="B419" s="0" t="inlineStr">
        <s:is>
          <s:t>이종훈</s:t>
        </s:is>
      </s:c>
      <s:c r="C419" s="0" t="n">
        <s:v>91255</s:v>
      </s:c>
      <s:c r="D419" s="0" t="n">
        <s:v>7139</s:v>
      </s:c>
      <s:c r="E419" s="0" t="n">
        <s:v>24.399</s:v>
      </s:c>
      <s:c r="F419" s="24">
        <s:f>'자료구성'!$B$2+TIME(INT($C$3/10000),INT(MOD($C$3,10000)/100),MOD($C$3,100))+(ROW()-ROW($C$3))/86400</s:f>
        <s:v>46247.38878472222</s:v>
      </s:c>
    </s:row>
    <s:row r="420">
      <s:c r="A420" s="0" t="n">
        <s:v>260813</s:v>
      </s:c>
      <s:c r="B420" s="0" t="inlineStr">
        <s:is>
          <s:t>이종훈</s:t>
        </s:is>
      </s:c>
      <s:c r="C420" s="0" t="n">
        <s:v>91255</s:v>
      </s:c>
      <s:c r="D420" s="0" t="n">
        <s:v>7066</s:v>
      </s:c>
      <s:c r="E420" s="0" t="n">
        <s:v>24.399</s:v>
      </s:c>
      <s:c r="F420" s="24">
        <s:f>'자료구성'!$B$2+TIME(INT($C$3/10000),INT(MOD($C$3,10000)/100),MOD($C$3,100))+(ROW()-ROW($C$3))/86400</s:f>
        <s:v>46247.3887962963</s:v>
      </s:c>
    </s:row>
    <s:row r="421">
      <s:c r="A421" s="0" t="n">
        <s:v>260813</s:v>
      </s:c>
      <s:c r="B421" s="0" t="inlineStr">
        <s:is>
          <s:t>이종훈</s:t>
        </s:is>
      </s:c>
      <s:c r="C421" s="0" t="n">
        <s:v>91255</s:v>
      </s:c>
      <s:c r="D421" s="0" t="n">
        <s:v>7005</s:v>
      </s:c>
      <s:c r="E421" s="0" t="n">
        <s:v>24.399</s:v>
      </s:c>
      <s:c r="F421" s="24">
        <s:f>'자료구성'!$B$2+TIME(INT($C$3/10000),INT(MOD($C$3,10000)/100),MOD($C$3,100))+(ROW()-ROW($C$3))/86400</s:f>
        <s:v>46247.38880787037</s:v>
      </s:c>
    </s:row>
    <s:row r="422">
      <s:c r="A422" s="0" t="n">
        <s:v>260813</s:v>
      </s:c>
      <s:c r="B422" s="0" t="inlineStr">
        <s:is>
          <s:t>이종훈</s:t>
        </s:is>
      </s:c>
      <s:c r="C422" s="0" t="n">
        <s:v>91255</s:v>
      </s:c>
      <s:c r="D422" s="0" t="n">
        <s:v>6962</s:v>
      </s:c>
      <s:c r="E422" s="0" t="n">
        <s:v>24.399</s:v>
      </s:c>
      <s:c r="F422" s="24">
        <s:f>'자료구성'!$B$2+TIME(INT($C$3/10000),INT(MOD($C$3,10000)/100),MOD($C$3,100))+(ROW()-ROW($C$3))/86400</s:f>
        <s:v>46247.388819444444</s:v>
      </s:c>
    </s:row>
    <s:row r="423">
      <s:c r="A423" s="0" t="n">
        <s:v>260813</s:v>
      </s:c>
      <s:c r="B423" s="0" t="inlineStr">
        <s:is>
          <s:t>이종훈</s:t>
        </s:is>
      </s:c>
      <s:c r="C423" s="0" t="n">
        <s:v>91255</s:v>
      </s:c>
      <s:c r="D423" s="0" t="n">
        <s:v>6884</s:v>
      </s:c>
      <s:c r="E423" s="0" t="n">
        <s:v>24.399</s:v>
      </s:c>
      <s:c r="F423" s="24">
        <s:f>'자료구성'!$B$2+TIME(INT($C$3/10000),INT(MOD($C$3,10000)/100),MOD($C$3,100))+(ROW()-ROW($C$3))/86400</s:f>
        <s:v>46247.38883101852</s:v>
      </s:c>
    </s:row>
    <s:row r="424">
      <s:c r="A424" s="0" t="n">
        <s:v>260813</s:v>
      </s:c>
      <s:c r="B424" s="0" t="inlineStr">
        <s:is>
          <s:t>이종훈</s:t>
        </s:is>
      </s:c>
      <s:c r="C424" s="0" t="n">
        <s:v>91255</s:v>
      </s:c>
      <s:c r="D424" s="0" t="n">
        <s:v>6726</s:v>
      </s:c>
      <s:c r="E424" s="0" t="n">
        <s:v>24.399</s:v>
      </s:c>
      <s:c r="F424" s="24">
        <s:f>'자료구성'!$B$2+TIME(INT($C$3/10000),INT(MOD($C$3,10000)/100),MOD($C$3,100))+(ROW()-ROW($C$3))/86400</s:f>
        <s:v>46247.38884259259</s:v>
      </s:c>
    </s:row>
    <s:row r="425">
      <s:c r="A425" s="0" t="n">
        <s:v>260813</s:v>
      </s:c>
      <s:c r="B425" s="0" t="inlineStr">
        <s:is>
          <s:t>이종훈</s:t>
        </s:is>
      </s:c>
      <s:c r="C425" s="0" t="n">
        <s:v>91255</s:v>
      </s:c>
      <s:c r="D425" s="0" t="n">
        <s:v>6606</s:v>
      </s:c>
      <s:c r="E425" s="0" t="n">
        <s:v>24.399</s:v>
      </s:c>
      <s:c r="F425" s="24">
        <s:f>'자료구성'!$B$2+TIME(INT($C$3/10000),INT(MOD($C$3,10000)/100),MOD($C$3,100))+(ROW()-ROW($C$3))/86400</s:f>
        <s:v>46247.38885416667</s:v>
      </s:c>
    </s:row>
    <s:row r="426">
      <s:c r="A426" s="0" t="n">
        <s:v>260813</s:v>
      </s:c>
      <s:c r="B426" s="0" t="inlineStr">
        <s:is>
          <s:t>이종훈</s:t>
        </s:is>
      </s:c>
      <s:c r="C426" s="0" t="n">
        <s:v>91255</s:v>
      </s:c>
      <s:c r="D426" s="0" t="n">
        <s:v>6631</s:v>
      </s:c>
      <s:c r="E426" s="0" t="n">
        <s:v>24.399</s:v>
      </s:c>
      <s:c r="F426" s="24">
        <s:f>'자료구성'!$B$2+TIME(INT($C$3/10000),INT(MOD($C$3,10000)/100),MOD($C$3,100))+(ROW()-ROW($C$3))/86400</s:f>
        <s:v>46247.388865740744</s:v>
      </s:c>
    </s:row>
    <s:row r="427">
      <s:c r="A427" s="0" t="n">
        <s:v>260813</s:v>
      </s:c>
      <s:c r="B427" s="0" t="inlineStr">
        <s:is>
          <s:t>이종훈</s:t>
        </s:is>
      </s:c>
      <s:c r="C427" s="0" t="n">
        <s:v>91255</s:v>
      </s:c>
      <s:c r="D427" s="0" t="n">
        <s:v>6737</s:v>
      </s:c>
      <s:c r="E427" s="0" t="n">
        <s:v>24.399</s:v>
      </s:c>
      <s:c r="F427" s="24">
        <s:f>'자료구성'!$B$2+TIME(INT($C$3/10000),INT(MOD($C$3,10000)/100),MOD($C$3,100))+(ROW()-ROW($C$3))/86400</s:f>
        <s:v>46247.388877314814</s:v>
      </s:c>
    </s:row>
    <s:row r="428">
      <s:c r="A428" s="0" t="n">
        <s:v>260813</s:v>
      </s:c>
      <s:c r="B428" s="0" t="inlineStr">
        <s:is>
          <s:t>이종훈</s:t>
        </s:is>
      </s:c>
      <s:c r="C428" s="0" t="n">
        <s:v>91255</s:v>
      </s:c>
      <s:c r="D428" s="0" t="n">
        <s:v>6725</s:v>
      </s:c>
      <s:c r="E428" s="0" t="n">
        <s:v>24.399</s:v>
      </s:c>
      <s:c r="F428" s="24">
        <s:f>'자료구성'!$B$2+TIME(INT($C$3/10000),INT(MOD($C$3,10000)/100),MOD($C$3,100))+(ROW()-ROW($C$3))/86400</s:f>
        <s:v>46247.38888888889</s:v>
      </s:c>
    </s:row>
    <s:row r="429">
      <s:c r="A429" s="0" t="n">
        <s:v>260813</s:v>
      </s:c>
      <s:c r="B429" s="0" t="inlineStr">
        <s:is>
          <s:t>이종훈</s:t>
        </s:is>
      </s:c>
      <s:c r="C429" s="0" t="n">
        <s:v>91255</s:v>
      </s:c>
      <s:c r="D429" s="0" t="n">
        <s:v>6668</s:v>
      </s:c>
      <s:c r="E429" s="0" t="n">
        <s:v>24.399</s:v>
      </s:c>
      <s:c r="F429" s="24">
        <s:f>'자료구성'!$B$2+TIME(INT($C$3/10000),INT(MOD($C$3,10000)/100),MOD($C$3,100))+(ROW()-ROW($C$3))/86400</s:f>
        <s:v>46247.38890046296</s:v>
      </s:c>
    </s:row>
    <s:row r="430">
      <s:c r="A430" s="0" t="n">
        <s:v>260813</s:v>
      </s:c>
      <s:c r="B430" s="0" t="inlineStr">
        <s:is>
          <s:t>이종훈</s:t>
        </s:is>
      </s:c>
      <s:c r="C430" s="0" t="n">
        <s:v>91255</s:v>
      </s:c>
      <s:c r="D430" s="0" t="n">
        <s:v>6624</s:v>
      </s:c>
      <s:c r="E430" s="0" t="n">
        <s:v>24.399</s:v>
      </s:c>
      <s:c r="F430" s="24">
        <s:f>'자료구성'!$B$2+TIME(INT($C$3/10000),INT(MOD($C$3,10000)/100),MOD($C$3,100))+(ROW()-ROW($C$3))/86400</s:f>
        <s:v>46247.38891203704</s:v>
      </s:c>
    </s:row>
    <s:row r="431">
      <s:c r="A431" s="0" t="n">
        <s:v>260813</s:v>
      </s:c>
      <s:c r="B431" s="0" t="inlineStr">
        <s:is>
          <s:t>이종훈</s:t>
        </s:is>
      </s:c>
      <s:c r="C431" s="0" t="n">
        <s:v>91255</s:v>
      </s:c>
      <s:c r="D431" s="0" t="n">
        <s:v>6584</s:v>
      </s:c>
      <s:c r="E431" s="0" t="n">
        <s:v>24.399</s:v>
      </s:c>
      <s:c r="F431" s="24">
        <s:f>'자료구성'!$B$2+TIME(INT($C$3/10000),INT(MOD($C$3,10000)/100),MOD($C$3,100))+(ROW()-ROW($C$3))/86400</s:f>
        <s:v>46247.38892361111</s:v>
      </s:c>
    </s:row>
    <s:row r="432">
      <s:c r="A432" s="0" t="n">
        <s:v>260813</s:v>
      </s:c>
      <s:c r="B432" s="0" t="inlineStr">
        <s:is>
          <s:t>이종훈</s:t>
        </s:is>
      </s:c>
      <s:c r="C432" s="0" t="n">
        <s:v>91255</s:v>
      </s:c>
      <s:c r="D432" s="0" t="n">
        <s:v>6485</s:v>
      </s:c>
      <s:c r="E432" s="0" t="n">
        <s:v>24.399</s:v>
      </s:c>
      <s:c r="F432" s="24">
        <s:f>'자료구성'!$B$2+TIME(INT($C$3/10000),INT(MOD($C$3,10000)/100),MOD($C$3,100))+(ROW()-ROW($C$3))/86400</s:f>
        <s:v>46247.38893518518</s:v>
      </s:c>
    </s:row>
    <s:row r="433">
      <s:c r="A433" s="0" t="n">
        <s:v>260813</s:v>
      </s:c>
      <s:c r="B433" s="0" t="inlineStr">
        <s:is>
          <s:t>이종훈</s:t>
        </s:is>
      </s:c>
      <s:c r="C433" s="0" t="n">
        <s:v>91255</s:v>
      </s:c>
      <s:c r="D433" s="0" t="n">
        <s:v>6357</s:v>
      </s:c>
      <s:c r="E433" s="0" t="n">
        <s:v>24.399</s:v>
      </s:c>
      <s:c r="F433" s="24">
        <s:f>'자료구성'!$B$2+TIME(INT($C$3/10000),INT(MOD($C$3,10000)/100),MOD($C$3,100))+(ROW()-ROW($C$3))/86400</s:f>
        <s:v>46247.38894675926</s:v>
      </s:c>
    </s:row>
    <s:row r="434">
      <s:c r="A434" s="0" t="n">
        <s:v>260813</s:v>
      </s:c>
      <s:c r="B434" s="0" t="inlineStr">
        <s:is>
          <s:t>이종훈</s:t>
        </s:is>
      </s:c>
      <s:c r="C434" s="0" t="n">
        <s:v>91255</s:v>
      </s:c>
      <s:c r="D434" s="0" t="n">
        <s:v>6239</s:v>
      </s:c>
      <s:c r="E434" s="0" t="n">
        <s:v>24.399</s:v>
      </s:c>
      <s:c r="F434" s="24">
        <s:f>'자료구성'!$B$2+TIME(INT($C$3/10000),INT(MOD($C$3,10000)/100),MOD($C$3,100))+(ROW()-ROW($C$3))/86400</s:f>
        <s:v>46247.38895833334</s:v>
      </s:c>
    </s:row>
    <s:row r="435">
      <s:c r="A435" s="0" t="n">
        <s:v>260813</s:v>
      </s:c>
      <s:c r="B435" s="0" t="inlineStr">
        <s:is>
          <s:t>이종훈</s:t>
        </s:is>
      </s:c>
      <s:c r="C435" s="0" t="n">
        <s:v>91255</s:v>
      </s:c>
      <s:c r="D435" s="0" t="n">
        <s:v>6157</s:v>
      </s:c>
      <s:c r="E435" s="0" t="n">
        <s:v>24.399</s:v>
      </s:c>
      <s:c r="F435" s="24">
        <s:f>'자료구성'!$B$2+TIME(INT($C$3/10000),INT(MOD($C$3,10000)/100),MOD($C$3,100))+(ROW()-ROW($C$3))/86400</s:f>
        <s:v>46247.388969907406</s:v>
      </s:c>
    </s:row>
    <s:row r="436">
      <s:c r="A436" s="0" t="n">
        <s:v>260813</s:v>
      </s:c>
      <s:c r="B436" s="0" t="inlineStr">
        <s:is>
          <s:t>이종훈</s:t>
        </s:is>
      </s:c>
      <s:c r="C436" s="0" t="n">
        <s:v>91255</s:v>
      </s:c>
      <s:c r="D436" s="0" t="n">
        <s:v>6095</s:v>
      </s:c>
      <s:c r="E436" s="0" t="n">
        <s:v>24.399</s:v>
      </s:c>
      <s:c r="F436" s="24">
        <s:f>'자료구성'!$B$2+TIME(INT($C$3/10000),INT(MOD($C$3,10000)/100),MOD($C$3,100))+(ROW()-ROW($C$3))/86400</s:f>
        <s:v>46247.38898148148</s:v>
      </s:c>
    </s:row>
    <s:row r="437">
      <s:c r="A437" s="0" t="n">
        <s:v>260813</s:v>
      </s:c>
      <s:c r="B437" s="0" t="inlineStr">
        <s:is>
          <s:t>이종훈</s:t>
        </s:is>
      </s:c>
      <s:c r="C437" s="0" t="n">
        <s:v>91255</s:v>
      </s:c>
      <s:c r="D437" s="0" t="n">
        <s:v>6047</s:v>
      </s:c>
      <s:c r="E437" s="0" t="n">
        <s:v>24.399</s:v>
      </s:c>
      <s:c r="F437" s="24">
        <s:f>'자료구성'!$B$2+TIME(INT($C$3/10000),INT(MOD($C$3,10000)/100),MOD($C$3,100))+(ROW()-ROW($C$3))/86400</s:f>
        <s:v>46247.38899305555</s:v>
      </s:c>
    </s:row>
    <s:row r="438">
      <s:c r="A438" s="0" t="n">
        <s:v>260813</s:v>
      </s:c>
      <s:c r="B438" s="0" t="inlineStr">
        <s:is>
          <s:t>이종훈</s:t>
        </s:is>
      </s:c>
      <s:c r="C438" s="0" t="n">
        <s:v>91255</s:v>
      </s:c>
      <s:c r="D438" s="0" t="n">
        <s:v>6032</s:v>
      </s:c>
      <s:c r="E438" s="0" t="n">
        <s:v>24.399</s:v>
      </s:c>
      <s:c r="F438" s="24">
        <s:f>'자료구성'!$B$2+TIME(INT($C$3/10000),INT(MOD($C$3,10000)/100),MOD($C$3,100))+(ROW()-ROW($C$3))/86400</s:f>
        <s:v>46247.38900462963</s:v>
      </s:c>
    </s:row>
    <s:row r="439">
      <s:c r="A439" s="0" t="n">
        <s:v>260813</s:v>
      </s:c>
      <s:c r="B439" s="0" t="inlineStr">
        <s:is>
          <s:t>이종훈</s:t>
        </s:is>
      </s:c>
      <s:c r="C439" s="0" t="n">
        <s:v>91255</s:v>
      </s:c>
      <s:c r="D439" s="0" t="n">
        <s:v>6022</s:v>
      </s:c>
      <s:c r="E439" s="0" t="n">
        <s:v>24.399</s:v>
      </s:c>
      <s:c r="F439" s="24">
        <s:f>'자료구성'!$B$2+TIME(INT($C$3/10000),INT(MOD($C$3,10000)/100),MOD($C$3,100))+(ROW()-ROW($C$3))/86400</s:f>
        <s:v>46247.389016203706</s:v>
      </s:c>
    </s:row>
    <s:row r="440">
      <s:c r="A440" s="0" t="n">
        <s:v>260813</s:v>
      </s:c>
      <s:c r="B440" s="0" t="inlineStr">
        <s:is>
          <s:t>이종훈</s:t>
        </s:is>
      </s:c>
      <s:c r="C440" s="0" t="n">
        <s:v>91255</s:v>
      </s:c>
      <s:c r="D440" s="0" t="n">
        <s:v>5963</s:v>
      </s:c>
      <s:c r="E440" s="0" t="n">
        <s:v>24.399</s:v>
      </s:c>
      <s:c r="F440" s="24">
        <s:f>'자료구성'!$B$2+TIME(INT($C$3/10000),INT(MOD($C$3,10000)/100),MOD($C$3,100))+(ROW()-ROW($C$3))/86400</s:f>
        <s:v>46247.389027777775</s:v>
      </s:c>
    </s:row>
    <s:row r="441">
      <s:c r="A441" s="0" t="n">
        <s:v>260813</s:v>
      </s:c>
      <s:c r="B441" s="0" t="inlineStr">
        <s:is>
          <s:t>이종훈</s:t>
        </s:is>
      </s:c>
      <s:c r="C441" s="0" t="n">
        <s:v>91255</s:v>
      </s:c>
      <s:c r="D441" s="0" t="n">
        <s:v>5859</s:v>
      </s:c>
      <s:c r="E441" s="0" t="n">
        <s:v>24.399</s:v>
      </s:c>
      <s:c r="F441" s="24">
        <s:f>'자료구성'!$B$2+TIME(INT($C$3/10000),INT(MOD($C$3,10000)/100),MOD($C$3,100))+(ROW()-ROW($C$3))/86400</s:f>
        <s:v>46247.38903935185</s:v>
      </s:c>
    </s:row>
    <s:row r="442">
      <s:c r="A442" s="0" t="n">
        <s:v>260813</s:v>
      </s:c>
      <s:c r="B442" s="0" t="inlineStr">
        <s:is>
          <s:t>이종훈</s:t>
        </s:is>
      </s:c>
      <s:c r="C442" s="0" t="n">
        <s:v>91255</s:v>
      </s:c>
      <s:c r="D442" s="0" t="n">
        <s:v>5740</s:v>
      </s:c>
      <s:c r="E442" s="0" t="n">
        <s:v>24.399</s:v>
      </s:c>
      <s:c r="F442" s="24">
        <s:f>'자료구성'!$B$2+TIME(INT($C$3/10000),INT(MOD($C$3,10000)/100),MOD($C$3,100))+(ROW()-ROW($C$3))/86400</s:f>
        <s:v>46247.38905092593</s:v>
      </s:c>
    </s:row>
    <s:row r="443">
      <s:c r="A443" s="0" t="n">
        <s:v>260813</s:v>
      </s:c>
      <s:c r="B443" s="0" t="inlineStr">
        <s:is>
          <s:t>이종훈</s:t>
        </s:is>
      </s:c>
      <s:c r="C443" s="0" t="n">
        <s:v>91255</s:v>
      </s:c>
      <s:c r="D443" s="0" t="n">
        <s:v>5575</s:v>
      </s:c>
      <s:c r="E443" s="0" t="n">
        <s:v>24.399</s:v>
      </s:c>
      <s:c r="F443" s="24">
        <s:f>'자료구성'!$B$2+TIME(INT($C$3/10000),INT(MOD($C$3,10000)/100),MOD($C$3,100))+(ROW()-ROW($C$3))/86400</s:f>
        <s:v>46247.3890625</s:v>
      </s:c>
    </s:row>
    <s:row r="444">
      <s:c r="A444" s="0" t="n">
        <s:v>260813</s:v>
      </s:c>
      <s:c r="B444" s="0" t="inlineStr">
        <s:is>
          <s:t>이종훈</s:t>
        </s:is>
      </s:c>
      <s:c r="C444" s="0" t="n">
        <s:v>91255</s:v>
      </s:c>
      <s:c r="D444" s="0" t="n">
        <s:v>5494</s:v>
      </s:c>
      <s:c r="E444" s="0" t="n">
        <s:v>24.399</s:v>
      </s:c>
      <s:c r="F444" s="24">
        <s:f>'자료구성'!$B$2+TIME(INT($C$3/10000),INT(MOD($C$3,10000)/100),MOD($C$3,100))+(ROW()-ROW($C$3))/86400</s:f>
        <s:v>46247.389074074075</s:v>
      </s:c>
    </s:row>
    <s:row r="445">
      <s:c r="A445" s="0" t="n">
        <s:v>260813</s:v>
      </s:c>
      <s:c r="B445" s="0" t="inlineStr">
        <s:is>
          <s:t>이종훈</s:t>
        </s:is>
      </s:c>
      <s:c r="C445" s="0" t="n">
        <s:v>91255</s:v>
      </s:c>
      <s:c r="D445" s="0" t="n">
        <s:v>5490</s:v>
      </s:c>
      <s:c r="E445" s="0" t="n">
        <s:v>24.399</s:v>
      </s:c>
      <s:c r="F445" s="24">
        <s:f>'자료구성'!$B$2+TIME(INT($C$3/10000),INT(MOD($C$3,10000)/100),MOD($C$3,100))+(ROW()-ROW($C$3))/86400</s:f>
        <s:v>46247.389085648145</s:v>
      </s:c>
    </s:row>
    <s:row r="446">
      <s:c r="A446" s="0" t="n">
        <s:v>260813</s:v>
      </s:c>
      <s:c r="B446" s="0" t="inlineStr">
        <s:is>
          <s:t>이종훈</s:t>
        </s:is>
      </s:c>
      <s:c r="C446" s="0" t="n">
        <s:v>91255</s:v>
      </s:c>
      <s:c r="D446" s="0" t="n">
        <s:v>5455</s:v>
      </s:c>
      <s:c r="E446" s="0" t="n">
        <s:v>24.399</s:v>
      </s:c>
      <s:c r="F446" s="24">
        <s:f>'자료구성'!$B$2+TIME(INT($C$3/10000),INT(MOD($C$3,10000)/100),MOD($C$3,100))+(ROW()-ROW($C$3))/86400</s:f>
        <s:v>46247.38909722222</s:v>
      </s:c>
    </s:row>
    <s:row r="447">
      <s:c r="A447" s="0" t="n">
        <s:v>260813</s:v>
      </s:c>
      <s:c r="B447" s="0" t="inlineStr">
        <s:is>
          <s:t>이종훈</s:t>
        </s:is>
      </s:c>
      <s:c r="C447" s="0" t="n">
        <s:v>91255</s:v>
      </s:c>
      <s:c r="D447" s="0" t="n">
        <s:v>5407</s:v>
      </s:c>
      <s:c r="E447" s="0" t="n">
        <s:v>24.399</s:v>
      </s:c>
      <s:c r="F447" s="24">
        <s:f>'자료구성'!$B$2+TIME(INT($C$3/10000),INT(MOD($C$3,10000)/100),MOD($C$3,100))+(ROW()-ROW($C$3))/86400</s:f>
        <s:v>46247.3891087963</s:v>
      </s:c>
    </s:row>
    <s:row r="448">
      <s:c r="A448" s="0" t="n">
        <s:v>260813</s:v>
      </s:c>
      <s:c r="B448" s="0" t="inlineStr">
        <s:is>
          <s:t>이종훈</s:t>
        </s:is>
      </s:c>
      <s:c r="C448" s="0" t="n">
        <s:v>91255</s:v>
      </s:c>
      <s:c r="D448" s="0" t="n">
        <s:v>5421</s:v>
      </s:c>
      <s:c r="E448" s="0" t="n">
        <s:v>24.399</s:v>
      </s:c>
      <s:c r="F448" s="24">
        <s:f>'자료구성'!$B$2+TIME(INT($C$3/10000),INT(MOD($C$3,10000)/100),MOD($C$3,100))+(ROW()-ROW($C$3))/86400</s:f>
        <s:v>46247.38912037037</s:v>
      </s:c>
    </s:row>
    <s:row r="449">
      <s:c r="A449" s="0" t="n">
        <s:v>260813</s:v>
      </s:c>
      <s:c r="B449" s="0" t="inlineStr">
        <s:is>
          <s:t>이종훈</s:t>
        </s:is>
      </s:c>
      <s:c r="C449" s="0" t="n">
        <s:v>91255</s:v>
      </s:c>
      <s:c r="D449" s="0" t="n">
        <s:v>5550</s:v>
      </s:c>
      <s:c r="E449" s="0" t="n">
        <s:v>24.399</s:v>
      </s:c>
      <s:c r="F449" s="24">
        <s:f>'자료구성'!$B$2+TIME(INT($C$3/10000),INT(MOD($C$3,10000)/100),MOD($C$3,100))+(ROW()-ROW($C$3))/86400</s:f>
        <s:v>46247.389131944445</s:v>
      </s:c>
    </s:row>
    <s:row r="450">
      <s:c r="A450" s="0" t="n">
        <s:v>260813</s:v>
      </s:c>
      <s:c r="B450" s="0" t="inlineStr">
        <s:is>
          <s:t>이종훈</s:t>
        </s:is>
      </s:c>
      <s:c r="C450" s="0" t="n">
        <s:v>91255</s:v>
      </s:c>
      <s:c r="D450" s="0" t="n">
        <s:v>5624</s:v>
      </s:c>
      <s:c r="E450" s="0" t="n">
        <s:v>24.399</s:v>
      </s:c>
      <s:c r="F450" s="24">
        <s:f>'자료구성'!$B$2+TIME(INT($C$3/10000),INT(MOD($C$3,10000)/100),MOD($C$3,100))+(ROW()-ROW($C$3))/86400</s:f>
        <s:v>46247.38914351852</s:v>
      </s:c>
    </s:row>
    <s:row r="451">
      <s:c r="A451" s="0" t="n">
        <s:v>260813</s:v>
      </s:c>
      <s:c r="B451" s="0" t="inlineStr">
        <s:is>
          <s:t>이종훈</s:t>
        </s:is>
      </s:c>
      <s:c r="C451" s="0" t="n">
        <s:v>91255</s:v>
      </s:c>
      <s:c r="D451" s="0" t="n">
        <s:v>5793</s:v>
      </s:c>
      <s:c r="E451" s="0" t="n">
        <s:v>24.399</s:v>
      </s:c>
      <s:c r="F451" s="24">
        <s:f>'자료구성'!$B$2+TIME(INT($C$3/10000),INT(MOD($C$3,10000)/100),MOD($C$3,100))+(ROW()-ROW($C$3))/86400</s:f>
        <s:v>46247.38915509259</s:v>
      </s:c>
    </s:row>
    <s:row r="452">
      <s:c r="A452" s="0" t="n">
        <s:v>260813</s:v>
      </s:c>
      <s:c r="B452" s="0" t="inlineStr">
        <s:is>
          <s:t>이종훈</s:t>
        </s:is>
      </s:c>
      <s:c r="C452" s="0" t="n">
        <s:v>91255</s:v>
      </s:c>
      <s:c r="D452" s="0" t="n">
        <s:v>5796</s:v>
      </s:c>
      <s:c r="E452" s="0" t="n">
        <s:v>24.399</s:v>
      </s:c>
      <s:c r="F452" s="24">
        <s:f>'자료구성'!$B$2+TIME(INT($C$3/10000),INT(MOD($C$3,10000)/100),MOD($C$3,100))+(ROW()-ROW($C$3))/86400</s:f>
        <s:v>46247.38916666667</s:v>
      </s:c>
    </s:row>
    <s:row r="453">
      <s:c r="A453" s="0" t="n">
        <s:v>260813</s:v>
      </s:c>
      <s:c r="B453" s="0" t="inlineStr">
        <s:is>
          <s:t>이종훈</s:t>
        </s:is>
      </s:c>
      <s:c r="C453" s="0" t="n">
        <s:v>91255</s:v>
      </s:c>
      <s:c r="D453" s="0" t="n">
        <s:v>5894</s:v>
      </s:c>
      <s:c r="E453" s="0" t="n">
        <s:v>24.399</s:v>
      </s:c>
      <s:c r="F453" s="24">
        <s:f>'자료구성'!$B$2+TIME(INT($C$3/10000),INT(MOD($C$3,10000)/100),MOD($C$3,100))+(ROW()-ROW($C$3))/86400</s:f>
        <s:v>46247.38917824074</s:v>
      </s:c>
    </s:row>
    <s:row r="454">
      <s:c r="A454" s="0" t="n">
        <s:v>260813</s:v>
      </s:c>
      <s:c r="B454" s="0" t="inlineStr">
        <s:is>
          <s:t>이종훈</s:t>
        </s:is>
      </s:c>
      <s:c r="C454" s="0" t="n">
        <s:v>91255</s:v>
      </s:c>
      <s:c r="D454" s="0" t="n">
        <s:v>6019</s:v>
      </s:c>
      <s:c r="E454" s="0" t="n">
        <s:v>24.399</s:v>
      </s:c>
      <s:c r="F454" s="24">
        <s:f>'자료구성'!$B$2+TIME(INT($C$3/10000),INT(MOD($C$3,10000)/100),MOD($C$3,100))+(ROW()-ROW($C$3))/86400</s:f>
        <s:v>46247.389189814814</s:v>
      </s:c>
    </s:row>
    <s:row r="455">
      <s:c r="A455" s="0" t="n">
        <s:v>260813</s:v>
      </s:c>
      <s:c r="B455" s="0" t="inlineStr">
        <s:is>
          <s:t>이종훈</s:t>
        </s:is>
      </s:c>
      <s:c r="C455" s="0" t="n">
        <s:v>91255</s:v>
      </s:c>
      <s:c r="D455" s="0" t="n">
        <s:v>6204</s:v>
      </s:c>
      <s:c r="E455" s="0" t="n">
        <s:v>24.399</s:v>
      </s:c>
      <s:c r="F455" s="24">
        <s:f>'자료구성'!$B$2+TIME(INT($C$3/10000),INT(MOD($C$3,10000)/100),MOD($C$3,100))+(ROW()-ROW($C$3))/86400</s:f>
        <s:v>46247.38920138889</s:v>
      </s:c>
    </s:row>
    <s:row r="456">
      <s:c r="A456" s="0" t="n">
        <s:v>260813</s:v>
      </s:c>
      <s:c r="B456" s="0" t="inlineStr">
        <s:is>
          <s:t>이종훈</s:t>
        </s:is>
      </s:c>
      <s:c r="C456" s="0" t="n">
        <s:v>91255</s:v>
      </s:c>
      <s:c r="D456" s="0" t="n">
        <s:v>6379</s:v>
      </s:c>
      <s:c r="E456" s="0" t="n">
        <s:v>24.399</s:v>
      </s:c>
      <s:c r="F456" s="24">
        <s:f>'자료구성'!$B$2+TIME(INT($C$3/10000),INT(MOD($C$3,10000)/100),MOD($C$3,100))+(ROW()-ROW($C$3))/86400</s:f>
        <s:v>46247.38921296296</s:v>
      </s:c>
    </s:row>
    <s:row r="457">
      <s:c r="A457" s="0" t="n">
        <s:v>260813</s:v>
      </s:c>
      <s:c r="B457" s="0" t="inlineStr">
        <s:is>
          <s:t>이종훈</s:t>
        </s:is>
      </s:c>
      <s:c r="C457" s="0" t="n">
        <s:v>91255</s:v>
      </s:c>
      <s:c r="D457" s="0" t="n">
        <s:v>6557</s:v>
      </s:c>
      <s:c r="E457" s="0" t="n">
        <s:v>24.399</s:v>
      </s:c>
      <s:c r="F457" s="24">
        <s:f>'자료구성'!$B$2+TIME(INT($C$3/10000),INT(MOD($C$3,10000)/100),MOD($C$3,100))+(ROW()-ROW($C$3))/86400</s:f>
        <s:v>46247.38922453704</s:v>
      </s:c>
    </s:row>
    <s:row r="458">
      <s:c r="A458" s="0" t="n">
        <s:v>260813</s:v>
      </s:c>
      <s:c r="B458" s="0" t="inlineStr">
        <s:is>
          <s:t>이종훈</s:t>
        </s:is>
      </s:c>
      <s:c r="C458" s="0" t="n">
        <s:v>91255</s:v>
      </s:c>
      <s:c r="D458" s="0" t="n">
        <s:v>6678</s:v>
      </s:c>
      <s:c r="E458" s="0" t="n">
        <s:v>24.399</s:v>
      </s:c>
      <s:c r="F458" s="24">
        <s:f>'자료구성'!$B$2+TIME(INT($C$3/10000),INT(MOD($C$3,10000)/100),MOD($C$3,100))+(ROW()-ROW($C$3))/86400</s:f>
        <s:v>46247.389236111114</s:v>
      </s:c>
    </s:row>
    <s:row r="459">
      <s:c r="A459" s="0" t="n">
        <s:v>260813</s:v>
      </s:c>
      <s:c r="B459" s="0" t="inlineStr">
        <s:is>
          <s:t>이종훈</s:t>
        </s:is>
      </s:c>
      <s:c r="C459" s="0" t="n">
        <s:v>91255</s:v>
      </s:c>
      <s:c r="D459" s="0" t="n">
        <s:v>6868</s:v>
      </s:c>
      <s:c r="E459" s="0" t="n">
        <s:v>24.399</s:v>
      </s:c>
      <s:c r="F459" s="24">
        <s:f>'자료구성'!$B$2+TIME(INT($C$3/10000),INT(MOD($C$3,10000)/100),MOD($C$3,100))+(ROW()-ROW($C$3))/86400</s:f>
        <s:v>46247.38924768518</s:v>
      </s:c>
    </s:row>
    <s:row r="460">
      <s:c r="A460" s="0" t="n">
        <s:v>260813</s:v>
      </s:c>
      <s:c r="B460" s="0" t="inlineStr">
        <s:is>
          <s:t>이종훈</s:t>
        </s:is>
      </s:c>
      <s:c r="C460" s="0" t="n">
        <s:v>91255</s:v>
      </s:c>
      <s:c r="D460" s="0" t="n">
        <s:v>7017</s:v>
      </s:c>
      <s:c r="E460" s="0" t="n">
        <s:v>24.399</s:v>
      </s:c>
      <s:c r="F460" s="24">
        <s:f>'자료구성'!$B$2+TIME(INT($C$3/10000),INT(MOD($C$3,10000)/100),MOD($C$3,100))+(ROW()-ROW($C$3))/86400</s:f>
        <s:v>46247.38925925926</s:v>
      </s:c>
    </s:row>
    <s:row r="461">
      <s:c r="A461" s="0" t="n">
        <s:v>260813</s:v>
      </s:c>
      <s:c r="B461" s="0" t="inlineStr">
        <s:is>
          <s:t>이종훈</s:t>
        </s:is>
      </s:c>
      <s:c r="C461" s="0" t="n">
        <s:v>91255</s:v>
      </s:c>
      <s:c r="D461" s="0" t="n">
        <s:v>6918</s:v>
      </s:c>
      <s:c r="E461" s="0" t="n">
        <s:v>24.399</s:v>
      </s:c>
      <s:c r="F461" s="24">
        <s:f>'자료구성'!$B$2+TIME(INT($C$3/10000),INT(MOD($C$3,10000)/100),MOD($C$3,100))+(ROW()-ROW($C$3))/86400</s:f>
        <s:v>46247.38927083334</s:v>
      </s:c>
    </s:row>
    <s:row r="462">
      <s:c r="A462" s="0" t="n">
        <s:v>260813</s:v>
      </s:c>
      <s:c r="B462" s="0" t="inlineStr">
        <s:is>
          <s:t>이종훈</s:t>
        </s:is>
      </s:c>
      <s:c r="C462" s="0" t="n">
        <s:v>91255</s:v>
      </s:c>
      <s:c r="D462" s="0" t="n">
        <s:v>6722</s:v>
      </s:c>
      <s:c r="E462" s="0" t="n">
        <s:v>24.399</s:v>
      </s:c>
      <s:c r="F462" s="24">
        <s:f>'자료구성'!$B$2+TIME(INT($C$3/10000),INT(MOD($C$3,10000)/100),MOD($C$3,100))+(ROW()-ROW($C$3))/86400</s:f>
        <s:v>46247.38928240741</s:v>
      </s:c>
    </s:row>
    <s:row r="463">
      <s:c r="A463" s="0" t="n">
        <s:v>260813</s:v>
      </s:c>
      <s:c r="B463" s="0" t="inlineStr">
        <s:is>
          <s:t>이종훈</s:t>
        </s:is>
      </s:c>
      <s:c r="C463" s="0" t="n">
        <s:v>91255</s:v>
      </s:c>
      <s:c r="D463" s="0" t="n">
        <s:v>6505</s:v>
      </s:c>
      <s:c r="E463" s="0" t="n">
        <s:v>24.399</s:v>
      </s:c>
      <s:c r="F463" s="24">
        <s:f>'자료구성'!$B$2+TIME(INT($C$3/10000),INT(MOD($C$3,10000)/100),MOD($C$3,100))+(ROW()-ROW($C$3))/86400</s:f>
        <s:v>46247.38929398148</s:v>
      </s:c>
    </s:row>
    <s:row r="464">
      <s:c r="A464" s="0" t="n">
        <s:v>260813</s:v>
      </s:c>
      <s:c r="B464" s="0" t="inlineStr">
        <s:is>
          <s:t>이종훈</s:t>
        </s:is>
      </s:c>
      <s:c r="C464" s="0" t="n">
        <s:v>91255</s:v>
      </s:c>
      <s:c r="D464" s="0" t="n">
        <s:v>6272</s:v>
      </s:c>
      <s:c r="E464" s="0" t="n">
        <s:v>24.399</s:v>
      </s:c>
      <s:c r="F464" s="24">
        <s:f>'자료구성'!$B$2+TIME(INT($C$3/10000),INT(MOD($C$3,10000)/100),MOD($C$3,100))+(ROW()-ROW($C$3))/86400</s:f>
        <s:v>46247.38930555555</s:v>
      </s:c>
    </s:row>
    <s:row r="465">
      <s:c r="A465" s="0" t="n">
        <s:v>260813</s:v>
      </s:c>
      <s:c r="B465" s="0" t="inlineStr">
        <s:is>
          <s:t>이종훈</s:t>
        </s:is>
      </s:c>
      <s:c r="C465" s="0" t="n">
        <s:v>91255</s:v>
      </s:c>
      <s:c r="D465" s="0" t="n">
        <s:v>6079</s:v>
      </s:c>
      <s:c r="E465" s="0" t="n">
        <s:v>24.399</s:v>
      </s:c>
      <s:c r="F465" s="24">
        <s:f>'자료구성'!$B$2+TIME(INT($C$3/10000),INT(MOD($C$3,10000)/100),MOD($C$3,100))+(ROW()-ROW($C$3))/86400</s:f>
        <s:v>46247.38931712963</s:v>
      </s:c>
    </s:row>
    <s:row r="466">
      <s:c r="A466" s="0" t="n">
        <s:v>260813</s:v>
      </s:c>
      <s:c r="B466" s="0" t="inlineStr">
        <s:is>
          <s:t>이종훈</s:t>
        </s:is>
      </s:c>
      <s:c r="C466" s="0" t="n">
        <s:v>91255</s:v>
      </s:c>
      <s:c r="D466" s="0" t="n">
        <s:v>5878</s:v>
      </s:c>
      <s:c r="E466" s="0" t="n">
        <s:v>24.399</s:v>
      </s:c>
      <s:c r="F466" s="24">
        <s:f>'자료구성'!$B$2+TIME(INT($C$3/10000),INT(MOD($C$3,10000)/100),MOD($C$3,100))+(ROW()-ROW($C$3))/86400</s:f>
        <s:v>46247.389328703706</s:v>
      </s:c>
    </s:row>
    <s:row r="467">
      <s:c r="A467" s="0" t="n">
        <s:v>260813</s:v>
      </s:c>
      <s:c r="B467" s="0" t="inlineStr">
        <s:is>
          <s:t>이종훈</s:t>
        </s:is>
      </s:c>
      <s:c r="C467" s="0" t="n">
        <s:v>91255</s:v>
      </s:c>
      <s:c r="D467" s="0" t="n">
        <s:v>5720</s:v>
      </s:c>
      <s:c r="E467" s="0" t="n">
        <s:v>24.399</s:v>
      </s:c>
      <s:c r="F467" s="24">
        <s:f>'자료구성'!$B$2+TIME(INT($C$3/10000),INT(MOD($C$3,10000)/100),MOD($C$3,100))+(ROW()-ROW($C$3))/86400</s:f>
        <s:v>46247.389340277776</s:v>
      </s:c>
    </s:row>
    <s:row r="468">
      <s:c r="A468" s="0" t="n">
        <s:v>260813</s:v>
      </s:c>
      <s:c r="B468" s="0" t="inlineStr">
        <s:is>
          <s:t>이종훈</s:t>
        </s:is>
      </s:c>
      <s:c r="C468" s="0" t="n">
        <s:v>91255</s:v>
      </s:c>
      <s:c r="D468" s="0" t="n">
        <s:v>5569</s:v>
      </s:c>
      <s:c r="E468" s="0" t="n">
        <s:v>24.399</s:v>
      </s:c>
      <s:c r="F468" s="24">
        <s:f>'자료구성'!$B$2+TIME(INT($C$3/10000),INT(MOD($C$3,10000)/100),MOD($C$3,100))+(ROW()-ROW($C$3))/86400</s:f>
        <s:v>46247.38935185185</s:v>
      </s:c>
    </s:row>
    <s:row r="469">
      <s:c r="A469" s="0" t="n">
        <s:v>260813</s:v>
      </s:c>
      <s:c r="B469" s="0" t="inlineStr">
        <s:is>
          <s:t>이종훈</s:t>
        </s:is>
      </s:c>
      <s:c r="C469" s="0" t="n">
        <s:v>91255</s:v>
      </s:c>
      <s:c r="D469" s="0" t="n">
        <s:v>5388</s:v>
      </s:c>
      <s:c r="E469" s="0" t="n">
        <s:v>24.399</s:v>
      </s:c>
      <s:c r="F469" s="24">
        <s:f>'자료구성'!$B$2+TIME(INT($C$3/10000),INT(MOD($C$3,10000)/100),MOD($C$3,100))+(ROW()-ROW($C$3))/86400</s:f>
        <s:v>46247.38936342593</s:v>
      </s:c>
    </s:row>
    <s:row r="470">
      <s:c r="A470" s="0" t="n">
        <s:v>260813</s:v>
      </s:c>
      <s:c r="B470" s="0" t="inlineStr">
        <s:is>
          <s:t>이종훈</s:t>
        </s:is>
      </s:c>
      <s:c r="C470" s="0" t="n">
        <s:v>91255</s:v>
      </s:c>
      <s:c r="D470" s="0" t="n">
        <s:v>5225</s:v>
      </s:c>
      <s:c r="E470" s="0" t="n">
        <s:v>24.399</s:v>
      </s:c>
      <s:c r="F470" s="24">
        <s:f>'자료구성'!$B$2+TIME(INT($C$3/10000),INT(MOD($C$3,10000)/100),MOD($C$3,100))+(ROW()-ROW($C$3))/86400</s:f>
        <s:v>46247.389375</s:v>
      </s:c>
    </s:row>
    <s:row r="471">
      <s:c r="A471" s="0" t="n">
        <s:v>260813</s:v>
      </s:c>
      <s:c r="B471" s="0" t="inlineStr">
        <s:is>
          <s:t>이종훈</s:t>
        </s:is>
      </s:c>
      <s:c r="C471" s="0" t="n">
        <s:v>91255</s:v>
      </s:c>
      <s:c r="D471" s="0" t="n">
        <s:v>5079</s:v>
      </s:c>
      <s:c r="E471" s="0" t="n">
        <s:v>24.399</s:v>
      </s:c>
      <s:c r="F471" s="24">
        <s:f>'자료구성'!$B$2+TIME(INT($C$3/10000),INT(MOD($C$3,10000)/100),MOD($C$3,100))+(ROW()-ROW($C$3))/86400</s:f>
        <s:v>46247.389386574076</s:v>
      </s:c>
    </s:row>
    <s:row r="472">
      <s:c r="A472" s="0" t="n">
        <s:v>260813</s:v>
      </s:c>
      <s:c r="B472" s="0" t="inlineStr">
        <s:is>
          <s:t>이종훈</s:t>
        </s:is>
      </s:c>
      <s:c r="C472" s="0" t="n">
        <s:v>91255</s:v>
      </s:c>
      <s:c r="D472" s="0" t="n">
        <s:v>4991</s:v>
      </s:c>
      <s:c r="E472" s="0" t="n">
        <s:v>24.399</s:v>
      </s:c>
      <s:c r="F472" s="24">
        <s:f>'자료구성'!$B$2+TIME(INT($C$3/10000),INT(MOD($C$3,10000)/100),MOD($C$3,100))+(ROW()-ROW($C$3))/86400</s:f>
        <s:v>46247.389398148145</s:v>
      </s:c>
    </s:row>
    <s:row r="473">
      <s:c r="A473" s="0" t="n">
        <s:v>260813</s:v>
      </s:c>
      <s:c r="B473" s="0" t="inlineStr">
        <s:is>
          <s:t>이종훈</s:t>
        </s:is>
      </s:c>
      <s:c r="C473" s="0" t="n">
        <s:v>91255</s:v>
      </s:c>
      <s:c r="D473" s="0" t="n">
        <s:v>5145</s:v>
      </s:c>
      <s:c r="E473" s="0" t="n">
        <s:v>24.399</s:v>
      </s:c>
      <s:c r="F473" s="24">
        <s:f>'자료구성'!$B$2+TIME(INT($C$3/10000),INT(MOD($C$3,10000)/100),MOD($C$3,100))+(ROW()-ROW($C$3))/86400</s:f>
        <s:v>46247.38940972222</s:v>
      </s:c>
    </s:row>
    <s:row r="474">
      <s:c r="A474" s="0" t="n">
        <s:v>260813</s:v>
      </s:c>
      <s:c r="B474" s="0" t="inlineStr">
        <s:is>
          <s:t>이종훈</s:t>
        </s:is>
      </s:c>
      <s:c r="C474" s="0" t="n">
        <s:v>91255</s:v>
      </s:c>
      <s:c r="D474" s="0" t="n">
        <s:v>5496</s:v>
      </s:c>
      <s:c r="E474" s="0" t="n">
        <s:v>24.399</s:v>
      </s:c>
      <s:c r="F474" s="24">
        <s:f>'자료구성'!$B$2+TIME(INT($C$3/10000),INT(MOD($C$3,10000)/100),MOD($C$3,100))+(ROW()-ROW($C$3))/86400</s:f>
        <s:v>46247.3894212963</s:v>
      </s:c>
    </s:row>
    <s:row r="475">
      <s:c r="A475" s="0" t="n">
        <s:v>260813</s:v>
      </s:c>
      <s:c r="B475" s="0" t="inlineStr">
        <s:is>
          <s:t>이종훈</s:t>
        </s:is>
      </s:c>
      <s:c r="C475" s="0" t="n">
        <s:v>91255</s:v>
      </s:c>
      <s:c r="D475" s="0" t="n">
        <s:v>5811</s:v>
      </s:c>
      <s:c r="E475" s="0" t="n">
        <s:v>24.399</s:v>
      </s:c>
      <s:c r="F475" s="24">
        <s:f>'자료구성'!$B$2+TIME(INT($C$3/10000),INT(MOD($C$3,10000)/100),MOD($C$3,100))+(ROW()-ROW($C$3))/86400</s:f>
        <s:v>46247.38943287037</s:v>
      </s:c>
    </s:row>
    <s:row r="476">
      <s:c r="A476" s="0" t="n">
        <s:v>260813</s:v>
      </s:c>
      <s:c r="B476" s="0" t="inlineStr">
        <s:is>
          <s:t>이종훈</s:t>
        </s:is>
      </s:c>
      <s:c r="C476" s="0" t="n">
        <s:v>91255</s:v>
      </s:c>
      <s:c r="D476" s="0" t="n">
        <s:v>6007</s:v>
      </s:c>
      <s:c r="E476" s="0" t="n">
        <s:v>24.399</s:v>
      </s:c>
      <s:c r="F476" s="24">
        <s:f>'자료구성'!$B$2+TIME(INT($C$3/10000),INT(MOD($C$3,10000)/100),MOD($C$3,100))+(ROW()-ROW($C$3))/86400</s:f>
        <s:v>46247.389444444445</s:v>
      </s:c>
    </s:row>
    <s:row r="477">
      <s:c r="A477" s="0" t="n">
        <s:v>260813</s:v>
      </s:c>
      <s:c r="B477" s="0" t="inlineStr">
        <s:is>
          <s:t>이종훈</s:t>
        </s:is>
      </s:c>
      <s:c r="C477" s="0" t="n">
        <s:v>91255</s:v>
      </s:c>
      <s:c r="D477" s="0" t="n">
        <s:v>6057</s:v>
      </s:c>
      <s:c r="E477" s="0" t="n">
        <s:v>24.399</s:v>
      </s:c>
      <s:c r="F477" s="24">
        <s:f>'자료구성'!$B$2+TIME(INT($C$3/10000),INT(MOD($C$3,10000)/100),MOD($C$3,100))+(ROW()-ROW($C$3))/86400</s:f>
        <s:v>46247.38945601852</s:v>
      </s:c>
    </s:row>
    <s:row r="478">
      <s:c r="A478" s="0" t="n">
        <s:v>260813</s:v>
      </s:c>
      <s:c r="B478" s="0" t="inlineStr">
        <s:is>
          <s:t>이종훈</s:t>
        </s:is>
      </s:c>
      <s:c r="C478" s="0" t="n">
        <s:v>91255</s:v>
      </s:c>
      <s:c r="D478" s="0" t="n">
        <s:v>6047</s:v>
      </s:c>
      <s:c r="E478" s="0" t="n">
        <s:v>24.399</s:v>
      </s:c>
      <s:c r="F478" s="24">
        <s:f>'자료구성'!$B$2+TIME(INT($C$3/10000),INT(MOD($C$3,10000)/100),MOD($C$3,100))+(ROW()-ROW($C$3))/86400</s:f>
        <s:v>46247.38946759259</s:v>
      </s:c>
    </s:row>
    <s:row r="479">
      <s:c r="A479" s="0" t="n">
        <s:v>260813</s:v>
      </s:c>
      <s:c r="B479" s="0" t="inlineStr">
        <s:is>
          <s:t>이종훈</s:t>
        </s:is>
      </s:c>
      <s:c r="C479" s="0" t="n">
        <s:v>91255</s:v>
      </s:c>
      <s:c r="D479" s="0" t="n">
        <s:v>5999</s:v>
      </s:c>
      <s:c r="E479" s="0" t="n">
        <s:v>24.399</s:v>
      </s:c>
      <s:c r="F479" s="24">
        <s:f>'자료구성'!$B$2+TIME(INT($C$3/10000),INT(MOD($C$3,10000)/100),MOD($C$3,100))+(ROW()-ROW($C$3))/86400</s:f>
        <s:v>46247.38947916667</s:v>
      </s:c>
    </s:row>
    <s:row r="480">
      <s:c r="A480" s="0" t="n">
        <s:v>260813</s:v>
      </s:c>
      <s:c r="B480" s="0" t="inlineStr">
        <s:is>
          <s:t>이종훈</s:t>
        </s:is>
      </s:c>
      <s:c r="C480" s="0" t="n">
        <s:v>91255</s:v>
      </s:c>
      <s:c r="D480" s="0" t="n">
        <s:v>5911</s:v>
      </s:c>
      <s:c r="E480" s="0" t="n">
        <s:v>24.399</s:v>
      </s:c>
      <s:c r="F480" s="24">
        <s:f>'자료구성'!$B$2+TIME(INT($C$3/10000),INT(MOD($C$3,10000)/100),MOD($C$3,100))+(ROW()-ROW($C$3))/86400</s:f>
        <s:v>46247.38949074074</s:v>
      </s:c>
    </s:row>
    <s:row r="481">
      <s:c r="A481" s="0" t="n">
        <s:v>260813</s:v>
      </s:c>
      <s:c r="B481" s="0" t="inlineStr">
        <s:is>
          <s:t>이종훈</s:t>
        </s:is>
      </s:c>
      <s:c r="C481" s="0" t="n">
        <s:v>91255</s:v>
      </s:c>
      <s:c r="D481" s="0" t="n">
        <s:v>5766</s:v>
      </s:c>
      <s:c r="E481" s="0" t="n">
        <s:v>24.399</s:v>
      </s:c>
      <s:c r="F481" s="24">
        <s:f>'자료구성'!$B$2+TIME(INT($C$3/10000),INT(MOD($C$3,10000)/100),MOD($C$3,100))+(ROW()-ROW($C$3))/86400</s:f>
        <s:v>46247.389502314814</s:v>
      </s:c>
    </s:row>
    <s:row r="482">
      <s:c r="A482" s="0" t="n">
        <s:v>260813</s:v>
      </s:c>
      <s:c r="B482" s="0" t="inlineStr">
        <s:is>
          <s:t>이종훈</s:t>
        </s:is>
      </s:c>
      <s:c r="C482" s="0" t="n">
        <s:v>91255</s:v>
      </s:c>
      <s:c r="D482" s="0" t="n">
        <s:v>5631</s:v>
      </s:c>
      <s:c r="E482" s="0" t="n">
        <s:v>24.399</s:v>
      </s:c>
      <s:c r="F482" s="24">
        <s:f>'자료구성'!$B$2+TIME(INT($C$3/10000),INT(MOD($C$3,10000)/100),MOD($C$3,100))+(ROW()-ROW($C$3))/86400</s:f>
        <s:v>46247.38951388889</s:v>
      </s:c>
    </s:row>
    <s:row r="483">
      <s:c r="A483" s="0" t="n">
        <s:v>260813</s:v>
      </s:c>
      <s:c r="B483" s="0" t="inlineStr">
        <s:is>
          <s:t>이종훈</s:t>
        </s:is>
      </s:c>
      <s:c r="C483" s="0" t="n">
        <s:v>91255</s:v>
      </s:c>
      <s:c r="D483" s="0" t="n">
        <s:v>5516</s:v>
      </s:c>
      <s:c r="E483" s="0" t="n">
        <s:v>24.399</s:v>
      </s:c>
      <s:c r="F483" s="24">
        <s:f>'자료구성'!$B$2+TIME(INT($C$3/10000),INT(MOD($C$3,10000)/100),MOD($C$3,100))+(ROW()-ROW($C$3))/86400</s:f>
        <s:v>46247.38952546296</s:v>
      </s:c>
    </s:row>
    <s:row r="484">
      <s:c r="A484" s="0" t="n">
        <s:v>260813</s:v>
      </s:c>
      <s:c r="B484" s="0" t="inlineStr">
        <s:is>
          <s:t>이종훈</s:t>
        </s:is>
      </s:c>
      <s:c r="C484" s="0" t="n">
        <s:v>91255</s:v>
      </s:c>
      <s:c r="D484" s="0" t="n">
        <s:v>5390</s:v>
      </s:c>
      <s:c r="E484" s="0" t="n">
        <s:v>24.399</s:v>
      </s:c>
      <s:c r="F484" s="24">
        <s:f>'자료구성'!$B$2+TIME(INT($C$3/10000),INT(MOD($C$3,10000)/100),MOD($C$3,100))+(ROW()-ROW($C$3))/86400</s:f>
        <s:v>46247.38953703704</s:v>
      </s:c>
    </s:row>
    <s:row r="485">
      <s:c r="A485" s="0" t="n">
        <s:v>260813</s:v>
      </s:c>
      <s:c r="B485" s="0" t="inlineStr">
        <s:is>
          <s:t>이종훈</s:t>
        </s:is>
      </s:c>
      <s:c r="C485" s="0" t="n">
        <s:v>91255</s:v>
      </s:c>
      <s:c r="D485" s="0" t="n">
        <s:v>5284</s:v>
      </s:c>
      <s:c r="E485" s="0" t="n">
        <s:v>24.399</s:v>
      </s:c>
      <s:c r="F485" s="24">
        <s:f>'자료구성'!$B$2+TIME(INT($C$3/10000),INT(MOD($C$3,10000)/100),MOD($C$3,100))+(ROW()-ROW($C$3))/86400</s:f>
        <s:v>46247.389548611114</s:v>
      </s:c>
    </s:row>
    <s:row r="486">
      <s:c r="A486" s="0" t="n">
        <s:v>260813</s:v>
      </s:c>
      <s:c r="B486" s="0" t="inlineStr">
        <s:is>
          <s:t>이종훈</s:t>
        </s:is>
      </s:c>
      <s:c r="C486" s="0" t="n">
        <s:v>91255</s:v>
      </s:c>
      <s:c r="D486" s="0" t="n">
        <s:v>5203</s:v>
      </s:c>
      <s:c r="E486" s="0" t="n">
        <s:v>24.399</s:v>
      </s:c>
      <s:c r="F486" s="24">
        <s:f>'자료구성'!$B$2+TIME(INT($C$3/10000),INT(MOD($C$3,10000)/100),MOD($C$3,100))+(ROW()-ROW($C$3))/86400</s:f>
        <s:v>46247.389560185184</s:v>
      </s:c>
    </s:row>
    <s:row r="487">
      <s:c r="A487" s="0" t="n">
        <s:v>260813</s:v>
      </s:c>
      <s:c r="B487" s="0" t="inlineStr">
        <s:is>
          <s:t>이종훈</s:t>
        </s:is>
      </s:c>
      <s:c r="C487" s="0" t="n">
        <s:v>91255</s:v>
      </s:c>
      <s:c r="D487" s="0" t="n">
        <s:v>5111</s:v>
      </s:c>
      <s:c r="E487" s="0" t="n">
        <s:v>24.399</s:v>
      </s:c>
      <s:c r="F487" s="24">
        <s:f>'자료구성'!$B$2+TIME(INT($C$3/10000),INT(MOD($C$3,10000)/100),MOD($C$3,100))+(ROW()-ROW($C$3))/86400</s:f>
        <s:v>46247.38957175926</s:v>
      </s:c>
    </s:row>
    <s:row r="488">
      <s:c r="A488" s="0" t="n">
        <s:v>260813</s:v>
      </s:c>
      <s:c r="B488" s="0" t="inlineStr">
        <s:is>
          <s:t>이종훈</s:t>
        </s:is>
      </s:c>
      <s:c r="C488" s="0" t="n">
        <s:v>91255</s:v>
      </s:c>
      <s:c r="D488" s="0" t="n">
        <s:v>5078</s:v>
      </s:c>
      <s:c r="E488" s="0" t="n">
        <s:v>24.399</s:v>
      </s:c>
      <s:c r="F488" s="24">
        <s:f>'자료구성'!$B$2+TIME(INT($C$3/10000),INT(MOD($C$3,10000)/100),MOD($C$3,100))+(ROW()-ROW($C$3))/86400</s:f>
        <s:v>46247.38958333333</s:v>
      </s:c>
    </s:row>
    <s:row r="489">
      <s:c r="A489" s="0" t="n">
        <s:v>260813</s:v>
      </s:c>
      <s:c r="B489" s="0" t="inlineStr">
        <s:is>
          <s:t>이종훈</s:t>
        </s:is>
      </s:c>
      <s:c r="C489" s="0" t="n">
        <s:v>91255</s:v>
      </s:c>
      <s:c r="D489" s="0" t="n">
        <s:v>5078</s:v>
      </s:c>
      <s:c r="E489" s="0" t="n">
        <s:v>24.399</s:v>
      </s:c>
      <s:c r="F489" s="24">
        <s:f>'자료구성'!$B$2+TIME(INT($C$3/10000),INT(MOD($C$3,10000)/100),MOD($C$3,100))+(ROW()-ROW($C$3))/86400</s:f>
        <s:v>46247.38959490741</s:v>
      </s:c>
    </s:row>
    <s:row r="490">
      <s:c r="A490" s="0" t="n">
        <s:v>260813</s:v>
      </s:c>
      <s:c r="B490" s="0" t="inlineStr">
        <s:is>
          <s:t>이종훈</s:t>
        </s:is>
      </s:c>
      <s:c r="C490" s="0" t="n">
        <s:v>91255</s:v>
      </s:c>
      <s:c r="D490" s="0" t="n">
        <s:v>5101</s:v>
      </s:c>
      <s:c r="E490" s="0" t="n">
        <s:v>24.399</s:v>
      </s:c>
      <s:c r="F490" s="24">
        <s:f>'자료구성'!$B$2+TIME(INT($C$3/10000),INT(MOD($C$3,10000)/100),MOD($C$3,100))+(ROW()-ROW($C$3))/86400</s:f>
        <s:v>46247.38960648148</s:v>
      </s:c>
    </s:row>
    <s:row r="491">
      <s:c r="A491" s="0" t="n">
        <s:v>260813</s:v>
      </s:c>
      <s:c r="B491" s="0" t="inlineStr">
        <s:is>
          <s:t>이종훈</s:t>
        </s:is>
      </s:c>
      <s:c r="C491" s="0" t="n">
        <s:v>91255</s:v>
      </s:c>
      <s:c r="D491" s="0" t="n">
        <s:v>5125</s:v>
      </s:c>
      <s:c r="E491" s="0" t="n">
        <s:v>24.399</s:v>
      </s:c>
      <s:c r="F491" s="24">
        <s:f>'자료구성'!$B$2+TIME(INT($C$3/10000),INT(MOD($C$3,10000)/100),MOD($C$3,100))+(ROW()-ROW($C$3))/86400</s:f>
        <s:v>46247.38961805555</s:v>
      </s:c>
    </s:row>
    <s:row r="492">
      <s:c r="A492" s="0" t="n">
        <s:v>260813</s:v>
      </s:c>
      <s:c r="B492" s="0" t="inlineStr">
        <s:is>
          <s:t>이종훈</s:t>
        </s:is>
      </s:c>
      <s:c r="C492" s="0" t="n">
        <s:v>91255</s:v>
      </s:c>
      <s:c r="D492" s="0" t="n">
        <s:v>5164</s:v>
      </s:c>
      <s:c r="E492" s="0" t="n">
        <s:v>24.399</s:v>
      </s:c>
      <s:c r="F492" s="24">
        <s:f>'자료구성'!$B$2+TIME(INT($C$3/10000),INT(MOD($C$3,10000)/100),MOD($C$3,100))+(ROW()-ROW($C$3))/86400</s:f>
        <s:v>46247.38962962963</s:v>
      </s:c>
    </s:row>
    <s:row r="493">
      <s:c r="A493" s="0" t="n">
        <s:v>260813</s:v>
      </s:c>
      <s:c r="B493" s="0" t="inlineStr">
        <s:is>
          <s:t>이종훈</s:t>
        </s:is>
      </s:c>
      <s:c r="C493" s="0" t="n">
        <s:v>91255</s:v>
      </s:c>
      <s:c r="D493" s="0" t="n">
        <s:v>5169</s:v>
      </s:c>
      <s:c r="E493" s="0" t="n">
        <s:v>24.399</s:v>
      </s:c>
      <s:c r="F493" s="24">
        <s:f>'자료구성'!$B$2+TIME(INT($C$3/10000),INT(MOD($C$3,10000)/100),MOD($C$3,100))+(ROW()-ROW($C$3))/86400</s:f>
        <s:v>46247.38964120371</s:v>
      </s:c>
    </s:row>
    <s:row r="494">
      <s:c r="A494" s="0" t="n">
        <s:v>260813</s:v>
      </s:c>
      <s:c r="B494" s="0" t="inlineStr">
        <s:is>
          <s:t>이종훈</s:t>
        </s:is>
      </s:c>
      <s:c r="C494" s="0" t="n">
        <s:v>91255</s:v>
      </s:c>
      <s:c r="D494" s="0" t="n">
        <s:v>5153</s:v>
      </s:c>
      <s:c r="E494" s="0" t="n">
        <s:v>24.399</s:v>
      </s:c>
      <s:c r="F494" s="24">
        <s:f>'자료구성'!$B$2+TIME(INT($C$3/10000),INT(MOD($C$3,10000)/100),MOD($C$3,100))+(ROW()-ROW($C$3))/86400</s:f>
        <s:v>46247.389652777776</s:v>
      </s:c>
    </s:row>
    <s:row r="495">
      <s:c r="A495" s="0" t="n">
        <s:v>260813</s:v>
      </s:c>
      <s:c r="B495" s="0" t="inlineStr">
        <s:is>
          <s:t>이종훈</s:t>
        </s:is>
      </s:c>
      <s:c r="C495" s="0" t="n">
        <s:v>91255</s:v>
      </s:c>
      <s:c r="D495" s="0" t="n">
        <s:v>5129</s:v>
      </s:c>
      <s:c r="E495" s="0" t="n">
        <s:v>24.399</s:v>
      </s:c>
      <s:c r="F495" s="24">
        <s:f>'자료구성'!$B$2+TIME(INT($C$3/10000),INT(MOD($C$3,10000)/100),MOD($C$3,100))+(ROW()-ROW($C$3))/86400</s:f>
        <s:v>46247.38966435185</s:v>
      </s:c>
    </s:row>
    <s:row r="496">
      <s:c r="A496" s="0" t="n">
        <s:v>260813</s:v>
      </s:c>
      <s:c r="B496" s="0" t="inlineStr">
        <s:is>
          <s:t>이종훈</s:t>
        </s:is>
      </s:c>
      <s:c r="C496" s="0" t="n">
        <s:v>91255</s:v>
      </s:c>
      <s:c r="D496" s="0" t="n">
        <s:v>5168</s:v>
      </s:c>
      <s:c r="E496" s="0" t="n">
        <s:v>24.399</s:v>
      </s:c>
      <s:c r="F496" s="24">
        <s:f>'자료구성'!$B$2+TIME(INT($C$3/10000),INT(MOD($C$3,10000)/100),MOD($C$3,100))+(ROW()-ROW($C$3))/86400</s:f>
        <s:v>46247.38967592592</s:v>
      </s:c>
    </s:row>
    <s:row r="497">
      <s:c r="A497" s="0" t="n">
        <s:v>260813</s:v>
      </s:c>
      <s:c r="B497" s="0" t="inlineStr">
        <s:is>
          <s:t>이종훈</s:t>
        </s:is>
      </s:c>
      <s:c r="C497" s="0" t="n">
        <s:v>91255</s:v>
      </s:c>
      <s:c r="D497" s="0" t="n">
        <s:v>5203</s:v>
      </s:c>
      <s:c r="E497" s="0" t="n">
        <s:v>24.399</s:v>
      </s:c>
      <s:c r="F497" s="24">
        <s:f>'자료구성'!$B$2+TIME(INT($C$3/10000),INT(MOD($C$3,10000)/100),MOD($C$3,100))+(ROW()-ROW($C$3))/86400</s:f>
        <s:v>46247.3896875</s:v>
      </s:c>
    </s:row>
    <s:row r="498">
      <s:c r="A498" s="0" t="n">
        <s:v>260813</s:v>
      </s:c>
      <s:c r="B498" s="0" t="inlineStr">
        <s:is>
          <s:t>이종훈</s:t>
        </s:is>
      </s:c>
      <s:c r="C498" s="0" t="n">
        <s:v>91255</s:v>
      </s:c>
      <s:c r="D498" s="0" t="n">
        <s:v>5222</s:v>
      </s:c>
      <s:c r="E498" s="0" t="n">
        <s:v>24.399</s:v>
      </s:c>
      <s:c r="F498" s="24">
        <s:f>'자료구성'!$B$2+TIME(INT($C$3/10000),INT(MOD($C$3,10000)/100),MOD($C$3,100))+(ROW()-ROW($C$3))/86400</s:f>
        <s:v>46247.389699074076</s:v>
      </s:c>
    </s:row>
    <s:row r="499">
      <s:c r="A499" s="0" t="n">
        <s:v>260813</s:v>
      </s:c>
      <s:c r="B499" s="0" t="inlineStr">
        <s:is>
          <s:t>이종훈</s:t>
        </s:is>
      </s:c>
      <s:c r="C499" s="0" t="n">
        <s:v>91255</s:v>
      </s:c>
      <s:c r="D499" s="0" t="n">
        <s:v>5238</s:v>
      </s:c>
      <s:c r="E499" s="0" t="n">
        <s:v>24.399</s:v>
      </s:c>
      <s:c r="F499" s="24">
        <s:f>'자료구성'!$B$2+TIME(INT($C$3/10000),INT(MOD($C$3,10000)/100),MOD($C$3,100))+(ROW()-ROW($C$3))/86400</s:f>
        <s:v>46247.389710648145</s:v>
      </s:c>
    </s:row>
    <s:row r="500">
      <s:c r="A500" s="0" t="n">
        <s:v>260813</s:v>
      </s:c>
      <s:c r="B500" s="0" t="inlineStr">
        <s:is>
          <s:t>이종훈</s:t>
        </s:is>
      </s:c>
      <s:c r="C500" s="0" t="n">
        <s:v>91255</s:v>
      </s:c>
      <s:c r="D500" s="0" t="n">
        <s:v>5258</s:v>
      </s:c>
      <s:c r="E500" s="0" t="n">
        <s:v>24.399</s:v>
      </s:c>
      <s:c r="F500" s="24">
        <s:f>'자료구성'!$B$2+TIME(INT($C$3/10000),INT(MOD($C$3,10000)/100),MOD($C$3,100))+(ROW()-ROW($C$3))/86400</s:f>
        <s:v>46247.38972222222</s:v>
      </s:c>
    </s:row>
    <s:row r="501">
      <s:c r="A501" s="0" t="n">
        <s:v>260813</s:v>
      </s:c>
      <s:c r="B501" s="0" t="inlineStr">
        <s:is>
          <s:t>이종훈</s:t>
        </s:is>
      </s:c>
      <s:c r="C501" s="0" t="n">
        <s:v>91255</s:v>
      </s:c>
      <s:c r="D501" s="0" t="n">
        <s:v>5287</s:v>
      </s:c>
      <s:c r="E501" s="0" t="n">
        <s:v>24.399</s:v>
      </s:c>
      <s:c r="F501" s="24">
        <s:f>'자료구성'!$B$2+TIME(INT($C$3/10000),INT(MOD($C$3,10000)/100),MOD($C$3,100))+(ROW()-ROW($C$3))/86400</s:f>
        <s:v>46247.3897337963</s:v>
      </s:c>
    </s:row>
    <s:row r="502">
      <s:c r="A502" s="0" t="n">
        <s:v>260813</s:v>
      </s:c>
      <s:c r="B502" s="0" t="inlineStr">
        <s:is>
          <s:t>이종훈</s:t>
        </s:is>
      </s:c>
      <s:c r="C502" s="0" t="n">
        <s:v>91255</s:v>
      </s:c>
      <s:c r="D502" s="0" t="n">
        <s:v>5301</s:v>
      </s:c>
      <s:c r="E502" s="0" t="n">
        <s:v>24.399</s:v>
      </s:c>
      <s:c r="F502" s="24">
        <s:f>'자료구성'!$B$2+TIME(INT($C$3/10000),INT(MOD($C$3,10000)/100),MOD($C$3,100))+(ROW()-ROW($C$3))/86400</s:f>
        <s:v>46247.38974537037</s:v>
      </s:c>
    </s:row>
    <s:row r="503">
      <s:c r="A503" s="0" t="n">
        <s:v>260813</s:v>
      </s:c>
      <s:c r="B503" s="0" t="inlineStr">
        <s:is>
          <s:t>이종훈</s:t>
        </s:is>
      </s:c>
      <s:c r="C503" s="0" t="n">
        <s:v>91255</s:v>
      </s:c>
      <s:c r="D503" s="0" t="n">
        <s:v>5310</s:v>
      </s:c>
      <s:c r="E503" s="0" t="n">
        <s:v>24.399</s:v>
      </s:c>
      <s:c r="F503" s="24">
        <s:f>'자료구성'!$B$2+TIME(INT($C$3/10000),INT(MOD($C$3,10000)/100),MOD($C$3,100))+(ROW()-ROW($C$3))/86400</s:f>
        <s:v>46247.389756944445</s:v>
      </s:c>
    </s:row>
    <s:row r="504">
      <s:c r="A504" s="0" t="n">
        <s:v>260813</s:v>
      </s:c>
      <s:c r="B504" s="0" t="inlineStr">
        <s:is>
          <s:t>이종훈</s:t>
        </s:is>
      </s:c>
      <s:c r="C504" s="0" t="n">
        <s:v>91255</s:v>
      </s:c>
      <s:c r="D504" s="0" t="n">
        <s:v>5354</s:v>
      </s:c>
      <s:c r="E504" s="0" t="n">
        <s:v>24.399</s:v>
      </s:c>
      <s:c r="F504" s="24">
        <s:f>'자료구성'!$B$2+TIME(INT($C$3/10000),INT(MOD($C$3,10000)/100),MOD($C$3,100))+(ROW()-ROW($C$3))/86400</s:f>
        <s:v>46247.38976851852</s:v>
      </s:c>
    </s:row>
    <s:row r="505">
      <s:c r="A505" s="0" t="n">
        <s:v>260813</s:v>
      </s:c>
      <s:c r="B505" s="0" t="inlineStr">
        <s:is>
          <s:t>이종훈</s:t>
        </s:is>
      </s:c>
      <s:c r="C505" s="0" t="n">
        <s:v>91255</s:v>
      </s:c>
      <s:c r="D505" s="0" t="n">
        <s:v>5400</s:v>
      </s:c>
      <s:c r="E505" s="0" t="n">
        <s:v>24.399</s:v>
      </s:c>
      <s:c r="F505" s="24">
        <s:f>'자료구성'!$B$2+TIME(INT($C$3/10000),INT(MOD($C$3,10000)/100),MOD($C$3,100))+(ROW()-ROW($C$3))/86400</s:f>
        <s:v>46247.38978009259</s:v>
      </s:c>
    </s:row>
    <s:row r="506">
      <s:c r="A506" s="0" t="n">
        <s:v>260813</s:v>
      </s:c>
      <s:c r="B506" s="0" t="inlineStr">
        <s:is>
          <s:t>이종훈</s:t>
        </s:is>
      </s:c>
      <s:c r="C506" s="0" t="n">
        <s:v>91255</s:v>
      </s:c>
      <s:c r="D506" s="0" t="n">
        <s:v>5437</s:v>
      </s:c>
      <s:c r="E506" s="0" t="n">
        <s:v>24.399</s:v>
      </s:c>
      <s:c r="F506" s="24">
        <s:f>'자료구성'!$B$2+TIME(INT($C$3/10000),INT(MOD($C$3,10000)/100),MOD($C$3,100))+(ROW()-ROW($C$3))/86400</s:f>
        <s:v>46247.38979166667</s:v>
      </s:c>
    </s:row>
    <s:row r="507">
      <s:c r="A507" s="0" t="n">
        <s:v>260813</s:v>
      </s:c>
      <s:c r="B507" s="0" t="inlineStr">
        <s:is>
          <s:t>이종훈</s:t>
        </s:is>
      </s:c>
      <s:c r="C507" s="0" t="n">
        <s:v>91255</s:v>
      </s:c>
      <s:c r="D507" s="0" t="n">
        <s:v>5465</s:v>
      </s:c>
      <s:c r="E507" s="0" t="n">
        <s:v>24.399</s:v>
      </s:c>
      <s:c r="F507" s="24">
        <s:f>'자료구성'!$B$2+TIME(INT($C$3/10000),INT(MOD($C$3,10000)/100),MOD($C$3,100))+(ROW()-ROW($C$3))/86400</s:f>
        <s:v>46247.38980324074</s:v>
      </s:c>
    </s:row>
    <s:row r="508">
      <s:c r="A508" s="0" t="n">
        <s:v>260813</s:v>
      </s:c>
      <s:c r="B508" s="0" t="inlineStr">
        <s:is>
          <s:t>이종훈</s:t>
        </s:is>
      </s:c>
      <s:c r="C508" s="0" t="n">
        <s:v>91255</s:v>
      </s:c>
      <s:c r="D508" s="0" t="n">
        <s:v>5504</s:v>
      </s:c>
      <s:c r="E508" s="0" t="n">
        <s:v>24.399</s:v>
      </s:c>
      <s:c r="F508" s="24">
        <s:f>'자료구성'!$B$2+TIME(INT($C$3/10000),INT(MOD($C$3,10000)/100),MOD($C$3,100))+(ROW()-ROW($C$3))/86400</s:f>
        <s:v>46247.389814814815</s:v>
      </s:c>
    </s:row>
    <s:row r="509">
      <s:c r="A509" s="0" t="n">
        <s:v>260813</s:v>
      </s:c>
      <s:c r="B509" s="0" t="inlineStr">
        <s:is>
          <s:t>이종훈</s:t>
        </s:is>
      </s:c>
      <s:c r="C509" s="0" t="n">
        <s:v>91255</s:v>
      </s:c>
      <s:c r="D509" s="0" t="n">
        <s:v>5521</s:v>
      </s:c>
      <s:c r="E509" s="0" t="n">
        <s:v>24.399</s:v>
      </s:c>
      <s:c r="F509" s="24">
        <s:f>'자료구성'!$B$2+TIME(INT($C$3/10000),INT(MOD($C$3,10000)/100),MOD($C$3,100))+(ROW()-ROW($C$3))/86400</s:f>
        <s:v>46247.38982638889</s:v>
      </s:c>
    </s:row>
    <s:row r="510">
      <s:c r="A510" s="0" t="n">
        <s:v>260813</s:v>
      </s:c>
      <s:c r="B510" s="0" t="inlineStr">
        <s:is>
          <s:t>이종훈</s:t>
        </s:is>
      </s:c>
      <s:c r="C510" s="0" t="n">
        <s:v>91255</s:v>
      </s:c>
      <s:c r="D510" s="0" t="n">
        <s:v>5515</s:v>
      </s:c>
      <s:c r="E510" s="0" t="n">
        <s:v>24.399</s:v>
      </s:c>
      <s:c r="F510" s="24">
        <s:f>'자료구성'!$B$2+TIME(INT($C$3/10000),INT(MOD($C$3,10000)/100),MOD($C$3,100))+(ROW()-ROW($C$3))/86400</s:f>
        <s:v>46247.38983796296</s:v>
      </s:c>
    </s:row>
    <s:row r="511">
      <s:c r="A511" s="0" t="n">
        <s:v>260813</s:v>
      </s:c>
      <s:c r="B511" s="0" t="inlineStr">
        <s:is>
          <s:t>이종훈</s:t>
        </s:is>
      </s:c>
      <s:c r="C511" s="0" t="n">
        <s:v>91255</s:v>
      </s:c>
      <s:c r="D511" s="0" t="n">
        <s:v>5508</s:v>
      </s:c>
      <s:c r="E511" s="0" t="n">
        <s:v>24.399</s:v>
      </s:c>
      <s:c r="F511" s="24">
        <s:f>'자료구성'!$B$2+TIME(INT($C$3/10000),INT(MOD($C$3,10000)/100),MOD($C$3,100))+(ROW()-ROW($C$3))/86400</s:f>
        <s:v>46247.38984953704</s:v>
      </s:c>
    </s:row>
    <s:row r="512">
      <s:c r="A512" s="0" t="n">
        <s:v>260813</s:v>
      </s:c>
      <s:c r="B512" s="0" t="inlineStr">
        <s:is>
          <s:t>이종훈</s:t>
        </s:is>
      </s:c>
      <s:c r="C512" s="0" t="n">
        <s:v>91255</s:v>
      </s:c>
      <s:c r="D512" s="0" t="n">
        <s:v>5494</s:v>
      </s:c>
      <s:c r="E512" s="0" t="n">
        <s:v>24.399</s:v>
      </s:c>
      <s:c r="F512" s="24">
        <s:f>'자료구성'!$B$2+TIME(INT($C$3/10000),INT(MOD($C$3,10000)/100),MOD($C$3,100))+(ROW()-ROW($C$3))/86400</s:f>
        <s:v>46247.389861111114</s:v>
      </s:c>
    </s:row>
    <s:row r="513">
      <s:c r="A513" s="0" t="n">
        <s:v>260813</s:v>
      </s:c>
      <s:c r="B513" s="0" t="inlineStr">
        <s:is>
          <s:t>이종훈</s:t>
        </s:is>
      </s:c>
      <s:c r="C513" s="0" t="n">
        <s:v>91255</s:v>
      </s:c>
      <s:c r="D513" s="0" t="n">
        <s:v>5470</s:v>
      </s:c>
      <s:c r="E513" s="0" t="n">
        <s:v>24.399</s:v>
      </s:c>
      <s:c r="F513" s="24">
        <s:f>'자료구성'!$B$2+TIME(INT($C$3/10000),INT(MOD($C$3,10000)/100),MOD($C$3,100))+(ROW()-ROW($C$3))/86400</s:f>
        <s:v>46247.389872685184</s:v>
      </s:c>
    </s:row>
    <s:row r="514">
      <s:c r="A514" s="0" t="n">
        <s:v>260813</s:v>
      </s:c>
      <s:c r="B514" s="0" t="inlineStr">
        <s:is>
          <s:t>이종훈</s:t>
        </s:is>
      </s:c>
      <s:c r="C514" s="0" t="n">
        <s:v>91255</s:v>
      </s:c>
      <s:c r="D514" s="0" t="n">
        <s:v>5425</s:v>
      </s:c>
      <s:c r="E514" s="0" t="n">
        <s:v>24.399</s:v>
      </s:c>
      <s:c r="F514" s="24">
        <s:f>'자료구성'!$B$2+TIME(INT($C$3/10000),INT(MOD($C$3,10000)/100),MOD($C$3,100))+(ROW()-ROW($C$3))/86400</s:f>
        <s:v>46247.38988425926</s:v>
      </s:c>
    </s:row>
    <s:row r="515">
      <s:c r="A515" s="0" t="n">
        <s:v>260813</s:v>
      </s:c>
      <s:c r="B515" s="0" t="inlineStr">
        <s:is>
          <s:t>이종훈</s:t>
        </s:is>
      </s:c>
      <s:c r="C515" s="0" t="n">
        <s:v>91255</s:v>
      </s:c>
      <s:c r="D515" s="0" t="n">
        <s:v>5359</s:v>
      </s:c>
      <s:c r="E515" s="0" t="n">
        <s:v>24.399</s:v>
      </s:c>
      <s:c r="F515" s="24">
        <s:f>'자료구성'!$B$2+TIME(INT($C$3/10000),INT(MOD($C$3,10000)/100),MOD($C$3,100))+(ROW()-ROW($C$3))/86400</s:f>
        <s:v>46247.38989583333</s:v>
      </s:c>
    </s:row>
    <s:row r="516">
      <s:c r="A516" s="0" t="n">
        <s:v>260813</s:v>
      </s:c>
      <s:c r="B516" s="0" t="inlineStr">
        <s:is>
          <s:t>이종훈</s:t>
        </s:is>
      </s:c>
      <s:c r="C516" s="0" t="n">
        <s:v>91255</s:v>
      </s:c>
      <s:c r="D516" s="0" t="n">
        <s:v>5351</s:v>
      </s:c>
      <s:c r="E516" s="0" t="n">
        <s:v>24.399</s:v>
      </s:c>
      <s:c r="F516" s="24">
        <s:f>'자료구성'!$B$2+TIME(INT($C$3/10000),INT(MOD($C$3,10000)/100),MOD($C$3,100))+(ROW()-ROW($C$3))/86400</s:f>
        <s:v>46247.38990740741</s:v>
      </s:c>
    </s:row>
    <s:row r="517">
      <s:c r="A517" s="0" t="n">
        <s:v>260813</s:v>
      </s:c>
      <s:c r="B517" s="0" t="inlineStr">
        <s:is>
          <s:t>이종훈</s:t>
        </s:is>
      </s:c>
      <s:c r="C517" s="0" t="n">
        <s:v>91255</s:v>
      </s:c>
      <s:c r="D517" s="0" t="n">
        <s:v>5332</s:v>
      </s:c>
      <s:c r="E517" s="0" t="n">
        <s:v>24.399</s:v>
      </s:c>
      <s:c r="F517" s="24">
        <s:f>'자료구성'!$B$2+TIME(INT($C$3/10000),INT(MOD($C$3,10000)/100),MOD($C$3,100))+(ROW()-ROW($C$3))/86400</s:f>
        <s:v>46247.389918981484</s:v>
      </s:c>
    </s:row>
    <s:row r="518">
      <s:c r="A518" s="0" t="n">
        <s:v>260813</s:v>
      </s:c>
      <s:c r="B518" s="0" t="inlineStr">
        <s:is>
          <s:t>이종훈</s:t>
        </s:is>
      </s:c>
      <s:c r="C518" s="0" t="n">
        <s:v>91255</s:v>
      </s:c>
      <s:c r="D518" s="0" t="n">
        <s:v>5302</s:v>
      </s:c>
      <s:c r="E518" s="0" t="n">
        <s:v>24.399</s:v>
      </s:c>
      <s:c r="F518" s="24">
        <s:f>'자료구성'!$B$2+TIME(INT($C$3/10000),INT(MOD($C$3,10000)/100),MOD($C$3,100))+(ROW()-ROW($C$3))/86400</s:f>
        <s:v>46247.38993055555</s:v>
      </s:c>
    </s:row>
    <s:row r="519">
      <s:c r="A519" s="0" t="n">
        <s:v>260813</s:v>
      </s:c>
      <s:c r="B519" s="0" t="inlineStr">
        <s:is>
          <s:t>이종훈</s:t>
        </s:is>
      </s:c>
      <s:c r="C519" s="0" t="n">
        <s:v>91255</s:v>
      </s:c>
      <s:c r="D519" s="0" t="n">
        <s:v>5304</s:v>
      </s:c>
      <s:c r="E519" s="0" t="n">
        <s:v>24.399</s:v>
      </s:c>
      <s:c r="F519" s="24">
        <s:f>'자료구성'!$B$2+TIME(INT($C$3/10000),INT(MOD($C$3,10000)/100),MOD($C$3,100))+(ROW()-ROW($C$3))/86400</s:f>
        <s:v>46247.38994212963</s:v>
      </s:c>
    </s:row>
    <s:row r="520">
      <s:c r="A520" s="0" t="n">
        <s:v>260813</s:v>
      </s:c>
      <s:c r="B520" s="0" t="inlineStr">
        <s:is>
          <s:t>이종훈</s:t>
        </s:is>
      </s:c>
      <s:c r="C520" s="0" t="n">
        <s:v>91255</s:v>
      </s:c>
      <s:c r="D520" s="0" t="n">
        <s:v>5286</s:v>
      </s:c>
      <s:c r="E520" s="0" t="n">
        <s:v>24.399</s:v>
      </s:c>
      <s:c r="F520" s="24">
        <s:f>'자료구성'!$B$2+TIME(INT($C$3/10000),INT(MOD($C$3,10000)/100),MOD($C$3,100))+(ROW()-ROW($C$3))/86400</s:f>
        <s:v>46247.38995370371</s:v>
      </s:c>
    </s:row>
    <s:row r="521">
      <s:c r="A521" s="0" t="n">
        <s:v>260813</s:v>
      </s:c>
      <s:c r="B521" s="0" t="inlineStr">
        <s:is>
          <s:t>이종훈</s:t>
        </s:is>
      </s:c>
      <s:c r="C521" s="0" t="n">
        <s:v>91255</s:v>
      </s:c>
      <s:c r="D521" s="0" t="n">
        <s:v>5228</s:v>
      </s:c>
      <s:c r="E521" s="0" t="n">
        <s:v>24.399</s:v>
      </s:c>
      <s:c r="F521" s="24">
        <s:f>'자료구성'!$B$2+TIME(INT($C$3/10000),INT(MOD($C$3,10000)/100),MOD($C$3,100))+(ROW()-ROW($C$3))/86400</s:f>
        <s:v>46247.389965277776</s:v>
      </s:c>
    </s:row>
    <s:row r="522">
      <s:c r="A522" s="0" t="n">
        <s:v>260813</s:v>
      </s:c>
      <s:c r="B522" s="0" t="inlineStr">
        <s:is>
          <s:t>이종훈</s:t>
        </s:is>
      </s:c>
      <s:c r="C522" s="0" t="n">
        <s:v>91255</s:v>
      </s:c>
      <s:c r="D522" s="0" t="n">
        <s:v>5173</s:v>
      </s:c>
      <s:c r="E522" s="0" t="n">
        <s:v>24.399</s:v>
      </s:c>
      <s:c r="F522" s="24">
        <s:f>'자료구성'!$B$2+TIME(INT($C$3/10000),INT(MOD($C$3,10000)/100),MOD($C$3,100))+(ROW()-ROW($C$3))/86400</s:f>
        <s:v>46247.38997685185</s:v>
      </s:c>
    </s:row>
    <s:row r="523">
      <s:c r="A523" s="0" t="n">
        <s:v>260813</s:v>
      </s:c>
      <s:c r="B523" s="0" t="inlineStr">
        <s:is>
          <s:t>이종훈</s:t>
        </s:is>
      </s:c>
      <s:c r="C523" s="0" t="n">
        <s:v>91255</s:v>
      </s:c>
      <s:c r="D523" s="0" t="n">
        <s:v>5170</s:v>
      </s:c>
      <s:c r="E523" s="0" t="n">
        <s:v>24.399</s:v>
      </s:c>
      <s:c r="F523" s="24">
        <s:f>'자료구성'!$B$2+TIME(INT($C$3/10000),INT(MOD($C$3,10000)/100),MOD($C$3,100))+(ROW()-ROW($C$3))/86400</s:f>
        <s:v>46247.38998842592</s:v>
      </s:c>
    </s:row>
    <s:row r="524">
      <s:c r="A524" s="0" t="n">
        <s:v>260813</s:v>
      </s:c>
      <s:c r="B524" s="0" t="inlineStr">
        <s:is>
          <s:t>이종훈</s:t>
        </s:is>
      </s:c>
      <s:c r="C524" s="0" t="n">
        <s:v>91255</s:v>
      </s:c>
      <s:c r="D524" s="0" t="n">
        <s:v>5057</s:v>
      </s:c>
      <s:c r="E524" s="0" t="n">
        <s:v>24.399</s:v>
      </s:c>
      <s:c r="F524" s="24">
        <s:f>'자료구성'!$B$2+TIME(INT($C$3/10000),INT(MOD($C$3,10000)/100),MOD($C$3,100))+(ROW()-ROW($C$3))/86400</s:f>
        <s:v>46247.39</s:v>
      </s:c>
    </s:row>
    <s:row r="525">
      <s:c r="A525" s="0" t="n">
        <s:v>260813</s:v>
      </s:c>
      <s:c r="B525" s="0" t="inlineStr">
        <s:is>
          <s:t>이종훈</s:t>
        </s:is>
      </s:c>
      <s:c r="C525" s="0" t="n">
        <s:v>91255</s:v>
      </s:c>
      <s:c r="D525" s="0" t="n">
        <s:v>4932</s:v>
      </s:c>
      <s:c r="E525" s="0" t="n">
        <s:v>24.399</s:v>
      </s:c>
      <s:c r="F525" s="24">
        <s:f>'자료구성'!$B$2+TIME(INT($C$3/10000),INT(MOD($C$3,10000)/100),MOD($C$3,100))+(ROW()-ROW($C$3))/86400</s:f>
        <s:v>46247.390011574076</s:v>
      </s:c>
    </s:row>
    <s:row r="526">
      <s:c r="A526" s="0" t="n">
        <s:v>260813</s:v>
      </s:c>
      <s:c r="B526" s="0" t="inlineStr">
        <s:is>
          <s:t>이종훈</s:t>
        </s:is>
      </s:c>
      <s:c r="C526" s="0" t="n">
        <s:v>91255</s:v>
      </s:c>
      <s:c r="D526" s="0" t="n">
        <s:v>4824</s:v>
      </s:c>
      <s:c r="E526" s="0" t="n">
        <s:v>24.399</s:v>
      </s:c>
      <s:c r="F526" s="24">
        <s:f>'자료구성'!$B$2+TIME(INT($C$3/10000),INT(MOD($C$3,10000)/100),MOD($C$3,100))+(ROW()-ROW($C$3))/86400</s:f>
        <s:v>46247.390023148146</s:v>
      </s:c>
    </s:row>
    <s:row r="527">
      <s:c r="A527" s="0" t="n">
        <s:v>260813</s:v>
      </s:c>
      <s:c r="B527" s="0" t="inlineStr">
        <s:is>
          <s:t>이종훈</s:t>
        </s:is>
      </s:c>
      <s:c r="C527" s="0" t="n">
        <s:v>91255</s:v>
      </s:c>
      <s:c r="D527" s="0" t="n">
        <s:v>4733</s:v>
      </s:c>
      <s:c r="E527" s="0" t="n">
        <s:v>24.399</s:v>
      </s:c>
      <s:c r="F527" s="24">
        <s:f>'자료구성'!$B$2+TIME(INT($C$3/10000),INT(MOD($C$3,10000)/100),MOD($C$3,100))+(ROW()-ROW($C$3))/86400</s:f>
        <s:v>46247.39003472222</s:v>
      </s:c>
    </s:row>
    <s:row r="528">
      <s:c r="A528" s="0" t="n">
        <s:v>260813</s:v>
      </s:c>
      <s:c r="B528" s="0" t="inlineStr">
        <s:is>
          <s:t>이종훈</s:t>
        </s:is>
      </s:c>
      <s:c r="C528" s="0" t="n">
        <s:v>91255</s:v>
      </s:c>
      <s:c r="D528" s="0" t="n">
        <s:v>4649</s:v>
      </s:c>
      <s:c r="E528" s="0" t="n">
        <s:v>24.399</s:v>
      </s:c>
      <s:c r="F528" s="24">
        <s:f>'자료구성'!$B$2+TIME(INT($C$3/10000),INT(MOD($C$3,10000)/100),MOD($C$3,100))+(ROW()-ROW($C$3))/86400</s:f>
        <s:v>46247.3900462963</s:v>
      </s:c>
    </s:row>
    <s:row r="529">
      <s:c r="A529" s="0" t="n">
        <s:v>260813</s:v>
      </s:c>
      <s:c r="B529" s="0" t="inlineStr">
        <s:is>
          <s:t>이종훈</s:t>
        </s:is>
      </s:c>
      <s:c r="C529" s="0" t="n">
        <s:v>91255</s:v>
      </s:c>
      <s:c r="D529" s="0" t="n">
        <s:v>4596</s:v>
      </s:c>
      <s:c r="E529" s="0" t="n">
        <s:v>24.399</s:v>
      </s:c>
      <s:c r="F529" s="24">
        <s:f>'자료구성'!$B$2+TIME(INT($C$3/10000),INT(MOD($C$3,10000)/100),MOD($C$3,100))+(ROW()-ROW($C$3))/86400</s:f>
        <s:v>46247.39005787037</s:v>
      </s:c>
    </s:row>
    <s:row r="530">
      <s:c r="A530" s="0" t="n">
        <s:v>260813</s:v>
      </s:c>
      <s:c r="B530" s="0" t="inlineStr">
        <s:is>
          <s:t>이종훈</s:t>
        </s:is>
      </s:c>
      <s:c r="C530" s="0" t="n">
        <s:v>91255</s:v>
      </s:c>
      <s:c r="D530" s="0" t="n">
        <s:v>4571</s:v>
      </s:c>
      <s:c r="E530" s="0" t="n">
        <s:v>24.399</s:v>
      </s:c>
      <s:c r="F530" s="24">
        <s:f>'자료구성'!$B$2+TIME(INT($C$3/10000),INT(MOD($C$3,10000)/100),MOD($C$3,100))+(ROW()-ROW($C$3))/86400</s:f>
        <s:v>46247.390069444446</s:v>
      </s:c>
    </s:row>
    <s:row r="531">
      <s:c r="A531" s="0" t="n">
        <s:v>260813</s:v>
      </s:c>
      <s:c r="B531" s="0" t="inlineStr">
        <s:is>
          <s:t>이종훈</s:t>
        </s:is>
      </s:c>
      <s:c r="C531" s="0" t="n">
        <s:v>91255</s:v>
      </s:c>
      <s:c r="D531" s="0" t="n">
        <s:v>4620</s:v>
      </s:c>
      <s:c r="E531" s="0" t="n">
        <s:v>24.399</s:v>
      </s:c>
      <s:c r="F531" s="24">
        <s:f>'자료구성'!$B$2+TIME(INT($C$3/10000),INT(MOD($C$3,10000)/100),MOD($C$3,100))+(ROW()-ROW($C$3))/86400</s:f>
        <s:v>46247.390081018515</s:v>
      </s:c>
    </s:row>
    <s:row r="532">
      <s:c r="A532" s="0" t="n">
        <s:v>260813</s:v>
      </s:c>
      <s:c r="B532" s="0" t="inlineStr">
        <s:is>
          <s:t>이종훈</s:t>
        </s:is>
      </s:c>
      <s:c r="C532" s="0" t="n">
        <s:v>91255</s:v>
      </s:c>
      <s:c r="D532" s="0" t="n">
        <s:v>4647</s:v>
      </s:c>
      <s:c r="E532" s="0" t="n">
        <s:v>24.399</s:v>
      </s:c>
      <s:c r="F532" s="24">
        <s:f>'자료구성'!$B$2+TIME(INT($C$3/10000),INT(MOD($C$3,10000)/100),MOD($C$3,100))+(ROW()-ROW($C$3))/86400</s:f>
        <s:v>46247.39009259259</s:v>
      </s:c>
    </s:row>
    <s:row r="533">
      <s:c r="A533" s="0" t="n">
        <s:v>260813</s:v>
      </s:c>
      <s:c r="B533" s="0" t="inlineStr">
        <s:is>
          <s:t>이종훈</s:t>
        </s:is>
      </s:c>
      <s:c r="C533" s="0" t="n">
        <s:v>91255</s:v>
      </s:c>
      <s:c r="D533" s="0" t="n">
        <s:v>4622</s:v>
      </s:c>
      <s:c r="E533" s="0" t="n">
        <s:v>24.399</s:v>
      </s:c>
      <s:c r="F533" s="24">
        <s:f>'자료구성'!$B$2+TIME(INT($C$3/10000),INT(MOD($C$3,10000)/100),MOD($C$3,100))+(ROW()-ROW($C$3))/86400</s:f>
        <s:v>46247.39010416667</s:v>
      </s:c>
    </s:row>
    <s:row r="534">
      <s:c r="A534" s="0" t="n">
        <s:v>260813</s:v>
      </s:c>
      <s:c r="B534" s="0" t="inlineStr">
        <s:is>
          <s:t>이종훈</s:t>
        </s:is>
      </s:c>
      <s:c r="C534" s="0" t="n">
        <s:v>91255</s:v>
      </s:c>
      <s:c r="D534" s="0" t="n">
        <s:v>4628</s:v>
      </s:c>
      <s:c r="E534" s="0" t="n">
        <s:v>24.399</s:v>
      </s:c>
      <s:c r="F534" s="24">
        <s:f>'자료구성'!$B$2+TIME(INT($C$3/10000),INT(MOD($C$3,10000)/100),MOD($C$3,100))+(ROW()-ROW($C$3))/86400</s:f>
        <s:v>46247.39011574074</s:v>
      </s:c>
    </s:row>
    <s:row r="535">
      <s:c r="A535" s="0" t="n">
        <s:v>260813</s:v>
      </s:c>
      <s:c r="B535" s="0" t="inlineStr">
        <s:is>
          <s:t>이종훈</s:t>
        </s:is>
      </s:c>
      <s:c r="C535" s="0" t="n">
        <s:v>91255</s:v>
      </s:c>
      <s:c r="D535" s="0" t="n">
        <s:v>4659</s:v>
      </s:c>
      <s:c r="E535" s="0" t="n">
        <s:v>24.399</s:v>
      </s:c>
      <s:c r="F535" s="24">
        <s:f>'자료구성'!$B$2+TIME(INT($C$3/10000),INT(MOD($C$3,10000)/100),MOD($C$3,100))+(ROW()-ROW($C$3))/86400</s:f>
        <s:v>46247.390127314815</s:v>
      </s:c>
    </s:row>
    <s:row r="536">
      <s:c r="A536" s="0" t="n">
        <s:v>260813</s:v>
      </s:c>
      <s:c r="B536" s="0" t="inlineStr">
        <s:is>
          <s:t>이종훈</s:t>
        </s:is>
      </s:c>
      <s:c r="C536" s="0" t="n">
        <s:v>91255</s:v>
      </s:c>
      <s:c r="D536" s="0" t="n">
        <s:v>4692</s:v>
      </s:c>
      <s:c r="E536" s="0" t="n">
        <s:v>24.399</s:v>
      </s:c>
      <s:c r="F536" s="24">
        <s:f>'자료구성'!$B$2+TIME(INT($C$3/10000),INT(MOD($C$3,10000)/100),MOD($C$3,100))+(ROW()-ROW($C$3))/86400</s:f>
        <s:v>46247.39013888889</s:v>
      </s:c>
    </s:row>
    <s:row r="537">
      <s:c r="A537" s="0" t="n">
        <s:v>260813</s:v>
      </s:c>
      <s:c r="B537" s="0" t="inlineStr">
        <s:is>
          <s:t>이종훈</s:t>
        </s:is>
      </s:c>
      <s:c r="C537" s="0" t="n">
        <s:v>91255</s:v>
      </s:c>
      <s:c r="D537" s="0" t="n">
        <s:v>4746</s:v>
      </s:c>
      <s:c r="E537" s="0" t="n">
        <s:v>24.399</s:v>
      </s:c>
      <s:c r="F537" s="24">
        <s:f>'자료구성'!$B$2+TIME(INT($C$3/10000),INT(MOD($C$3,10000)/100),MOD($C$3,100))+(ROW()-ROW($C$3))/86400</s:f>
        <s:v>46247.39015046296</s:v>
      </s:c>
    </s:row>
    <s:row r="538">
      <s:c r="A538" s="0" t="n">
        <s:v>260813</s:v>
      </s:c>
      <s:c r="B538" s="0" t="inlineStr">
        <s:is>
          <s:t>이종훈</s:t>
        </s:is>
      </s:c>
      <s:c r="C538" s="0" t="n">
        <s:v>91255</s:v>
      </s:c>
      <s:c r="D538" s="0" t="n">
        <s:v>4759</s:v>
      </s:c>
      <s:c r="E538" s="0" t="n">
        <s:v>24.399</s:v>
      </s:c>
      <s:c r="F538" s="24">
        <s:f>'자료구성'!$B$2+TIME(INT($C$3/10000),INT(MOD($C$3,10000)/100),MOD($C$3,100))+(ROW()-ROW($C$3))/86400</s:f>
        <s:v>46247.39016203704</s:v>
      </s:c>
    </s:row>
    <s:row r="539">
      <s:c r="A539" s="0" t="n">
        <s:v>260813</s:v>
      </s:c>
      <s:c r="B539" s="0" t="inlineStr">
        <s:is>
          <s:t>이종훈</s:t>
        </s:is>
      </s:c>
      <s:c r="C539" s="0" t="n">
        <s:v>91255</s:v>
      </s:c>
      <s:c r="D539" s="0" t="n">
        <s:v>4709</s:v>
      </s:c>
      <s:c r="E539" s="0" t="n">
        <s:v>24.399</s:v>
      </s:c>
      <s:c r="F539" s="24">
        <s:f>'자료구성'!$B$2+TIME(INT($C$3/10000),INT(MOD($C$3,10000)/100),MOD($C$3,100))+(ROW()-ROW($C$3))/86400</s:f>
        <s:v>46247.390173611115</s:v>
      </s:c>
    </s:row>
    <s:row r="540">
      <s:c r="A540" s="0" t="n">
        <s:v>260813</s:v>
      </s:c>
      <s:c r="B540" s="0" t="inlineStr">
        <s:is>
          <s:t>이종훈</s:t>
        </s:is>
      </s:c>
      <s:c r="C540" s="0" t="n">
        <s:v>91255</s:v>
      </s:c>
      <s:c r="D540" s="0" t="n">
        <s:v>4633</s:v>
      </s:c>
      <s:c r="E540" s="0" t="n">
        <s:v>24.399</s:v>
      </s:c>
      <s:c r="F540" s="24">
        <s:f>'자료구성'!$B$2+TIME(INT($C$3/10000),INT(MOD($C$3,10000)/100),MOD($C$3,100))+(ROW()-ROW($C$3))/86400</s:f>
        <s:v>46247.390185185184</s:v>
      </s:c>
    </s:row>
    <s:row r="541">
      <s:c r="A541" s="0" t="n">
        <s:v>260813</s:v>
      </s:c>
      <s:c r="B541" s="0" t="inlineStr">
        <s:is>
          <s:t>이종훈</s:t>
        </s:is>
      </s:c>
      <s:c r="C541" s="0" t="n">
        <s:v>91255</s:v>
      </s:c>
      <s:c r="D541" s="0" t="n">
        <s:v>4546</s:v>
      </s:c>
      <s:c r="E541" s="0" t="n">
        <s:v>24.399</s:v>
      </s:c>
      <s:c r="F541" s="24">
        <s:f>'자료구성'!$B$2+TIME(INT($C$3/10000),INT(MOD($C$3,10000)/100),MOD($C$3,100))+(ROW()-ROW($C$3))/86400</s:f>
        <s:v>46247.39019675926</s:v>
      </s:c>
    </s:row>
    <s:row r="542">
      <s:c r="A542" s="0" t="n">
        <s:v>260813</s:v>
      </s:c>
      <s:c r="B542" s="0" t="inlineStr">
        <s:is>
          <s:t>이종훈</s:t>
        </s:is>
      </s:c>
      <s:c r="C542" s="0" t="n">
        <s:v>91255</s:v>
      </s:c>
      <s:c r="D542" s="0" t="n">
        <s:v>4448</s:v>
      </s:c>
      <s:c r="E542" s="0" t="n">
        <s:v>24.399</s:v>
      </s:c>
      <s:c r="F542" s="24">
        <s:f>'자료구성'!$B$2+TIME(INT($C$3/10000),INT(MOD($C$3,10000)/100),MOD($C$3,100))+(ROW()-ROW($C$3))/86400</s:f>
        <s:v>46247.39020833333</s:v>
      </s:c>
    </s:row>
    <s:row r="543">
      <s:c r="A543" s="0" t="n">
        <s:v>260813</s:v>
      </s:c>
      <s:c r="B543" s="0" t="inlineStr">
        <s:is>
          <s:t>이종훈</s:t>
        </s:is>
      </s:c>
      <s:c r="C543" s="0" t="n">
        <s:v>91255</s:v>
      </s:c>
      <s:c r="D543" s="0" t="n">
        <s:v>4390</s:v>
      </s:c>
      <s:c r="E543" s="0" t="n">
        <s:v>24.399</s:v>
      </s:c>
      <s:c r="F543" s="24">
        <s:f>'자료구성'!$B$2+TIME(INT($C$3/10000),INT(MOD($C$3,10000)/100),MOD($C$3,100))+(ROW()-ROW($C$3))/86400</s:f>
        <s:v>46247.39021990741</s:v>
      </s:c>
    </s:row>
    <s:row r="544">
      <s:c r="A544" s="0" t="n">
        <s:v>260813</s:v>
      </s:c>
      <s:c r="B544" s="0" t="inlineStr">
        <s:is>
          <s:t>이종훈</s:t>
        </s:is>
      </s:c>
      <s:c r="C544" s="0" t="n">
        <s:v>91255</s:v>
      </s:c>
      <s:c r="D544" s="0" t="n">
        <s:v>4329</s:v>
      </s:c>
      <s:c r="E544" s="0" t="n">
        <s:v>24.399</s:v>
      </s:c>
      <s:c r="F544" s="24">
        <s:f>'자료구성'!$B$2+TIME(INT($C$3/10000),INT(MOD($C$3,10000)/100),MOD($C$3,100))+(ROW()-ROW($C$3))/86400</s:f>
        <s:v>46247.390231481484</s:v>
      </s:c>
    </s:row>
    <s:row r="545">
      <s:c r="A545" s="0" t="n">
        <s:v>260813</s:v>
      </s:c>
      <s:c r="B545" s="0" t="inlineStr">
        <s:is>
          <s:t>이종훈</s:t>
        </s:is>
      </s:c>
      <s:c r="C545" s="0" t="n">
        <s:v>91255</s:v>
      </s:c>
      <s:c r="D545" s="0" t="n">
        <s:v>4270</s:v>
      </s:c>
      <s:c r="E545" s="0" t="n">
        <s:v>24.399</s:v>
      </s:c>
      <s:c r="F545" s="24">
        <s:f>'자료구성'!$B$2+TIME(INT($C$3/10000),INT(MOD($C$3,10000)/100),MOD($C$3,100))+(ROW()-ROW($C$3))/86400</s:f>
        <s:v>46247.39024305555</s:v>
      </s:c>
    </s:row>
    <s:row r="546">
      <s:c r="A546" s="0" t="n">
        <s:v>260813</s:v>
      </s:c>
      <s:c r="B546" s="0" t="inlineStr">
        <s:is>
          <s:t>이종훈</s:t>
        </s:is>
      </s:c>
      <s:c r="C546" s="0" t="n">
        <s:v>91255</s:v>
      </s:c>
      <s:c r="D546" s="0" t="n">
        <s:v>4260</s:v>
      </s:c>
      <s:c r="E546" s="0" t="n">
        <s:v>24.399</s:v>
      </s:c>
      <s:c r="F546" s="24">
        <s:f>'자료구성'!$B$2+TIME(INT($C$3/10000),INT(MOD($C$3,10000)/100),MOD($C$3,100))+(ROW()-ROW($C$3))/86400</s:f>
        <s:v>46247.39025462963</s:v>
      </s:c>
    </s:row>
    <s:row r="547">
      <s:c r="A547" s="0" t="n">
        <s:v>260813</s:v>
      </s:c>
      <s:c r="B547" s="0" t="inlineStr">
        <s:is>
          <s:t>이종훈</s:t>
        </s:is>
      </s:c>
      <s:c r="C547" s="0" t="n">
        <s:v>91255</s:v>
      </s:c>
      <s:c r="D547" s="0" t="n">
        <s:v>4256</s:v>
      </s:c>
      <s:c r="E547" s="0" t="n">
        <s:v>24.399</s:v>
      </s:c>
      <s:c r="F547" s="24">
        <s:f>'자료구성'!$B$2+TIME(INT($C$3/10000),INT(MOD($C$3,10000)/100),MOD($C$3,100))+(ROW()-ROW($C$3))/86400</s:f>
        <s:v>46247.39026620371</s:v>
      </s:c>
    </s:row>
    <s:row r="548">
      <s:c r="A548" s="0" t="n">
        <s:v>260813</s:v>
      </s:c>
      <s:c r="B548" s="0" t="inlineStr">
        <s:is>
          <s:t>이종훈</s:t>
        </s:is>
      </s:c>
      <s:c r="C548" s="0" t="n">
        <s:v>91255</s:v>
      </s:c>
      <s:c r="D548" s="0" t="n">
        <s:v>4274</s:v>
      </s:c>
      <s:c r="E548" s="0" t="n">
        <s:v>24.399</s:v>
      </s:c>
      <s:c r="F548" s="24">
        <s:f>'자료구성'!$B$2+TIME(INT($C$3/10000),INT(MOD($C$3,10000)/100),MOD($C$3,100))+(ROW()-ROW($C$3))/86400</s:f>
        <s:v>46247.39027777778</s:v>
      </s:c>
    </s:row>
    <s:row r="549">
      <s:c r="A549" s="0" t="n">
        <s:v>260813</s:v>
      </s:c>
      <s:c r="B549" s="0" t="inlineStr">
        <s:is>
          <s:t>이종훈</s:t>
        </s:is>
      </s:c>
      <s:c r="C549" s="0" t="n">
        <s:v>91255</s:v>
      </s:c>
      <s:c r="D549" s="0" t="n">
        <s:v>4339</s:v>
      </s:c>
      <s:c r="E549" s="0" t="n">
        <s:v>24.399</s:v>
      </s:c>
      <s:c r="F549" s="24">
        <s:f>'자료구성'!$B$2+TIME(INT($C$3/10000),INT(MOD($C$3,10000)/100),MOD($C$3,100))+(ROW()-ROW($C$3))/86400</s:f>
        <s:v>46247.39028935185</s:v>
      </s:c>
    </s:row>
    <s:row r="550">
      <s:c r="A550" s="0" t="n">
        <s:v>260813</s:v>
      </s:c>
      <s:c r="B550" s="0" t="inlineStr">
        <s:is>
          <s:t>이종훈</s:t>
        </s:is>
      </s:c>
      <s:c r="C550" s="0" t="n">
        <s:v>91255</s:v>
      </s:c>
      <s:c r="D550" s="0" t="n">
        <s:v>4453</s:v>
      </s:c>
      <s:c r="E550" s="0" t="n">
        <s:v>24.399</s:v>
      </s:c>
      <s:c r="F550" s="24">
        <s:f>'자료구성'!$B$2+TIME(INT($C$3/10000),INT(MOD($C$3,10000)/100),MOD($C$3,100))+(ROW()-ROW($C$3))/86400</s:f>
        <s:v>46247.39030092592</s:v>
      </s:c>
    </s:row>
    <s:row r="551">
      <s:c r="A551" s="0" t="n">
        <s:v>260813</s:v>
      </s:c>
      <s:c r="B551" s="0" t="inlineStr">
        <s:is>
          <s:t>이종훈</s:t>
        </s:is>
      </s:c>
      <s:c r="C551" s="0" t="n">
        <s:v>91255</s:v>
      </s:c>
      <s:c r="D551" s="0" t="n">
        <s:v>4623</s:v>
      </s:c>
      <s:c r="E551" s="0" t="n">
        <s:v>24.399</s:v>
      </s:c>
      <s:c r="F551" s="24">
        <s:f>'자료구성'!$B$2+TIME(INT($C$3/10000),INT(MOD($C$3,10000)/100),MOD($C$3,100))+(ROW()-ROW($C$3))/86400</s:f>
        <s:v>46247.3903125</s:v>
      </s:c>
    </s:row>
    <s:row r="552">
      <s:c r="A552" s="0" t="n">
        <s:v>260813</s:v>
      </s:c>
      <s:c r="B552" s="0" t="inlineStr">
        <s:is>
          <s:t>이종훈</s:t>
        </s:is>
      </s:c>
      <s:c r="C552" s="0" t="n">
        <s:v>91255</s:v>
      </s:c>
      <s:c r="D552" s="0" t="n">
        <s:v>4765</s:v>
      </s:c>
      <s:c r="E552" s="0" t="n">
        <s:v>24.399</s:v>
      </s:c>
      <s:c r="F552" s="24">
        <s:f>'자료구성'!$B$2+TIME(INT($C$3/10000),INT(MOD($C$3,10000)/100),MOD($C$3,100))+(ROW()-ROW($C$3))/86400</s:f>
        <s:v>46247.39032407408</s:v>
      </s:c>
    </s:row>
    <s:row r="553">
      <s:c r="A553" s="0" t="n">
        <s:v>260813</s:v>
      </s:c>
      <s:c r="B553" s="0" t="inlineStr">
        <s:is>
          <s:t>이종훈</s:t>
        </s:is>
      </s:c>
      <s:c r="C553" s="0" t="n">
        <s:v>91255</s:v>
      </s:c>
      <s:c r="D553" s="0" t="n">
        <s:v>4890</s:v>
      </s:c>
      <s:c r="E553" s="0" t="n">
        <s:v>24.399</s:v>
      </s:c>
      <s:c r="F553" s="24">
        <s:f>'자료구성'!$B$2+TIME(INT($C$3/10000),INT(MOD($C$3,10000)/100),MOD($C$3,100))+(ROW()-ROW($C$3))/86400</s:f>
        <s:v>46247.390335648146</s:v>
      </s:c>
    </s:row>
    <s:row r="554">
      <s:c r="A554" s="0" t="n">
        <s:v>260813</s:v>
      </s:c>
      <s:c r="B554" s="0" t="inlineStr">
        <s:is>
          <s:t>이종훈</s:t>
        </s:is>
      </s:c>
      <s:c r="C554" s="0" t="n">
        <s:v>91255</s:v>
      </s:c>
      <s:c r="D554" s="0" t="n">
        <s:v>4949</s:v>
      </s:c>
      <s:c r="E554" s="0" t="n">
        <s:v>24.399</s:v>
      </s:c>
      <s:c r="F554" s="24">
        <s:f>'자료구성'!$B$2+TIME(INT($C$3/10000),INT(MOD($C$3,10000)/100),MOD($C$3,100))+(ROW()-ROW($C$3))/86400</s:f>
        <s:v>46247.39034722222</s:v>
      </s:c>
    </s:row>
    <s:row r="555">
      <s:c r="A555" s="0" t="n">
        <s:v>260813</s:v>
      </s:c>
      <s:c r="B555" s="0" t="inlineStr">
        <s:is>
          <s:t>이종훈</s:t>
        </s:is>
      </s:c>
      <s:c r="C555" s="0" t="n">
        <s:v>91255</s:v>
      </s:c>
      <s:c r="D555" s="0" t="n">
        <s:v>5011</s:v>
      </s:c>
      <s:c r="E555" s="0" t="n">
        <s:v>24.399</s:v>
      </s:c>
      <s:c r="F555" s="24">
        <s:f>'자료구성'!$B$2+TIME(INT($C$3/10000),INT(MOD($C$3,10000)/100),MOD($C$3,100))+(ROW()-ROW($C$3))/86400</s:f>
        <s:v>46247.3903587963</s:v>
      </s:c>
    </s:row>
    <s:row r="556">
      <s:c r="A556" s="0" t="n">
        <s:v>260813</s:v>
      </s:c>
      <s:c r="B556" s="0" t="inlineStr">
        <s:is>
          <s:t>이종훈</s:t>
        </s:is>
      </s:c>
      <s:c r="C556" s="0" t="n">
        <s:v>91255</s:v>
      </s:c>
      <s:c r="D556" s="0" t="n">
        <s:v>5110</s:v>
      </s:c>
      <s:c r="E556" s="0" t="n">
        <s:v>24.399</s:v>
      </s:c>
      <s:c r="F556" s="24">
        <s:f>'자료구성'!$B$2+TIME(INT($C$3/10000),INT(MOD($C$3,10000)/100),MOD($C$3,100))+(ROW()-ROW($C$3))/86400</s:f>
        <s:v>46247.39037037037</s:v>
      </s:c>
    </s:row>
    <s:row r="557">
      <s:c r="A557" s="0" t="n">
        <s:v>260813</s:v>
      </s:c>
      <s:c r="B557" s="0" t="inlineStr">
        <s:is>
          <s:t>이종훈</s:t>
        </s:is>
      </s:c>
      <s:c r="C557" s="0" t="n">
        <s:v>91255</s:v>
      </s:c>
      <s:c r="D557" s="0" t="n">
        <s:v>5165</s:v>
      </s:c>
      <s:c r="E557" s="0" t="n">
        <s:v>24.399</s:v>
      </s:c>
      <s:c r="F557" s="24">
        <s:f>'자료구성'!$B$2+TIME(INT($C$3/10000),INT(MOD($C$3,10000)/100),MOD($C$3,100))+(ROW()-ROW($C$3))/86400</s:f>
        <s:v>46247.390381944446</s:v>
      </s:c>
    </s:row>
    <s:row r="558">
      <s:c r="A558" s="0" t="n">
        <s:v>260813</s:v>
      </s:c>
      <s:c r="B558" s="0" t="inlineStr">
        <s:is>
          <s:t>이종훈</s:t>
        </s:is>
      </s:c>
      <s:c r="C558" s="0" t="n">
        <s:v>91255</s:v>
      </s:c>
      <s:c r="D558" s="0" t="n">
        <s:v>5168</s:v>
      </s:c>
      <s:c r="E558" s="0" t="n">
        <s:v>24.399</s:v>
      </s:c>
      <s:c r="F558" s="24">
        <s:f>'자료구성'!$B$2+TIME(INT($C$3/10000),INT(MOD($C$3,10000)/100),MOD($C$3,100))+(ROW()-ROW($C$3))/86400</s:f>
        <s:v>46247.390393518515</s:v>
      </s:c>
    </s:row>
    <s:row r="559">
      <s:c r="A559" s="0" t="n">
        <s:v>260813</s:v>
      </s:c>
      <s:c r="B559" s="0" t="inlineStr">
        <s:is>
          <s:t>이종훈</s:t>
        </s:is>
      </s:c>
      <s:c r="C559" s="0" t="n">
        <s:v>91255</s:v>
      </s:c>
      <s:c r="D559" s="0" t="n">
        <s:v>5215</s:v>
      </s:c>
      <s:c r="E559" s="0" t="n">
        <s:v>24.399</s:v>
      </s:c>
      <s:c r="F559" s="24">
        <s:f>'자료구성'!$B$2+TIME(INT($C$3/10000),INT(MOD($C$3,10000)/100),MOD($C$3,100))+(ROW()-ROW($C$3))/86400</s:f>
        <s:v>46247.39040509259</s:v>
      </s:c>
    </s:row>
    <s:row r="560">
      <s:c r="A560" s="0" t="n">
        <s:v>260813</s:v>
      </s:c>
      <s:c r="B560" s="0" t="inlineStr">
        <s:is>
          <s:t>이종훈</s:t>
        </s:is>
      </s:c>
      <s:c r="C560" s="0" t="n">
        <s:v>91255</s:v>
      </s:c>
      <s:c r="D560" s="0" t="n">
        <s:v>5311</s:v>
      </s:c>
      <s:c r="E560" s="0" t="n">
        <s:v>24.399</s:v>
      </s:c>
      <s:c r="F560" s="24">
        <s:f>'자료구성'!$B$2+TIME(INT($C$3/10000),INT(MOD($C$3,10000)/100),MOD($C$3,100))+(ROW()-ROW($C$3))/86400</s:f>
        <s:v>46247.39041666667</s:v>
      </s:c>
    </s:row>
    <s:row r="561">
      <s:c r="A561" s="0" t="n">
        <s:v>260813</s:v>
      </s:c>
      <s:c r="B561" s="0" t="inlineStr">
        <s:is>
          <s:t>이종훈</s:t>
        </s:is>
      </s:c>
      <s:c r="C561" s="0" t="n">
        <s:v>91255</s:v>
      </s:c>
      <s:c r="D561" s="0" t="n">
        <s:v>5381</s:v>
      </s:c>
      <s:c r="E561" s="0" t="n">
        <s:v>24.399</s:v>
      </s:c>
      <s:c r="F561" s="24">
        <s:f>'자료구성'!$B$2+TIME(INT($C$3/10000),INT(MOD($C$3,10000)/100),MOD($C$3,100))+(ROW()-ROW($C$3))/86400</s:f>
        <s:v>46247.39042824074</s:v>
      </s:c>
    </s:row>
    <s:row r="562">
      <s:c r="A562" s="0" t="n">
        <s:v>260813</s:v>
      </s:c>
      <s:c r="B562" s="0" t="inlineStr">
        <s:is>
          <s:t>이종훈</s:t>
        </s:is>
      </s:c>
      <s:c r="C562" s="0" t="n">
        <s:v>91255</s:v>
      </s:c>
      <s:c r="D562" s="0" t="n">
        <s:v>5374</s:v>
      </s:c>
      <s:c r="E562" s="0" t="n">
        <s:v>24.399</s:v>
      </s:c>
      <s:c r="F562" s="24">
        <s:f>'자료구성'!$B$2+TIME(INT($C$3/10000),INT(MOD($C$3,10000)/100),MOD($C$3,100))+(ROW()-ROW($C$3))/86400</s:f>
        <s:v>46247.390439814815</s:v>
      </s:c>
    </s:row>
    <s:row r="563">
      <s:c r="A563" s="0" t="n">
        <s:v>260813</s:v>
      </s:c>
      <s:c r="B563" s="0" t="inlineStr">
        <s:is>
          <s:t>이종훈</s:t>
        </s:is>
      </s:c>
      <s:c r="C563" s="0" t="n">
        <s:v>91255</s:v>
      </s:c>
      <s:c r="D563" s="0" t="n">
        <s:v>5343</s:v>
      </s:c>
      <s:c r="E563" s="0" t="n">
        <s:v>24.399</s:v>
      </s:c>
      <s:c r="F563" s="24">
        <s:f>'자료구성'!$B$2+TIME(INT($C$3/10000),INT(MOD($C$3,10000)/100),MOD($C$3,100))+(ROW()-ROW($C$3))/86400</s:f>
        <s:v>46247.39045138889</s:v>
      </s:c>
    </s:row>
    <s:row r="564">
      <s:c r="A564" s="0" t="n">
        <s:v>260813</s:v>
      </s:c>
      <s:c r="B564" s="0" t="inlineStr">
        <s:is>
          <s:t>이종훈</s:t>
        </s:is>
      </s:c>
      <s:c r="C564" s="0" t="n">
        <s:v>91255</s:v>
      </s:c>
      <s:c r="D564" s="0" t="n">
        <s:v>5336</s:v>
      </s:c>
      <s:c r="E564" s="0" t="n">
        <s:v>24.399</s:v>
      </s:c>
      <s:c r="F564" s="24">
        <s:f>'자료구성'!$B$2+TIME(INT($C$3/10000),INT(MOD($C$3,10000)/100),MOD($C$3,100))+(ROW()-ROW($C$3))/86400</s:f>
        <s:v>46247.39046296296</s:v>
      </s:c>
    </s:row>
    <s:row r="565">
      <s:c r="A565" s="0" t="n">
        <s:v>260813</s:v>
      </s:c>
      <s:c r="B565" s="0" t="inlineStr">
        <s:is>
          <s:t>이종훈</s:t>
        </s:is>
      </s:c>
      <s:c r="C565" s="0" t="n">
        <s:v>91255</s:v>
      </s:c>
      <s:c r="D565" s="0" t="n">
        <s:v>5326</s:v>
      </s:c>
      <s:c r="E565" s="0" t="n">
        <s:v>24.399</s:v>
      </s:c>
      <s:c r="F565" s="24">
        <s:f>'자료구성'!$B$2+TIME(INT($C$3/10000),INT(MOD($C$3,10000)/100),MOD($C$3,100))+(ROW()-ROW($C$3))/86400</s:f>
        <s:v>46247.39047453704</s:v>
      </s:c>
    </s:row>
    <s:row r="566">
      <s:c r="A566" s="0" t="n">
        <s:v>260813</s:v>
      </s:c>
      <s:c r="B566" s="0" t="inlineStr">
        <s:is>
          <s:t>이종훈</s:t>
        </s:is>
      </s:c>
      <s:c r="C566" s="0" t="n">
        <s:v>91255</s:v>
      </s:c>
      <s:c r="D566" s="0" t="n">
        <s:v>5270</s:v>
      </s:c>
      <s:c r="E566" s="0" t="n">
        <s:v>24.399</s:v>
      </s:c>
      <s:c r="F566" s="24">
        <s:f>'자료구성'!$B$2+TIME(INT($C$3/10000),INT(MOD($C$3,10000)/100),MOD($C$3,100))+(ROW()-ROW($C$3))/86400</s:f>
        <s:v>46247.39048611111</s:v>
      </s:c>
    </s:row>
    <s:row r="567">
      <s:c r="A567" s="0" t="n">
        <s:v>260813</s:v>
      </s:c>
      <s:c r="B567" s="0" t="inlineStr">
        <s:is>
          <s:t>이종훈</s:t>
        </s:is>
      </s:c>
      <s:c r="C567" s="0" t="n">
        <s:v>91255</s:v>
      </s:c>
      <s:c r="D567" s="0" t="n">
        <s:v>5169</s:v>
      </s:c>
      <s:c r="E567" s="0" t="n">
        <s:v>24.399</s:v>
      </s:c>
      <s:c r="F567" s="24">
        <s:f>'자료구성'!$B$2+TIME(INT($C$3/10000),INT(MOD($C$3,10000)/100),MOD($C$3,100))+(ROW()-ROW($C$3))/86400</s:f>
        <s:v>46247.390497685185</s:v>
      </s:c>
    </s:row>
    <s:row r="568">
      <s:c r="A568" s="0" t="n">
        <s:v>260813</s:v>
      </s:c>
      <s:c r="B568" s="0" t="inlineStr">
        <s:is>
          <s:t>이종훈</s:t>
        </s:is>
      </s:c>
      <s:c r="C568" s="0" t="n">
        <s:v>91255</s:v>
      </s:c>
      <s:c r="D568" s="0" t="n">
        <s:v>5139</s:v>
      </s:c>
      <s:c r="E568" s="0" t="n">
        <s:v>24.399</s:v>
      </s:c>
      <s:c r="F568" s="24">
        <s:f>'자료구성'!$B$2+TIME(INT($C$3/10000),INT(MOD($C$3,10000)/100),MOD($C$3,100))+(ROW()-ROW($C$3))/86400</s:f>
        <s:v>46247.39050925926</s:v>
      </s:c>
    </s:row>
    <s:row r="569">
      <s:c r="A569" s="0" t="n">
        <s:v>260813</s:v>
      </s:c>
      <s:c r="B569" s="0" t="inlineStr">
        <s:is>
          <s:t>이종훈</s:t>
        </s:is>
      </s:c>
      <s:c r="C569" s="0" t="n">
        <s:v>91255</s:v>
      </s:c>
      <s:c r="D569" s="0" t="n">
        <s:v>5105</s:v>
      </s:c>
      <s:c r="E569" s="0" t="n">
        <s:v>24.399</s:v>
      </s:c>
      <s:c r="F569" s="24">
        <s:f>'자료구성'!$B$2+TIME(INT($C$3/10000),INT(MOD($C$3,10000)/100),MOD($C$3,100))+(ROW()-ROW($C$3))/86400</s:f>
        <s:v>46247.39052083333</s:v>
      </s:c>
    </s:row>
    <s:row r="570">
      <s:c r="A570" s="0" t="n">
        <s:v>260813</s:v>
      </s:c>
      <s:c r="B570" s="0" t="inlineStr">
        <s:is>
          <s:t>이종훈</s:t>
        </s:is>
      </s:c>
      <s:c r="C570" s="0" t="n">
        <s:v>91255</s:v>
      </s:c>
      <s:c r="D570" s="0" t="n">
        <s:v>4993</s:v>
      </s:c>
      <s:c r="E570" s="0" t="n">
        <s:v>24.399</s:v>
      </s:c>
      <s:c r="F570" s="24">
        <s:f>'자료구성'!$B$2+TIME(INT($C$3/10000),INT(MOD($C$3,10000)/100),MOD($C$3,100))+(ROW()-ROW($C$3))/86400</s:f>
        <s:v>46247.39053240741</s:v>
      </s:c>
    </s:row>
    <s:row r="571">
      <s:c r="A571" s="0" t="n">
        <s:v>260813</s:v>
      </s:c>
      <s:c r="B571" s="0" t="inlineStr">
        <s:is>
          <s:t>이종훈</s:t>
        </s:is>
      </s:c>
      <s:c r="C571" s="0" t="n">
        <s:v>91255</s:v>
      </s:c>
      <s:c r="D571" s="0" t="n">
        <s:v>4948</s:v>
      </s:c>
      <s:c r="E571" s="0" t="n">
        <s:v>24.399</s:v>
      </s:c>
      <s:c r="F571" s="24">
        <s:f>'자료구성'!$B$2+TIME(INT($C$3/10000),INT(MOD($C$3,10000)/100),MOD($C$3,100))+(ROW()-ROW($C$3))/86400</s:f>
        <s:v>46247.390543981484</s:v>
      </s:c>
    </s:row>
    <s:row r="572">
      <s:c r="A572" s="0" t="n">
        <s:v>260813</s:v>
      </s:c>
      <s:c r="B572" s="0" t="inlineStr">
        <s:is>
          <s:t>이종훈</s:t>
        </s:is>
      </s:c>
      <s:c r="C572" s="0" t="n">
        <s:v>91255</s:v>
      </s:c>
      <s:c r="D572" s="0" t="n">
        <s:v>4892</s:v>
      </s:c>
      <s:c r="E572" s="0" t="n">
        <s:v>24.399</s:v>
      </s:c>
      <s:c r="F572" s="24">
        <s:f>'자료구성'!$B$2+TIME(INT($C$3/10000),INT(MOD($C$3,10000)/100),MOD($C$3,100))+(ROW()-ROW($C$3))/86400</s:f>
        <s:v>46247.390555555554</s:v>
      </s:c>
    </s:row>
    <s:row r="573">
      <s:c r="A573" s="0" t="n">
        <s:v>260813</s:v>
      </s:c>
      <s:c r="B573" s="0" t="inlineStr">
        <s:is>
          <s:t>이종훈</s:t>
        </s:is>
      </s:c>
      <s:c r="C573" s="0" t="n">
        <s:v>91255</s:v>
      </s:c>
      <s:c r="D573" s="0" t="n">
        <s:v>4871</s:v>
      </s:c>
      <s:c r="E573" s="0" t="n">
        <s:v>24.399</s:v>
      </s:c>
      <s:c r="F573" s="24">
        <s:f>'자료구성'!$B$2+TIME(INT($C$3/10000),INT(MOD($C$3,10000)/100),MOD($C$3,100))+(ROW()-ROW($C$3))/86400</s:f>
        <s:v>46247.39056712963</s:v>
      </s:c>
    </s:row>
    <s:row r="574">
      <s:c r="A574" s="0" t="n">
        <s:v>260813</s:v>
      </s:c>
      <s:c r="B574" s="0" t="inlineStr">
        <s:is>
          <s:t>이종훈</s:t>
        </s:is>
      </s:c>
      <s:c r="C574" s="0" t="n">
        <s:v>91255</s:v>
      </s:c>
      <s:c r="D574" s="0" t="n">
        <s:v>4840</s:v>
      </s:c>
      <s:c r="E574" s="0" t="n">
        <s:v>24.399</s:v>
      </s:c>
      <s:c r="F574" s="24">
        <s:f>'자료구성'!$B$2+TIME(INT($C$3/10000),INT(MOD($C$3,10000)/100),MOD($C$3,100))+(ROW()-ROW($C$3))/86400</s:f>
        <s:v>46247.3905787037</s:v>
      </s:c>
    </s:row>
    <s:row r="575">
      <s:c r="A575" s="0" t="n">
        <s:v>260813</s:v>
      </s:c>
      <s:c r="B575" s="0" t="inlineStr">
        <s:is>
          <s:t>이종훈</s:t>
        </s:is>
      </s:c>
      <s:c r="C575" s="0" t="n">
        <s:v>91255</s:v>
      </s:c>
      <s:c r="D575" s="0" t="n">
        <s:v>4882</s:v>
      </s:c>
      <s:c r="E575" s="0" t="n">
        <s:v>24.399</s:v>
      </s:c>
      <s:c r="F575" s="24">
        <s:f>'자료구성'!$B$2+TIME(INT($C$3/10000),INT(MOD($C$3,10000)/100),MOD($C$3,100))+(ROW()-ROW($C$3))/86400</s:f>
        <s:v>46247.39059027778</s:v>
      </s:c>
    </s:row>
    <s:row r="576">
      <s:c r="A576" s="0" t="n">
        <s:v>260813</s:v>
      </s:c>
      <s:c r="B576" s="0" t="inlineStr">
        <s:is>
          <s:t>이종훈</s:t>
        </s:is>
      </s:c>
      <s:c r="C576" s="0" t="n">
        <s:v>91255</s:v>
      </s:c>
      <s:c r="D576" s="0" t="n">
        <s:v>4951</s:v>
      </s:c>
      <s:c r="E576" s="0" t="n">
        <s:v>24.399</s:v>
      </s:c>
      <s:c r="F576" s="24">
        <s:f>'자료구성'!$B$2+TIME(INT($C$3/10000),INT(MOD($C$3,10000)/100),MOD($C$3,100))+(ROW()-ROW($C$3))/86400</s:f>
        <s:v>46247.390601851854</s:v>
      </s:c>
    </s:row>
    <s:row r="577">
      <s:c r="A577" s="0" t="n">
        <s:v>260813</s:v>
      </s:c>
      <s:c r="B577" s="0" t="inlineStr">
        <s:is>
          <s:t>이종훈</s:t>
        </s:is>
      </s:c>
      <s:c r="C577" s="0" t="n">
        <s:v>91255</s:v>
      </s:c>
      <s:c r="D577" s="0" t="n">
        <s:v>5032</s:v>
      </s:c>
      <s:c r="E577" s="0" t="n">
        <s:v>24.399</s:v>
      </s:c>
      <s:c r="F577" s="24">
        <s:f>'자료구성'!$B$2+TIME(INT($C$3/10000),INT(MOD($C$3,10000)/100),MOD($C$3,100))+(ROW()-ROW($C$3))/86400</s:f>
        <s:v>46247.39061342592</s:v>
      </s:c>
    </s:row>
    <s:row r="578">
      <s:c r="A578" s="0" t="n">
        <s:v>260813</s:v>
      </s:c>
      <s:c r="B578" s="0" t="inlineStr">
        <s:is>
          <s:t>이종훈</s:t>
        </s:is>
      </s:c>
      <s:c r="C578" s="0" t="n">
        <s:v>91255</s:v>
      </s:c>
      <s:c r="D578" s="0" t="n">
        <s:v>5012</s:v>
      </s:c>
      <s:c r="E578" s="0" t="n">
        <s:v>24.399</s:v>
      </s:c>
      <s:c r="F578" s="24">
        <s:f>'자료구성'!$B$2+TIME(INT($C$3/10000),INT(MOD($C$3,10000)/100),MOD($C$3,100))+(ROW()-ROW($C$3))/86400</s:f>
        <s:v>46247.390625</s:v>
      </s:c>
    </s:row>
    <s:row r="579">
      <s:c r="A579" s="0" t="n">
        <s:v>260813</s:v>
      </s:c>
      <s:c r="B579" s="0" t="inlineStr">
        <s:is>
          <s:t>이종훈</s:t>
        </s:is>
      </s:c>
      <s:c r="C579" s="0" t="n">
        <s:v>91255</s:v>
      </s:c>
      <s:c r="D579" s="0" t="n">
        <s:v>4989</s:v>
      </s:c>
      <s:c r="E579" s="0" t="n">
        <s:v>24.399</s:v>
      </s:c>
      <s:c r="F579" s="24">
        <s:f>'자료구성'!$B$2+TIME(INT($C$3/10000),INT(MOD($C$3,10000)/100),MOD($C$3,100))+(ROW()-ROW($C$3))/86400</s:f>
        <s:v>46247.39063657408</s:v>
      </s:c>
    </s:row>
    <s:row r="580">
      <s:c r="A580" s="0" t="n">
        <s:v>260813</s:v>
      </s:c>
      <s:c r="B580" s="0" t="inlineStr">
        <s:is>
          <s:t>이종훈</s:t>
        </s:is>
      </s:c>
      <s:c r="C580" s="0" t="n">
        <s:v>91255</s:v>
      </s:c>
      <s:c r="D580" s="0" t="n">
        <s:v>4963</s:v>
      </s:c>
      <s:c r="E580" s="0" t="n">
        <s:v>24.399</s:v>
      </s:c>
      <s:c r="F580" s="24">
        <s:f>'자료구성'!$B$2+TIME(INT($C$3/10000),INT(MOD($C$3,10000)/100),MOD($C$3,100))+(ROW()-ROW($C$3))/86400</s:f>
        <s:v>46247.390648148146</s:v>
      </s:c>
    </s:row>
    <s:row r="581">
      <s:c r="A581" s="0" t="n">
        <s:v>260813</s:v>
      </s:c>
      <s:c r="B581" s="0" t="inlineStr">
        <s:is>
          <s:t>이종훈</s:t>
        </s:is>
      </s:c>
      <s:c r="C581" s="0" t="n">
        <s:v>91255</s:v>
      </s:c>
      <s:c r="D581" s="0" t="n">
        <s:v>4890</s:v>
      </s:c>
      <s:c r="E581" s="0" t="n">
        <s:v>24.399</s:v>
      </s:c>
      <s:c r="F581" s="24">
        <s:f>'자료구성'!$B$2+TIME(INT($C$3/10000),INT(MOD($C$3,10000)/100),MOD($C$3,100))+(ROW()-ROW($C$3))/86400</s:f>
        <s:v>46247.39065972222</s:v>
      </s:c>
    </s:row>
    <s:row r="582">
      <s:c r="A582" s="0" t="n">
        <s:v>260813</s:v>
      </s:c>
      <s:c r="B582" s="0" t="inlineStr">
        <s:is>
          <s:t>이종훈</s:t>
        </s:is>
      </s:c>
      <s:c r="C582" s="0" t="n">
        <s:v>91255</s:v>
      </s:c>
      <s:c r="D582" s="0" t="n">
        <s:v>4874</s:v>
      </s:c>
      <s:c r="E582" s="0" t="n">
        <s:v>24.399</s:v>
      </s:c>
      <s:c r="F582" s="24">
        <s:f>'자료구성'!$B$2+TIME(INT($C$3/10000),INT(MOD($C$3,10000)/100),MOD($C$3,100))+(ROW()-ROW($C$3))/86400</s:f>
        <s:v>46247.3906712963</s:v>
      </s:c>
    </s:row>
    <s:row r="583">
      <s:c r="A583" s="0" t="n">
        <s:v>260813</s:v>
      </s:c>
      <s:c r="B583" s="0" t="inlineStr">
        <s:is>
          <s:t>이종훈</s:t>
        </s:is>
      </s:c>
      <s:c r="C583" s="0" t="n">
        <s:v>91255</s:v>
      </s:c>
      <s:c r="D583" s="0" t="n">
        <s:v>4892</s:v>
      </s:c>
      <s:c r="E583" s="0" t="n">
        <s:v>24.399</s:v>
      </s:c>
      <s:c r="F583" s="24">
        <s:f>'자료구성'!$B$2+TIME(INT($C$3/10000),INT(MOD($C$3,10000)/100),MOD($C$3,100))+(ROW()-ROW($C$3))/86400</s:f>
        <s:v>46247.39068287037</s:v>
      </s:c>
    </s:row>
    <s:row r="584">
      <s:c r="A584" s="0" t="n">
        <s:v>260813</s:v>
      </s:c>
      <s:c r="B584" s="0" t="inlineStr">
        <s:is>
          <s:t>이종훈</s:t>
        </s:is>
      </s:c>
      <s:c r="C584" s="0" t="n">
        <s:v>91255</s:v>
      </s:c>
      <s:c r="D584" s="0" t="n">
        <s:v>4916</s:v>
      </s:c>
      <s:c r="E584" s="0" t="n">
        <s:v>24.399</s:v>
      </s:c>
      <s:c r="F584" s="24">
        <s:f>'자료구성'!$B$2+TIME(INT($C$3/10000),INT(MOD($C$3,10000)/100),MOD($C$3,100))+(ROW()-ROW($C$3))/86400</s:f>
        <s:v>46247.390694444446</s:v>
      </s:c>
    </s:row>
    <s:row r="585">
      <s:c r="A585" s="0" t="n">
        <s:v>260813</s:v>
      </s:c>
      <s:c r="B585" s="0" t="inlineStr">
        <s:is>
          <s:t>이종훈</s:t>
        </s:is>
      </s:c>
      <s:c r="C585" s="0" t="n">
        <s:v>91255</s:v>
      </s:c>
      <s:c r="D585" s="0" t="n">
        <s:v>4920</s:v>
      </s:c>
      <s:c r="E585" s="0" t="n">
        <s:v>24.399</s:v>
      </s:c>
      <s:c r="F585" s="24">
        <s:f>'자료구성'!$B$2+TIME(INT($C$3/10000),INT(MOD($C$3,10000)/100),MOD($C$3,100))+(ROW()-ROW($C$3))/86400</s:f>
        <s:v>46247.390706018516</s:v>
      </s:c>
    </s:row>
    <s:row r="586">
      <s:c r="A586" s="0" t="n">
        <s:v>260813</s:v>
      </s:c>
      <s:c r="B586" s="0" t="inlineStr">
        <s:is>
          <s:t>이종훈</s:t>
        </s:is>
      </s:c>
      <s:c r="C586" s="0" t="n">
        <s:v>91255</s:v>
      </s:c>
      <s:c r="D586" s="0" t="n">
        <s:v>4918</s:v>
      </s:c>
      <s:c r="E586" s="0" t="n">
        <s:v>24.399</s:v>
      </s:c>
      <s:c r="F586" s="24">
        <s:f>'자료구성'!$B$2+TIME(INT($C$3/10000),INT(MOD($C$3,10000)/100),MOD($C$3,100))+(ROW()-ROW($C$3))/86400</s:f>
        <s:v>46247.39071759259</s:v>
      </s:c>
    </s:row>
    <s:row r="587">
      <s:c r="A587" s="0" t="n">
        <s:v>260813</s:v>
      </s:c>
      <s:c r="B587" s="0" t="inlineStr">
        <s:is>
          <s:t>이종훈</s:t>
        </s:is>
      </s:c>
      <s:c r="C587" s="0" t="n">
        <s:v>91255</s:v>
      </s:c>
      <s:c r="D587" s="0" t="n">
        <s:v>4888</s:v>
      </s:c>
      <s:c r="E587" s="0" t="n">
        <s:v>24.399</s:v>
      </s:c>
      <s:c r="F587" s="24">
        <s:f>'자료구성'!$B$2+TIME(INT($C$3/10000),INT(MOD($C$3,10000)/100),MOD($C$3,100))+(ROW()-ROW($C$3))/86400</s:f>
        <s:v>46247.39072916667</s:v>
      </s:c>
    </s:row>
    <s:row r="588">
      <s:c r="A588" s="0" t="n">
        <s:v>260813</s:v>
      </s:c>
      <s:c r="B588" s="0" t="inlineStr">
        <s:is>
          <s:t>이종훈</s:t>
        </s:is>
      </s:c>
      <s:c r="C588" s="0" t="n">
        <s:v>91255</s:v>
      </s:c>
      <s:c r="D588" s="0" t="n">
        <s:v>4798</s:v>
      </s:c>
      <s:c r="E588" s="0" t="n">
        <s:v>24.399</s:v>
      </s:c>
      <s:c r="F588" s="24">
        <s:f>'자료구성'!$B$2+TIME(INT($C$3/10000),INT(MOD($C$3,10000)/100),MOD($C$3,100))+(ROW()-ROW($C$3))/86400</s:f>
        <s:v>46247.39074074074</s:v>
      </s:c>
    </s:row>
    <s:row r="589">
      <s:c r="A589" s="0" t="n">
        <s:v>260813</s:v>
      </s:c>
      <s:c r="B589" s="0" t="inlineStr">
        <s:is>
          <s:t>이종훈</s:t>
        </s:is>
      </s:c>
      <s:c r="C589" s="0" t="n">
        <s:v>91255</s:v>
      </s:c>
      <s:c r="D589" s="0" t="n">
        <s:v>4712</s:v>
      </s:c>
      <s:c r="E589" s="0" t="n">
        <s:v>24.399</s:v>
      </s:c>
      <s:c r="F589" s="24">
        <s:f>'자료구성'!$B$2+TIME(INT($C$3/10000),INT(MOD($C$3,10000)/100),MOD($C$3,100))+(ROW()-ROW($C$3))/86400</s:f>
        <s:v>46247.390752314815</s:v>
      </s:c>
    </s:row>
    <s:row r="590">
      <s:c r="A590" s="0" t="n">
        <s:v>260813</s:v>
      </s:c>
      <s:c r="B590" s="0" t="inlineStr">
        <s:is>
          <s:t>이종훈</s:t>
        </s:is>
      </s:c>
      <s:c r="C590" s="0" t="n">
        <s:v>91255</s:v>
      </s:c>
      <s:c r="D590" s="0" t="n">
        <s:v>4616</s:v>
      </s:c>
      <s:c r="E590" s="0" t="n">
        <s:v>24.399</s:v>
      </s:c>
      <s:c r="F590" s="24">
        <s:f>'자료구성'!$B$2+TIME(INT($C$3/10000),INT(MOD($C$3,10000)/100),MOD($C$3,100))+(ROW()-ROW($C$3))/86400</s:f>
        <s:v>46247.39076388889</s:v>
      </s:c>
    </s:row>
    <s:row r="591">
      <s:c r="A591" s="0" t="n">
        <s:v>260813</s:v>
      </s:c>
      <s:c r="B591" s="0" t="inlineStr">
        <s:is>
          <s:t>이종훈</s:t>
        </s:is>
      </s:c>
      <s:c r="C591" s="0" t="n">
        <s:v>91255</s:v>
      </s:c>
      <s:c r="D591" s="0" t="n">
        <s:v>4570</s:v>
      </s:c>
      <s:c r="E591" s="0" t="n">
        <s:v>24.399</s:v>
      </s:c>
      <s:c r="F591" s="24">
        <s:f>'자료구성'!$B$2+TIME(INT($C$3/10000),INT(MOD($C$3,10000)/100),MOD($C$3,100))+(ROW()-ROW($C$3))/86400</s:f>
        <s:v>46247.39077546296</s:v>
      </s:c>
    </s:row>
    <s:row r="592">
      <s:c r="A592" s="0" t="n">
        <s:v>260813</s:v>
      </s:c>
      <s:c r="B592" s="0" t="inlineStr">
        <s:is>
          <s:t>이종훈</s:t>
        </s:is>
      </s:c>
      <s:c r="C592" s="0" t="n">
        <s:v>91255</s:v>
      </s:c>
      <s:c r="D592" s="0" t="n">
        <s:v>4522</s:v>
      </s:c>
      <s:c r="E592" s="0" t="n">
        <s:v>24.399</s:v>
      </s:c>
      <s:c r="F592" s="24">
        <s:f>'자료구성'!$B$2+TIME(INT($C$3/10000),INT(MOD($C$3,10000)/100),MOD($C$3,100))+(ROW()-ROW($C$3))/86400</s:f>
        <s:v>46247.39078703704</s:v>
      </s:c>
    </s:row>
    <s:row r="593">
      <s:c r="A593" s="0" t="n">
        <s:v>260813</s:v>
      </s:c>
      <s:c r="B593" s="0" t="inlineStr">
        <s:is>
          <s:t>이종훈</s:t>
        </s:is>
      </s:c>
      <s:c r="C593" s="0" t="n">
        <s:v>91255</s:v>
      </s:c>
      <s:c r="D593" s="0" t="n">
        <s:v>4456</s:v>
      </s:c>
      <s:c r="E593" s="0" t="n">
        <s:v>24.399</s:v>
      </s:c>
      <s:c r="F593" s="24">
        <s:f>'자료구성'!$B$2+TIME(INT($C$3/10000),INT(MOD($C$3,10000)/100),MOD($C$3,100))+(ROW()-ROW($C$3))/86400</s:f>
        <s:v>46247.39079861111</s:v>
      </s:c>
    </s:row>
    <s:row r="594">
      <s:c r="A594" s="0" t="n">
        <s:v>260813</s:v>
      </s:c>
      <s:c r="B594" s="0" t="inlineStr">
        <s:is>
          <s:t>이종훈</s:t>
        </s:is>
      </s:c>
      <s:c r="C594" s="0" t="n">
        <s:v>91255</s:v>
      </s:c>
      <s:c r="D594" s="0" t="n">
        <s:v>4402</s:v>
      </s:c>
      <s:c r="E594" s="0" t="n">
        <s:v>24.399</s:v>
      </s:c>
      <s:c r="F594" s="24">
        <s:f>'자료구성'!$B$2+TIME(INT($C$3/10000),INT(MOD($C$3,10000)/100),MOD($C$3,100))+(ROW()-ROW($C$3))/86400</s:f>
        <s:v>46247.390810185185</s:v>
      </s:c>
    </s:row>
    <s:row r="595">
      <s:c r="A595" s="0" t="n">
        <s:v>260813</s:v>
      </s:c>
      <s:c r="B595" s="0" t="inlineStr">
        <s:is>
          <s:t>이종훈</s:t>
        </s:is>
      </s:c>
      <s:c r="C595" s="0" t="n">
        <s:v>91255</s:v>
      </s:c>
      <s:c r="D595" s="0" t="n">
        <s:v>4328</s:v>
      </s:c>
      <s:c r="E595" s="0" t="n">
        <s:v>24.399</s:v>
      </s:c>
      <s:c r="F595" s="24">
        <s:f>'자료구성'!$B$2+TIME(INT($C$3/10000),INT(MOD($C$3,10000)/100),MOD($C$3,100))+(ROW()-ROW($C$3))/86400</s:f>
        <s:v>46247.39082175926</s:v>
      </s:c>
    </s:row>
    <s:row r="596">
      <s:c r="A596" s="0" t="n">
        <s:v>260813</s:v>
      </s:c>
      <s:c r="B596" s="0" t="inlineStr">
        <s:is>
          <s:t>이종훈</s:t>
        </s:is>
      </s:c>
      <s:c r="C596" s="0" t="n">
        <s:v>91255</s:v>
      </s:c>
      <s:c r="D596" s="0" t="n">
        <s:v>4273</s:v>
      </s:c>
      <s:c r="E596" s="0" t="n">
        <s:v>24.399</s:v>
      </s:c>
      <s:c r="F596" s="24">
        <s:f>'자료구성'!$B$2+TIME(INT($C$3/10000),INT(MOD($C$3,10000)/100),MOD($C$3,100))+(ROW()-ROW($C$3))/86400</s:f>
        <s:v>46247.39083333333</s:v>
      </s:c>
    </s:row>
    <s:row r="597">
      <s:c r="A597" s="0" t="n">
        <s:v>260813</s:v>
      </s:c>
      <s:c r="B597" s="0" t="inlineStr">
        <s:is>
          <s:t>이종훈</s:t>
        </s:is>
      </s:c>
      <s:c r="C597" s="0" t="n">
        <s:v>91255</s:v>
      </s:c>
      <s:c r="D597" s="0" t="n">
        <s:v>4216</s:v>
      </s:c>
      <s:c r="E597" s="0" t="n">
        <s:v>24.399</s:v>
      </s:c>
      <s:c r="F597" s="24">
        <s:f>'자료구성'!$B$2+TIME(INT($C$3/10000),INT(MOD($C$3,10000)/100),MOD($C$3,100))+(ROW()-ROW($C$3))/86400</s:f>
        <s:v>46247.39084490741</s:v>
      </s:c>
    </s:row>
    <s:row r="598">
      <s:c r="A598" s="0" t="n">
        <s:v>260813</s:v>
      </s:c>
      <s:c r="B598" s="0" t="inlineStr">
        <s:is>
          <s:t>이종훈</s:t>
        </s:is>
      </s:c>
      <s:c r="C598" s="0" t="n">
        <s:v>91255</s:v>
      </s:c>
      <s:c r="D598" s="0" t="n">
        <s:v>4203</s:v>
      </s:c>
      <s:c r="E598" s="0" t="n">
        <s:v>24.399</s:v>
      </s:c>
      <s:c r="F598" s="24">
        <s:f>'자료구성'!$B$2+TIME(INT($C$3/10000),INT(MOD($C$3,10000)/100),MOD($C$3,100))+(ROW()-ROW($C$3))/86400</s:f>
        <s:v>46247.390856481485</s:v>
      </s:c>
    </s:row>
    <s:row r="599">
      <s:c r="A599" s="0" t="n">
        <s:v>260813</s:v>
      </s:c>
      <s:c r="B599" s="0" t="inlineStr">
        <s:is>
          <s:t>이종훈</s:t>
        </s:is>
      </s:c>
      <s:c r="C599" s="0" t="n">
        <s:v>91255</s:v>
      </s:c>
      <s:c r="D599" s="0" t="n">
        <s:v>4168</s:v>
      </s:c>
      <s:c r="E599" s="0" t="n">
        <s:v>24.399</s:v>
      </s:c>
      <s:c r="F599" s="24">
        <s:f>'자료구성'!$B$2+TIME(INT($C$3/10000),INT(MOD($C$3,10000)/100),MOD($C$3,100))+(ROW()-ROW($C$3))/86400</s:f>
        <s:v>46247.390868055554</s:v>
      </s:c>
    </s:row>
    <s:row r="600">
      <s:c r="A600" s="0" t="n">
        <s:v>260813</s:v>
      </s:c>
      <s:c r="B600" s="0" t="inlineStr">
        <s:is>
          <s:t>이종훈</s:t>
        </s:is>
      </s:c>
      <s:c r="C600" s="0" t="n">
        <s:v>91255</s:v>
      </s:c>
      <s:c r="D600" s="0" t="n">
        <s:v>4104</s:v>
      </s:c>
      <s:c r="E600" s="0" t="n">
        <s:v>24.399</s:v>
      </s:c>
      <s:c r="F600" s="24">
        <s:f>'자료구성'!$B$2+TIME(INT($C$3/10000),INT(MOD($C$3,10000)/100),MOD($C$3,100))+(ROW()-ROW($C$3))/86400</s:f>
        <s:v>46247.39087962963</s:v>
      </s:c>
    </s:row>
    <s:row r="601">
      <s:c r="A601" s="0" t="n">
        <s:v>260813</s:v>
      </s:c>
      <s:c r="B601" s="0" t="inlineStr">
        <s:is>
          <s:t>이종훈</s:t>
        </s:is>
      </s:c>
      <s:c r="C601" s="0" t="n">
        <s:v>91255</s:v>
      </s:c>
      <s:c r="D601" s="0" t="n">
        <s:v>4104</s:v>
      </s:c>
      <s:c r="E601" s="0" t="n">
        <s:v>24.399</s:v>
      </s:c>
      <s:c r="F601" s="24">
        <s:f>'자료구성'!$B$2+TIME(INT($C$3/10000),INT(MOD($C$3,10000)/100),MOD($C$3,100))+(ROW()-ROW($C$3))/86400</s:f>
        <s:v>46247.3908912037</s:v>
      </s:c>
    </s:row>
    <s:row r="602">
      <s:c r="A602" s="0" t="n">
        <s:v>260813</s:v>
      </s:c>
      <s:c r="B602" s="0" t="inlineStr">
        <s:is>
          <s:t>이종훈</s:t>
        </s:is>
      </s:c>
      <s:c r="C602" s="0" t="n">
        <s:v>91255</s:v>
      </s:c>
      <s:c r="D602" s="0" t="n">
        <s:v>4118</s:v>
      </s:c>
      <s:c r="E602" s="0" t="n">
        <s:v>24.399</s:v>
      </s:c>
      <s:c r="F602" s="24">
        <s:f>'자료구성'!$B$2+TIME(INT($C$3/10000),INT(MOD($C$3,10000)/100),MOD($C$3,100))+(ROW()-ROW($C$3))/86400</s:f>
        <s:v>46247.39090277778</s:v>
      </s:c>
    </s:row>
    <s:row r="603">
      <s:c r="A603" s="0" t="n">
        <s:v>260813</s:v>
      </s:c>
      <s:c r="B603" s="0" t="inlineStr">
        <s:is>
          <s:t>이종훈</s:t>
        </s:is>
      </s:c>
      <s:c r="C603" s="0" t="n">
        <s:v>91255</s:v>
      </s:c>
      <s:c r="D603" s="0" t="n">
        <s:v>4095</s:v>
      </s:c>
      <s:c r="E603" s="0" t="n">
        <s:v>24.399</s:v>
      </s:c>
      <s:c r="F603" s="24">
        <s:f>'자료구성'!$B$2+TIME(INT($C$3/10000),INT(MOD($C$3,10000)/100),MOD($C$3,100))+(ROW()-ROW($C$3))/86400</s:f>
        <s:v>46247.390914351854</s:v>
      </s:c>
    </s:row>
    <s:row r="604">
      <s:c r="A604" s="0" t="n">
        <s:v>260813</s:v>
      </s:c>
      <s:c r="B604" s="0" t="inlineStr">
        <s:is>
          <s:t>이종훈</s:t>
        </s:is>
      </s:c>
      <s:c r="C604" s="0" t="n">
        <s:v>91255</s:v>
      </s:c>
      <s:c r="D604" s="0" t="n">
        <s:v>4031</s:v>
      </s:c>
      <s:c r="E604" s="0" t="n">
        <s:v>24.399</s:v>
      </s:c>
      <s:c r="F604" s="24">
        <s:f>'자료구성'!$B$2+TIME(INT($C$3/10000),INT(MOD($C$3,10000)/100),MOD($C$3,100))+(ROW()-ROW($C$3))/86400</s:f>
        <s:v>46247.39092592592</s:v>
      </s:c>
    </s:row>
    <s:row r="605">
      <s:c r="A605" s="0" t="n">
        <s:v>260813</s:v>
      </s:c>
      <s:c r="B605" s="0" t="inlineStr">
        <s:is>
          <s:t>이종훈</s:t>
        </s:is>
      </s:c>
      <s:c r="C605" s="0" t="n">
        <s:v>91255</s:v>
      </s:c>
      <s:c r="D605" s="0" t="n">
        <s:v>4089</s:v>
      </s:c>
      <s:c r="E605" s="0" t="n">
        <s:v>24.399</s:v>
      </s:c>
      <s:c r="F605" s="24">
        <s:f>'자료구성'!$B$2+TIME(INT($C$3/10000),INT(MOD($C$3,10000)/100),MOD($C$3,100))+(ROW()-ROW($C$3))/86400</s:f>
        <s:v>46247.3909375</s:v>
      </s:c>
    </s:row>
    <s:row r="606">
      <s:c r="A606" s="0" t="n">
        <s:v>260813</s:v>
      </s:c>
      <s:c r="B606" s="0" t="inlineStr">
        <s:is>
          <s:t>이종훈</s:t>
        </s:is>
      </s:c>
      <s:c r="C606" s="0" t="n">
        <s:v>91255</s:v>
      </s:c>
      <s:c r="D606" s="0" t="n">
        <s:v>4217</s:v>
      </s:c>
      <s:c r="E606" s="0" t="n">
        <s:v>24.399</s:v>
      </s:c>
      <s:c r="F606" s="24">
        <s:f>'자료구성'!$B$2+TIME(INT($C$3/10000),INT(MOD($C$3,10000)/100),MOD($C$3,100))+(ROW()-ROW($C$3))/86400</s:f>
        <s:v>46247.39094907408</s:v>
      </s:c>
    </s:row>
    <s:row r="607">
      <s:c r="A607" s="0" t="n">
        <s:v>260813</s:v>
      </s:c>
      <s:c r="B607" s="0" t="inlineStr">
        <s:is>
          <s:t>이종훈</s:t>
        </s:is>
      </s:c>
      <s:c r="C607" s="0" t="n">
        <s:v>91255</s:v>
      </s:c>
      <s:c r="D607" s="0" t="n">
        <s:v>4193</s:v>
      </s:c>
      <s:c r="E607" s="0" t="n">
        <s:v>24.399</s:v>
      </s:c>
      <s:c r="F607" s="24">
        <s:f>'자료구성'!$B$2+TIME(INT($C$3/10000),INT(MOD($C$3,10000)/100),MOD($C$3,100))+(ROW()-ROW($C$3))/86400</s:f>
        <s:v>46247.39096064815</s:v>
      </s:c>
    </s:row>
    <s:row r="608">
      <s:c r="A608" s="0" t="n">
        <s:v>260813</s:v>
      </s:c>
      <s:c r="B608" s="0" t="inlineStr">
        <s:is>
          <s:t>이종훈</s:t>
        </s:is>
      </s:c>
      <s:c r="C608" s="0" t="n">
        <s:v>91255</s:v>
      </s:c>
      <s:c r="D608" s="0" t="n">
        <s:v>4108</s:v>
      </s:c>
      <s:c r="E608" s="0" t="n">
        <s:v>24.399</s:v>
      </s:c>
      <s:c r="F608" s="24">
        <s:f>'자료구성'!$B$2+TIME(INT($C$3/10000),INT(MOD($C$3,10000)/100),MOD($C$3,100))+(ROW()-ROW($C$3))/86400</s:f>
        <s:v>46247.39097222222</s:v>
      </s:c>
    </s:row>
    <s:row r="609">
      <s:c r="A609" s="0" t="n">
        <s:v>260813</s:v>
      </s:c>
      <s:c r="B609" s="0" t="inlineStr">
        <s:is>
          <s:t>이종훈</s:t>
        </s:is>
      </s:c>
      <s:c r="C609" s="0" t="n">
        <s:v>91255</s:v>
      </s:c>
      <s:c r="D609" s="0" t="n">
        <s:v>4020</s:v>
      </s:c>
      <s:c r="E609" s="0" t="n">
        <s:v>24.399</s:v>
      </s:c>
      <s:c r="F609" s="24">
        <s:f>'자료구성'!$B$2+TIME(INT($C$3/10000),INT(MOD($C$3,10000)/100),MOD($C$3,100))+(ROW()-ROW($C$3))/86400</s:f>
        <s:v>46247.39098379629</s:v>
      </s:c>
    </s:row>
    <s:row r="610">
      <s:c r="A610" s="0" t="n">
        <s:v>260813</s:v>
      </s:c>
      <s:c r="B610" s="0" t="inlineStr">
        <s:is>
          <s:t>이종훈</s:t>
        </s:is>
      </s:c>
      <s:c r="C610" s="0" t="n">
        <s:v>91255</s:v>
      </s:c>
      <s:c r="D610" s="0" t="n">
        <s:v>3992</s:v>
      </s:c>
      <s:c r="E610" s="0" t="n">
        <s:v>24.399</s:v>
      </s:c>
      <s:c r="F610" s="24">
        <s:f>'자료구성'!$B$2+TIME(INT($C$3/10000),INT(MOD($C$3,10000)/100),MOD($C$3,100))+(ROW()-ROW($C$3))/86400</s:f>
        <s:v>46247.39099537037</s:v>
      </s:c>
    </s:row>
    <s:row r="611">
      <s:c r="A611" s="0" t="n">
        <s:v>260813</s:v>
      </s:c>
      <s:c r="B611" s="0" t="inlineStr">
        <s:is>
          <s:t>이종훈</s:t>
        </s:is>
      </s:c>
      <s:c r="C611" s="0" t="n">
        <s:v>91255</s:v>
      </s:c>
      <s:c r="D611" s="0" t="n">
        <s:v>3989</s:v>
      </s:c>
      <s:c r="E611" s="0" t="n">
        <s:v>24.399</s:v>
      </s:c>
      <s:c r="F611" s="24">
        <s:f>'자료구성'!$B$2+TIME(INT($C$3/10000),INT(MOD($C$3,10000)/100),MOD($C$3,100))+(ROW()-ROW($C$3))/86400</s:f>
        <s:v>46247.39100694445</s:v>
      </s:c>
    </s:row>
    <s:row r="612">
      <s:c r="A612" s="0" t="n">
        <s:v>260813</s:v>
      </s:c>
      <s:c r="B612" s="0" t="inlineStr">
        <s:is>
          <s:t>이종훈</s:t>
        </s:is>
      </s:c>
      <s:c r="C612" s="0" t="n">
        <s:v>91255</s:v>
      </s:c>
      <s:c r="D612" s="0" t="n">
        <s:v>3957</s:v>
      </s:c>
      <s:c r="E612" s="0" t="n">
        <s:v>24.399</s:v>
      </s:c>
      <s:c r="F612" s="24">
        <s:f>'자료구성'!$B$2+TIME(INT($C$3/10000),INT(MOD($C$3,10000)/100),MOD($C$3,100))+(ROW()-ROW($C$3))/86400</s:f>
        <s:v>46247.391018518516</s:v>
      </s:c>
    </s:row>
    <s:row r="613">
      <s:c r="A613" s="0" t="n">
        <s:v>260813</s:v>
      </s:c>
      <s:c r="B613" s="0" t="inlineStr">
        <s:is>
          <s:t>이종훈</s:t>
        </s:is>
      </s:c>
      <s:c r="C613" s="0" t="n">
        <s:v>91255</s:v>
      </s:c>
      <s:c r="D613" s="0" t="n">
        <s:v>3936</s:v>
      </s:c>
      <s:c r="E613" s="0" t="n">
        <s:v>24.399</s:v>
      </s:c>
      <s:c r="F613" s="24">
        <s:f>'자료구성'!$B$2+TIME(INT($C$3/10000),INT(MOD($C$3,10000)/100),MOD($C$3,100))+(ROW()-ROW($C$3))/86400</s:f>
        <s:v>46247.39103009259</s:v>
      </s:c>
    </s:row>
    <s:row r="614">
      <s:c r="A614" s="0" t="n">
        <s:v>260813</s:v>
      </s:c>
      <s:c r="B614" s="0" t="inlineStr">
        <s:is>
          <s:t>이종훈</s:t>
        </s:is>
      </s:c>
      <s:c r="C614" s="0" t="n">
        <s:v>91255</s:v>
      </s:c>
      <s:c r="D614" s="0" t="n">
        <s:v>3962</s:v>
      </s:c>
      <s:c r="E614" s="0" t="n">
        <s:v>24.399</s:v>
      </s:c>
      <s:c r="F614" s="24">
        <s:f>'자료구성'!$B$2+TIME(INT($C$3/10000),INT(MOD($C$3,10000)/100),MOD($C$3,100))+(ROW()-ROW($C$3))/86400</s:f>
        <s:v>46247.39104166667</s:v>
      </s:c>
    </s:row>
    <s:row r="615">
      <s:c r="A615" s="0" t="n">
        <s:v>260813</s:v>
      </s:c>
      <s:c r="B615" s="0" t="inlineStr">
        <s:is>
          <s:t>이종훈</s:t>
        </s:is>
      </s:c>
      <s:c r="C615" s="0" t="n">
        <s:v>91255</s:v>
      </s:c>
      <s:c r="D615" s="0" t="n">
        <s:v>4074</s:v>
      </s:c>
      <s:c r="E615" s="0" t="n">
        <s:v>24.399</s:v>
      </s:c>
      <s:c r="F615" s="24">
        <s:f>'자료구성'!$B$2+TIME(INT($C$3/10000),INT(MOD($C$3,10000)/100),MOD($C$3,100))+(ROW()-ROW($C$3))/86400</s:f>
        <s:v>46247.39105324074</s:v>
      </s:c>
    </s:row>
    <s:row r="616">
      <s:c r="A616" s="0" t="n">
        <s:v>260813</s:v>
      </s:c>
      <s:c r="B616" s="0" t="inlineStr">
        <s:is>
          <s:t>이종훈</s:t>
        </s:is>
      </s:c>
      <s:c r="C616" s="0" t="n">
        <s:v>91255</s:v>
      </s:c>
      <s:c r="D616" s="0" t="n">
        <s:v>4193</s:v>
      </s:c>
      <s:c r="E616" s="0" t="n">
        <s:v>24.399</s:v>
      </s:c>
      <s:c r="F616" s="24">
        <s:f>'자료구성'!$B$2+TIME(INT($C$3/10000),INT(MOD($C$3,10000)/100),MOD($C$3,100))+(ROW()-ROW($C$3))/86400</s:f>
        <s:v>46247.391064814816</s:v>
      </s:c>
    </s:row>
    <s:row r="617">
      <s:c r="A617" s="0" t="n">
        <s:v>260813</s:v>
      </s:c>
      <s:c r="B617" s="0" t="inlineStr">
        <s:is>
          <s:t>이종훈</s:t>
        </s:is>
      </s:c>
      <s:c r="C617" s="0" t="n">
        <s:v>91255</s:v>
      </s:c>
      <s:c r="D617" s="0" t="n">
        <s:v>4296</s:v>
      </s:c>
      <s:c r="E617" s="0" t="n">
        <s:v>24.399</s:v>
      </s:c>
      <s:c r="F617" s="24">
        <s:f>'자료구성'!$B$2+TIME(INT($C$3/10000),INT(MOD($C$3,10000)/100),MOD($C$3,100))+(ROW()-ROW($C$3))/86400</s:f>
        <s:v>46247.391076388885</s:v>
      </s:c>
    </s:row>
    <s:row r="618">
      <s:c r="A618" s="0" t="n">
        <s:v>260813</s:v>
      </s:c>
      <s:c r="B618" s="0" t="inlineStr">
        <s:is>
          <s:t>이종훈</s:t>
        </s:is>
      </s:c>
      <s:c r="C618" s="0" t="n">
        <s:v>91255</s:v>
      </s:c>
      <s:c r="D618" s="0" t="n">
        <s:v>4273</s:v>
      </s:c>
      <s:c r="E618" s="0" t="n">
        <s:v>24.399</s:v>
      </s:c>
      <s:c r="F618" s="24">
        <s:f>'자료구성'!$B$2+TIME(INT($C$3/10000),INT(MOD($C$3,10000)/100),MOD($C$3,100))+(ROW()-ROW($C$3))/86400</s:f>
        <s:v>46247.39108796296</s:v>
      </s:c>
    </s:row>
    <s:row r="619">
      <s:c r="A619" s="0" t="n">
        <s:v>260813</s:v>
      </s:c>
      <s:c r="B619" s="0" t="inlineStr">
        <s:is>
          <s:t>이종훈</s:t>
        </s:is>
      </s:c>
      <s:c r="C619" s="0" t="n">
        <s:v>91255</s:v>
      </s:c>
      <s:c r="D619" s="0" t="n">
        <s:v>4289</s:v>
      </s:c>
      <s:c r="E619" s="0" t="n">
        <s:v>24.399</s:v>
      </s:c>
      <s:c r="F619" s="24">
        <s:f>'자료구성'!$B$2+TIME(INT($C$3/10000),INT(MOD($C$3,10000)/100),MOD($C$3,100))+(ROW()-ROW($C$3))/86400</s:f>
        <s:v>46247.39109953704</s:v>
      </s:c>
    </s:row>
    <s:row r="620">
      <s:c r="A620" s="0" t="n">
        <s:v>260813</s:v>
      </s:c>
      <s:c r="B620" s="0" t="inlineStr">
        <s:is>
          <s:t>이종훈</s:t>
        </s:is>
      </s:c>
      <s:c r="C620" s="0" t="n">
        <s:v>91255</s:v>
      </s:c>
      <s:c r="D620" s="0" t="n">
        <s:v>4260</s:v>
      </s:c>
      <s:c r="E620" s="0" t="n">
        <s:v>24.399</s:v>
      </s:c>
      <s:c r="F620" s="24">
        <s:f>'자료구성'!$B$2+TIME(INT($C$3/10000),INT(MOD($C$3,10000)/100),MOD($C$3,100))+(ROW()-ROW($C$3))/86400</s:f>
        <s:v>46247.39111111111</s:v>
      </s:c>
    </s:row>
    <s:row r="621">
      <s:c r="A621" s="0" t="n">
        <s:v>260813</s:v>
      </s:c>
      <s:c r="B621" s="0" t="inlineStr">
        <s:is>
          <s:t>이종훈</s:t>
        </s:is>
      </s:c>
      <s:c r="C621" s="0" t="n">
        <s:v>91255</s:v>
      </s:c>
      <s:c r="D621" s="0" t="n">
        <s:v>4236</s:v>
      </s:c>
      <s:c r="E621" s="0" t="n">
        <s:v>24.399</s:v>
      </s:c>
      <s:c r="F621" s="24">
        <s:f>'자료구성'!$B$2+TIME(INT($C$3/10000),INT(MOD($C$3,10000)/100),MOD($C$3,100))+(ROW()-ROW($C$3))/86400</s:f>
        <s:v>46247.391122685185</s:v>
      </s:c>
    </s:row>
    <s:row r="622">
      <s:c r="A622" s="0" t="n">
        <s:v>260813</s:v>
      </s:c>
      <s:c r="B622" s="0" t="inlineStr">
        <s:is>
          <s:t>이종훈</s:t>
        </s:is>
      </s:c>
      <s:c r="C622" s="0" t="n">
        <s:v>91255</s:v>
      </s:c>
      <s:c r="D622" s="0" t="n">
        <s:v>4228</s:v>
      </s:c>
      <s:c r="E622" s="0" t="n">
        <s:v>24.399</s:v>
      </s:c>
      <s:c r="F622" s="24">
        <s:f>'자료구성'!$B$2+TIME(INT($C$3/10000),INT(MOD($C$3,10000)/100),MOD($C$3,100))+(ROW()-ROW($C$3))/86400</s:f>
        <s:v>46247.39113425926</s:v>
      </s:c>
    </s:row>
    <s:row r="623">
      <s:c r="A623" s="0" t="n">
        <s:v>260813</s:v>
      </s:c>
      <s:c r="B623" s="0" t="inlineStr">
        <s:is>
          <s:t>이종훈</s:t>
        </s:is>
      </s:c>
      <s:c r="C623" s="0" t="n">
        <s:v>91255</s:v>
      </s:c>
      <s:c r="D623" s="0" t="n">
        <s:v>4287</s:v>
      </s:c>
      <s:c r="E623" s="0" t="n">
        <s:v>24.399</s:v>
      </s:c>
      <s:c r="F623" s="24">
        <s:f>'자료구성'!$B$2+TIME(INT($C$3/10000),INT(MOD($C$3,10000)/100),MOD($C$3,100))+(ROW()-ROW($C$3))/86400</s:f>
        <s:v>46247.39114583333</s:v>
      </s:c>
    </s:row>
    <s:row r="624">
      <s:c r="A624" s="0" t="n">
        <s:v>260813</s:v>
      </s:c>
      <s:c r="B624" s="0" t="inlineStr">
        <s:is>
          <s:t>이종훈</s:t>
        </s:is>
      </s:c>
      <s:c r="C624" s="0" t="n">
        <s:v>91255</s:v>
      </s:c>
      <s:c r="D624" s="0" t="n">
        <s:v>4362</s:v>
      </s:c>
      <s:c r="E624" s="0" t="n">
        <s:v>24.399</s:v>
      </s:c>
      <s:c r="F624" s="24">
        <s:f>'자료구성'!$B$2+TIME(INT($C$3/10000),INT(MOD($C$3,10000)/100),MOD($C$3,100))+(ROW()-ROW($C$3))/86400</s:f>
        <s:v>46247.39115740741</s:v>
      </s:c>
    </s:row>
    <s:row r="625">
      <s:c r="A625" s="0" t="n">
        <s:v>260813</s:v>
      </s:c>
      <s:c r="B625" s="0" t="inlineStr">
        <s:is>
          <s:t>이종훈</s:t>
        </s:is>
      </s:c>
      <s:c r="C625" s="0" t="n">
        <s:v>91255</s:v>
      </s:c>
      <s:c r="D625" s="0" t="n">
        <s:v>4385</s:v>
      </s:c>
      <s:c r="E625" s="0" t="n">
        <s:v>24.399</s:v>
      </s:c>
      <s:c r="F625" s="24">
        <s:f>'자료구성'!$B$2+TIME(INT($C$3/10000),INT(MOD($C$3,10000)/100),MOD($C$3,100))+(ROW()-ROW($C$3))/86400</s:f>
        <s:v>46247.391168981485</s:v>
      </s:c>
    </s:row>
    <s:row r="626">
      <s:c r="A626" s="0" t="n">
        <s:v>260813</s:v>
      </s:c>
      <s:c r="B626" s="0" t="inlineStr">
        <s:is>
          <s:t>이종훈</s:t>
        </s:is>
      </s:c>
      <s:c r="C626" s="0" t="n">
        <s:v>91255</s:v>
      </s:c>
      <s:c r="D626" s="0" t="n">
        <s:v>4397</s:v>
      </s:c>
      <s:c r="E626" s="0" t="n">
        <s:v>24.399</s:v>
      </s:c>
      <s:c r="F626" s="24">
        <s:f>'자료구성'!$B$2+TIME(INT($C$3/10000),INT(MOD($C$3,10000)/100),MOD($C$3,100))+(ROW()-ROW($C$3))/86400</s:f>
        <s:v>46247.391180555554</s:v>
      </s:c>
    </s:row>
    <s:row r="627">
      <s:c r="A627" s="0" t="n">
        <s:v>260813</s:v>
      </s:c>
      <s:c r="B627" s="0" t="inlineStr">
        <s:is>
          <s:t>이종훈</s:t>
        </s:is>
      </s:c>
      <s:c r="C627" s="0" t="n">
        <s:v>91255</s:v>
      </s:c>
      <s:c r="D627" s="0" t="n">
        <s:v>4361</s:v>
      </s:c>
      <s:c r="E627" s="0" t="n">
        <s:v>24.399</s:v>
      </s:c>
      <s:c r="F627" s="24">
        <s:f>'자료구성'!$B$2+TIME(INT($C$3/10000),INT(MOD($C$3,10000)/100),MOD($C$3,100))+(ROW()-ROW($C$3))/86400</s:f>
        <s:v>46247.39119212963</s:v>
      </s:c>
    </s:row>
    <s:row r="628">
      <s:c r="A628" s="0" t="n">
        <s:v>260813</s:v>
      </s:c>
      <s:c r="B628" s="0" t="inlineStr">
        <s:is>
          <s:t>이종훈</s:t>
        </s:is>
      </s:c>
      <s:c r="C628" s="0" t="n">
        <s:v>91255</s:v>
      </s:c>
      <s:c r="D628" s="0" t="n">
        <s:v>4305</s:v>
      </s:c>
      <s:c r="E628" s="0" t="n">
        <s:v>24.399</s:v>
      </s:c>
      <s:c r="F628" s="24">
        <s:f>'자료구성'!$B$2+TIME(INT($C$3/10000),INT(MOD($C$3,10000)/100),MOD($C$3,100))+(ROW()-ROW($C$3))/86400</s:f>
        <s:v>46247.3912037037</s:v>
      </s:c>
    </s:row>
    <s:row r="629">
      <s:c r="A629" s="0" t="n">
        <s:v>260813</s:v>
      </s:c>
      <s:c r="B629" s="0" t="inlineStr">
        <s:is>
          <s:t>이종훈</s:t>
        </s:is>
      </s:c>
      <s:c r="C629" s="0" t="n">
        <s:v>91255</s:v>
      </s:c>
      <s:c r="D629" s="0" t="n">
        <s:v>4268</s:v>
      </s:c>
      <s:c r="E629" s="0" t="n">
        <s:v>24.399</s:v>
      </s:c>
      <s:c r="F629" s="24">
        <s:f>'자료구성'!$B$2+TIME(INT($C$3/10000),INT(MOD($C$3,10000)/100),MOD($C$3,100))+(ROW()-ROW($C$3))/86400</s:f>
        <s:v>46247.39121527778</s:v>
      </s:c>
    </s:row>
    <s:row r="630">
      <s:c r="A630" s="0" t="n">
        <s:v>260813</s:v>
      </s:c>
      <s:c r="B630" s="0" t="inlineStr">
        <s:is>
          <s:t>이종훈</s:t>
        </s:is>
      </s:c>
      <s:c r="C630" s="0" t="n">
        <s:v>91255</s:v>
      </s:c>
      <s:c r="D630" s="0" t="n">
        <s:v>4220</s:v>
      </s:c>
      <s:c r="E630" s="0" t="n">
        <s:v>24.399</s:v>
      </s:c>
      <s:c r="F630" s="24">
        <s:f>'자료구성'!$B$2+TIME(INT($C$3/10000),INT(MOD($C$3,10000)/100),MOD($C$3,100))+(ROW()-ROW($C$3))/86400</s:f>
        <s:v>46247.391226851854</s:v>
      </s:c>
    </s:row>
    <s:row r="631">
      <s:c r="A631" s="0" t="n">
        <s:v>260813</s:v>
      </s:c>
      <s:c r="B631" s="0" t="inlineStr">
        <s:is>
          <s:t>이종훈</s:t>
        </s:is>
      </s:c>
      <s:c r="C631" s="0" t="n">
        <s:v>91255</s:v>
      </s:c>
      <s:c r="D631" s="0" t="n">
        <s:v>4076</s:v>
      </s:c>
      <s:c r="E631" s="0" t="n">
        <s:v>24.299</s:v>
      </s:c>
      <s:c r="F631" s="24">
        <s:f>'자료구성'!$B$2+TIME(INT($C$3/10000),INT(MOD($C$3,10000)/100),MOD($C$3,100))+(ROW()-ROW($C$3))/86400</s:f>
        <s:v>46247.391238425924</s:v>
      </s:c>
    </s:row>
    <s:row r="632">
      <s:c r="A632" s="0" t="n">
        <s:v>260813</s:v>
      </s:c>
      <s:c r="B632" s="0" t="inlineStr">
        <s:is>
          <s:t>이종훈</s:t>
        </s:is>
      </s:c>
      <s:c r="C632" s="0" t="n">
        <s:v>91255</s:v>
      </s:c>
      <s:c r="D632" s="0" t="n">
        <s:v>3990</s:v>
      </s:c>
      <s:c r="E632" s="0" t="n">
        <s:v>24.299</s:v>
      </s:c>
      <s:c r="F632" s="24">
        <s:f>'자료구성'!$B$2+TIME(INT($C$3/10000),INT(MOD($C$3,10000)/100),MOD($C$3,100))+(ROW()-ROW($C$3))/86400</s:f>
        <s:v>46247.39125</s:v>
      </s:c>
    </s:row>
    <s:row r="633">
      <s:c r="A633" s="0" t="n">
        <s:v>260813</s:v>
      </s:c>
      <s:c r="B633" s="0" t="inlineStr">
        <s:is>
          <s:t>이종훈</s:t>
        </s:is>
      </s:c>
      <s:c r="C633" s="0" t="n">
        <s:v>91255</s:v>
      </s:c>
      <s:c r="D633" s="0" t="n">
        <s:v>3915</s:v>
      </s:c>
      <s:c r="E633" s="0" t="n">
        <s:v>24.299</s:v>
      </s:c>
      <s:c r="F633" s="24">
        <s:f>'자료구성'!$B$2+TIME(INT($C$3/10000),INT(MOD($C$3,10000)/100),MOD($C$3,100))+(ROW()-ROW($C$3))/86400</s:f>
        <s:v>46247.39126157408</s:v>
      </s:c>
    </s:row>
    <s:row r="634">
      <s:c r="A634" s="0" t="n">
        <s:v>260813</s:v>
      </s:c>
      <s:c r="B634" s="0" t="inlineStr">
        <s:is>
          <s:t>이종훈</s:t>
        </s:is>
      </s:c>
      <s:c r="C634" s="0" t="n">
        <s:v>91255</s:v>
      </s:c>
      <s:c r="D634" s="0" t="n">
        <s:v>3853</s:v>
      </s:c>
      <s:c r="E634" s="0" t="n">
        <s:v>24.299</s:v>
      </s:c>
      <s:c r="F634" s="24">
        <s:f>'자료구성'!$B$2+TIME(INT($C$3/10000),INT(MOD($C$3,10000)/100),MOD($C$3,100))+(ROW()-ROW($C$3))/86400</s:f>
        <s:v>46247.39127314815</s:v>
      </s:c>
    </s:row>
    <s:row r="635">
      <s:c r="A635" s="0" t="n">
        <s:v>260813</s:v>
      </s:c>
      <s:c r="B635" s="0" t="inlineStr">
        <s:is>
          <s:t>이종훈</s:t>
        </s:is>
      </s:c>
      <s:c r="C635" s="0" t="n">
        <s:v>91255</s:v>
      </s:c>
      <s:c r="D635" s="0" t="n">
        <s:v>3844</s:v>
      </s:c>
      <s:c r="E635" s="0" t="n">
        <s:v>24.299</s:v>
      </s:c>
      <s:c r="F635" s="24">
        <s:f>'자료구성'!$B$2+TIME(INT($C$3/10000),INT(MOD($C$3,10000)/100),MOD($C$3,100))+(ROW()-ROW($C$3))/86400</s:f>
        <s:v>46247.391284722224</s:v>
      </s:c>
    </s:row>
    <s:row r="636">
      <s:c r="A636" s="0" t="n">
        <s:v>260813</s:v>
      </s:c>
      <s:c r="B636" s="0" t="inlineStr">
        <s:is>
          <s:t>이종훈</s:t>
        </s:is>
      </s:c>
      <s:c r="C636" s="0" t="n">
        <s:v>91255</s:v>
      </s:c>
      <s:c r="D636" s="0" t="n">
        <s:v>3889</s:v>
      </s:c>
      <s:c r="E636" s="0" t="n">
        <s:v>24.299</s:v>
      </s:c>
      <s:c r="F636" s="24">
        <s:f>'자료구성'!$B$2+TIME(INT($C$3/10000),INT(MOD($C$3,10000)/100),MOD($C$3,100))+(ROW()-ROW($C$3))/86400</s:f>
        <s:v>46247.39129629629</s:v>
      </s:c>
    </s:row>
    <s:row r="637">
      <s:c r="A637" s="0" t="n">
        <s:v>260813</s:v>
      </s:c>
      <s:c r="B637" s="0" t="inlineStr">
        <s:is>
          <s:t>이종훈</s:t>
        </s:is>
      </s:c>
      <s:c r="C637" s="0" t="n">
        <s:v>91255</s:v>
      </s:c>
      <s:c r="D637" s="0" t="n">
        <s:v>3875</s:v>
      </s:c>
      <s:c r="E637" s="0" t="n">
        <s:v>24.299</s:v>
      </s:c>
      <s:c r="F637" s="24">
        <s:f>'자료구성'!$B$2+TIME(INT($C$3/10000),INT(MOD($C$3,10000)/100),MOD($C$3,100))+(ROW()-ROW($C$3))/86400</s:f>
        <s:v>46247.39130787037</s:v>
      </s:c>
    </s:row>
    <s:row r="638">
      <s:c r="A638" s="0" t="n">
        <s:v>260813</s:v>
      </s:c>
      <s:c r="B638" s="0" t="inlineStr">
        <s:is>
          <s:t>이종훈</s:t>
        </s:is>
      </s:c>
      <s:c r="C638" s="0" t="n">
        <s:v>91255</s:v>
      </s:c>
      <s:c r="D638" s="0" t="n">
        <s:v>3932</s:v>
      </s:c>
      <s:c r="E638" s="0" t="n">
        <s:v>24.299</s:v>
      </s:c>
      <s:c r="F638" s="24">
        <s:f>'자료구성'!$B$2+TIME(INT($C$3/10000),INT(MOD($C$3,10000)/100),MOD($C$3,100))+(ROW()-ROW($C$3))/86400</s:f>
        <s:v>46247.39131944445</s:v>
      </s:c>
    </s:row>
    <s:row r="639">
      <s:c r="A639" s="0" t="n">
        <s:v>260813</s:v>
      </s:c>
      <s:c r="B639" s="0" t="inlineStr">
        <s:is>
          <s:t>이종훈</s:t>
        </s:is>
      </s:c>
      <s:c r="C639" s="0" t="n">
        <s:v>91255</s:v>
      </s:c>
      <s:c r="D639" s="0" t="n">
        <s:v>4032</s:v>
      </s:c>
      <s:c r="E639" s="0" t="n">
        <s:v>24.299</s:v>
      </s:c>
      <s:c r="F639" s="24">
        <s:f>'자료구성'!$B$2+TIME(INT($C$3/10000),INT(MOD($C$3,10000)/100),MOD($C$3,100))+(ROW()-ROW($C$3))/86400</s:f>
        <s:v>46247.391331018516</s:v>
      </s:c>
    </s:row>
    <s:row r="640">
      <s:c r="A640" s="0" t="n">
        <s:v>260813</s:v>
      </s:c>
      <s:c r="B640" s="0" t="inlineStr">
        <s:is>
          <s:t>이종훈</s:t>
        </s:is>
      </s:c>
      <s:c r="C640" s="0" t="n">
        <s:v>91255</s:v>
      </s:c>
      <s:c r="D640" s="0" t="n">
        <s:v>4157</s:v>
      </s:c>
      <s:c r="E640" s="0" t="n">
        <s:v>24.299</s:v>
      </s:c>
      <s:c r="F640" s="24">
        <s:f>'자료구성'!$B$2+TIME(INT($C$3/10000),INT(MOD($C$3,10000)/100),MOD($C$3,100))+(ROW()-ROW($C$3))/86400</s:f>
        <s:v>46247.39134259259</s:v>
      </s:c>
    </s:row>
    <s:row r="641">
      <s:c r="A641" s="0" t="n">
        <s:v>260813</s:v>
      </s:c>
      <s:c r="B641" s="0" t="inlineStr">
        <s:is>
          <s:t>이종훈</s:t>
        </s:is>
      </s:c>
      <s:c r="C641" s="0" t="n">
        <s:v>91255</s:v>
      </s:c>
      <s:c r="D641" s="0" t="n">
        <s:v>4288</s:v>
      </s:c>
      <s:c r="E641" s="0" t="n">
        <s:v>24.299</s:v>
      </s:c>
      <s:c r="F641" s="24">
        <s:f>'자료구성'!$B$2+TIME(INT($C$3/10000),INT(MOD($C$3,10000)/100),MOD($C$3,100))+(ROW()-ROW($C$3))/86400</s:f>
        <s:v>46247.39135416667</s:v>
      </s:c>
    </s:row>
    <s:row r="642">
      <s:c r="A642" s="0" t="n">
        <s:v>260813</s:v>
      </s:c>
      <s:c r="B642" s="0" t="inlineStr">
        <s:is>
          <s:t>이종훈</s:t>
        </s:is>
      </s:c>
      <s:c r="C642" s="0" t="n">
        <s:v>91255</s:v>
      </s:c>
      <s:c r="D642" s="0" t="n">
        <s:v>4351</s:v>
      </s:c>
      <s:c r="E642" s="0" t="n">
        <s:v>24.299</s:v>
      </s:c>
      <s:c r="F642" s="24">
        <s:f>'자료구성'!$B$2+TIME(INT($C$3/10000),INT(MOD($C$3,10000)/100),MOD($C$3,100))+(ROW()-ROW($C$3))/86400</s:f>
        <s:v>46247.39136574074</s:v>
      </s:c>
    </s:row>
    <s:row r="643">
      <s:c r="A643" s="0" t="n">
        <s:v>260813</s:v>
      </s:c>
      <s:c r="B643" s="0" t="inlineStr">
        <s:is>
          <s:t>이종훈</s:t>
        </s:is>
      </s:c>
      <s:c r="C643" s="0" t="n">
        <s:v>91255</s:v>
      </s:c>
      <s:c r="D643" s="0" t="n">
        <s:v>4353</s:v>
      </s:c>
      <s:c r="E643" s="0" t="n">
        <s:v>24.299</s:v>
      </s:c>
      <s:c r="F643" s="24">
        <s:f>'자료구성'!$B$2+TIME(INT($C$3/10000),INT(MOD($C$3,10000)/100),MOD($C$3,100))+(ROW()-ROW($C$3))/86400</s:f>
        <s:v>46247.391377314816</s:v>
      </s:c>
    </s:row>
    <s:row r="644">
      <s:c r="A644" s="0" t="n">
        <s:v>260813</s:v>
      </s:c>
      <s:c r="B644" s="0" t="inlineStr">
        <s:is>
          <s:t>이종훈</s:t>
        </s:is>
      </s:c>
      <s:c r="C644" s="0" t="n">
        <s:v>91255</s:v>
      </s:c>
      <s:c r="D644" s="0" t="n">
        <s:v>4433</s:v>
      </s:c>
      <s:c r="E644" s="0" t="n">
        <s:v>24.299</s:v>
      </s:c>
      <s:c r="F644" s="24">
        <s:f>'자료구성'!$B$2+TIME(INT($C$3/10000),INT(MOD($C$3,10000)/100),MOD($C$3,100))+(ROW()-ROW($C$3))/86400</s:f>
        <s:v>46247.391388888886</s:v>
      </s:c>
    </s:row>
    <s:row r="645">
      <s:c r="A645" s="0" t="n">
        <s:v>260813</s:v>
      </s:c>
      <s:c r="B645" s="0" t="inlineStr">
        <s:is>
          <s:t>이종훈</s:t>
        </s:is>
      </s:c>
      <s:c r="C645" s="0" t="n">
        <s:v>91255</s:v>
      </s:c>
      <s:c r="D645" s="0" t="n">
        <s:v>4471</s:v>
      </s:c>
      <s:c r="E645" s="0" t="n">
        <s:v>24.299</s:v>
      </s:c>
      <s:c r="F645" s="24">
        <s:f>'자료구성'!$B$2+TIME(INT($C$3/10000),INT(MOD($C$3,10000)/100),MOD($C$3,100))+(ROW()-ROW($C$3))/86400</s:f>
        <s:v>46247.39140046296</s:v>
      </s:c>
    </s:row>
    <s:row r="646">
      <s:c r="A646" s="0" t="n">
        <s:v>260813</s:v>
      </s:c>
      <s:c r="B646" s="0" t="inlineStr">
        <s:is>
          <s:t>이종훈</s:t>
        </s:is>
      </s:c>
      <s:c r="C646" s="0" t="n">
        <s:v>91255</s:v>
      </s:c>
      <s:c r="D646" s="0" t="n">
        <s:v>4442</s:v>
      </s:c>
      <s:c r="E646" s="0" t="n">
        <s:v>24.299</s:v>
      </s:c>
      <s:c r="F646" s="24">
        <s:f>'자료구성'!$B$2+TIME(INT($C$3/10000),INT(MOD($C$3,10000)/100),MOD($C$3,100))+(ROW()-ROW($C$3))/86400</s:f>
        <s:v>46247.39141203704</s:v>
      </s:c>
    </s:row>
    <s:row r="647">
      <s:c r="A647" s="0" t="n">
        <s:v>260813</s:v>
      </s:c>
      <s:c r="B647" s="0" t="inlineStr">
        <s:is>
          <s:t>이종훈</s:t>
        </s:is>
      </s:c>
      <s:c r="C647" s="0" t="n">
        <s:v>91255</s:v>
      </s:c>
      <s:c r="D647" s="0" t="n">
        <s:v>4464</s:v>
      </s:c>
      <s:c r="E647" s="0" t="n">
        <s:v>24.299</s:v>
      </s:c>
      <s:c r="F647" s="24">
        <s:f>'자료구성'!$B$2+TIME(INT($C$3/10000),INT(MOD($C$3,10000)/100),MOD($C$3,100))+(ROW()-ROW($C$3))/86400</s:f>
        <s:v>46247.39142361111</s:v>
      </s:c>
    </s:row>
    <s:row r="648">
      <s:c r="A648" s="0" t="n">
        <s:v>260813</s:v>
      </s:c>
      <s:c r="B648" s="0" t="inlineStr">
        <s:is>
          <s:t>이종훈</s:t>
        </s:is>
      </s:c>
      <s:c r="C648" s="0" t="n">
        <s:v>91255</s:v>
      </s:c>
      <s:c r="D648" s="0" t="n">
        <s:v>4503</s:v>
      </s:c>
      <s:c r="E648" s="0" t="n">
        <s:v>24.299</s:v>
      </s:c>
      <s:c r="F648" s="24">
        <s:f>'자료구성'!$B$2+TIME(INT($C$3/10000),INT(MOD($C$3,10000)/100),MOD($C$3,100))+(ROW()-ROW($C$3))/86400</s:f>
        <s:v>46247.391435185185</s:v>
      </s:c>
    </s:row>
    <s:row r="649">
      <s:c r="A649" s="0" t="n">
        <s:v>260813</s:v>
      </s:c>
      <s:c r="B649" s="0" t="inlineStr">
        <s:is>
          <s:t>이종훈</s:t>
        </s:is>
      </s:c>
      <s:c r="C649" s="0" t="n">
        <s:v>91255</s:v>
      </s:c>
      <s:c r="D649" s="0" t="n">
        <s:v>4562</s:v>
      </s:c>
      <s:c r="E649" s="0" t="n">
        <s:v>24.299</s:v>
      </s:c>
      <s:c r="F649" s="24">
        <s:f>'자료구성'!$B$2+TIME(INT($C$3/10000),INT(MOD($C$3,10000)/100),MOD($C$3,100))+(ROW()-ROW($C$3))/86400</s:f>
        <s:v>46247.39144675926</s:v>
      </s:c>
    </s:row>
    <s:row r="650">
      <s:c r="A650" s="0" t="n">
        <s:v>260813</s:v>
      </s:c>
      <s:c r="B650" s="0" t="inlineStr">
        <s:is>
          <s:t>이종훈</s:t>
        </s:is>
      </s:c>
      <s:c r="C650" s="0" t="n">
        <s:v>91255</s:v>
      </s:c>
      <s:c r="D650" s="0" t="n">
        <s:v>4667</s:v>
      </s:c>
      <s:c r="E650" s="0" t="n">
        <s:v>24.299</s:v>
      </s:c>
      <s:c r="F650" s="24">
        <s:f>'자료구성'!$B$2+TIME(INT($C$3/10000),INT(MOD($C$3,10000)/100),MOD($C$3,100))+(ROW()-ROW($C$3))/86400</s:f>
        <s:v>46247.39145833333</s:v>
      </s:c>
    </s:row>
    <s:row r="651">
      <s:c r="A651" s="0" t="n">
        <s:v>260813</s:v>
      </s:c>
      <s:c r="B651" s="0" t="inlineStr">
        <s:is>
          <s:t>이종훈</s:t>
        </s:is>
      </s:c>
      <s:c r="C651" s="0" t="n">
        <s:v>91255</s:v>
      </s:c>
      <s:c r="D651" s="0" t="n">
        <s:v>4667</s:v>
      </s:c>
      <s:c r="E651" s="0" t="n">
        <s:v>24.299</s:v>
      </s:c>
      <s:c r="F651" s="24">
        <s:f>'자료구성'!$B$2+TIME(INT($C$3/10000),INT(MOD($C$3,10000)/100),MOD($C$3,100))+(ROW()-ROW($C$3))/86400</s:f>
        <s:v>46247.39146990741</s:v>
      </s:c>
    </s:row>
    <s:row r="652">
      <s:c r="A652" s="0" t="n">
        <s:v>260813</s:v>
      </s:c>
      <s:c r="B652" s="0" t="inlineStr">
        <s:is>
          <s:t>이종훈</s:t>
        </s:is>
      </s:c>
      <s:c r="C652" s="0" t="n">
        <s:v>91255</s:v>
      </s:c>
      <s:c r="D652" s="0" t="n">
        <s:v>4724</s:v>
      </s:c>
      <s:c r="E652" s="0" t="n">
        <s:v>24.299</s:v>
      </s:c>
      <s:c r="F652" s="24">
        <s:f>'자료구성'!$B$2+TIME(INT($C$3/10000),INT(MOD($C$3,10000)/100),MOD($C$3,100))+(ROW()-ROW($C$3))/86400</s:f>
        <s:v>46247.39148148148</s:v>
      </s:c>
    </s:row>
    <s:row r="653">
      <s:c r="A653" s="0" t="n">
        <s:v>260813</s:v>
      </s:c>
      <s:c r="B653" s="0" t="inlineStr">
        <s:is>
          <s:t>이종훈</s:t>
        </s:is>
      </s:c>
      <s:c r="C653" s="0" t="n">
        <s:v>91255</s:v>
      </s:c>
      <s:c r="D653" s="0" t="n">
        <s:v>4870</s:v>
      </s:c>
      <s:c r="E653" s="0" t="n">
        <s:v>24.299</s:v>
      </s:c>
      <s:c r="F653" s="24">
        <s:f>'자료구성'!$B$2+TIME(INT($C$3/10000),INT(MOD($C$3,10000)/100),MOD($C$3,100))+(ROW()-ROW($C$3))/86400</s:f>
        <s:v>46247.391493055555</s:v>
      </s:c>
    </s:row>
    <s:row r="654">
      <s:c r="A654" s="0" t="n">
        <s:v>260813</s:v>
      </s:c>
      <s:c r="B654" s="0" t="inlineStr">
        <s:is>
          <s:t>이종훈</s:t>
        </s:is>
      </s:c>
      <s:c r="C654" s="0" t="n">
        <s:v>91255</s:v>
      </s:c>
      <s:c r="D654" s="0" t="n">
        <s:v>4911</s:v>
      </s:c>
      <s:c r="E654" s="0" t="n">
        <s:v>24.299</s:v>
      </s:c>
      <s:c r="F654" s="24">
        <s:f>'자료구성'!$B$2+TIME(INT($C$3/10000),INT(MOD($C$3,10000)/100),MOD($C$3,100))+(ROW()-ROW($C$3))/86400</s:f>
        <s:v>46247.39150462963</s:v>
      </s:c>
    </s:row>
    <s:row r="655">
      <s:c r="A655" s="0" t="n">
        <s:v>260813</s:v>
      </s:c>
      <s:c r="B655" s="0" t="inlineStr">
        <s:is>
          <s:t>이종훈</s:t>
        </s:is>
      </s:c>
      <s:c r="C655" s="0" t="n">
        <s:v>91255</s:v>
      </s:c>
      <s:c r="D655" s="0" t="n">
        <s:v>4961</s:v>
      </s:c>
      <s:c r="E655" s="0" t="n">
        <s:v>24.299</s:v>
      </s:c>
      <s:c r="F655" s="24">
        <s:f>'자료구성'!$B$2+TIME(INT($C$3/10000),INT(MOD($C$3,10000)/100),MOD($C$3,100))+(ROW()-ROW($C$3))/86400</s:f>
        <s:v>46247.3915162037</s:v>
      </s:c>
    </s:row>
    <s:row r="656">
      <s:c r="A656" s="0" t="n">
        <s:v>260813</s:v>
      </s:c>
      <s:c r="B656" s="0" t="inlineStr">
        <s:is>
          <s:t>이종훈</s:t>
        </s:is>
      </s:c>
      <s:c r="C656" s="0" t="n">
        <s:v>91255</s:v>
      </s:c>
      <s:c r="D656" s="0" t="n">
        <s:v>5075</s:v>
      </s:c>
      <s:c r="E656" s="0" t="n">
        <s:v>24.299</s:v>
      </s:c>
      <s:c r="F656" s="24">
        <s:f>'자료구성'!$B$2+TIME(INT($C$3/10000),INT(MOD($C$3,10000)/100),MOD($C$3,100))+(ROW()-ROW($C$3))/86400</s:f>
        <s:v>46247.39152777778</s:v>
      </s:c>
    </s:row>
    <s:row r="657">
      <s:c r="A657" s="0" t="n">
        <s:v>260813</s:v>
      </s:c>
      <s:c r="B657" s="0" t="inlineStr">
        <s:is>
          <s:t>이종훈</s:t>
        </s:is>
      </s:c>
      <s:c r="C657" s="0" t="n">
        <s:v>91255</s:v>
      </s:c>
      <s:c r="D657" s="0" t="n">
        <s:v>5074</s:v>
      </s:c>
      <s:c r="E657" s="0" t="n">
        <s:v>24.299</s:v>
      </s:c>
      <s:c r="F657" s="24">
        <s:f>'자료구성'!$B$2+TIME(INT($C$3/10000),INT(MOD($C$3,10000)/100),MOD($C$3,100))+(ROW()-ROW($C$3))/86400</s:f>
        <s:v>46247.391539351855</s:v>
      </s:c>
    </s:row>
    <s:row r="658">
      <s:c r="A658" s="0" t="n">
        <s:v>260813</s:v>
      </s:c>
      <s:c r="B658" s="0" t="inlineStr">
        <s:is>
          <s:t>이종훈</s:t>
        </s:is>
      </s:c>
      <s:c r="C658" s="0" t="n">
        <s:v>91255</s:v>
      </s:c>
      <s:c r="D658" s="0" t="n">
        <s:v>5038</s:v>
      </s:c>
      <s:c r="E658" s="0" t="n">
        <s:v>24.299</s:v>
      </s:c>
      <s:c r="F658" s="24">
        <s:f>'자료구성'!$B$2+TIME(INT($C$3/10000),INT(MOD($C$3,10000)/100),MOD($C$3,100))+(ROW()-ROW($C$3))/86400</s:f>
        <s:v>46247.391550925924</s:v>
      </s:c>
    </s:row>
    <s:row r="659">
      <s:c r="A659" s="0" t="n">
        <s:v>260813</s:v>
      </s:c>
      <s:c r="B659" s="0" t="inlineStr">
        <s:is>
          <s:t>이종훈</s:t>
        </s:is>
      </s:c>
      <s:c r="C659" s="0" t="n">
        <s:v>91255</s:v>
      </s:c>
      <s:c r="D659" s="0" t="n">
        <s:v>5137</s:v>
      </s:c>
      <s:c r="E659" s="0" t="n">
        <s:v>24.299</s:v>
      </s:c>
      <s:c r="F659" s="24">
        <s:f>'자료구성'!$B$2+TIME(INT($C$3/10000),INT(MOD($C$3,10000)/100),MOD($C$3,100))+(ROW()-ROW($C$3))/86400</s:f>
        <s:v>46247.3915625</s:v>
      </s:c>
    </s:row>
    <s:row r="660">
      <s:c r="A660" s="0" t="n">
        <s:v>260813</s:v>
      </s:c>
      <s:c r="B660" s="0" t="inlineStr">
        <s:is>
          <s:t>이종훈</s:t>
        </s:is>
      </s:c>
      <s:c r="C660" s="0" t="n">
        <s:v>91255</s:v>
      </s:c>
      <s:c r="D660" s="0" t="n">
        <s:v>5138</s:v>
      </s:c>
      <s:c r="E660" s="0" t="n">
        <s:v>24.299</s:v>
      </s:c>
      <s:c r="F660" s="24">
        <s:f>'자료구성'!$B$2+TIME(INT($C$3/10000),INT(MOD($C$3,10000)/100),MOD($C$3,100))+(ROW()-ROW($C$3))/86400</s:f>
        <s:v>46247.39157407408</s:v>
      </s:c>
    </s:row>
    <s:row r="661">
      <s:c r="A661" s="0" t="n">
        <s:v>260813</s:v>
      </s:c>
      <s:c r="B661" s="0" t="inlineStr">
        <s:is>
          <s:t>이종훈</s:t>
        </s:is>
      </s:c>
      <s:c r="C661" s="0" t="n">
        <s:v>91255</s:v>
      </s:c>
      <s:c r="D661" s="0" t="n">
        <s:v>4959</s:v>
      </s:c>
      <s:c r="E661" s="0" t="n">
        <s:v>24.299</s:v>
      </s:c>
      <s:c r="F661" s="24">
        <s:f>'자료구성'!$B$2+TIME(INT($C$3/10000),INT(MOD($C$3,10000)/100),MOD($C$3,100))+(ROW()-ROW($C$3))/86400</s:f>
        <s:v>46247.39158564815</s:v>
      </s:c>
    </s:row>
    <s:row r="662">
      <s:c r="A662" s="0" t="n">
        <s:v>260813</s:v>
      </s:c>
      <s:c r="B662" s="0" t="inlineStr">
        <s:is>
          <s:t>이종훈</s:t>
        </s:is>
      </s:c>
      <s:c r="C662" s="0" t="n">
        <s:v>91255</s:v>
      </s:c>
      <s:c r="D662" s="0" t="n">
        <s:v>4811</s:v>
      </s:c>
      <s:c r="E662" s="0" t="n">
        <s:v>24.299</s:v>
      </s:c>
      <s:c r="F662" s="24">
        <s:f>'자료구성'!$B$2+TIME(INT($C$3/10000),INT(MOD($C$3,10000)/100),MOD($C$3,100))+(ROW()-ROW($C$3))/86400</s:f>
        <s:v>46247.391597222224</s:v>
      </s:c>
    </s:row>
    <s:row r="663">
      <s:c r="A663" s="0" t="n">
        <s:v>260813</s:v>
      </s:c>
      <s:c r="B663" s="0" t="inlineStr">
        <s:is>
          <s:t>이종훈</s:t>
        </s:is>
      </s:c>
      <s:c r="C663" s="0" t="n">
        <s:v>91255</s:v>
      </s:c>
      <s:c r="D663" s="0" t="n">
        <s:v>4666</s:v>
      </s:c>
      <s:c r="E663" s="0" t="n">
        <s:v>24.299</s:v>
      </s:c>
      <s:c r="F663" s="24">
        <s:f>'자료구성'!$B$2+TIME(INT($C$3/10000),INT(MOD($C$3,10000)/100),MOD($C$3,100))+(ROW()-ROW($C$3))/86400</s:f>
        <s:v>46247.39160879629</s:v>
      </s:c>
    </s:row>
    <s:row r="664">
      <s:c r="A664" s="0" t="n">
        <s:v>260813</s:v>
      </s:c>
      <s:c r="B664" s="0" t="inlineStr">
        <s:is>
          <s:t>이종훈</s:t>
        </s:is>
      </s:c>
      <s:c r="C664" s="0" t="n">
        <s:v>91255</s:v>
      </s:c>
      <s:c r="D664" s="0" t="n">
        <s:v>4568</s:v>
      </s:c>
      <s:c r="E664" s="0" t="n">
        <s:v>24.299</s:v>
      </s:c>
      <s:c r="F664" s="24">
        <s:f>'자료구성'!$B$2+TIME(INT($C$3/10000),INT(MOD($C$3,10000)/100),MOD($C$3,100))+(ROW()-ROW($C$3))/86400</s:f>
        <s:v>46247.39162037037</s:v>
      </s:c>
    </s:row>
    <s:row r="665">
      <s:c r="A665" s="0" t="n">
        <s:v>260813</s:v>
      </s:c>
      <s:c r="B665" s="0" t="inlineStr">
        <s:is>
          <s:t>이종훈</s:t>
        </s:is>
      </s:c>
      <s:c r="C665" s="0" t="n">
        <s:v>91255</s:v>
      </s:c>
      <s:c r="D665" s="0" t="n">
        <s:v>4539</s:v>
      </s:c>
      <s:c r="E665" s="0" t="n">
        <s:v>24.299</s:v>
      </s:c>
      <s:c r="F665" s="24">
        <s:f>'자료구성'!$B$2+TIME(INT($C$3/10000),INT(MOD($C$3,10000)/100),MOD($C$3,100))+(ROW()-ROW($C$3))/86400</s:f>
        <s:v>46247.39163194445</s:v>
      </s:c>
    </s:row>
    <s:row r="666">
      <s:c r="A666" s="0" t="n">
        <s:v>260813</s:v>
      </s:c>
      <s:c r="B666" s="0" t="inlineStr">
        <s:is>
          <s:t>이종훈</s:t>
        </s:is>
      </s:c>
      <s:c r="C666" s="0" t="n">
        <s:v>91255</s:v>
      </s:c>
      <s:c r="D666" s="0" t="n">
        <s:v>4579</s:v>
      </s:c>
      <s:c r="E666" s="0" t="n">
        <s:v>24.299</s:v>
      </s:c>
      <s:c r="F666" s="24">
        <s:f>'자료구성'!$B$2+TIME(INT($C$3/10000),INT(MOD($C$3,10000)/100),MOD($C$3,100))+(ROW()-ROW($C$3))/86400</s:f>
        <s:v>46247.39164351852</s:v>
      </s:c>
    </s:row>
    <s:row r="667">
      <s:c r="A667" s="0" t="n">
        <s:v>260813</s:v>
      </s:c>
      <s:c r="B667" s="0" t="inlineStr">
        <s:is>
          <s:t>이종훈</s:t>
        </s:is>
      </s:c>
      <s:c r="C667" s="0" t="n">
        <s:v>91255</s:v>
      </s:c>
      <s:c r="D667" s="0" t="n">
        <s:v>4519</s:v>
      </s:c>
      <s:c r="E667" s="0" t="n">
        <s:v>24.299</s:v>
      </s:c>
      <s:c r="F667" s="24">
        <s:f>'자료구성'!$B$2+TIME(INT($C$3/10000),INT(MOD($C$3,10000)/100),MOD($C$3,100))+(ROW()-ROW($C$3))/86400</s:f>
        <s:v>46247.39165509259</s:v>
      </s:c>
    </s:row>
    <s:row r="668">
      <s:c r="A668" s="0" t="n">
        <s:v>260813</s:v>
      </s:c>
      <s:c r="B668" s="0" t="inlineStr">
        <s:is>
          <s:t>이종훈</s:t>
        </s:is>
      </s:c>
      <s:c r="C668" s="0" t="n">
        <s:v>91255</s:v>
      </s:c>
      <s:c r="D668" s="0" t="n">
        <s:v>4466</s:v>
      </s:c>
      <s:c r="E668" s="0" t="n">
        <s:v>24.299</s:v>
      </s:c>
      <s:c r="F668" s="24">
        <s:f>'자료구성'!$B$2+TIME(INT($C$3/10000),INT(MOD($C$3,10000)/100),MOD($C$3,100))+(ROW()-ROW($C$3))/86400</s:f>
        <s:v>46247.39166666667</s:v>
      </s:c>
    </s:row>
    <s:row r="669">
      <s:c r="A669" s="0" t="n">
        <s:v>260813</s:v>
      </s:c>
      <s:c r="B669" s="0" t="inlineStr">
        <s:is>
          <s:t>이종훈</s:t>
        </s:is>
      </s:c>
      <s:c r="C669" s="0" t="n">
        <s:v>91255</s:v>
      </s:c>
      <s:c r="D669" s="0" t="n">
        <s:v>4501</s:v>
      </s:c>
      <s:c r="E669" s="0" t="n">
        <s:v>24.299</s:v>
      </s:c>
      <s:c r="F669" s="24">
        <s:f>'자료구성'!$B$2+TIME(INT($C$3/10000),INT(MOD($C$3,10000)/100),MOD($C$3,100))+(ROW()-ROW($C$3))/86400</s:f>
        <s:v>46247.39167824074</s:v>
      </s:c>
    </s:row>
    <s:row r="670">
      <s:c r="A670" s="0" t="n">
        <s:v>260813</s:v>
      </s:c>
      <s:c r="B670" s="0" t="inlineStr">
        <s:is>
          <s:t>이종훈</s:t>
        </s:is>
      </s:c>
      <s:c r="C670" s="0" t="n">
        <s:v>91255</s:v>
      </s:c>
      <s:c r="D670" s="0" t="n">
        <s:v>4470</s:v>
      </s:c>
      <s:c r="E670" s="0" t="n">
        <s:v>24.299</s:v>
      </s:c>
      <s:c r="F670" s="24">
        <s:f>'자료구성'!$B$2+TIME(INT($C$3/10000),INT(MOD($C$3,10000)/100),MOD($C$3,100))+(ROW()-ROW($C$3))/86400</s:f>
        <s:v>46247.391689814816</s:v>
      </s:c>
    </s:row>
    <s:row r="671">
      <s:c r="A671" s="0" t="n">
        <s:v>260813</s:v>
      </s:c>
      <s:c r="B671" s="0" t="inlineStr">
        <s:is>
          <s:t>이종훈</s:t>
        </s:is>
      </s:c>
      <s:c r="C671" s="0" t="n">
        <s:v>91255</s:v>
      </s:c>
      <s:c r="D671" s="0" t="n">
        <s:v>4453</s:v>
      </s:c>
      <s:c r="E671" s="0" t="n">
        <s:v>24.299</s:v>
      </s:c>
      <s:c r="F671" s="24">
        <s:f>'자료구성'!$B$2+TIME(INT($C$3/10000),INT(MOD($C$3,10000)/100),MOD($C$3,100))+(ROW()-ROW($C$3))/86400</s:f>
        <s:v>46247.391701388886</s:v>
      </s:c>
    </s:row>
    <s:row r="672">
      <s:c r="A672" s="0" t="n">
        <s:v>260813</s:v>
      </s:c>
      <s:c r="B672" s="0" t="inlineStr">
        <s:is>
          <s:t>이종훈</s:t>
        </s:is>
      </s:c>
      <s:c r="C672" s="0" t="n">
        <s:v>91255</s:v>
      </s:c>
      <s:c r="D672" s="0" t="n">
        <s:v>4402</s:v>
      </s:c>
      <s:c r="E672" s="0" t="n">
        <s:v>24.299</s:v>
      </s:c>
      <s:c r="F672" s="24">
        <s:f>'자료구성'!$B$2+TIME(INT($C$3/10000),INT(MOD($C$3,10000)/100),MOD($C$3,100))+(ROW()-ROW($C$3))/86400</s:f>
        <s:v>46247.39171296296</s:v>
      </s:c>
    </s:row>
    <s:row r="673">
      <s:c r="A673" s="0" t="n">
        <s:v>260813</s:v>
      </s:c>
      <s:c r="B673" s="0" t="inlineStr">
        <s:is>
          <s:t>이종훈</s:t>
        </s:is>
      </s:c>
      <s:c r="C673" s="0" t="n">
        <s:v>91255</s:v>
      </s:c>
      <s:c r="D673" s="0" t="n">
        <s:v>4482</s:v>
      </s:c>
      <s:c r="E673" s="0" t="n">
        <s:v>24.299</s:v>
      </s:c>
      <s:c r="F673" s="24">
        <s:f>'자료구성'!$B$2+TIME(INT($C$3/10000),INT(MOD($C$3,10000)/100),MOD($C$3,100))+(ROW()-ROW($C$3))/86400</s:f>
        <s:v>46247.39172453704</s:v>
      </s:c>
    </s:row>
    <s:row r="674">
      <s:c r="A674" s="0" t="n">
        <s:v>260813</s:v>
      </s:c>
      <s:c r="B674" s="0" t="inlineStr">
        <s:is>
          <s:t>이종훈</s:t>
        </s:is>
      </s:c>
      <s:c r="C674" s="0" t="n">
        <s:v>91255</s:v>
      </s:c>
      <s:c r="D674" s="0" t="n">
        <s:v>4448</s:v>
      </s:c>
      <s:c r="E674" s="0" t="n">
        <s:v>24.299</s:v>
      </s:c>
      <s:c r="F674" s="24">
        <s:f>'자료구성'!$B$2+TIME(INT($C$3/10000),INT(MOD($C$3,10000)/100),MOD($C$3,100))+(ROW()-ROW($C$3))/86400</s:f>
        <s:v>46247.39173611111</s:v>
      </s:c>
    </s:row>
    <s:row r="675">
      <s:c r="A675" s="0" t="n">
        <s:v>260813</s:v>
      </s:c>
      <s:c r="B675" s="0" t="inlineStr">
        <s:is>
          <s:t>이종훈</s:t>
        </s:is>
      </s:c>
      <s:c r="C675" s="0" t="n">
        <s:v>91255</s:v>
      </s:c>
      <s:c r="D675" s="0" t="n">
        <s:v>4399</s:v>
      </s:c>
      <s:c r="E675" s="0" t="n">
        <s:v>24.299</s:v>
      </s:c>
      <s:c r="F675" s="24">
        <s:f>'자료구성'!$B$2+TIME(INT($C$3/10000),INT(MOD($C$3,10000)/100),MOD($C$3,100))+(ROW()-ROW($C$3))/86400</s:f>
        <s:v>46247.391747685186</s:v>
      </s:c>
    </s:row>
    <s:row r="676">
      <s:c r="A676" s="0" t="n">
        <s:v>260813</s:v>
      </s:c>
      <s:c r="B676" s="0" t="inlineStr">
        <s:is>
          <s:t>이종훈</s:t>
        </s:is>
      </s:c>
      <s:c r="C676" s="0" t="n">
        <s:v>91255</s:v>
      </s:c>
      <s:c r="D676" s="0" t="n">
        <s:v>4399</s:v>
      </s:c>
      <s:c r="E676" s="0" t="n">
        <s:v>24.299</s:v>
      </s:c>
      <s:c r="F676" s="24">
        <s:f>'자료구성'!$B$2+TIME(INT($C$3/10000),INT(MOD($C$3,10000)/100),MOD($C$3,100))+(ROW()-ROW($C$3))/86400</s:f>
        <s:v>46247.39175925926</s:v>
      </s:c>
    </s:row>
    <s:row r="677">
      <s:c r="A677" s="0" t="n">
        <s:v>260813</s:v>
      </s:c>
      <s:c r="B677" s="0" t="inlineStr">
        <s:is>
          <s:t>이종훈</s:t>
        </s:is>
      </s:c>
      <s:c r="C677" s="0" t="n">
        <s:v>91255</s:v>
      </s:c>
      <s:c r="D677" s="0" t="n">
        <s:v>4360</s:v>
      </s:c>
      <s:c r="E677" s="0" t="n">
        <s:v>24.299</s:v>
      </s:c>
      <s:c r="F677" s="24">
        <s:f>'자료구성'!$B$2+TIME(INT($C$3/10000),INT(MOD($C$3,10000)/100),MOD($C$3,100))+(ROW()-ROW($C$3))/86400</s:f>
        <s:v>46247.39177083333</s:v>
      </s:c>
    </s:row>
    <s:row r="678">
      <s:c r="A678" s="0" t="n">
        <s:v>260813</s:v>
      </s:c>
      <s:c r="B678" s="0" t="inlineStr">
        <s:is>
          <s:t>이종훈</s:t>
        </s:is>
      </s:c>
      <s:c r="C678" s="0" t="n">
        <s:v>91255</s:v>
      </s:c>
      <s:c r="D678" s="0" t="n">
        <s:v>4257</s:v>
      </s:c>
      <s:c r="E678" s="0" t="n">
        <s:v>24.299</s:v>
      </s:c>
      <s:c r="F678" s="24">
        <s:f>'자료구성'!$B$2+TIME(INT($C$3/10000),INT(MOD($C$3,10000)/100),MOD($C$3,100))+(ROW()-ROW($C$3))/86400</s:f>
        <s:v>46247.39178240741</s:v>
      </s:c>
    </s:row>
    <s:row r="679">
      <s:c r="A679" s="0" t="n">
        <s:v>260813</s:v>
      </s:c>
      <s:c r="B679" s="0" t="inlineStr">
        <s:is>
          <s:t>이종훈</s:t>
        </s:is>
      </s:c>
      <s:c r="C679" s="0" t="n">
        <s:v>91255</s:v>
      </s:c>
      <s:c r="D679" s="0" t="n">
        <s:v>4158</s:v>
      </s:c>
      <s:c r="E679" s="0" t="n">
        <s:v>24.299</s:v>
      </s:c>
      <s:c r="F679" s="24">
        <s:f>'자료구성'!$B$2+TIME(INT($C$3/10000),INT(MOD($C$3,10000)/100),MOD($C$3,100))+(ROW()-ROW($C$3))/86400</s:f>
        <s:v>46247.39179398148</s:v>
      </s:c>
    </s:row>
    <s:row r="680">
      <s:c r="A680" s="0" t="n">
        <s:v>260813</s:v>
      </s:c>
      <s:c r="B680" s="0" t="inlineStr">
        <s:is>
          <s:t>이종훈</s:t>
        </s:is>
      </s:c>
      <s:c r="C680" s="0" t="n">
        <s:v>91255</s:v>
      </s:c>
      <s:c r="D680" s="0" t="n">
        <s:v>4084</s:v>
      </s:c>
      <s:c r="E680" s="0" t="n">
        <s:v>24.299</s:v>
      </s:c>
      <s:c r="F680" s="24">
        <s:f>'자료구성'!$B$2+TIME(INT($C$3/10000),INT(MOD($C$3,10000)/100),MOD($C$3,100))+(ROW()-ROW($C$3))/86400</s:f>
        <s:v>46247.391805555555</s:v>
      </s:c>
    </s:row>
    <s:row r="681">
      <s:c r="A681" s="0" t="n">
        <s:v>260813</s:v>
      </s:c>
      <s:c r="B681" s="0" t="inlineStr">
        <s:is>
          <s:t>이종훈</s:t>
        </s:is>
      </s:c>
      <s:c r="C681" s="0" t="n">
        <s:v>91255</s:v>
      </s:c>
      <s:c r="D681" s="0" t="n">
        <s:v>4192</s:v>
      </s:c>
      <s:c r="E681" s="0" t="n">
        <s:v>24.299</s:v>
      </s:c>
      <s:c r="F681" s="24">
        <s:f>'자료구성'!$B$2+TIME(INT($C$3/10000),INT(MOD($C$3,10000)/100),MOD($C$3,100))+(ROW()-ROW($C$3))/86400</s:f>
        <s:v>46247.39181712963</s:v>
      </s:c>
    </s:row>
    <s:row r="682">
      <s:c r="A682" s="0" t="n">
        <s:v>260813</s:v>
      </s:c>
      <s:c r="B682" s="0" t="inlineStr">
        <s:is>
          <s:t>이종훈</s:t>
        </s:is>
      </s:c>
      <s:c r="C682" s="0" t="n">
        <s:v>91255</s:v>
      </s:c>
      <s:c r="D682" s="0" t="n">
        <s:v>4395</s:v>
      </s:c>
      <s:c r="E682" s="0" t="n">
        <s:v>24.299</s:v>
      </s:c>
      <s:c r="F682" s="24">
        <s:f>'자료구성'!$B$2+TIME(INT($C$3/10000),INT(MOD($C$3,10000)/100),MOD($C$3,100))+(ROW()-ROW($C$3))/86400</s:f>
        <s:v>46247.3918287037</s:v>
      </s:c>
    </s:row>
    <s:row r="683">
      <s:c r="A683" s="0" t="n">
        <s:v>260813</s:v>
      </s:c>
      <s:c r="B683" s="0" t="inlineStr">
        <s:is>
          <s:t>이종훈</s:t>
        </s:is>
      </s:c>
      <s:c r="C683" s="0" t="n">
        <s:v>91255</s:v>
      </s:c>
      <s:c r="D683" s="0" t="n">
        <s:v>4578</s:v>
      </s:c>
      <s:c r="E683" s="0" t="n">
        <s:v>24.299</s:v>
      </s:c>
      <s:c r="F683" s="24">
        <s:f>'자료구성'!$B$2+TIME(INT($C$3/10000),INT(MOD($C$3,10000)/100),MOD($C$3,100))+(ROW()-ROW($C$3))/86400</s:f>
        <s:v>46247.39184027778</s:v>
      </s:c>
    </s:row>
    <s:row r="684">
      <s:c r="A684" s="0" t="n">
        <s:v>260813</s:v>
      </s:c>
      <s:c r="B684" s="0" t="inlineStr">
        <s:is>
          <s:t>이종훈</s:t>
        </s:is>
      </s:c>
      <s:c r="C684" s="0" t="n">
        <s:v>91255</s:v>
      </s:c>
      <s:c r="D684" s="0" t="n">
        <s:v>4439</s:v>
      </s:c>
      <s:c r="E684" s="0" t="n">
        <s:v>24.299</s:v>
      </s:c>
      <s:c r="F684" s="24">
        <s:f>'자료구성'!$B$2+TIME(INT($C$3/10000),INT(MOD($C$3,10000)/100),MOD($C$3,100))+(ROW()-ROW($C$3))/86400</s:f>
        <s:v>46247.391851851855</s:v>
      </s:c>
    </s:row>
    <s:row r="685">
      <s:c r="A685" s="0" t="n">
        <s:v>260813</s:v>
      </s:c>
      <s:c r="B685" s="0" t="inlineStr">
        <s:is>
          <s:t>이종훈</s:t>
        </s:is>
      </s:c>
      <s:c r="C685" s="0" t="n">
        <s:v>91255</s:v>
      </s:c>
      <s:c r="D685" s="0" t="n">
        <s:v>4308</s:v>
      </s:c>
      <s:c r="E685" s="0" t="n">
        <s:v>24.299</s:v>
      </s:c>
      <s:c r="F685" s="24">
        <s:f>'자료구성'!$B$2+TIME(INT($C$3/10000),INT(MOD($C$3,10000)/100),MOD($C$3,100))+(ROW()-ROW($C$3))/86400</s:f>
        <s:v>46247.391863425924</s:v>
      </s:c>
    </s:row>
    <s:row r="686">
      <s:c r="A686" s="0" t="n">
        <s:v>260813</s:v>
      </s:c>
      <s:c r="B686" s="0" t="inlineStr">
        <s:is>
          <s:t>이종훈</s:t>
        </s:is>
      </s:c>
      <s:c r="C686" s="0" t="n">
        <s:v>91255</s:v>
      </s:c>
      <s:c r="D686" s="0" t="n">
        <s:v>4214</s:v>
      </s:c>
      <s:c r="E686" s="0" t="n">
        <s:v>24.299</s:v>
      </s:c>
      <s:c r="F686" s="24">
        <s:f>'자료구성'!$B$2+TIME(INT($C$3/10000),INT(MOD($C$3,10000)/100),MOD($C$3,100))+(ROW()-ROW($C$3))/86400</s:f>
        <s:v>46247.391875</s:v>
      </s:c>
    </s:row>
    <s:row r="687">
      <s:c r="A687" s="0" t="n">
        <s:v>260813</s:v>
      </s:c>
      <s:c r="B687" s="0" t="inlineStr">
        <s:is>
          <s:t>이종훈</s:t>
        </s:is>
      </s:c>
      <s:c r="C687" s="0" t="n">
        <s:v>91255</s:v>
      </s:c>
      <s:c r="D687" s="0" t="n">
        <s:v>4115</s:v>
      </s:c>
      <s:c r="E687" s="0" t="n">
        <s:v>24.299</s:v>
      </s:c>
      <s:c r="F687" s="24">
        <s:f>'자료구성'!$B$2+TIME(INT($C$3/10000),INT(MOD($C$3,10000)/100),MOD($C$3,100))+(ROW()-ROW($C$3))/86400</s:f>
        <s:v>46247.39188657407</s:v>
      </s:c>
    </s:row>
    <s:row r="688">
      <s:c r="A688" s="0" t="n">
        <s:v>260813</s:v>
      </s:c>
      <s:c r="B688" s="0" t="inlineStr">
        <s:is>
          <s:t>이종훈</s:t>
        </s:is>
      </s:c>
      <s:c r="C688" s="0" t="n">
        <s:v>91255</s:v>
      </s:c>
      <s:c r="D688" s="0" t="n">
        <s:v>4049</s:v>
      </s:c>
      <s:c r="E688" s="0" t="n">
        <s:v>24.299</s:v>
      </s:c>
      <s:c r="F688" s="24">
        <s:f>'자료구성'!$B$2+TIME(INT($C$3/10000),INT(MOD($C$3,10000)/100),MOD($C$3,100))+(ROW()-ROW($C$3))/86400</s:f>
        <s:v>46247.39189814815</s:v>
      </s:c>
    </s:row>
    <s:row r="689">
      <s:c r="A689" s="0" t="n">
        <s:v>260813</s:v>
      </s:c>
      <s:c r="B689" s="0" t="inlineStr">
        <s:is>
          <s:t>이종훈</s:t>
        </s:is>
      </s:c>
      <s:c r="C689" s="0" t="n">
        <s:v>91255</s:v>
      </s:c>
      <s:c r="D689" s="0" t="n">
        <s:v>4009</s:v>
      </s:c>
      <s:c r="E689" s="0" t="n">
        <s:v>24.299</s:v>
      </s:c>
      <s:c r="F689" s="24">
        <s:f>'자료구성'!$B$2+TIME(INT($C$3/10000),INT(MOD($C$3,10000)/100),MOD($C$3,100))+(ROW()-ROW($C$3))/86400</s:f>
        <s:v>46247.391909722224</s:v>
      </s:c>
    </s:row>
    <s:row r="690">
      <s:c r="A690" s="0" t="n">
        <s:v>260813</s:v>
      </s:c>
      <s:c r="B690" s="0" t="inlineStr">
        <s:is>
          <s:t>이종훈</s:t>
        </s:is>
      </s:c>
      <s:c r="C690" s="0" t="n">
        <s:v>91255</s:v>
      </s:c>
      <s:c r="D690" s="0" t="n">
        <s:v>4066</s:v>
      </s:c>
      <s:c r="E690" s="0" t="n">
        <s:v>24.299</s:v>
      </s:c>
      <s:c r="F690" s="24">
        <s:f>'자료구성'!$B$2+TIME(INT($C$3/10000),INT(MOD($C$3,10000)/100),MOD($C$3,100))+(ROW()-ROW($C$3))/86400</s:f>
        <s:v>46247.391921296294</s:v>
      </s:c>
    </s:row>
    <s:row r="691">
      <s:c r="A691" s="0" t="n">
        <s:v>260813</s:v>
      </s:c>
      <s:c r="B691" s="0" t="inlineStr">
        <s:is>
          <s:t>이종훈</s:t>
        </s:is>
      </s:c>
      <s:c r="C691" s="0" t="n">
        <s:v>91255</s:v>
      </s:c>
      <s:c r="D691" s="0" t="n">
        <s:v>4132</s:v>
      </s:c>
      <s:c r="E691" s="0" t="n">
        <s:v>24.299</s:v>
      </s:c>
      <s:c r="F691" s="24">
        <s:f>'자료구성'!$B$2+TIME(INT($C$3/10000),INT(MOD($C$3,10000)/100),MOD($C$3,100))+(ROW()-ROW($C$3))/86400</s:f>
        <s:v>46247.39193287037</s:v>
      </s:c>
    </s:row>
    <s:row r="692">
      <s:c r="A692" s="0" t="n">
        <s:v>260813</s:v>
      </s:c>
      <s:c r="B692" s="0" t="inlineStr">
        <s:is>
          <s:t>이종훈</s:t>
        </s:is>
      </s:c>
      <s:c r="C692" s="0" t="n">
        <s:v>91255</s:v>
      </s:c>
      <s:c r="D692" s="0" t="n">
        <s:v>4228</s:v>
      </s:c>
      <s:c r="E692" s="0" t="n">
        <s:v>24.299</s:v>
      </s:c>
      <s:c r="F692" s="24">
        <s:f>'자료구성'!$B$2+TIME(INT($C$3/10000),INT(MOD($C$3,10000)/100),MOD($C$3,100))+(ROW()-ROW($C$3))/86400</s:f>
        <s:v>46247.39194444445</s:v>
      </s:c>
    </s:row>
    <s:row r="693">
      <s:c r="A693" s="0" t="n">
        <s:v>260813</s:v>
      </s:c>
      <s:c r="B693" s="0" t="inlineStr">
        <s:is>
          <s:t>이종훈</s:t>
        </s:is>
      </s:c>
      <s:c r="C693" s="0" t="n">
        <s:v>91255</s:v>
      </s:c>
      <s:c r="D693" s="0" t="n">
        <s:v>4262</s:v>
      </s:c>
      <s:c r="E693" s="0" t="n">
        <s:v>24.299</s:v>
      </s:c>
      <s:c r="F693" s="24">
        <s:f>'자료구성'!$B$2+TIME(INT($C$3/10000),INT(MOD($C$3,10000)/100),MOD($C$3,100))+(ROW()-ROW($C$3))/86400</s:f>
        <s:v>46247.39195601852</s:v>
      </s:c>
    </s:row>
    <s:row r="694">
      <s:c r="A694" s="0" t="n">
        <s:v>260813</s:v>
      </s:c>
      <s:c r="B694" s="0" t="inlineStr">
        <s:is>
          <s:t>이종훈</s:t>
        </s:is>
      </s:c>
      <s:c r="C694" s="0" t="n">
        <s:v>91255</s:v>
      </s:c>
      <s:c r="D694" s="0" t="n">
        <s:v>4372</s:v>
      </s:c>
      <s:c r="E694" s="0" t="n">
        <s:v>24.299</s:v>
      </s:c>
      <s:c r="F694" s="24">
        <s:f>'자료구성'!$B$2+TIME(INT($C$3/10000),INT(MOD($C$3,10000)/100),MOD($C$3,100))+(ROW()-ROW($C$3))/86400</s:f>
        <s:v>46247.39196759259</s:v>
      </s:c>
    </s:row>
    <s:row r="695">
      <s:c r="A695" s="0" t="n">
        <s:v>260813</s:v>
      </s:c>
      <s:c r="B695" s="0" t="inlineStr">
        <s:is>
          <s:t>이종훈</s:t>
        </s:is>
      </s:c>
      <s:c r="C695" s="0" t="n">
        <s:v>91255</s:v>
      </s:c>
      <s:c r="D695" s="0" t="n">
        <s:v>4513</s:v>
      </s:c>
      <s:c r="E695" s="0" t="n">
        <s:v>24.299</s:v>
      </s:c>
      <s:c r="F695" s="24">
        <s:f>'자료구성'!$B$2+TIME(INT($C$3/10000),INT(MOD($C$3,10000)/100),MOD($C$3,100))+(ROW()-ROW($C$3))/86400</s:f>
        <s:v>46247.39197916666</s:v>
      </s:c>
    </s:row>
    <s:row r="696">
      <s:c r="A696" s="0" t="n">
        <s:v>260813</s:v>
      </s:c>
      <s:c r="B696" s="0" t="inlineStr">
        <s:is>
          <s:t>이종훈</s:t>
        </s:is>
      </s:c>
      <s:c r="C696" s="0" t="n">
        <s:v>91255</s:v>
      </s:c>
      <s:c r="D696" s="0" t="n">
        <s:v>4643</s:v>
      </s:c>
      <s:c r="E696" s="0" t="n">
        <s:v>24.299</s:v>
      </s:c>
      <s:c r="F696" s="24">
        <s:f>'자료구성'!$B$2+TIME(INT($C$3/10000),INT(MOD($C$3,10000)/100),MOD($C$3,100))+(ROW()-ROW($C$3))/86400</s:f>
        <s:v>46247.39199074074</s:v>
      </s:c>
    </s:row>
    <s:row r="697">
      <s:c r="A697" s="0" t="n">
        <s:v>260813</s:v>
      </s:c>
      <s:c r="B697" s="0" t="inlineStr">
        <s:is>
          <s:t>이종훈</s:t>
        </s:is>
      </s:c>
      <s:c r="C697" s="0" t="n">
        <s:v>91255</s:v>
      </s:c>
      <s:c r="D697" s="0" t="n">
        <s:v>4604</s:v>
      </s:c>
      <s:c r="E697" s="0" t="n">
        <s:v>24.299</s:v>
      </s:c>
      <s:c r="F697" s="24">
        <s:f>'자료구성'!$B$2+TIME(INT($C$3/10000),INT(MOD($C$3,10000)/100),MOD($C$3,100))+(ROW()-ROW($C$3))/86400</s:f>
        <s:v>46247.39200231482</s:v>
      </s:c>
    </s:row>
    <s:row r="698">
      <s:c r="A698" s="0" t="n">
        <s:v>260813</s:v>
      </s:c>
      <s:c r="B698" s="0" t="inlineStr">
        <s:is>
          <s:t>이종훈</s:t>
        </s:is>
      </s:c>
      <s:c r="C698" s="0" t="n">
        <s:v>91255</s:v>
      </s:c>
      <s:c r="D698" s="0" t="n">
        <s:v>4574</s:v>
      </s:c>
      <s:c r="E698" s="0" t="n">
        <s:v>24.299</s:v>
      </s:c>
      <s:c r="F698" s="24">
        <s:f>'자료구성'!$B$2+TIME(INT($C$3/10000),INT(MOD($C$3,10000)/100),MOD($C$3,100))+(ROW()-ROW($C$3))/86400</s:f>
        <s:v>46247.392013888886</s:v>
      </s:c>
    </s:row>
    <s:row r="699">
      <s:c r="A699" s="0" t="n">
        <s:v>260813</s:v>
      </s:c>
      <s:c r="B699" s="0" t="inlineStr">
        <s:is>
          <s:t>이종훈</s:t>
        </s:is>
      </s:c>
      <s:c r="C699" s="0" t="n">
        <s:v>91255</s:v>
      </s:c>
      <s:c r="D699" s="0" t="n">
        <s:v>4737</s:v>
      </s:c>
      <s:c r="E699" s="0" t="n">
        <s:v>24.299</s:v>
      </s:c>
      <s:c r="F699" s="24">
        <s:f>'자료구성'!$B$2+TIME(INT($C$3/10000),INT(MOD($C$3,10000)/100),MOD($C$3,100))+(ROW()-ROW($C$3))/86400</s:f>
        <s:v>46247.39202546296</s:v>
      </s:c>
    </s:row>
    <s:row r="700">
      <s:c r="A700" s="0" t="n">
        <s:v>260813</s:v>
      </s:c>
      <s:c r="B700" s="0" t="inlineStr">
        <s:is>
          <s:t>이종훈</s:t>
        </s:is>
      </s:c>
      <s:c r="C700" s="0" t="n">
        <s:v>91255</s:v>
      </s:c>
      <s:c r="D700" s="0" t="n">
        <s:v>4994</s:v>
      </s:c>
      <s:c r="E700" s="0" t="n">
        <s:v>24.299</s:v>
      </s:c>
      <s:c r="F700" s="24">
        <s:f>'자료구성'!$B$2+TIME(INT($C$3/10000),INT(MOD($C$3,10000)/100),MOD($C$3,100))+(ROW()-ROW($C$3))/86400</s:f>
        <s:v>46247.39203703704</s:v>
      </s:c>
    </s:row>
    <s:row r="701">
      <s:c r="A701" s="0" t="n">
        <s:v>260813</s:v>
      </s:c>
      <s:c r="B701" s="0" t="inlineStr">
        <s:is>
          <s:t>이종훈</s:t>
        </s:is>
      </s:c>
      <s:c r="C701" s="0" t="n">
        <s:v>91255</s:v>
      </s:c>
      <s:c r="D701" s="0" t="n">
        <s:v>5068</s:v>
      </s:c>
      <s:c r="E701" s="0" t="n">
        <s:v>24.299</s:v>
      </s:c>
      <s:c r="F701" s="24">
        <s:f>'자료구성'!$B$2+TIME(INT($C$3/10000),INT(MOD($C$3,10000)/100),MOD($C$3,100))+(ROW()-ROW($C$3))/86400</s:f>
        <s:v>46247.39204861111</s:v>
      </s:c>
    </s:row>
    <s:row r="702">
      <s:c r="A702" s="0" t="n">
        <s:v>260813</s:v>
      </s:c>
      <s:c r="B702" s="0" t="inlineStr">
        <s:is>
          <s:t>이종훈</s:t>
        </s:is>
      </s:c>
      <s:c r="C702" s="0" t="n">
        <s:v>91255</s:v>
      </s:c>
      <s:c r="D702" s="0" t="n">
        <s:v>5086</s:v>
      </s:c>
      <s:c r="E702" s="0" t="n">
        <s:v>24.299</s:v>
      </s:c>
      <s:c r="F702" s="24">
        <s:f>'자료구성'!$B$2+TIME(INT($C$3/10000),INT(MOD($C$3,10000)/100),MOD($C$3,100))+(ROW()-ROW($C$3))/86400</s:f>
        <s:v>46247.392060185186</s:v>
      </s:c>
    </s:row>
    <s:row r="703">
      <s:c r="A703" s="0" t="n">
        <s:v>260813</s:v>
      </s:c>
      <s:c r="B703" s="0" t="inlineStr">
        <s:is>
          <s:t>이종훈</s:t>
        </s:is>
      </s:c>
      <s:c r="C703" s="0" t="n">
        <s:v>91255</s:v>
      </s:c>
      <s:c r="D703" s="0" t="n">
        <s:v>5013</s:v>
      </s:c>
      <s:c r="E703" s="0" t="n">
        <s:v>24.299</s:v>
      </s:c>
      <s:c r="F703" s="24">
        <s:f>'자료구성'!$B$2+TIME(INT($C$3/10000),INT(MOD($C$3,10000)/100),MOD($C$3,100))+(ROW()-ROW($C$3))/86400</s:f>
        <s:v>46247.39207175926</s:v>
      </s:c>
    </s:row>
    <s:row r="704">
      <s:c r="A704" s="0" t="n">
        <s:v>260813</s:v>
      </s:c>
      <s:c r="B704" s="0" t="inlineStr">
        <s:is>
          <s:t>이종훈</s:t>
        </s:is>
      </s:c>
      <s:c r="C704" s="0" t="n">
        <s:v>91255</s:v>
      </s:c>
      <s:c r="D704" s="0" t="n">
        <s:v>4923</s:v>
      </s:c>
      <s:c r="E704" s="0" t="n">
        <s:v>24.299</s:v>
      </s:c>
      <s:c r="F704" s="24">
        <s:f>'자료구성'!$B$2+TIME(INT($C$3/10000),INT(MOD($C$3,10000)/100),MOD($C$3,100))+(ROW()-ROW($C$3))/86400</s:f>
        <s:v>46247.39208333333</s:v>
      </s:c>
    </s:row>
    <s:row r="705">
      <s:c r="A705" s="0" t="n">
        <s:v>260813</s:v>
      </s:c>
      <s:c r="B705" s="0" t="inlineStr">
        <s:is>
          <s:t>이종훈</s:t>
        </s:is>
      </s:c>
      <s:c r="C705" s="0" t="n">
        <s:v>91255</s:v>
      </s:c>
      <s:c r="D705" s="0" t="n">
        <s:v>4828</s:v>
      </s:c>
      <s:c r="E705" s="0" t="n">
        <s:v>24.299</s:v>
      </s:c>
      <s:c r="F705" s="24">
        <s:f>'자료구성'!$B$2+TIME(INT($C$3/10000),INT(MOD($C$3,10000)/100),MOD($C$3,100))+(ROW()-ROW($C$3))/86400</s:f>
        <s:v>46247.39209490741</s:v>
      </s:c>
    </s:row>
    <s:row r="706">
      <s:c r="A706" s="0" t="n">
        <s:v>260813</s:v>
      </s:c>
      <s:c r="B706" s="0" t="inlineStr">
        <s:is>
          <s:t>이종훈</s:t>
        </s:is>
      </s:c>
      <s:c r="C706" s="0" t="n">
        <s:v>91255</s:v>
      </s:c>
      <s:c r="D706" s="0" t="n">
        <s:v>4777</s:v>
      </s:c>
      <s:c r="E706" s="0" t="n">
        <s:v>24.299</s:v>
      </s:c>
      <s:c r="F706" s="24">
        <s:f>'자료구성'!$B$2+TIME(INT($C$3/10000),INT(MOD($C$3,10000)/100),MOD($C$3,100))+(ROW()-ROW($C$3))/86400</s:f>
        <s:v>46247.39210648148</s:v>
      </s:c>
    </s:row>
    <s:row r="707">
      <s:c r="A707" s="0" t="n">
        <s:v>260813</s:v>
      </s:c>
      <s:c r="B707" s="0" t="inlineStr">
        <s:is>
          <s:t>이종훈</s:t>
        </s:is>
      </s:c>
      <s:c r="C707" s="0" t="n">
        <s:v>91255</s:v>
      </s:c>
      <s:c r="D707" s="0" t="n">
        <s:v>4730</s:v>
      </s:c>
      <s:c r="E707" s="0" t="n">
        <s:v>24.299</s:v>
      </s:c>
      <s:c r="F707" s="24">
        <s:f>'자료구성'!$B$2+TIME(INT($C$3/10000),INT(MOD($C$3,10000)/100),MOD($C$3,100))+(ROW()-ROW($C$3))/86400</s:f>
        <s:v>46247.392118055555</s:v>
      </s:c>
    </s:row>
    <s:row r="708">
      <s:c r="A708" s="0" t="n">
        <s:v>260813</s:v>
      </s:c>
      <s:c r="B708" s="0" t="inlineStr">
        <s:is>
          <s:t>이종훈</s:t>
        </s:is>
      </s:c>
      <s:c r="C708" s="0" t="n">
        <s:v>91255</s:v>
      </s:c>
      <s:c r="D708" s="0" t="n">
        <s:v>4634</s:v>
      </s:c>
      <s:c r="E708" s="0" t="n">
        <s:v>24.299</s:v>
      </s:c>
      <s:c r="F708" s="24">
        <s:f>'자료구성'!$B$2+TIME(INT($C$3/10000),INT(MOD($C$3,10000)/100),MOD($C$3,100))+(ROW()-ROW($C$3))/86400</s:f>
        <s:v>46247.39212962963</s:v>
      </s:c>
    </s:row>
    <s:row r="709">
      <s:c r="A709" s="0" t="n">
        <s:v>260813</s:v>
      </s:c>
      <s:c r="B709" s="0" t="inlineStr">
        <s:is>
          <s:t>이종훈</s:t>
        </s:is>
      </s:c>
      <s:c r="C709" s="0" t="n">
        <s:v>91255</s:v>
      </s:c>
      <s:c r="D709" s="0" t="n">
        <s:v>4591</s:v>
      </s:c>
      <s:c r="E709" s="0" t="n">
        <s:v>24.299</s:v>
      </s:c>
      <s:c r="F709" s="24">
        <s:f>'자료구성'!$B$2+TIME(INT($C$3/10000),INT(MOD($C$3,10000)/100),MOD($C$3,100))+(ROW()-ROW($C$3))/86400</s:f>
        <s:v>46247.3921412037</s:v>
      </s:c>
    </s:row>
    <s:row r="710">
      <s:c r="A710" s="0" t="n">
        <s:v>260813</s:v>
      </s:c>
      <s:c r="B710" s="0" t="inlineStr">
        <s:is>
          <s:t>이종훈</s:t>
        </s:is>
      </s:c>
      <s:c r="C710" s="0" t="n">
        <s:v>91255</s:v>
      </s:c>
      <s:c r="D710" s="0" t="n">
        <s:v>4616</s:v>
      </s:c>
      <s:c r="E710" s="0" t="n">
        <s:v>24.299</s:v>
      </s:c>
      <s:c r="F710" s="24">
        <s:f>'자료구성'!$B$2+TIME(INT($C$3/10000),INT(MOD($C$3,10000)/100),MOD($C$3,100))+(ROW()-ROW($C$3))/86400</s:f>
        <s:v>46247.39215277778</s:v>
      </s:c>
    </s:row>
    <s:row r="711">
      <s:c r="A711" s="0" t="n">
        <s:v>260813</s:v>
      </s:c>
      <s:c r="B711" s="0" t="inlineStr">
        <s:is>
          <s:t>이종훈</s:t>
        </s:is>
      </s:c>
      <s:c r="C711" s="0" t="n">
        <s:v>91255</s:v>
      </s:c>
      <s:c r="D711" s="0" t="n">
        <s:v>4673</s:v>
      </s:c>
      <s:c r="E711" s="0" t="n">
        <s:v>24.299</s:v>
      </s:c>
      <s:c r="F711" s="24">
        <s:f>'자료구성'!$B$2+TIME(INT($C$3/10000),INT(MOD($C$3,10000)/100),MOD($C$3,100))+(ROW()-ROW($C$3))/86400</s:f>
        <s:v>46247.392164351855</s:v>
      </s:c>
    </s:row>
    <s:row r="712">
      <s:c r="A712" s="0" t="n">
        <s:v>260813</s:v>
      </s:c>
      <s:c r="B712" s="0" t="inlineStr">
        <s:is>
          <s:t>이종훈</s:t>
        </s:is>
      </s:c>
      <s:c r="C712" s="0" t="n">
        <s:v>91255</s:v>
      </s:c>
      <s:c r="D712" s="0" t="n">
        <s:v>4658</s:v>
      </s:c>
      <s:c r="E712" s="0" t="n">
        <s:v>24.299</s:v>
      </s:c>
      <s:c r="F712" s="24">
        <s:f>'자료구성'!$B$2+TIME(INT($C$3/10000),INT(MOD($C$3,10000)/100),MOD($C$3,100))+(ROW()-ROW($C$3))/86400</s:f>
        <s:v>46247.392175925925</s:v>
      </s:c>
    </s:row>
    <s:row r="713">
      <s:c r="A713" s="0" t="n">
        <s:v>260813</s:v>
      </s:c>
      <s:c r="B713" s="0" t="inlineStr">
        <s:is>
          <s:t>이종훈</s:t>
        </s:is>
      </s:c>
      <s:c r="C713" s="0" t="n">
        <s:v>91255</s:v>
      </s:c>
      <s:c r="D713" s="0" t="n">
        <s:v>4667</s:v>
      </s:c>
      <s:c r="E713" s="0" t="n">
        <s:v>24.299</s:v>
      </s:c>
      <s:c r="F713" s="24">
        <s:f>'자료구성'!$B$2+TIME(INT($C$3/10000),INT(MOD($C$3,10000)/100),MOD($C$3,100))+(ROW()-ROW($C$3))/86400</s:f>
        <s:v>46247.3921875</s:v>
      </s:c>
    </s:row>
    <s:row r="714">
      <s:c r="A714" s="0" t="n">
        <s:v>260813</s:v>
      </s:c>
      <s:c r="B714" s="0" t="inlineStr">
        <s:is>
          <s:t>이종훈</s:t>
        </s:is>
      </s:c>
      <s:c r="C714" s="0" t="n">
        <s:v>91255</s:v>
      </s:c>
      <s:c r="D714" s="0" t="n">
        <s:v>4708</s:v>
      </s:c>
      <s:c r="E714" s="0" t="n">
        <s:v>24.299</s:v>
      </s:c>
      <s:c r="F714" s="24">
        <s:f>'자료구성'!$B$2+TIME(INT($C$3/10000),INT(MOD($C$3,10000)/100),MOD($C$3,100))+(ROW()-ROW($C$3))/86400</s:f>
        <s:v>46247.39219907407</s:v>
      </s:c>
    </s:row>
    <s:row r="715">
      <s:c r="A715" s="0" t="n">
        <s:v>260813</s:v>
      </s:c>
      <s:c r="B715" s="0" t="inlineStr">
        <s:is>
          <s:t>이종훈</s:t>
        </s:is>
      </s:c>
      <s:c r="C715" s="0" t="n">
        <s:v>91255</s:v>
      </s:c>
      <s:c r="D715" s="0" t="n">
        <s:v>4718</s:v>
      </s:c>
      <s:c r="E715" s="0" t="n">
        <s:v>24.299</s:v>
      </s:c>
      <s:c r="F715" s="24">
        <s:f>'자료구성'!$B$2+TIME(INT($C$3/10000),INT(MOD($C$3,10000)/100),MOD($C$3,100))+(ROW()-ROW($C$3))/86400</s:f>
        <s:v>46247.39221064815</s:v>
      </s:c>
    </s:row>
    <s:row r="716">
      <s:c r="A716" s="0" t="n">
        <s:v>260813</s:v>
      </s:c>
      <s:c r="B716" s="0" t="inlineStr">
        <s:is>
          <s:t>이종훈</s:t>
        </s:is>
      </s:c>
      <s:c r="C716" s="0" t="n">
        <s:v>91255</s:v>
      </s:c>
      <s:c r="D716" s="0" t="n">
        <s:v>4698</s:v>
      </s:c>
      <s:c r="E716" s="0" t="n">
        <s:v>24.299</s:v>
      </s:c>
      <s:c r="F716" s="24">
        <s:f>'자료구성'!$B$2+TIME(INT($C$3/10000),INT(MOD($C$3,10000)/100),MOD($C$3,100))+(ROW()-ROW($C$3))/86400</s:f>
        <s:v>46247.392222222225</s:v>
      </s:c>
    </s:row>
    <s:row r="717">
      <s:c r="A717" s="0" t="n">
        <s:v>260813</s:v>
      </s:c>
      <s:c r="B717" s="0" t="inlineStr">
        <s:is>
          <s:t>이종훈</s:t>
        </s:is>
      </s:c>
      <s:c r="C717" s="0" t="n">
        <s:v>91255</s:v>
      </s:c>
      <s:c r="D717" s="0" t="n">
        <s:v>4747</s:v>
      </s:c>
      <s:c r="E717" s="0" t="n">
        <s:v>24.299</s:v>
      </s:c>
      <s:c r="F717" s="24">
        <s:f>'자료구성'!$B$2+TIME(INT($C$3/10000),INT(MOD($C$3,10000)/100),MOD($C$3,100))+(ROW()-ROW($C$3))/86400</s:f>
        <s:v>46247.392233796294</s:v>
      </s:c>
    </s:row>
    <s:row r="718">
      <s:c r="A718" s="0" t="n">
        <s:v>260813</s:v>
      </s:c>
      <s:c r="B718" s="0" t="inlineStr">
        <s:is>
          <s:t>이종훈</s:t>
        </s:is>
      </s:c>
      <s:c r="C718" s="0" t="n">
        <s:v>91255</s:v>
      </s:c>
      <s:c r="D718" s="0" t="n">
        <s:v>4707</s:v>
      </s:c>
      <s:c r="E718" s="0" t="n">
        <s:v>24.299</s:v>
      </s:c>
      <s:c r="F718" s="24">
        <s:f>'자료구성'!$B$2+TIME(INT($C$3/10000),INT(MOD($C$3,10000)/100),MOD($C$3,100))+(ROW()-ROW($C$3))/86400</s:f>
        <s:v>46247.39224537037</s:v>
      </s:c>
    </s:row>
    <s:row r="719">
      <s:c r="A719" s="0" t="n">
        <s:v>260813</s:v>
      </s:c>
      <s:c r="B719" s="0" t="inlineStr">
        <s:is>
          <s:t>이종훈</s:t>
        </s:is>
      </s:c>
      <s:c r="C719" s="0" t="n">
        <s:v>91255</s:v>
      </s:c>
      <s:c r="D719" s="0" t="n">
        <s:v>4638</s:v>
      </s:c>
      <s:c r="E719" s="0" t="n">
        <s:v>24.299</s:v>
      </s:c>
      <s:c r="F719" s="24">
        <s:f>'자료구성'!$B$2+TIME(INT($C$3/10000),INT(MOD($C$3,10000)/100),MOD($C$3,100))+(ROW()-ROW($C$3))/86400</s:f>
        <s:v>46247.39225694445</s:v>
      </s:c>
    </s:row>
    <s:row r="720">
      <s:c r="A720" s="0" t="n">
        <s:v>260813</s:v>
      </s:c>
      <s:c r="B720" s="0" t="inlineStr">
        <s:is>
          <s:t>이종훈</s:t>
        </s:is>
      </s:c>
      <s:c r="C720" s="0" t="n">
        <s:v>91255</s:v>
      </s:c>
      <s:c r="D720" s="0" t="n">
        <s:v>4471</s:v>
      </s:c>
      <s:c r="E720" s="0" t="n">
        <s:v>24.299</s:v>
      </s:c>
      <s:c r="F720" s="24">
        <s:f>'자료구성'!$B$2+TIME(INT($C$3/10000),INT(MOD($C$3,10000)/100),MOD($C$3,100))+(ROW()-ROW($C$3))/86400</s:f>
        <s:v>46247.39226851852</s:v>
      </s:c>
    </s:row>
    <s:row r="721">
      <s:c r="A721" s="0" t="n">
        <s:v>260813</s:v>
      </s:c>
      <s:c r="B721" s="0" t="inlineStr">
        <s:is>
          <s:t>이종훈</s:t>
        </s:is>
      </s:c>
      <s:c r="C721" s="0" t="n">
        <s:v>91255</s:v>
      </s:c>
      <s:c r="D721" s="0" t="n">
        <s:v>4382</s:v>
      </s:c>
      <s:c r="E721" s="0" t="n">
        <s:v>24.299</s:v>
      </s:c>
      <s:c r="F721" s="24">
        <s:f>'자료구성'!$B$2+TIME(INT($C$3/10000),INT(MOD($C$3,10000)/100),MOD($C$3,100))+(ROW()-ROW($C$3))/86400</s:f>
        <s:v>46247.392280092594</s:v>
      </s:c>
    </s:row>
    <s:row r="722">
      <s:c r="A722" s="0" t="n">
        <s:v>260813</s:v>
      </s:c>
      <s:c r="B722" s="0" t="inlineStr">
        <s:is>
          <s:t>이종훈</s:t>
        </s:is>
      </s:c>
      <s:c r="C722" s="0" t="n">
        <s:v>91255</s:v>
      </s:c>
      <s:c r="D722" s="0" t="n">
        <s:v>4325</s:v>
      </s:c>
      <s:c r="E722" s="0" t="n">
        <s:v>24.299</s:v>
      </s:c>
      <s:c r="F722" s="24">
        <s:f>'자료구성'!$B$2+TIME(INT($C$3/10000),INT(MOD($C$3,10000)/100),MOD($C$3,100))+(ROW()-ROW($C$3))/86400</s:f>
        <s:v>46247.39229166666</s:v>
      </s:c>
    </s:row>
    <s:row r="723">
      <s:c r="A723" s="0" t="n">
        <s:v>260813</s:v>
      </s:c>
      <s:c r="B723" s="0" t="inlineStr">
        <s:is>
          <s:t>이종훈</s:t>
        </s:is>
      </s:c>
      <s:c r="C723" s="0" t="n">
        <s:v>91255</s:v>
      </s:c>
      <s:c r="D723" s="0" t="n">
        <s:v>4373</s:v>
      </s:c>
      <s:c r="E723" s="0" t="n">
        <s:v>24.299</s:v>
      </s:c>
      <s:c r="F723" s="24">
        <s:f>'자료구성'!$B$2+TIME(INT($C$3/10000),INT(MOD($C$3,10000)/100),MOD($C$3,100))+(ROW()-ROW($C$3))/86400</s:f>
        <s:v>46247.39230324074</s:v>
      </s:c>
    </s:row>
    <s:row r="724">
      <s:c r="A724" s="0" t="n">
        <s:v>260813</s:v>
      </s:c>
      <s:c r="B724" s="0" t="inlineStr">
        <s:is>
          <s:t>이종훈</s:t>
        </s:is>
      </s:c>
      <s:c r="C724" s="0" t="n">
        <s:v>91255</s:v>
      </s:c>
      <s:c r="D724" s="0" t="n">
        <s:v>4508</s:v>
      </s:c>
      <s:c r="E724" s="0" t="n">
        <s:v>24.299</s:v>
      </s:c>
      <s:c r="F724" s="24">
        <s:f>'자료구성'!$B$2+TIME(INT($C$3/10000),INT(MOD($C$3,10000)/100),MOD($C$3,100))+(ROW()-ROW($C$3))/86400</s:f>
        <s:v>46247.39231481482</s:v>
      </s:c>
    </s:row>
    <s:row r="725">
      <s:c r="A725" s="0" t="n">
        <s:v>260813</s:v>
      </s:c>
      <s:c r="B725" s="0" t="inlineStr">
        <s:is>
          <s:t>이종훈</s:t>
        </s:is>
      </s:c>
      <s:c r="C725" s="0" t="n">
        <s:v>91255</s:v>
      </s:c>
      <s:c r="D725" s="0" t="n">
        <s:v>4635</s:v>
      </s:c>
      <s:c r="E725" s="0" t="n">
        <s:v>24.299</s:v>
      </s:c>
      <s:c r="F725" s="24">
        <s:f>'자료구성'!$B$2+TIME(INT($C$3/10000),INT(MOD($C$3,10000)/100),MOD($C$3,100))+(ROW()-ROW($C$3))/86400</s:f>
        <s:v>46247.39232638889</s:v>
      </s:c>
    </s:row>
    <s:row r="726">
      <s:c r="A726" s="0" t="n">
        <s:v>260813</s:v>
      </s:c>
      <s:c r="B726" s="0" t="inlineStr">
        <s:is>
          <s:t>이종훈</s:t>
        </s:is>
      </s:c>
      <s:c r="C726" s="0" t="n">
        <s:v>91255</s:v>
      </s:c>
      <s:c r="D726" s="0" t="n">
        <s:v>4755</s:v>
      </s:c>
      <s:c r="E726" s="0" t="n">
        <s:v>24.299</s:v>
      </s:c>
      <s:c r="F726" s="24">
        <s:f>'자료구성'!$B$2+TIME(INT($C$3/10000),INT(MOD($C$3,10000)/100),MOD($C$3,100))+(ROW()-ROW($C$3))/86400</s:f>
        <s:v>46247.39233796296</s:v>
      </s:c>
    </s:row>
    <s:row r="727">
      <s:c r="A727" s="0" t="n">
        <s:v>260813</s:v>
      </s:c>
      <s:c r="B727" s="0" t="inlineStr">
        <s:is>
          <s:t>이종훈</s:t>
        </s:is>
      </s:c>
      <s:c r="C727" s="0" t="n">
        <s:v>91255</s:v>
      </s:c>
      <s:c r="D727" s="0" t="n">
        <s:v>4843</s:v>
      </s:c>
      <s:c r="E727" s="0" t="n">
        <s:v>24.299</s:v>
      </s:c>
      <s:c r="F727" s="24">
        <s:f>'자료구성'!$B$2+TIME(INT($C$3/10000),INT(MOD($C$3,10000)/100),MOD($C$3,100))+(ROW()-ROW($C$3))/86400</s:f>
        <s:v>46247.39234953704</s:v>
      </s:c>
    </s:row>
    <s:row r="728">
      <s:c r="A728" s="0" t="n">
        <s:v>260813</s:v>
      </s:c>
      <s:c r="B728" s="0" t="inlineStr">
        <s:is>
          <s:t>이종훈</s:t>
        </s:is>
      </s:c>
      <s:c r="C728" s="0" t="n">
        <s:v>91255</s:v>
      </s:c>
      <s:c r="D728" s="0" t="n">
        <s:v>4883</s:v>
      </s:c>
      <s:c r="E728" s="0" t="n">
        <s:v>24.299</s:v>
      </s:c>
      <s:c r="F728" s="24">
        <s:f>'자료구성'!$B$2+TIME(INT($C$3/10000),INT(MOD($C$3,10000)/100),MOD($C$3,100))+(ROW()-ROW($C$3))/86400</s:f>
        <s:v>46247.39236111111</s:v>
      </s:c>
    </s:row>
    <s:row r="729">
      <s:c r="A729" s="0" t="n">
        <s:v>260813</s:v>
      </s:c>
      <s:c r="B729" s="0" t="inlineStr">
        <s:is>
          <s:t>이종훈</s:t>
        </s:is>
      </s:c>
      <s:c r="C729" s="0" t="n">
        <s:v>91255</s:v>
      </s:c>
      <s:c r="D729" s="0" t="n">
        <s:v>4950</s:v>
      </s:c>
      <s:c r="E729" s="0" t="n">
        <s:v>24.299</s:v>
      </s:c>
      <s:c r="F729" s="24">
        <s:f>'자료구성'!$B$2+TIME(INT($C$3/10000),INT(MOD($C$3,10000)/100),MOD($C$3,100))+(ROW()-ROW($C$3))/86400</s:f>
        <s:v>46247.392372685186</s:v>
      </s:c>
    </s:row>
    <s:row r="730">
      <s:c r="A730" s="0" t="n">
        <s:v>260813</s:v>
      </s:c>
      <s:c r="B730" s="0" t="inlineStr">
        <s:is>
          <s:t>이종훈</s:t>
        </s:is>
      </s:c>
      <s:c r="C730" s="0" t="n">
        <s:v>91255</s:v>
      </s:c>
      <s:c r="D730" s="0" t="n">
        <s:v>4978</s:v>
      </s:c>
      <s:c r="E730" s="0" t="n">
        <s:v>24.299</s:v>
      </s:c>
      <s:c r="F730" s="24">
        <s:f>'자료구성'!$B$2+TIME(INT($C$3/10000),INT(MOD($C$3,10000)/100),MOD($C$3,100))+(ROW()-ROW($C$3))/86400</s:f>
        <s:v>46247.392384259256</s:v>
      </s:c>
    </s:row>
    <s:row r="731">
      <s:c r="A731" s="0" t="n">
        <s:v>260813</s:v>
      </s:c>
      <s:c r="B731" s="0" t="inlineStr">
        <s:is>
          <s:t>이종훈</s:t>
        </s:is>
      </s:c>
      <s:c r="C731" s="0" t="n">
        <s:v>91255</s:v>
      </s:c>
      <s:c r="D731" s="0" t="n">
        <s:v>4854</s:v>
      </s:c>
      <s:c r="E731" s="0" t="n">
        <s:v>24.299</s:v>
      </s:c>
      <s:c r="F731" s="24">
        <s:f>'자료구성'!$B$2+TIME(INT($C$3/10000),INT(MOD($C$3,10000)/100),MOD($C$3,100))+(ROW()-ROW($C$3))/86400</s:f>
        <s:v>46247.39239583333</s:v>
      </s:c>
    </s:row>
    <s:row r="732">
      <s:c r="A732" s="0" t="n">
        <s:v>260813</s:v>
      </s:c>
      <s:c r="B732" s="0" t="inlineStr">
        <s:is>
          <s:t>이종훈</s:t>
        </s:is>
      </s:c>
      <s:c r="C732" s="0" t="n">
        <s:v>91255</s:v>
      </s:c>
      <s:c r="D732" s="0" t="n">
        <s:v>4779</s:v>
      </s:c>
      <s:c r="E732" s="0" t="n">
        <s:v>24.299</s:v>
      </s:c>
      <s:c r="F732" s="24">
        <s:f>'자료구성'!$B$2+TIME(INT($C$3/10000),INT(MOD($C$3,10000)/100),MOD($C$3,100))+(ROW()-ROW($C$3))/86400</s:f>
        <s:v>46247.39240740741</s:v>
      </s:c>
    </s:row>
    <s:row r="733">
      <s:c r="A733" s="0" t="n">
        <s:v>260813</s:v>
      </s:c>
      <s:c r="B733" s="0" t="inlineStr">
        <s:is>
          <s:t>이종훈</s:t>
        </s:is>
      </s:c>
      <s:c r="C733" s="0" t="n">
        <s:v>91255</s:v>
      </s:c>
      <s:c r="D733" s="0" t="n">
        <s:v>4648</s:v>
      </s:c>
      <s:c r="E733" s="0" t="n">
        <s:v>24.299</s:v>
      </s:c>
      <s:c r="F733" s="24">
        <s:f>'자료구성'!$B$2+TIME(INT($C$3/10000),INT(MOD($C$3,10000)/100),MOD($C$3,100))+(ROW()-ROW($C$3))/86400</s:f>
        <s:v>46247.39241898148</s:v>
      </s:c>
    </s:row>
    <s:row r="734">
      <s:c r="A734" s="0" t="n">
        <s:v>260813</s:v>
      </s:c>
      <s:c r="B734" s="0" t="inlineStr">
        <s:is>
          <s:t>이종훈</s:t>
        </s:is>
      </s:c>
      <s:c r="C734" s="0" t="n">
        <s:v>91255</s:v>
      </s:c>
      <s:c r="D734" s="0" t="n">
        <s:v>4540</s:v>
      </s:c>
      <s:c r="E734" s="0" t="n">
        <s:v>24.299</s:v>
      </s:c>
      <s:c r="F734" s="24">
        <s:f>'자료구성'!$B$2+TIME(INT($C$3/10000),INT(MOD($C$3,10000)/100),MOD($C$3,100))+(ROW()-ROW($C$3))/86400</s:f>
        <s:v>46247.392430555556</s:v>
      </s:c>
    </s:row>
    <s:row r="735">
      <s:c r="A735" s="0" t="n">
        <s:v>260813</s:v>
      </s:c>
      <s:c r="B735" s="0" t="inlineStr">
        <s:is>
          <s:t>이종훈</s:t>
        </s:is>
      </s:c>
      <s:c r="C735" s="0" t="n">
        <s:v>91255</s:v>
      </s:c>
      <s:c r="D735" s="0" t="n">
        <s:v>4464</s:v>
      </s:c>
      <s:c r="E735" s="0" t="n">
        <s:v>24.299</s:v>
      </s:c>
      <s:c r="F735" s="24">
        <s:f>'자료구성'!$B$2+TIME(INT($C$3/10000),INT(MOD($C$3,10000)/100),MOD($C$3,100))+(ROW()-ROW($C$3))/86400</s:f>
        <s:v>46247.39244212963</s:v>
      </s:c>
    </s:row>
    <s:row r="736">
      <s:c r="A736" s="0" t="n">
        <s:v>260813</s:v>
      </s:c>
      <s:c r="B736" s="0" t="inlineStr">
        <s:is>
          <s:t>이종훈</s:t>
        </s:is>
      </s:c>
      <s:c r="C736" s="0" t="n">
        <s:v>91255</s:v>
      </s:c>
      <s:c r="D736" s="0" t="n">
        <s:v>4433</s:v>
      </s:c>
      <s:c r="E736" s="0" t="n">
        <s:v>24.299</s:v>
      </s:c>
      <s:c r="F736" s="24">
        <s:f>'자료구성'!$B$2+TIME(INT($C$3/10000),INT(MOD($C$3,10000)/100),MOD($C$3,100))+(ROW()-ROW($C$3))/86400</s:f>
        <s:v>46247.3924537037</s:v>
      </s:c>
    </s:row>
    <s:row r="737">
      <s:c r="A737" s="0" t="n">
        <s:v>260813</s:v>
      </s:c>
      <s:c r="B737" s="0" t="inlineStr">
        <s:is>
          <s:t>이종훈</s:t>
        </s:is>
      </s:c>
      <s:c r="C737" s="0" t="n">
        <s:v>91255</s:v>
      </s:c>
      <s:c r="D737" s="0" t="n">
        <s:v>4406</s:v>
      </s:c>
      <s:c r="E737" s="0" t="n">
        <s:v>24.299</s:v>
      </s:c>
      <s:c r="F737" s="24">
        <s:f>'자료구성'!$B$2+TIME(INT($C$3/10000),INT(MOD($C$3,10000)/100),MOD($C$3,100))+(ROW()-ROW($C$3))/86400</s:f>
        <s:v>46247.39246527778</s:v>
      </s:c>
    </s:row>
    <s:row r="738">
      <s:c r="A738" s="0" t="n">
        <s:v>260813</s:v>
      </s:c>
      <s:c r="B738" s="0" t="inlineStr">
        <s:is>
          <s:t>이종훈</s:t>
        </s:is>
      </s:c>
      <s:c r="C738" s="0" t="n">
        <s:v>91255</s:v>
      </s:c>
      <s:c r="D738" s="0" t="n">
        <s:v>4430</s:v>
      </s:c>
      <s:c r="E738" s="0" t="n">
        <s:v>24.299</s:v>
      </s:c>
      <s:c r="F738" s="24">
        <s:f>'자료구성'!$B$2+TIME(INT($C$3/10000),INT(MOD($C$3,10000)/100),MOD($C$3,100))+(ROW()-ROW($C$3))/86400</s:f>
        <s:v>46247.392476851855</s:v>
      </s:c>
    </s:row>
    <s:row r="739">
      <s:c r="A739" s="0" t="n">
        <s:v>260813</s:v>
      </s:c>
      <s:c r="B739" s="0" t="inlineStr">
        <s:is>
          <s:t>이종훈</s:t>
        </s:is>
      </s:c>
      <s:c r="C739" s="0" t="n">
        <s:v>91255</s:v>
      </s:c>
      <s:c r="D739" s="0" t="n">
        <s:v>4521</s:v>
      </s:c>
      <s:c r="E739" s="0" t="n">
        <s:v>24.299</s:v>
      </s:c>
      <s:c r="F739" s="24">
        <s:f>'자료구성'!$B$2+TIME(INT($C$3/10000),INT(MOD($C$3,10000)/100),MOD($C$3,100))+(ROW()-ROW($C$3))/86400</s:f>
        <s:v>46247.392488425925</s:v>
      </s:c>
    </s:row>
    <s:row r="740">
      <s:c r="A740" s="0" t="n">
        <s:v>260813</s:v>
      </s:c>
      <s:c r="B740" s="0" t="inlineStr">
        <s:is>
          <s:t>이종훈</s:t>
        </s:is>
      </s:c>
      <s:c r="C740" s="0" t="n">
        <s:v>91255</s:v>
      </s:c>
      <s:c r="D740" s="0" t="n">
        <s:v>4511</s:v>
      </s:c>
      <s:c r="E740" s="0" t="n">
        <s:v>24.299</s:v>
      </s:c>
      <s:c r="F740" s="24">
        <s:f>'자료구성'!$B$2+TIME(INT($C$3/10000),INT(MOD($C$3,10000)/100),MOD($C$3,100))+(ROW()-ROW($C$3))/86400</s:f>
        <s:v>46247.3925</s:v>
      </s:c>
    </s:row>
    <s:row r="741">
      <s:c r="A741" s="0" t="n">
        <s:v>260813</s:v>
      </s:c>
      <s:c r="B741" s="0" t="inlineStr">
        <s:is>
          <s:t>이종훈</s:t>
        </s:is>
      </s:c>
      <s:c r="C741" s="0" t="n">
        <s:v>91255</s:v>
      </s:c>
      <s:c r="D741" s="0" t="n">
        <s:v>4576</s:v>
      </s:c>
      <s:c r="E741" s="0" t="n">
        <s:v>24.299</s:v>
      </s:c>
      <s:c r="F741" s="24">
        <s:f>'자료구성'!$B$2+TIME(INT($C$3/10000),INT(MOD($C$3,10000)/100),MOD($C$3,100))+(ROW()-ROW($C$3))/86400</s:f>
        <s:v>46247.39251157407</s:v>
      </s:c>
    </s:row>
    <s:row r="742">
      <s:c r="A742" s="0" t="n">
        <s:v>260813</s:v>
      </s:c>
      <s:c r="B742" s="0" t="inlineStr">
        <s:is>
          <s:t>이종훈</s:t>
        </s:is>
      </s:c>
      <s:c r="C742" s="0" t="n">
        <s:v>91255</s:v>
      </s:c>
      <s:c r="D742" s="0" t="n">
        <s:v>4692</s:v>
      </s:c>
      <s:c r="E742" s="0" t="n">
        <s:v>24.299</s:v>
      </s:c>
      <s:c r="F742" s="24">
        <s:f>'자료구성'!$B$2+TIME(INT($C$3/10000),INT(MOD($C$3,10000)/100),MOD($C$3,100))+(ROW()-ROW($C$3))/86400</s:f>
        <s:v>46247.39252314815</s:v>
      </s:c>
    </s:row>
    <s:row r="743">
      <s:c r="A743" s="0" t="n">
        <s:v>260813</s:v>
      </s:c>
      <s:c r="B743" s="0" t="inlineStr">
        <s:is>
          <s:t>이종훈</s:t>
        </s:is>
      </s:c>
      <s:c r="C743" s="0" t="n">
        <s:v>91255</s:v>
      </s:c>
      <s:c r="D743" s="0" t="n">
        <s:v>4773</s:v>
      </s:c>
      <s:c r="E743" s="0" t="n">
        <s:v>24.299</s:v>
      </s:c>
      <s:c r="F743" s="24">
        <s:f>'자료구성'!$B$2+TIME(INT($C$3/10000),INT(MOD($C$3,10000)/100),MOD($C$3,100))+(ROW()-ROW($C$3))/86400</s:f>
        <s:v>46247.392534722225</s:v>
      </s:c>
    </s:row>
    <s:row r="744">
      <s:c r="A744" s="0" t="n">
        <s:v>260813</s:v>
      </s:c>
      <s:c r="B744" s="0" t="inlineStr">
        <s:is>
          <s:t>이종훈</s:t>
        </s:is>
      </s:c>
      <s:c r="C744" s="0" t="n">
        <s:v>91255</s:v>
      </s:c>
      <s:c r="D744" s="0" t="n">
        <s:v>4876</s:v>
      </s:c>
      <s:c r="E744" s="0" t="n">
        <s:v>24.299</s:v>
      </s:c>
      <s:c r="F744" s="24">
        <s:f>'자료구성'!$B$2+TIME(INT($C$3/10000),INT(MOD($C$3,10000)/100),MOD($C$3,100))+(ROW()-ROW($C$3))/86400</s:f>
        <s:v>46247.392546296294</s:v>
      </s:c>
    </s:row>
    <s:row r="745">
      <s:c r="A745" s="0" t="n">
        <s:v>260813</s:v>
      </s:c>
      <s:c r="B745" s="0" t="inlineStr">
        <s:is>
          <s:t>이종훈</s:t>
        </s:is>
      </s:c>
      <s:c r="C745" s="0" t="n">
        <s:v>91255</s:v>
      </s:c>
      <s:c r="D745" s="0" t="n">
        <s:v>4950</s:v>
      </s:c>
      <s:c r="E745" s="0" t="n">
        <s:v>24.299</s:v>
      </s:c>
      <s:c r="F745" s="24">
        <s:f>'자료구성'!$B$2+TIME(INT($C$3/10000),INT(MOD($C$3,10000)/100),MOD($C$3,100))+(ROW()-ROW($C$3))/86400</s:f>
        <s:v>46247.39255787037</s:v>
      </s:c>
    </s:row>
    <s:row r="746">
      <s:c r="A746" s="0" t="n">
        <s:v>260813</s:v>
      </s:c>
      <s:c r="B746" s="0" t="inlineStr">
        <s:is>
          <s:t>이종훈</s:t>
        </s:is>
      </s:c>
      <s:c r="C746" s="0" t="n">
        <s:v>91255</s:v>
      </s:c>
      <s:c r="D746" s="0" t="n">
        <s:v>4948</s:v>
      </s:c>
      <s:c r="E746" s="0" t="n">
        <s:v>24.299</s:v>
      </s:c>
      <s:c r="F746" s="24">
        <s:f>'자료구성'!$B$2+TIME(INT($C$3/10000),INT(MOD($C$3,10000)/100),MOD($C$3,100))+(ROW()-ROW($C$3))/86400</s:f>
        <s:v>46247.39256944445</s:v>
      </s:c>
    </s:row>
    <s:row r="747">
      <s:c r="A747" s="0" t="n">
        <s:v>260813</s:v>
      </s:c>
      <s:c r="B747" s="0" t="inlineStr">
        <s:is>
          <s:t>이종훈</s:t>
        </s:is>
      </s:c>
      <s:c r="C747" s="0" t="n">
        <s:v>91255</s:v>
      </s:c>
      <s:c r="D747" s="0" t="n">
        <s:v>4990</s:v>
      </s:c>
      <s:c r="E747" s="0" t="n">
        <s:v>24.299</s:v>
      </s:c>
      <s:c r="F747" s="24">
        <s:f>'자료구성'!$B$2+TIME(INT($C$3/10000),INT(MOD($C$3,10000)/100),MOD($C$3,100))+(ROW()-ROW($C$3))/86400</s:f>
        <s:v>46247.39258101852</s:v>
      </s:c>
    </s:row>
    <s:row r="748">
      <s:c r="A748" s="0" t="n">
        <s:v>260813</s:v>
      </s:c>
      <s:c r="B748" s="0" t="inlineStr">
        <s:is>
          <s:t>이종훈</s:t>
        </s:is>
      </s:c>
      <s:c r="C748" s="0" t="n">
        <s:v>91255</s:v>
      </s:c>
      <s:c r="D748" s="0" t="n">
        <s:v>5132</s:v>
      </s:c>
      <s:c r="E748" s="0" t="n">
        <s:v>24.299</s:v>
      </s:c>
      <s:c r="F748" s="24">
        <s:f>'자료구성'!$B$2+TIME(INT($C$3/10000),INT(MOD($C$3,10000)/100),MOD($C$3,100))+(ROW()-ROW($C$3))/86400</s:f>
        <s:v>46247.392592592594</s:v>
      </s:c>
    </s:row>
    <s:row r="749">
      <s:c r="A749" s="0" t="n">
        <s:v>260813</s:v>
      </s:c>
      <s:c r="B749" s="0" t="inlineStr">
        <s:is>
          <s:t>이종훈</s:t>
        </s:is>
      </s:c>
      <s:c r="C749" s="0" t="n">
        <s:v>91255</s:v>
      </s:c>
      <s:c r="D749" s="0" t="n">
        <s:v>5389</s:v>
      </s:c>
      <s:c r="E749" s="0" t="n">
        <s:v>24.299</s:v>
      </s:c>
      <s:c r="F749" s="24">
        <s:f>'자료구성'!$B$2+TIME(INT($C$3/10000),INT(MOD($C$3,10000)/100),MOD($C$3,100))+(ROW()-ROW($C$3))/86400</s:f>
        <s:v>46247.392604166664</s:v>
      </s:c>
    </s:row>
    <s:row r="750">
      <s:c r="A750" s="0" t="n">
        <s:v>260813</s:v>
      </s:c>
      <s:c r="B750" s="0" t="inlineStr">
        <s:is>
          <s:t>이종훈</s:t>
        </s:is>
      </s:c>
      <s:c r="C750" s="0" t="n">
        <s:v>91255</s:v>
      </s:c>
      <s:c r="D750" s="0" t="n">
        <s:v>5621</s:v>
      </s:c>
      <s:c r="E750" s="0" t="n">
        <s:v>24.299</s:v>
      </s:c>
      <s:c r="F750" s="24">
        <s:f>'자료구성'!$B$2+TIME(INT($C$3/10000),INT(MOD($C$3,10000)/100),MOD($C$3,100))+(ROW()-ROW($C$3))/86400</s:f>
        <s:v>46247.39261574074</s:v>
      </s:c>
    </s:row>
    <s:row r="751">
      <s:c r="A751" s="0" t="n">
        <s:v>260813</s:v>
      </s:c>
      <s:c r="B751" s="0" t="inlineStr">
        <s:is>
          <s:t>이종훈</s:t>
        </s:is>
      </s:c>
      <s:c r="C751" s="0" t="n">
        <s:v>91255</s:v>
      </s:c>
      <s:c r="D751" s="0" t="n">
        <s:v>5685</s:v>
      </s:c>
      <s:c r="E751" s="0" t="n">
        <s:v>24.299</s:v>
      </s:c>
      <s:c r="F751" s="24">
        <s:f>'자료구성'!$B$2+TIME(INT($C$3/10000),INT(MOD($C$3,10000)/100),MOD($C$3,100))+(ROW()-ROW($C$3))/86400</s:f>
        <s:v>46247.39262731482</s:v>
      </s:c>
    </s:row>
    <s:row r="752">
      <s:c r="A752" s="0" t="n">
        <s:v>260813</s:v>
      </s:c>
      <s:c r="B752" s="0" t="inlineStr">
        <s:is>
          <s:t>이종훈</s:t>
        </s:is>
      </s:c>
      <s:c r="C752" s="0" t="n">
        <s:v>91255</s:v>
      </s:c>
      <s:c r="D752" s="0" t="n">
        <s:v>5803</s:v>
      </s:c>
      <s:c r="E752" s="0" t="n">
        <s:v>24.299</s:v>
      </s:c>
      <s:c r="F752" s="24">
        <s:f>'자료구성'!$B$2+TIME(INT($C$3/10000),INT(MOD($C$3,10000)/100),MOD($C$3,100))+(ROW()-ROW($C$3))/86400</s:f>
        <s:v>46247.39263888889</s:v>
      </s:c>
    </s:row>
    <s:row r="753">
      <s:c r="A753" s="0" t="n">
        <s:v>260813</s:v>
      </s:c>
      <s:c r="B753" s="0" t="inlineStr">
        <s:is>
          <s:t>이종훈</s:t>
        </s:is>
      </s:c>
      <s:c r="C753" s="0" t="n">
        <s:v>91255</s:v>
      </s:c>
      <s:c r="D753" s="0" t="n">
        <s:v>6042</s:v>
      </s:c>
      <s:c r="E753" s="0" t="n">
        <s:v>24.299</s:v>
      </s:c>
      <s:c r="F753" s="24">
        <s:f>'자료구성'!$B$2+TIME(INT($C$3/10000),INT(MOD($C$3,10000)/100),MOD($C$3,100))+(ROW()-ROW($C$3))/86400</s:f>
        <s:v>46247.39265046296</s:v>
      </s:c>
    </s:row>
    <s:row r="754">
      <s:c r="A754" s="0" t="n">
        <s:v>260813</s:v>
      </s:c>
      <s:c r="B754" s="0" t="inlineStr">
        <s:is>
          <s:t>이종훈</s:t>
        </s:is>
      </s:c>
      <s:c r="C754" s="0" t="n">
        <s:v>91255</s:v>
      </s:c>
      <s:c r="D754" s="0" t="n">
        <s:v>6253</s:v>
      </s:c>
      <s:c r="E754" s="0" t="n">
        <s:v>24.299</s:v>
      </s:c>
      <s:c r="F754" s="24">
        <s:f>'자료구성'!$B$2+TIME(INT($C$3/10000),INT(MOD($C$3,10000)/100),MOD($C$3,100))+(ROW()-ROW($C$3))/86400</s:f>
        <s:v>46247.39266203704</s:v>
      </s:c>
    </s:row>
    <s:row r="755">
      <s:c r="A755" s="0" t="n">
        <s:v>260813</s:v>
      </s:c>
      <s:c r="B755" s="0" t="inlineStr">
        <s:is>
          <s:t>이종훈</s:t>
        </s:is>
      </s:c>
      <s:c r="C755" s="0" t="n">
        <s:v>91255</s:v>
      </s:c>
      <s:c r="D755" s="0" t="n">
        <s:v>6512</s:v>
      </s:c>
      <s:c r="E755" s="0" t="n">
        <s:v>24.299</s:v>
      </s:c>
      <s:c r="F755" s="24">
        <s:f>'자료구성'!$B$2+TIME(INT($C$3/10000),INT(MOD($C$3,10000)/100),MOD($C$3,100))+(ROW()-ROW($C$3))/86400</s:f>
        <s:v>46247.39267361111</s:v>
      </s:c>
    </s:row>
    <s:row r="756">
      <s:c r="A756" s="0" t="n">
        <s:v>260813</s:v>
      </s:c>
      <s:c r="B756" s="0" t="inlineStr">
        <s:is>
          <s:t>이종훈</s:t>
        </s:is>
      </s:c>
      <s:c r="C756" s="0" t="n">
        <s:v>91255</s:v>
      </s:c>
      <s:c r="D756" s="0" t="n">
        <s:v>6880</s:v>
      </s:c>
      <s:c r="E756" s="0" t="n">
        <s:v>24.299</s:v>
      </s:c>
      <s:c r="F756" s="24">
        <s:f>'자료구성'!$B$2+TIME(INT($C$3/10000),INT(MOD($C$3,10000)/100),MOD($C$3,100))+(ROW()-ROW($C$3))/86400</s:f>
        <s:v>46247.39268518519</s:v>
      </s:c>
    </s:row>
    <s:row r="757">
      <s:c r="A757" s="0" t="n">
        <s:v>260813</s:v>
      </s:c>
      <s:c r="B757" s="0" t="inlineStr">
        <s:is>
          <s:t>이종훈</s:t>
        </s:is>
      </s:c>
      <s:c r="C757" s="0" t="n">
        <s:v>91255</s:v>
      </s:c>
      <s:c r="D757" s="0" t="n">
        <s:v>7296</s:v>
      </s:c>
      <s:c r="E757" s="0" t="n">
        <s:v>24.299</s:v>
      </s:c>
      <s:c r="F757" s="24">
        <s:f>'자료구성'!$B$2+TIME(INT($C$3/10000),INT(MOD($C$3,10000)/100),MOD($C$3,100))+(ROW()-ROW($C$3))/86400</s:f>
        <s:v>46247.392696759256</s:v>
      </s:c>
    </s:row>
    <s:row r="758">
      <s:c r="A758" s="0" t="n">
        <s:v>260813</s:v>
      </s:c>
      <s:c r="B758" s="0" t="inlineStr">
        <s:is>
          <s:t>이종훈</s:t>
        </s:is>
      </s:c>
      <s:c r="C758" s="0" t="n">
        <s:v>91255</s:v>
      </s:c>
      <s:c r="D758" s="0" t="n">
        <s:v>7838</s:v>
      </s:c>
      <s:c r="E758" s="0" t="n">
        <s:v>24.299</s:v>
      </s:c>
      <s:c r="F758" s="24">
        <s:f>'자료구성'!$B$2+TIME(INT($C$3/10000),INT(MOD($C$3,10000)/100),MOD($C$3,100))+(ROW()-ROW($C$3))/86400</s:f>
        <s:v>46247.39270833333</s:v>
      </s:c>
    </s:row>
    <s:row r="759">
      <s:c r="A759" s="0" t="n">
        <s:v>260813</s:v>
      </s:c>
      <s:c r="B759" s="0" t="inlineStr">
        <s:is>
          <s:t>이종훈</s:t>
        </s:is>
      </s:c>
      <s:c r="C759" s="0" t="n">
        <s:v>91255</s:v>
      </s:c>
      <s:c r="D759" s="0" t="n">
        <s:v>8645</s:v>
      </s:c>
      <s:c r="E759" s="0" t="n">
        <s:v>24.299</s:v>
      </s:c>
      <s:c r="F759" s="24">
        <s:f>'자료구성'!$B$2+TIME(INT($C$3/10000),INT(MOD($C$3,10000)/100),MOD($C$3,100))+(ROW()-ROW($C$3))/86400</s:f>
        <s:v>46247.39271990741</s:v>
      </s:c>
    </s:row>
    <s:row r="760">
      <s:c r="A760" s="0" t="n">
        <s:v>260813</s:v>
      </s:c>
      <s:c r="B760" s="0" t="inlineStr">
        <s:is>
          <s:t>이종훈</s:t>
        </s:is>
      </s:c>
      <s:c r="C760" s="0" t="n">
        <s:v>91255</s:v>
      </s:c>
      <s:c r="D760" s="0" t="n">
        <s:v>8645</s:v>
      </s:c>
      <s:c r="E760" s="0" t="n">
        <s:v>24.299</s:v>
      </s:c>
      <s:c r="F760" s="24">
        <s:f>'자료구성'!$B$2+TIME(INT($C$3/10000),INT(MOD($C$3,10000)/100),MOD($C$3,100))+(ROW()-ROW($C$3))/86400</s:f>
        <s:v>46247.39273148148</s:v>
      </s:c>
    </s:row>
    <s:row r="761">
      <s:c r="A761" s="0" t="n">
        <s:v>260813</s:v>
      </s:c>
      <s:c r="B761" s="0" t="inlineStr">
        <s:is>
          <s:t>이종훈</s:t>
        </s:is>
      </s:c>
      <s:c r="C761" s="0" t="n">
        <s:v>91255</s:v>
      </s:c>
      <s:c r="D761" s="0" t="n">
        <s:v>8348</s:v>
      </s:c>
      <s:c r="E761" s="0" t="n">
        <s:v>24.299</s:v>
      </s:c>
      <s:c r="F761" s="24">
        <s:f>'자료구성'!$B$2+TIME(INT($C$3/10000),INT(MOD($C$3,10000)/100),MOD($C$3,100))+(ROW()-ROW($C$3))/86400</s:f>
        <s:v>46247.392743055556</s:v>
      </s:c>
    </s:row>
    <s:row r="762">
      <s:c r="A762" s="0" t="n">
        <s:v>260813</s:v>
      </s:c>
      <s:c r="B762" s="0" t="inlineStr">
        <s:is>
          <s:t>이종훈</s:t>
        </s:is>
      </s:c>
      <s:c r="C762" s="0" t="n">
        <s:v>91255</s:v>
      </s:c>
      <s:c r="D762" s="0" t="n">
        <s:v>7598</s:v>
      </s:c>
      <s:c r="E762" s="0" t="n">
        <s:v>24.299</s:v>
      </s:c>
      <s:c r="F762" s="24">
        <s:f>'자료구성'!$B$2+TIME(INT($C$3/10000),INT(MOD($C$3,10000)/100),MOD($C$3,100))+(ROW()-ROW($C$3))/86400</s:f>
        <s:v>46247.39275462963</s:v>
      </s:c>
    </s:row>
    <s:row r="763">
      <s:c r="A763" s="0" t="n">
        <s:v>260813</s:v>
      </s:c>
      <s:c r="B763" s="0" t="inlineStr">
        <s:is>
          <s:t>이종훈</s:t>
        </s:is>
      </s:c>
      <s:c r="C763" s="0" t="n">
        <s:v>91255</s:v>
      </s:c>
      <s:c r="D763" s="0" t="n">
        <s:v>7304</s:v>
      </s:c>
      <s:c r="E763" s="0" t="n">
        <s:v>24.299</s:v>
      </s:c>
      <s:c r="F763" s="24">
        <s:f>'자료구성'!$B$2+TIME(INT($C$3/10000),INT(MOD($C$3,10000)/100),MOD($C$3,100))+(ROW()-ROW($C$3))/86400</s:f>
        <s:v>46247.3927662037</s:v>
      </s:c>
    </s:row>
    <s:row r="764">
      <s:c r="A764" s="0" t="n">
        <s:v>260813</s:v>
      </s:c>
      <s:c r="B764" s="0" t="inlineStr">
        <s:is>
          <s:t>이종훈</s:t>
        </s:is>
      </s:c>
      <s:c r="C764" s="0" t="n">
        <s:v>91255</s:v>
      </s:c>
      <s:c r="D764" s="0" t="n">
        <s:v>7280</s:v>
      </s:c>
      <s:c r="E764" s="0" t="n">
        <s:v>24.299</s:v>
      </s:c>
      <s:c r="F764" s="24">
        <s:f>'자료구성'!$B$2+TIME(INT($C$3/10000),INT(MOD($C$3,10000)/100),MOD($C$3,100))+(ROW()-ROW($C$3))/86400</s:f>
        <s:v>46247.39277777778</s:v>
      </s:c>
    </s:row>
    <s:row r="765">
      <s:c r="A765" s="0" t="n">
        <s:v>260813</s:v>
      </s:c>
      <s:c r="B765" s="0" t="inlineStr">
        <s:is>
          <s:t>이종훈</s:t>
        </s:is>
      </s:c>
      <s:c r="C765" s="0" t="n">
        <s:v>91255</s:v>
      </s:c>
      <s:c r="D765" s="0" t="n">
        <s:v>7458</s:v>
      </s:c>
      <s:c r="E765" s="0" t="n">
        <s:v>24.299</s:v>
      </s:c>
      <s:c r="F765" s="24">
        <s:f>'자료구성'!$B$2+TIME(INT($C$3/10000),INT(MOD($C$3,10000)/100),MOD($C$3,100))+(ROW()-ROW($C$3))/86400</s:f>
        <s:v>46247.39278935185</s:v>
      </s:c>
    </s:row>
    <s:row r="766">
      <s:c r="A766" s="0" t="n">
        <s:v>260813</s:v>
      </s:c>
      <s:c r="B766" s="0" t="inlineStr">
        <s:is>
          <s:t>이종훈</s:t>
        </s:is>
      </s:c>
      <s:c r="C766" s="0" t="n">
        <s:v>91255</s:v>
      </s:c>
      <s:c r="D766" s="0" t="n">
        <s:v>7468</s:v>
      </s:c>
      <s:c r="E766" s="0" t="n">
        <s:v>24.299</s:v>
      </s:c>
      <s:c r="F766" s="24">
        <s:f>'자료구성'!$B$2+TIME(INT($C$3/10000),INT(MOD($C$3,10000)/100),MOD($C$3,100))+(ROW()-ROW($C$3))/86400</s:f>
        <s:v>46247.392800925925</s:v>
      </s:c>
    </s:row>
    <s:row r="767">
      <s:c r="A767" s="0" t="n">
        <s:v>260813</s:v>
      </s:c>
      <s:c r="B767" s="0" t="inlineStr">
        <s:is>
          <s:t>이종훈</s:t>
        </s:is>
      </s:c>
      <s:c r="C767" s="0" t="n">
        <s:v>91255</s:v>
      </s:c>
      <s:c r="D767" s="0" t="n">
        <s:v>7432</s:v>
      </s:c>
      <s:c r="E767" s="0" t="n">
        <s:v>24.299</s:v>
      </s:c>
      <s:c r="F767" s="24">
        <s:f>'자료구성'!$B$2+TIME(INT($C$3/10000),INT(MOD($C$3,10000)/100),MOD($C$3,100))+(ROW()-ROW($C$3))/86400</s:f>
        <s:v>46247.3928125</s:v>
      </s:c>
    </s:row>
    <s:row r="768">
      <s:c r="A768" s="0" t="n">
        <s:v>260813</s:v>
      </s:c>
      <s:c r="B768" s="0" t="inlineStr">
        <s:is>
          <s:t>이종훈</s:t>
        </s:is>
      </s:c>
      <s:c r="C768" s="0" t="n">
        <s:v>91255</s:v>
      </s:c>
      <s:c r="D768" s="0" t="n">
        <s:v>7411</s:v>
      </s:c>
      <s:c r="E768" s="0" t="n">
        <s:v>24.299</s:v>
      </s:c>
      <s:c r="F768" s="24">
        <s:f>'자료구성'!$B$2+TIME(INT($C$3/10000),INT(MOD($C$3,10000)/100),MOD($C$3,100))+(ROW()-ROW($C$3))/86400</s:f>
        <s:v>46247.39282407407</s:v>
      </s:c>
    </s:row>
    <s:row r="769">
      <s:c r="A769" s="0" t="n">
        <s:v>260813</s:v>
      </s:c>
      <s:c r="B769" s="0" t="inlineStr">
        <s:is>
          <s:t>이종훈</s:t>
        </s:is>
      </s:c>
      <s:c r="C769" s="0" t="n">
        <s:v>91255</s:v>
      </s:c>
      <s:c r="D769" s="0" t="n">
        <s:v>7426</s:v>
      </s:c>
      <s:c r="E769" s="0" t="n">
        <s:v>24.299</s:v>
      </s:c>
      <s:c r="F769" s="24">
        <s:f>'자료구성'!$B$2+TIME(INT($C$3/10000),INT(MOD($C$3,10000)/100),MOD($C$3,100))+(ROW()-ROW($C$3))/86400</s:f>
        <s:v>46247.39283564815</s:v>
      </s:c>
    </s:row>
    <s:row r="770">
      <s:c r="A770" s="0" t="n">
        <s:v>260813</s:v>
      </s:c>
      <s:c r="B770" s="0" t="inlineStr">
        <s:is>
          <s:t>이종훈</s:t>
        </s:is>
      </s:c>
      <s:c r="C770" s="0" t="n">
        <s:v>91255</s:v>
      </s:c>
      <s:c r="D770" s="0" t="n">
        <s:v>7322</s:v>
      </s:c>
      <s:c r="E770" s="0" t="n">
        <s:v>24.299</s:v>
      </s:c>
      <s:c r="F770" s="24">
        <s:f>'자료구성'!$B$2+TIME(INT($C$3/10000),INT(MOD($C$3,10000)/100),MOD($C$3,100))+(ROW()-ROW($C$3))/86400</s:f>
        <s:v>46247.392847222225</s:v>
      </s:c>
    </s:row>
    <s:row r="771">
      <s:c r="A771" s="0" t="n">
        <s:v>260813</s:v>
      </s:c>
      <s:c r="B771" s="0" t="inlineStr">
        <s:is>
          <s:t>이종훈</s:t>
        </s:is>
      </s:c>
      <s:c r="C771" s="0" t="n">
        <s:v>91255</s:v>
      </s:c>
      <s:c r="D771" s="0" t="n">
        <s:v>7261</s:v>
      </s:c>
      <s:c r="E771" s="0" t="n">
        <s:v>24.299</s:v>
      </s:c>
      <s:c r="F771" s="24">
        <s:f>'자료구성'!$B$2+TIME(INT($C$3/10000),INT(MOD($C$3,10000)/100),MOD($C$3,100))+(ROW()-ROW($C$3))/86400</s:f>
        <s:v>46247.392858796295</s:v>
      </s:c>
    </s:row>
    <s:row r="772">
      <s:c r="A772" s="0" t="n">
        <s:v>260813</s:v>
      </s:c>
      <s:c r="B772" s="0" t="inlineStr">
        <s:is>
          <s:t>이종훈</s:t>
        </s:is>
      </s:c>
      <s:c r="C772" s="0" t="n">
        <s:v>91255</s:v>
      </s:c>
      <s:c r="D772" s="0" t="n">
        <s:v>7200</s:v>
      </s:c>
      <s:c r="E772" s="0" t="n">
        <s:v>24.299</s:v>
      </s:c>
      <s:c r="F772" s="24">
        <s:f>'자료구성'!$B$2+TIME(INT($C$3/10000),INT(MOD($C$3,10000)/100),MOD($C$3,100))+(ROW()-ROW($C$3))/86400</s:f>
        <s:v>46247.39287037037</s:v>
      </s:c>
    </s:row>
    <s:row r="773">
      <s:c r="A773" s="0" t="n">
        <s:v>260813</s:v>
      </s:c>
      <s:c r="B773" s="0" t="inlineStr">
        <s:is>
          <s:t>이종훈</s:t>
        </s:is>
      </s:c>
      <s:c r="C773" s="0" t="n">
        <s:v>91255</s:v>
      </s:c>
      <s:c r="D773" s="0" t="n">
        <s:v>7058</s:v>
      </s:c>
      <s:c r="E773" s="0" t="n">
        <s:v>24.299</s:v>
      </s:c>
      <s:c r="F773" s="24">
        <s:f>'자료구성'!$B$2+TIME(INT($C$3/10000),INT(MOD($C$3,10000)/100),MOD($C$3,100))+(ROW()-ROW($C$3))/86400</s:f>
        <s:v>46247.39288194444</s:v>
      </s:c>
    </s:row>
    <s:row r="774">
      <s:c r="A774" s="0" t="n">
        <s:v>260813</s:v>
      </s:c>
      <s:c r="B774" s="0" t="inlineStr">
        <s:is>
          <s:t>이종훈</s:t>
        </s:is>
      </s:c>
      <s:c r="C774" s="0" t="n">
        <s:v>91255</s:v>
      </s:c>
      <s:c r="D774" s="0" t="n">
        <s:v>6977</s:v>
      </s:c>
      <s:c r="E774" s="0" t="n">
        <s:v>24.299</s:v>
      </s:c>
      <s:c r="F774" s="24">
        <s:f>'자료구성'!$B$2+TIME(INT($C$3/10000),INT(MOD($C$3,10000)/100),MOD($C$3,100))+(ROW()-ROW($C$3))/86400</s:f>
        <s:v>46247.39289351852</s:v>
      </s:c>
    </s:row>
    <s:row r="775">
      <s:c r="A775" s="0" t="n">
        <s:v>260813</s:v>
      </s:c>
      <s:c r="B775" s="0" t="inlineStr">
        <s:is>
          <s:t>이종훈</s:t>
        </s:is>
      </s:c>
      <s:c r="C775" s="0" t="n">
        <s:v>91255</s:v>
      </s:c>
      <s:c r="D775" s="0" t="n">
        <s:v>6935</s:v>
      </s:c>
      <s:c r="E775" s="0" t="n">
        <s:v>24.299</s:v>
      </s:c>
      <s:c r="F775" s="24">
        <s:f>'자료구성'!$B$2+TIME(INT($C$3/10000),INT(MOD($C$3,10000)/100),MOD($C$3,100))+(ROW()-ROW($C$3))/86400</s:f>
        <s:v>46247.392905092594</s:v>
      </s:c>
    </s:row>
    <s:row r="776">
      <s:c r="A776" s="0" t="n">
        <s:v>260813</s:v>
      </s:c>
      <s:c r="B776" s="0" t="inlineStr">
        <s:is>
          <s:t>이종훈</s:t>
        </s:is>
      </s:c>
      <s:c r="C776" s="0" t="n">
        <s:v>91255</s:v>
      </s:c>
      <s:c r="D776" s="0" t="n">
        <s:v>6773</s:v>
      </s:c>
      <s:c r="E776" s="0" t="n">
        <s:v>24.299</s:v>
      </s:c>
      <s:c r="F776" s="24">
        <s:f>'자료구성'!$B$2+TIME(INT($C$3/10000),INT(MOD($C$3,10000)/100),MOD($C$3,100))+(ROW()-ROW($C$3))/86400</s:f>
        <s:v>46247.392916666664</s:v>
      </s:c>
    </s:row>
    <s:row r="777">
      <s:c r="A777" s="0" t="n">
        <s:v>260813</s:v>
      </s:c>
      <s:c r="B777" s="0" t="inlineStr">
        <s:is>
          <s:t>이종훈</s:t>
        </s:is>
      </s:c>
      <s:c r="C777" s="0" t="n">
        <s:v>91255</s:v>
      </s:c>
      <s:c r="D777" s="0" t="n">
        <s:v>6773</s:v>
      </s:c>
      <s:c r="E777" s="0" t="n">
        <s:v>24.299</s:v>
      </s:c>
      <s:c r="F777" s="24">
        <s:f>'자료구성'!$B$2+TIME(INT($C$3/10000),INT(MOD($C$3,10000)/100),MOD($C$3,100))+(ROW()-ROW($C$3))/86400</s:f>
        <s:v>46247.39292824074</s:v>
      </s:c>
    </s:row>
    <s:row r="778">
      <s:c r="A778" s="0" t="n">
        <s:v>260813</s:v>
      </s:c>
      <s:c r="B778" s="0" t="inlineStr">
        <s:is>
          <s:t>이종훈</s:t>
        </s:is>
      </s:c>
      <s:c r="C778" s="0" t="n">
        <s:v>91255</s:v>
      </s:c>
      <s:c r="D778" s="0" t="n">
        <s:v>6614</s:v>
      </s:c>
      <s:c r="E778" s="0" t="n">
        <s:v>24.299</s:v>
      </s:c>
      <s:c r="F778" s="24">
        <s:f>'자료구성'!$B$2+TIME(INT($C$3/10000),INT(MOD($C$3,10000)/100),MOD($C$3,100))+(ROW()-ROW($C$3))/86400</s:f>
        <s:v>46247.39293981482</s:v>
      </s:c>
    </s:row>
    <s:row r="779">
      <s:c r="A779" s="0" t="n">
        <s:v>260813</s:v>
      </s:c>
      <s:c r="B779" s="0" t="inlineStr">
        <s:is>
          <s:t>이종훈</s:t>
        </s:is>
      </s:c>
      <s:c r="C779" s="0" t="n">
        <s:v>91255</s:v>
      </s:c>
      <s:c r="D779" s="0" t="n">
        <s:v>6488</s:v>
      </s:c>
      <s:c r="E779" s="0" t="n">
        <s:v>24.299</s:v>
      </s:c>
      <s:c r="F779" s="24">
        <s:f>'자료구성'!$B$2+TIME(INT($C$3/10000),INT(MOD($C$3,10000)/100),MOD($C$3,100))+(ROW()-ROW($C$3))/86400</s:f>
        <s:v>46247.39295138889</s:v>
      </s:c>
    </s:row>
    <s:row r="780">
      <s:c r="A780" s="0" t="n">
        <s:v>260813</s:v>
      </s:c>
      <s:c r="B780" s="0" t="inlineStr">
        <s:is>
          <s:t>이종훈</s:t>
        </s:is>
      </s:c>
      <s:c r="C780" s="0" t="n">
        <s:v>91255</s:v>
      </s:c>
      <s:c r="D780" s="0" t="n">
        <s:v>6390</s:v>
      </s:c>
      <s:c r="E780" s="0" t="n">
        <s:v>24.299</s:v>
      </s:c>
      <s:c r="F780" s="24">
        <s:f>'자료구성'!$B$2+TIME(INT($C$3/10000),INT(MOD($C$3,10000)/100),MOD($C$3,100))+(ROW()-ROW($C$3))/86400</s:f>
        <s:v>46247.392962962964</s:v>
      </s:c>
    </s:row>
    <s:row r="781">
      <s:c r="A781" s="0" t="n">
        <s:v>260813</s:v>
      </s:c>
      <s:c r="B781" s="0" t="inlineStr">
        <s:is>
          <s:t>이종훈</s:t>
        </s:is>
      </s:c>
      <s:c r="C781" s="0" t="n">
        <s:v>91255</s:v>
      </s:c>
      <s:c r="D781" s="0" t="n">
        <s:v>6343</s:v>
      </s:c>
      <s:c r="E781" s="0" t="n">
        <s:v>24.299</s:v>
      </s:c>
      <s:c r="F781" s="24">
        <s:f>'자료구성'!$B$2+TIME(INT($C$3/10000),INT(MOD($C$3,10000)/100),MOD($C$3,100))+(ROW()-ROW($C$3))/86400</s:f>
        <s:v>46247.39297453704</s:v>
      </s:c>
    </s:row>
    <s:row r="782">
      <s:c r="A782" s="0" t="n">
        <s:v>260813</s:v>
      </s:c>
      <s:c r="B782" s="0" t="inlineStr">
        <s:is>
          <s:t>이종훈</s:t>
        </s:is>
      </s:c>
      <s:c r="C782" s="0" t="n">
        <s:v>91255</s:v>
      </s:c>
      <s:c r="D782" s="0" t="n">
        <s:v>6244</s:v>
      </s:c>
      <s:c r="E782" s="0" t="n">
        <s:v>24.299</s:v>
      </s:c>
      <s:c r="F782" s="24">
        <s:f>'자료구성'!$B$2+TIME(INT($C$3/10000),INT(MOD($C$3,10000)/100),MOD($C$3,100))+(ROW()-ROW($C$3))/86400</s:f>
        <s:v>46247.39298611111</s:v>
      </s:c>
    </s:row>
    <s:row r="783">
      <s:c r="A783" s="0" t="n">
        <s:v>260813</s:v>
      </s:c>
      <s:c r="B783" s="0" t="inlineStr">
        <s:is>
          <s:t>이종훈</s:t>
        </s:is>
      </s:c>
      <s:c r="C783" s="0" t="n">
        <s:v>91255</s:v>
      </s:c>
      <s:c r="D783" s="0" t="n">
        <s:v>6241</s:v>
      </s:c>
      <s:c r="E783" s="0" t="n">
        <s:v>24.299</s:v>
      </s:c>
      <s:c r="F783" s="24">
        <s:f>'자료구성'!$B$2+TIME(INT($C$3/10000),INT(MOD($C$3,10000)/100),MOD($C$3,100))+(ROW()-ROW($C$3))/86400</s:f>
        <s:v>46247.39299768519</s:v>
      </s:c>
    </s:row>
    <s:row r="784">
      <s:c r="A784" s="0" t="n">
        <s:v>260813</s:v>
      </s:c>
      <s:c r="B784" s="0" t="inlineStr">
        <s:is>
          <s:t>이종훈</s:t>
        </s:is>
      </s:c>
      <s:c r="C784" s="0" t="n">
        <s:v>91255</s:v>
      </s:c>
      <s:c r="D784" s="0" t="n">
        <s:v>6253</s:v>
      </s:c>
      <s:c r="E784" s="0" t="n">
        <s:v>24.299</s:v>
      </s:c>
      <s:c r="F784" s="24">
        <s:f>'자료구성'!$B$2+TIME(INT($C$3/10000),INT(MOD($C$3,10000)/100),MOD($C$3,100))+(ROW()-ROW($C$3))/86400</s:f>
        <s:v>46247.393009259256</s:v>
      </s:c>
    </s:row>
    <s:row r="785">
      <s:c r="A785" s="0" t="n">
        <s:v>260813</s:v>
      </s:c>
      <s:c r="B785" s="0" t="inlineStr">
        <s:is>
          <s:t>이종훈</s:t>
        </s:is>
      </s:c>
      <s:c r="C785" s="0" t="n">
        <s:v>91255</s:v>
      </s:c>
      <s:c r="D785" s="0" t="n">
        <s:v>6070</s:v>
      </s:c>
      <s:c r="E785" s="0" t="n">
        <s:v>24.299</s:v>
      </s:c>
      <s:c r="F785" s="24">
        <s:f>'자료구성'!$B$2+TIME(INT($C$3/10000),INT(MOD($C$3,10000)/100),MOD($C$3,100))+(ROW()-ROW($C$3))/86400</s:f>
        <s:v>46247.39302083333</s:v>
      </s:c>
    </s:row>
    <s:row r="786">
      <s:c r="A786" s="0" t="n">
        <s:v>260813</s:v>
      </s:c>
      <s:c r="B786" s="0" t="inlineStr">
        <s:is>
          <s:t>이종훈</s:t>
        </s:is>
      </s:c>
      <s:c r="C786" s="0" t="n">
        <s:v>91255</s:v>
      </s:c>
      <s:c r="D786" s="0" t="n">
        <s:v>5856</s:v>
      </s:c>
      <s:c r="E786" s="0" t="n">
        <s:v>24.299</s:v>
      </s:c>
      <s:c r="F786" s="24">
        <s:f>'자료구성'!$B$2+TIME(INT($C$3/10000),INT(MOD($C$3,10000)/100),MOD($C$3,100))+(ROW()-ROW($C$3))/86400</s:f>
        <s:v>46247.39303240741</s:v>
      </s:c>
    </s:row>
    <s:row r="787">
      <s:c r="A787" s="0" t="n">
        <s:v>260813</s:v>
      </s:c>
      <s:c r="B787" s="0" t="inlineStr">
        <s:is>
          <s:t>이종훈</s:t>
        </s:is>
      </s:c>
      <s:c r="C787" s="0" t="n">
        <s:v>91255</s:v>
      </s:c>
      <s:c r="D787" s="0" t="n">
        <s:v>5639</s:v>
      </s:c>
      <s:c r="E787" s="0" t="n">
        <s:v>24.299</s:v>
      </s:c>
      <s:c r="F787" s="24">
        <s:f>'자료구성'!$B$2+TIME(INT($C$3/10000),INT(MOD($C$3,10000)/100),MOD($C$3,100))+(ROW()-ROW($C$3))/86400</s:f>
        <s:v>46247.39304398148</s:v>
      </s:c>
    </s:row>
    <s:row r="788">
      <s:c r="A788" s="0" t="n">
        <s:v>260813</s:v>
      </s:c>
      <s:c r="B788" s="0" t="inlineStr">
        <s:is>
          <s:t>이종훈</s:t>
        </s:is>
      </s:c>
      <s:c r="C788" s="0" t="n">
        <s:v>91255</s:v>
      </s:c>
      <s:c r="D788" s="0" t="n">
        <s:v>5421</s:v>
      </s:c>
      <s:c r="E788" s="0" t="n">
        <s:v>24.299</s:v>
      </s:c>
      <s:c r="F788" s="24">
        <s:f>'자료구성'!$B$2+TIME(INT($C$3/10000),INT(MOD($C$3,10000)/100),MOD($C$3,100))+(ROW()-ROW($C$3))/86400</s:f>
        <s:v>46247.393055555556</s:v>
      </s:c>
    </s:row>
    <s:row r="789">
      <s:c r="A789" s="0" t="n">
        <s:v>260813</s:v>
      </s:c>
      <s:c r="B789" s="0" t="inlineStr">
        <s:is>
          <s:t>이종훈</s:t>
        </s:is>
      </s:c>
      <s:c r="C789" s="0" t="n">
        <s:v>91255</s:v>
      </s:c>
      <s:c r="D789" s="0" t="n">
        <s:v>5270</s:v>
      </s:c>
      <s:c r="E789" s="0" t="n">
        <s:v>24.299</s:v>
      </s:c>
      <s:c r="F789" s="24">
        <s:f>'자료구성'!$B$2+TIME(INT($C$3/10000),INT(MOD($C$3,10000)/100),MOD($C$3,100))+(ROW()-ROW($C$3))/86400</s:f>
        <s:v>46247.39306712963</s:v>
      </s:c>
    </s:row>
    <s:row r="790">
      <s:c r="A790" s="0" t="n">
        <s:v>260813</s:v>
      </s:c>
      <s:c r="B790" s="0" t="inlineStr">
        <s:is>
          <s:t>이종훈</s:t>
        </s:is>
      </s:c>
      <s:c r="C790" s="0" t="n">
        <s:v>91255</s:v>
      </s:c>
      <s:c r="D790" s="0" t="n">
        <s:v>5209</s:v>
      </s:c>
      <s:c r="E790" s="0" t="n">
        <s:v>24.299</s:v>
      </s:c>
      <s:c r="F790" s="24">
        <s:f>'자료구성'!$B$2+TIME(INT($C$3/10000),INT(MOD($C$3,10000)/100),MOD($C$3,100))+(ROW()-ROW($C$3))/86400</s:f>
        <s:v>46247.3930787037</s:v>
      </s:c>
    </s:row>
    <s:row r="791">
      <s:c r="A791" s="0" t="n">
        <s:v>260813</s:v>
      </s:c>
      <s:c r="B791" s="0" t="inlineStr">
        <s:is>
          <s:t>이종훈</s:t>
        </s:is>
      </s:c>
      <s:c r="C791" s="0" t="n">
        <s:v>91255</s:v>
      </s:c>
      <s:c r="D791" s="0" t="n">
        <s:v>5139</s:v>
      </s:c>
      <s:c r="E791" s="0" t="n">
        <s:v>24.299</s:v>
      </s:c>
      <s:c r="F791" s="24">
        <s:f>'자료구성'!$B$2+TIME(INT($C$3/10000),INT(MOD($C$3,10000)/100),MOD($C$3,100))+(ROW()-ROW($C$3))/86400</s:f>
        <s:v>46247.39309027778</s:v>
      </s:c>
    </s:row>
    <s:row r="792">
      <s:c r="A792" s="0" t="n">
        <s:v>260813</s:v>
      </s:c>
      <s:c r="B792" s="0" t="inlineStr">
        <s:is>
          <s:t>이종훈</s:t>
        </s:is>
      </s:c>
      <s:c r="C792" s="0" t="n">
        <s:v>91255</s:v>
      </s:c>
      <s:c r="D792" s="0" t="n">
        <s:v>5047</s:v>
      </s:c>
      <s:c r="E792" s="0" t="n">
        <s:v>24.299</s:v>
      </s:c>
      <s:c r="F792" s="24">
        <s:f>'자료구성'!$B$2+TIME(INT($C$3/10000),INT(MOD($C$3,10000)/100),MOD($C$3,100))+(ROW()-ROW($C$3))/86400</s:f>
        <s:v>46247.39310185185</s:v>
      </s:c>
    </s:row>
    <s:row r="793">
      <s:c r="A793" s="0" t="n">
        <s:v>260813</s:v>
      </s:c>
      <s:c r="B793" s="0" t="inlineStr">
        <s:is>
          <s:t>이종훈</s:t>
        </s:is>
      </s:c>
      <s:c r="C793" s="0" t="n">
        <s:v>91255</s:v>
      </s:c>
      <s:c r="D793" s="0" t="n">
        <s:v>4911</s:v>
      </s:c>
      <s:c r="E793" s="0" t="n">
        <s:v>24.299</s:v>
      </s:c>
      <s:c r="F793" s="24">
        <s:f>'자료구성'!$B$2+TIME(INT($C$3/10000),INT(MOD($C$3,10000)/100),MOD($C$3,100))+(ROW()-ROW($C$3))/86400</s:f>
        <s:v>46247.393113425926</s:v>
      </s:c>
    </s:row>
    <s:row r="794">
      <s:c r="A794" s="0" t="n">
        <s:v>260813</s:v>
      </s:c>
      <s:c r="B794" s="0" t="inlineStr">
        <s:is>
          <s:t>이종훈</s:t>
        </s:is>
      </s:c>
      <s:c r="C794" s="0" t="n">
        <s:v>91255</s:v>
      </s:c>
      <s:c r="D794" s="0" t="n">
        <s:v>4791</s:v>
      </s:c>
      <s:c r="E794" s="0" t="n">
        <s:v>24.299</s:v>
      </s:c>
      <s:c r="F794" s="24">
        <s:f>'자료구성'!$B$2+TIME(INT($C$3/10000),INT(MOD($C$3,10000)/100),MOD($C$3,100))+(ROW()-ROW($C$3))/86400</s:f>
        <s:v>46247.393125</s:v>
      </s:c>
    </s:row>
    <s:row r="795">
      <s:c r="A795" s="0" t="n">
        <s:v>260813</s:v>
      </s:c>
      <s:c r="B795" s="0" t="inlineStr">
        <s:is>
          <s:t>이종훈</s:t>
        </s:is>
      </s:c>
      <s:c r="C795" s="0" t="n">
        <s:v>91255</s:v>
      </s:c>
      <s:c r="D795" s="0" t="n">
        <s:v>4664</s:v>
      </s:c>
      <s:c r="E795" s="0" t="n">
        <s:v>24.299</s:v>
      </s:c>
      <s:c r="F795" s="24">
        <s:f>'자료구성'!$B$2+TIME(INT($C$3/10000),INT(MOD($C$3,10000)/100),MOD($C$3,100))+(ROW()-ROW($C$3))/86400</s:f>
        <s:v>46247.39313657407</s:v>
      </s:c>
    </s:row>
    <s:row r="796">
      <s:c r="A796" s="0" t="n">
        <s:v>260813</s:v>
      </s:c>
      <s:c r="B796" s="0" t="inlineStr">
        <s:is>
          <s:t>이종훈</s:t>
        </s:is>
      </s:c>
      <s:c r="C796" s="0" t="n">
        <s:v>91255</s:v>
      </s:c>
      <s:c r="D796" s="0" t="n">
        <s:v>4607</s:v>
      </s:c>
      <s:c r="E796" s="0" t="n">
        <s:v>24.299</s:v>
      </s:c>
      <s:c r="F796" s="24">
        <s:f>'자료구성'!$B$2+TIME(INT($C$3/10000),INT(MOD($C$3,10000)/100),MOD($C$3,100))+(ROW()-ROW($C$3))/86400</s:f>
        <s:v>46247.39314814815</s:v>
      </s:c>
    </s:row>
    <s:row r="797">
      <s:c r="A797" s="0" t="n">
        <s:v>260813</s:v>
      </s:c>
      <s:c r="B797" s="0" t="inlineStr">
        <s:is>
          <s:t>이종훈</s:t>
        </s:is>
      </s:c>
      <s:c r="C797" s="0" t="n">
        <s:v>91255</s:v>
      </s:c>
      <s:c r="D797" s="0" t="n">
        <s:v>4539</s:v>
      </s:c>
      <s:c r="E797" s="0" t="n">
        <s:v>24.299</s:v>
      </s:c>
      <s:c r="F797" s="24">
        <s:f>'자료구성'!$B$2+TIME(INT($C$3/10000),INT(MOD($C$3,10000)/100),MOD($C$3,100))+(ROW()-ROW($C$3))/86400</s:f>
        <s:v>46247.393159722225</s:v>
      </s:c>
    </s:row>
    <s:row r="798">
      <s:c r="A798" s="0" t="n">
        <s:v>260813</s:v>
      </s:c>
      <s:c r="B798" s="0" t="inlineStr">
        <s:is>
          <s:t>이종훈</s:t>
        </s:is>
      </s:c>
      <s:c r="C798" s="0" t="n">
        <s:v>91255</s:v>
      </s:c>
      <s:c r="D798" s="0" t="n">
        <s:v>4422</s:v>
      </s:c>
      <s:c r="E798" s="0" t="n">
        <s:v>24.299</s:v>
      </s:c>
      <s:c r="F798" s="24">
        <s:f>'자료구성'!$B$2+TIME(INT($C$3/10000),INT(MOD($C$3,10000)/100),MOD($C$3,100))+(ROW()-ROW($C$3))/86400</s:f>
        <s:v>46247.393171296295</s:v>
      </s:c>
    </s:row>
    <s:row r="799">
      <s:c r="A799" s="0" t="n">
        <s:v>260813</s:v>
      </s:c>
      <s:c r="B799" s="0" t="inlineStr">
        <s:is>
          <s:t>이종훈</s:t>
        </s:is>
      </s:c>
      <s:c r="C799" s="0" t="n">
        <s:v>91255</s:v>
      </s:c>
      <s:c r="D799" s="0" t="n">
        <s:v>4321</s:v>
      </s:c>
      <s:c r="E799" s="0" t="n">
        <s:v>24.299</s:v>
      </s:c>
      <s:c r="F799" s="24">
        <s:f>'자료구성'!$B$2+TIME(INT($C$3/10000),INT(MOD($C$3,10000)/100),MOD($C$3,100))+(ROW()-ROW($C$3))/86400</s:f>
        <s:v>46247.39318287037</s:v>
      </s:c>
    </s:row>
    <s:row r="800">
      <s:c r="A800" s="0" t="n">
        <s:v>260813</s:v>
      </s:c>
      <s:c r="B800" s="0" t="inlineStr">
        <s:is>
          <s:t>이종훈</s:t>
        </s:is>
      </s:c>
      <s:c r="C800" s="0" t="n">
        <s:v>91255</s:v>
      </s:c>
      <s:c r="D800" s="0" t="n">
        <s:v>4183</s:v>
      </s:c>
      <s:c r="E800" s="0" t="n">
        <s:v>24.299</s:v>
      </s:c>
      <s:c r="F800" s="24">
        <s:f>'자료구성'!$B$2+TIME(INT($C$3/10000),INT(MOD($C$3,10000)/100),MOD($C$3,100))+(ROW()-ROW($C$3))/86400</s:f>
        <s:v>46247.39319444444</s:v>
      </s:c>
    </s:row>
    <s:row r="801">
      <s:c r="A801" s="0" t="n">
        <s:v>260813</s:v>
      </s:c>
      <s:c r="B801" s="0" t="inlineStr">
        <s:is>
          <s:t>이종훈</s:t>
        </s:is>
      </s:c>
      <s:c r="C801" s="0" t="n">
        <s:v>91255</s:v>
      </s:c>
      <s:c r="D801" s="0" t="n">
        <s:v>4000</s:v>
      </s:c>
      <s:c r="E801" s="0" t="n">
        <s:v>24.299</s:v>
      </s:c>
      <s:c r="F801" s="24">
        <s:f>'자료구성'!$B$2+TIME(INT($C$3/10000),INT(MOD($C$3,10000)/100),MOD($C$3,100))+(ROW()-ROW($C$3))/86400</s:f>
        <s:v>46247.39320601852</s:v>
      </s:c>
    </s:row>
    <s:row r="802">
      <s:c r="A802" s="0" t="n">
        <s:v>260813</s:v>
      </s:c>
      <s:c r="B802" s="0" t="inlineStr">
        <s:is>
          <s:t>이종훈</s:t>
        </s:is>
      </s:c>
      <s:c r="C802" s="0" t="n">
        <s:v>91255</s:v>
      </s:c>
      <s:c r="D802" s="0" t="n">
        <s:v>3828</s:v>
      </s:c>
      <s:c r="E802" s="0" t="n">
        <s:v>24.299</s:v>
      </s:c>
      <s:c r="F802" s="24">
        <s:f>'자료구성'!$B$2+TIME(INT($C$3/10000),INT(MOD($C$3,10000)/100),MOD($C$3,100))+(ROW()-ROW($C$3))/86400</s:f>
        <s:v>46247.393217592595</s:v>
      </s:c>
    </s:row>
    <s:row r="803">
      <s:c r="A803" s="0" t="n">
        <s:v>260813</s:v>
      </s:c>
      <s:c r="B803" s="0" t="inlineStr">
        <s:is>
          <s:t>이종훈</s:t>
        </s:is>
      </s:c>
      <s:c r="C803" s="0" t="n">
        <s:v>91255</s:v>
      </s:c>
      <s:c r="D803" s="0" t="n">
        <s:v>3690</s:v>
      </s:c>
      <s:c r="E803" s="0" t="n">
        <s:v>24.299</s:v>
      </s:c>
      <s:c r="F803" s="24">
        <s:f>'자료구성'!$B$2+TIME(INT($C$3/10000),INT(MOD($C$3,10000)/100),MOD($C$3,100))+(ROW()-ROW($C$3))/86400</s:f>
        <s:v>46247.393229166664</s:v>
      </s:c>
    </s:row>
    <s:row r="804">
      <s:c r="A804" s="0" t="n">
        <s:v>260813</s:v>
      </s:c>
      <s:c r="B804" s="0" t="inlineStr">
        <s:is>
          <s:t>이종훈</s:t>
        </s:is>
      </s:c>
      <s:c r="C804" s="0" t="n">
        <s:v>91255</s:v>
      </s:c>
      <s:c r="D804" s="0" t="n">
        <s:v>3564</s:v>
      </s:c>
      <s:c r="E804" s="0" t="n">
        <s:v>24.299</s:v>
      </s:c>
      <s:c r="F804" s="24">
        <s:f>'자료구성'!$B$2+TIME(INT($C$3/10000),INT(MOD($C$3,10000)/100),MOD($C$3,100))+(ROW()-ROW($C$3))/86400</s:f>
        <s:v>46247.39324074074</s:v>
      </s:c>
    </s:row>
    <s:row r="805">
      <s:c r="A805" s="0" t="n">
        <s:v>260813</s:v>
      </s:c>
      <s:c r="B805" s="0" t="inlineStr">
        <s:is>
          <s:t>이종훈</s:t>
        </s:is>
      </s:c>
      <s:c r="C805" s="0" t="n">
        <s:v>91255</s:v>
      </s:c>
      <s:c r="D805" s="0" t="n">
        <s:v>3453</s:v>
      </s:c>
      <s:c r="E805" s="0" t="n">
        <s:v>24.299</s:v>
      </s:c>
      <s:c r="F805" s="24">
        <s:f>'자료구성'!$B$2+TIME(INT($C$3/10000),INT(MOD($C$3,10000)/100),MOD($C$3,100))+(ROW()-ROW($C$3))/86400</s:f>
        <s:v>46247.39325231482</s:v>
      </s:c>
    </s:row>
    <s:row r="806">
      <s:c r="A806" s="0" t="n">
        <s:v>260813</s:v>
      </s:c>
      <s:c r="B806" s="0" t="inlineStr">
        <s:is>
          <s:t>이종훈</s:t>
        </s:is>
      </s:c>
      <s:c r="C806" s="0" t="n">
        <s:v>91255</s:v>
      </s:c>
      <s:c r="D806" s="0" t="n">
        <s:v>3379</s:v>
      </s:c>
      <s:c r="E806" s="0" t="n">
        <s:v>24.299</s:v>
      </s:c>
      <s:c r="F806" s="24">
        <s:f>'자료구성'!$B$2+TIME(INT($C$3/10000),INT(MOD($C$3,10000)/100),MOD($C$3,100))+(ROW()-ROW($C$3))/86400</s:f>
        <s:v>46247.39326388889</s:v>
      </s:c>
    </s:row>
    <s:row r="807">
      <s:c r="A807" s="0" t="n">
        <s:v>260813</s:v>
      </s:c>
      <s:c r="B807" s="0" t="inlineStr">
        <s:is>
          <s:t>이종훈</s:t>
        </s:is>
      </s:c>
      <s:c r="C807" s="0" t="n">
        <s:v>91255</s:v>
      </s:c>
      <s:c r="D807" s="0" t="n">
        <s:v>3327</s:v>
      </s:c>
      <s:c r="E807" s="0" t="n">
        <s:v>24.299</s:v>
      </s:c>
      <s:c r="F807" s="24">
        <s:f>'자료구성'!$B$2+TIME(INT($C$3/10000),INT(MOD($C$3,10000)/100),MOD($C$3,100))+(ROW()-ROW($C$3))/86400</s:f>
        <s:v>46247.393275462964</s:v>
      </s:c>
    </s:row>
    <s:row r="808">
      <s:c r="A808" s="0" t="n">
        <s:v>260813</s:v>
      </s:c>
      <s:c r="B808" s="0" t="inlineStr">
        <s:is>
          <s:t>이종훈</s:t>
        </s:is>
      </s:c>
      <s:c r="C808" s="0" t="n">
        <s:v>91255</s:v>
      </s:c>
      <s:c r="D808" s="0" t="n">
        <s:v>3316</s:v>
      </s:c>
      <s:c r="E808" s="0" t="n">
        <s:v>24.299</s:v>
      </s:c>
      <s:c r="F808" s="24">
        <s:f>'자료구성'!$B$2+TIME(INT($C$3/10000),INT(MOD($C$3,10000)/100),MOD($C$3,100))+(ROW()-ROW($C$3))/86400</s:f>
        <s:v>46247.39328703703</s:v>
      </s:c>
    </s:row>
    <s:row r="809">
      <s:c r="A809" s="0" t="n">
        <s:v>260813</s:v>
      </s:c>
      <s:c r="B809" s="0" t="inlineStr">
        <s:is>
          <s:t>이종훈</s:t>
        </s:is>
      </s:c>
      <s:c r="C809" s="0" t="n">
        <s:v>91255</s:v>
      </s:c>
      <s:c r="D809" s="0" t="n">
        <s:v>3263</s:v>
      </s:c>
      <s:c r="E809" s="0" t="n">
        <s:v>24.299</s:v>
      </s:c>
      <s:c r="F809" s="24">
        <s:f>'자료구성'!$B$2+TIME(INT($C$3/10000),INT(MOD($C$3,10000)/100),MOD($C$3,100))+(ROW()-ROW($C$3))/86400</s:f>
        <s:v>46247.39329861111</s:v>
      </s:c>
    </s:row>
    <s:row r="810">
      <s:c r="A810" s="0" t="n">
        <s:v>260813</s:v>
      </s:c>
      <s:c r="B810" s="0" t="inlineStr">
        <s:is>
          <s:t>이종훈</s:t>
        </s:is>
      </s:c>
      <s:c r="C810" s="0" t="n">
        <s:v>91255</s:v>
      </s:c>
      <s:c r="D810" s="0" t="n">
        <s:v>3222</s:v>
      </s:c>
      <s:c r="E810" s="0" t="n">
        <s:v>24.299</s:v>
      </s:c>
      <s:c r="F810" s="24">
        <s:f>'자료구성'!$B$2+TIME(INT($C$3/10000),INT(MOD($C$3,10000)/100),MOD($C$3,100))+(ROW()-ROW($C$3))/86400</s:f>
        <s:v>46247.39331018519</s:v>
      </s:c>
    </s:row>
    <s:row r="811">
      <s:c r="A811" s="0" t="n">
        <s:v>260813</s:v>
      </s:c>
      <s:c r="B811" s="0" t="inlineStr">
        <s:is>
          <s:t>이종훈</s:t>
        </s:is>
      </s:c>
      <s:c r="C811" s="0" t="n">
        <s:v>91255</s:v>
      </s:c>
      <s:c r="D811" s="0" t="n">
        <s:v>3162</s:v>
      </s:c>
      <s:c r="E811" s="0" t="n">
        <s:v>24.299</s:v>
      </s:c>
      <s:c r="F811" s="24">
        <s:f>'자료구성'!$B$2+TIME(INT($C$3/10000),INT(MOD($C$3,10000)/100),MOD($C$3,100))+(ROW()-ROW($C$3))/86400</s:f>
        <s:v>46247.39332175926</s:v>
      </s:c>
    </s:row>
    <s:row r="812">
      <s:c r="A812" s="0" t="n">
        <s:v>260813</s:v>
      </s:c>
      <s:c r="B812" s="0" t="inlineStr">
        <s:is>
          <s:t>이종훈</s:t>
        </s:is>
      </s:c>
      <s:c r="C812" s="0" t="n">
        <s:v>91255</s:v>
      </s:c>
      <s:c r="D812" s="0" t="n">
        <s:v>3128</s:v>
      </s:c>
      <s:c r="E812" s="0" t="n">
        <s:v>24.299</s:v>
      </s:c>
      <s:c r="F812" s="24">
        <s:f>'자료구성'!$B$2+TIME(INT($C$3/10000),INT(MOD($C$3,10000)/100),MOD($C$3,100))+(ROW()-ROW($C$3))/86400</s:f>
        <s:v>46247.39333333333</s:v>
      </s:c>
    </s:row>
    <s:row r="813">
      <s:c r="A813" s="0" t="n">
        <s:v>260813</s:v>
      </s:c>
      <s:c r="B813" s="0" t="inlineStr">
        <s:is>
          <s:t>이종훈</s:t>
        </s:is>
      </s:c>
      <s:c r="C813" s="0" t="n">
        <s:v>91255</s:v>
      </s:c>
      <s:c r="D813" s="0" t="n">
        <s:v>3088</s:v>
      </s:c>
      <s:c r="E813" s="0" t="n">
        <s:v>24.299</s:v>
      </s:c>
      <s:c r="F813" s="24">
        <s:f>'자료구성'!$B$2+TIME(INT($C$3/10000),INT(MOD($C$3,10000)/100),MOD($C$3,100))+(ROW()-ROW($C$3))/86400</s:f>
        <s:v>46247.39334490741</s:v>
      </s:c>
    </s:row>
    <s:row r="814">
      <s:c r="A814" s="0" t="n">
        <s:v>260813</s:v>
      </s:c>
      <s:c r="B814" s="0" t="inlineStr">
        <s:is>
          <s:t>이종훈</s:t>
        </s:is>
      </s:c>
      <s:c r="C814" s="0" t="n">
        <s:v>91255</s:v>
      </s:c>
      <s:c r="D814" s="0" t="n">
        <s:v>3012</s:v>
      </s:c>
      <s:c r="E814" s="0" t="n">
        <s:v>24.299</s:v>
      </s:c>
      <s:c r="F814" s="24">
        <s:f>'자료구성'!$B$2+TIME(INT($C$3/10000),INT(MOD($C$3,10000)/100),MOD($C$3,100))+(ROW()-ROW($C$3))/86400</s:f>
        <s:v>46247.39335648148</s:v>
      </s:c>
    </s:row>
    <s:row r="815">
      <s:c r="A815" s="0" t="n">
        <s:v>260813</s:v>
      </s:c>
      <s:c r="B815" s="0" t="inlineStr">
        <s:is>
          <s:t>이종훈</s:t>
        </s:is>
      </s:c>
      <s:c r="C815" s="0" t="n">
        <s:v>91255</s:v>
      </s:c>
      <s:c r="D815" s="0" t="n">
        <s:v>2951</s:v>
      </s:c>
      <s:c r="E815" s="0" t="n">
        <s:v>24.299</s:v>
      </s:c>
      <s:c r="F815" s="24">
        <s:f>'자료구성'!$B$2+TIME(INT($C$3/10000),INT(MOD($C$3,10000)/100),MOD($C$3,100))+(ROW()-ROW($C$3))/86400</s:f>
        <s:v>46247.39336805556</s:v>
      </s:c>
    </s:row>
    <s:row r="816">
      <s:c r="A816" s="0" t="n">
        <s:v>260813</s:v>
      </s:c>
      <s:c r="B816" s="0" t="inlineStr">
        <s:is>
          <s:t>이종훈</s:t>
        </s:is>
      </s:c>
      <s:c r="C816" s="0" t="n">
        <s:v>91255</s:v>
      </s:c>
      <s:c r="D816" s="0" t="n">
        <s:v>2904</s:v>
      </s:c>
      <s:c r="E816" s="0" t="n">
        <s:v>24.299</s:v>
      </s:c>
      <s:c r="F816" s="24">
        <s:f>'자료구성'!$B$2+TIME(INT($C$3/10000),INT(MOD($C$3,10000)/100),MOD($C$3,100))+(ROW()-ROW($C$3))/86400</s:f>
        <s:v>46247.393379629626</s:v>
      </s:c>
    </s:row>
    <s:row r="817">
      <s:c r="A817" s="0" t="n">
        <s:v>260813</s:v>
      </s:c>
      <s:c r="B817" s="0" t="inlineStr">
        <s:is>
          <s:t>이종훈</s:t>
        </s:is>
      </s:c>
      <s:c r="C817" s="0" t="n">
        <s:v>91255</s:v>
      </s:c>
      <s:c r="D817" s="0" t="n">
        <s:v>2844</s:v>
      </s:c>
      <s:c r="E817" s="0" t="n">
        <s:v>24.299</s:v>
      </s:c>
      <s:c r="F817" s="24">
        <s:f>'자료구성'!$B$2+TIME(INT($C$3/10000),INT(MOD($C$3,10000)/100),MOD($C$3,100))+(ROW()-ROW($C$3))/86400</s:f>
        <s:v>46247.3933912037</s:v>
      </s:c>
    </s:row>
    <s:row r="818">
      <s:c r="A818" s="0" t="n">
        <s:v>260813</s:v>
      </s:c>
      <s:c r="B818" s="0" t="inlineStr">
        <s:is>
          <s:t>이종훈</s:t>
        </s:is>
      </s:c>
      <s:c r="C818" s="0" t="n">
        <s:v>91255</s:v>
      </s:c>
      <s:c r="D818" s="0" t="n">
        <s:v>2805</s:v>
      </s:c>
      <s:c r="E818" s="0" t="n">
        <s:v>24.299</s:v>
      </s:c>
      <s:c r="F818" s="24">
        <s:f>'자료구성'!$B$2+TIME(INT($C$3/10000),INT(MOD($C$3,10000)/100),MOD($C$3,100))+(ROW()-ROW($C$3))/86400</s:f>
        <s:v>46247.39340277778</s:v>
      </s:c>
    </s:row>
    <s:row r="819">
      <s:c r="A819" s="0" t="n">
        <s:v>260813</s:v>
      </s:c>
      <s:c r="B819" s="0" t="inlineStr">
        <s:is>
          <s:t>이종훈</s:t>
        </s:is>
      </s:c>
      <s:c r="C819" s="0" t="n">
        <s:v>91255</s:v>
      </s:c>
      <s:c r="D819" s="0" t="n">
        <s:v>2799</s:v>
      </s:c>
      <s:c r="E819" s="0" t="n">
        <s:v>24.299</s:v>
      </s:c>
      <s:c r="F819" s="24">
        <s:f>'자료구성'!$B$2+TIME(INT($C$3/10000),INT(MOD($C$3,10000)/100),MOD($C$3,100))+(ROW()-ROW($C$3))/86400</s:f>
        <s:v>46247.39341435185</s:v>
      </s:c>
    </s:row>
    <s:row r="820">
      <s:c r="A820" s="0" t="n">
        <s:v>260813</s:v>
      </s:c>
      <s:c r="B820" s="0" t="inlineStr">
        <s:is>
          <s:t>이종훈</s:t>
        </s:is>
      </s:c>
      <s:c r="C820" s="0" t="n">
        <s:v>91255</s:v>
      </s:c>
      <s:c r="D820" s="0" t="n">
        <s:v>2790</s:v>
      </s:c>
      <s:c r="E820" s="0" t="n">
        <s:v>24.299</s:v>
      </s:c>
      <s:c r="F820" s="24">
        <s:f>'자료구성'!$B$2+TIME(INT($C$3/10000),INT(MOD($C$3,10000)/100),MOD($C$3,100))+(ROW()-ROW($C$3))/86400</s:f>
        <s:v>46247.393425925926</s:v>
      </s:c>
    </s:row>
    <s:row r="821">
      <s:c r="A821" s="0" t="n">
        <s:v>260813</s:v>
      </s:c>
      <s:c r="B821" s="0" t="inlineStr">
        <s:is>
          <s:t>이종훈</s:t>
        </s:is>
      </s:c>
      <s:c r="C821" s="0" t="n">
        <s:v>91255</s:v>
      </s:c>
      <s:c r="D821" s="0" t="n">
        <s:v>2782</s:v>
      </s:c>
      <s:c r="E821" s="0" t="n">
        <s:v>24.299</s:v>
      </s:c>
      <s:c r="F821" s="24">
        <s:f>'자료구성'!$B$2+TIME(INT($C$3/10000),INT(MOD($C$3,10000)/100),MOD($C$3,100))+(ROW()-ROW($C$3))/86400</s:f>
        <s:v>46247.3934375</s:v>
      </s:c>
    </s:row>
    <s:row r="822">
      <s:c r="A822" s="0" t="n">
        <s:v>260813</s:v>
      </s:c>
      <s:c r="B822" s="0" t="inlineStr">
        <s:is>
          <s:t>이종훈</s:t>
        </s:is>
      </s:c>
      <s:c r="C822" s="0" t="n">
        <s:v>91255</s:v>
      </s:c>
      <s:c r="D822" s="0" t="n">
        <s:v>2782</s:v>
      </s:c>
      <s:c r="E822" s="0" t="n">
        <s:v>24.299</s:v>
      </s:c>
      <s:c r="F822" s="24">
        <s:f>'자료구성'!$B$2+TIME(INT($C$3/10000),INT(MOD($C$3,10000)/100),MOD($C$3,100))+(ROW()-ROW($C$3))/86400</s:f>
        <s:v>46247.39344907407</s:v>
      </s:c>
    </s:row>
    <s:row r="823">
      <s:c r="A823" s="0" t="n">
        <s:v>260813</s:v>
      </s:c>
      <s:c r="B823" s="0" t="inlineStr">
        <s:is>
          <s:t>이종훈</s:t>
        </s:is>
      </s:c>
      <s:c r="C823" s="0" t="n">
        <s:v>91255</s:v>
      </s:c>
      <s:c r="D823" s="0" t="n">
        <s:v>2768</s:v>
      </s:c>
      <s:c r="E823" s="0" t="n">
        <s:v>24.299</s:v>
      </s:c>
      <s:c r="F823" s="24">
        <s:f>'자료구성'!$B$2+TIME(INT($C$3/10000),INT(MOD($C$3,10000)/100),MOD($C$3,100))+(ROW()-ROW($C$3))/86400</s:f>
        <s:v>46247.39346064815</s:v>
      </s:c>
    </s:row>
    <s:row r="824">
      <s:c r="A824" s="0" t="n">
        <s:v>260813</s:v>
      </s:c>
      <s:c r="B824" s="0" t="inlineStr">
        <s:is>
          <s:t>이종훈</s:t>
        </s:is>
      </s:c>
      <s:c r="C824" s="0" t="n">
        <s:v>91255</s:v>
      </s:c>
      <s:c r="D824" s="0" t="n">
        <s:v>2745</s:v>
      </s:c>
      <s:c r="E824" s="0" t="n">
        <s:v>24.299</s:v>
      </s:c>
      <s:c r="F824" s="24">
        <s:f>'자료구성'!$B$2+TIME(INT($C$3/10000),INT(MOD($C$3,10000)/100),MOD($C$3,100))+(ROW()-ROW($C$3))/86400</s:f>
        <s:v>46247.393472222226</s:v>
      </s:c>
    </s:row>
    <s:row r="825">
      <s:c r="A825" s="0" t="n">
        <s:v>260813</s:v>
      </s:c>
      <s:c r="B825" s="0" t="inlineStr">
        <s:is>
          <s:t>이종훈</s:t>
        </s:is>
      </s:c>
      <s:c r="C825" s="0" t="n">
        <s:v>91255</s:v>
      </s:c>
      <s:c r="D825" s="0" t="n">
        <s:v>2776</s:v>
      </s:c>
      <s:c r="E825" s="0" t="n">
        <s:v>24.299</s:v>
      </s:c>
      <s:c r="F825" s="24">
        <s:f>'자료구성'!$B$2+TIME(INT($C$3/10000),INT(MOD($C$3,10000)/100),MOD($C$3,100))+(ROW()-ROW($C$3))/86400</s:f>
        <s:v>46247.393483796295</s:v>
      </s:c>
    </s:row>
    <s:row r="826">
      <s:c r="A826" s="0" t="n">
        <s:v>260813</s:v>
      </s:c>
      <s:c r="B826" s="0" t="inlineStr">
        <s:is>
          <s:t>이종훈</s:t>
        </s:is>
      </s:c>
      <s:c r="C826" s="0" t="n">
        <s:v>91255</s:v>
      </s:c>
      <s:c r="D826" s="0" t="n">
        <s:v>2774</s:v>
      </s:c>
      <s:c r="E826" s="0" t="n">
        <s:v>24.299</s:v>
      </s:c>
      <s:c r="F826" s="24">
        <s:f>'자료구성'!$B$2+TIME(INT($C$3/10000),INT(MOD($C$3,10000)/100),MOD($C$3,100))+(ROW()-ROW($C$3))/86400</s:f>
        <s:v>46247.39349537037</s:v>
      </s:c>
    </s:row>
    <s:row r="827">
      <s:c r="A827" s="0" t="n">
        <s:v>260813</s:v>
      </s:c>
      <s:c r="B827" s="0" t="inlineStr">
        <s:is>
          <s:t>이종훈</s:t>
        </s:is>
      </s:c>
      <s:c r="C827" s="0" t="n">
        <s:v>91255</s:v>
      </s:c>
      <s:c r="D827" s="0" t="n">
        <s:v>2789</s:v>
      </s:c>
      <s:c r="E827" s="0" t="n">
        <s:v>24.299</s:v>
      </s:c>
      <s:c r="F827" s="24">
        <s:f>'자료구성'!$B$2+TIME(INT($C$3/10000),INT(MOD($C$3,10000)/100),MOD($C$3,100))+(ROW()-ROW($C$3))/86400</s:f>
        <s:v>46247.39350694444</s:v>
      </s:c>
    </s:row>
    <s:row r="828">
      <s:c r="A828" s="0" t="n">
        <s:v>260813</s:v>
      </s:c>
      <s:c r="B828" s="0" t="inlineStr">
        <s:is>
          <s:t>이종훈</s:t>
        </s:is>
      </s:c>
      <s:c r="C828" s="0" t="n">
        <s:v>91255</s:v>
      </s:c>
      <s:c r="D828" s="0" t="n">
        <s:v>2839</s:v>
      </s:c>
      <s:c r="E828" s="0" t="n">
        <s:v>24.299</s:v>
      </s:c>
      <s:c r="F828" s="24">
        <s:f>'자료구성'!$B$2+TIME(INT($C$3/10000),INT(MOD($C$3,10000)/100),MOD($C$3,100))+(ROW()-ROW($C$3))/86400</s:f>
        <s:v>46247.39351851852</s:v>
      </s:c>
    </s:row>
    <s:row r="829">
      <s:c r="A829" s="0" t="n">
        <s:v>260813</s:v>
      </s:c>
      <s:c r="B829" s="0" t="inlineStr">
        <s:is>
          <s:t>이종훈</s:t>
        </s:is>
      </s:c>
      <s:c r="C829" s="0" t="n">
        <s:v>91255</s:v>
      </s:c>
      <s:c r="D829" s="0" t="n">
        <s:v>2863</s:v>
      </s:c>
      <s:c r="E829" s="0" t="n">
        <s:v>24.299</s:v>
      </s:c>
      <s:c r="F829" s="24">
        <s:f>'자료구성'!$B$2+TIME(INT($C$3/10000),INT(MOD($C$3,10000)/100),MOD($C$3,100))+(ROW()-ROW($C$3))/86400</s:f>
        <s:v>46247.393530092595</s:v>
      </s:c>
    </s:row>
    <s:row r="830">
      <s:c r="A830" s="0" t="n">
        <s:v>260813</s:v>
      </s:c>
      <s:c r="B830" s="0" t="inlineStr">
        <s:is>
          <s:t>이종훈</s:t>
        </s:is>
      </s:c>
      <s:c r="C830" s="0" t="n">
        <s:v>91255</s:v>
      </s:c>
      <s:c r="D830" s="0" t="n">
        <s:v>2851</s:v>
      </s:c>
      <s:c r="E830" s="0" t="n">
        <s:v>24.299</s:v>
      </s:c>
      <s:c r="F830" s="24">
        <s:f>'자료구성'!$B$2+TIME(INT($C$3/10000),INT(MOD($C$3,10000)/100),MOD($C$3,100))+(ROW()-ROW($C$3))/86400</s:f>
        <s:v>46247.393541666665</s:v>
      </s:c>
    </s:row>
    <s:row r="831">
      <s:c r="A831" s="0" t="n">
        <s:v>260813</s:v>
      </s:c>
      <s:c r="B831" s="0" t="inlineStr">
        <s:is>
          <s:t>이종훈</s:t>
        </s:is>
      </s:c>
      <s:c r="C831" s="0" t="n">
        <s:v>91255</s:v>
      </s:c>
      <s:c r="D831" s="0" t="n">
        <s:v>2841</s:v>
      </s:c>
      <s:c r="E831" s="0" t="n">
        <s:v>24.299</s:v>
      </s:c>
      <s:c r="F831" s="24">
        <s:f>'자료구성'!$B$2+TIME(INT($C$3/10000),INT(MOD($C$3,10000)/100),MOD($C$3,100))+(ROW()-ROW($C$3))/86400</s:f>
        <s:v>46247.39355324074</s:v>
      </s:c>
    </s:row>
    <s:row r="832">
      <s:c r="A832" s="0" t="n">
        <s:v>260813</s:v>
      </s:c>
      <s:c r="B832" s="0" t="inlineStr">
        <s:is>
          <s:t>이종훈</s:t>
        </s:is>
      </s:c>
      <s:c r="C832" s="0" t="n">
        <s:v>91255</s:v>
      </s:c>
      <s:c r="D832" s="0" t="n">
        <s:v>2862</s:v>
      </s:c>
      <s:c r="E832" s="0" t="n">
        <s:v>24.299</s:v>
      </s:c>
      <s:c r="F832" s="24">
        <s:f>'자료구성'!$B$2+TIME(INT($C$3/10000),INT(MOD($C$3,10000)/100),MOD($C$3,100))+(ROW()-ROW($C$3))/86400</s:f>
        <s:v>46247.39356481482</s:v>
      </s:c>
    </s:row>
    <s:row r="833">
      <s:c r="A833" s="0" t="n">
        <s:v>260813</s:v>
      </s:c>
      <s:c r="B833" s="0" t="inlineStr">
        <s:is>
          <s:t>이종훈</s:t>
        </s:is>
      </s:c>
      <s:c r="C833" s="0" t="n">
        <s:v>91255</s:v>
      </s:c>
      <s:c r="D833" s="0" t="n">
        <s:v>2875</s:v>
      </s:c>
      <s:c r="E833" s="0" t="n">
        <s:v>24.299</s:v>
      </s:c>
      <s:c r="F833" s="24">
        <s:f>'자료구성'!$B$2+TIME(INT($C$3/10000),INT(MOD($C$3,10000)/100),MOD($C$3,100))+(ROW()-ROW($C$3))/86400</s:f>
        <s:v>46247.39357638889</s:v>
      </s:c>
    </s:row>
    <s:row r="834">
      <s:c r="A834" s="0" t="n">
        <s:v>260813</s:v>
      </s:c>
      <s:c r="B834" s="0" t="inlineStr">
        <s:is>
          <s:t>이종훈</s:t>
        </s:is>
      </s:c>
      <s:c r="C834" s="0" t="n">
        <s:v>91255</s:v>
      </s:c>
      <s:c r="D834" s="0" t="n">
        <s:v>2919</s:v>
      </s:c>
      <s:c r="E834" s="0" t="n">
        <s:v>24.299</s:v>
      </s:c>
      <s:c r="F834" s="24">
        <s:f>'자료구성'!$B$2+TIME(INT($C$3/10000),INT(MOD($C$3,10000)/100),MOD($C$3,100))+(ROW()-ROW($C$3))/86400</s:f>
        <s:v>46247.393587962964</s:v>
      </s:c>
    </s:row>
    <s:row r="835">
      <s:c r="A835" s="0" t="n">
        <s:v>260813</s:v>
      </s:c>
      <s:c r="B835" s="0" t="inlineStr">
        <s:is>
          <s:t>이종훈</s:t>
        </s:is>
      </s:c>
      <s:c r="C835" s="0" t="n">
        <s:v>91255</s:v>
      </s:c>
      <s:c r="D835" s="0" t="n">
        <s:v>2963</s:v>
      </s:c>
      <s:c r="E835" s="0" t="n">
        <s:v>24.299</s:v>
      </s:c>
      <s:c r="F835" s="24">
        <s:f>'자료구성'!$B$2+TIME(INT($C$3/10000),INT(MOD($C$3,10000)/100),MOD($C$3,100))+(ROW()-ROW($C$3))/86400</s:f>
        <s:v>46247.393599537034</s:v>
      </s:c>
    </s:row>
    <s:row r="836">
      <s:c r="A836" s="0" t="n">
        <s:v>260813</s:v>
      </s:c>
      <s:c r="B836" s="0" t="inlineStr">
        <s:is>
          <s:t>이종훈</s:t>
        </s:is>
      </s:c>
      <s:c r="C836" s="0" t="n">
        <s:v>91255</s:v>
      </s:c>
      <s:c r="D836" s="0" t="n">
        <s:v>2978</s:v>
      </s:c>
      <s:c r="E836" s="0" t="n">
        <s:v>24.299</s:v>
      </s:c>
      <s:c r="F836" s="24">
        <s:f>'자료구성'!$B$2+TIME(INT($C$3/10000),INT(MOD($C$3,10000)/100),MOD($C$3,100))+(ROW()-ROW($C$3))/86400</s:f>
        <s:v>46247.39361111111</s:v>
      </s:c>
    </s:row>
    <s:row r="837">
      <s:c r="A837" s="0" t="n">
        <s:v>260813</s:v>
      </s:c>
      <s:c r="B837" s="0" t="inlineStr">
        <s:is>
          <s:t>이종훈</s:t>
        </s:is>
      </s:c>
      <s:c r="C837" s="0" t="n">
        <s:v>91255</s:v>
      </s:c>
      <s:c r="D837" s="0" t="n">
        <s:v>2961</s:v>
      </s:c>
      <s:c r="E837" s="0" t="n">
        <s:v>24.299</s:v>
      </s:c>
      <s:c r="F837" s="24">
        <s:f>'자료구성'!$B$2+TIME(INT($C$3/10000),INT(MOD($C$3,10000)/100),MOD($C$3,100))+(ROW()-ROW($C$3))/86400</s:f>
        <s:v>46247.39362268519</s:v>
      </s:c>
    </s:row>
    <s:row r="838">
      <s:c r="A838" s="0" t="n">
        <s:v>260813</s:v>
      </s:c>
      <s:c r="B838" s="0" t="inlineStr">
        <s:is>
          <s:t>이종훈</s:t>
        </s:is>
      </s:c>
      <s:c r="C838" s="0" t="n">
        <s:v>91255</s:v>
      </s:c>
      <s:c r="D838" s="0" t="n">
        <s:v>2948</s:v>
      </s:c>
      <s:c r="E838" s="0" t="n">
        <s:v>24.299</s:v>
      </s:c>
      <s:c r="F838" s="24">
        <s:f>'자료구성'!$B$2+TIME(INT($C$3/10000),INT(MOD($C$3,10000)/100),MOD($C$3,100))+(ROW()-ROW($C$3))/86400</s:f>
        <s:v>46247.39363425926</s:v>
      </s:c>
    </s:row>
    <s:row r="839">
      <s:c r="A839" s="0" t="n">
        <s:v>260813</s:v>
      </s:c>
      <s:c r="B839" s="0" t="inlineStr">
        <s:is>
          <s:t>이종훈</s:t>
        </s:is>
      </s:c>
      <s:c r="C839" s="0" t="n">
        <s:v>91255</s:v>
      </s:c>
      <s:c r="D839" s="0" t="n">
        <s:v>2930</s:v>
      </s:c>
      <s:c r="E839" s="0" t="n">
        <s:v>24.299</s:v>
      </s:c>
      <s:c r="F839" s="24">
        <s:f>'자료구성'!$B$2+TIME(INT($C$3/10000),INT(MOD($C$3,10000)/100),MOD($C$3,100))+(ROW()-ROW($C$3))/86400</s:f>
        <s:v>46247.393645833334</s:v>
      </s:c>
    </s:row>
    <s:row r="840">
      <s:c r="A840" s="0" t="n">
        <s:v>260813</s:v>
      </s:c>
      <s:c r="B840" s="0" t="inlineStr">
        <s:is>
          <s:t>이종훈</s:t>
        </s:is>
      </s:c>
      <s:c r="C840" s="0" t="n">
        <s:v>91255</s:v>
      </s:c>
      <s:c r="D840" s="0" t="n">
        <s:v>2910</s:v>
      </s:c>
      <s:c r="E840" s="0" t="n">
        <s:v>24.299</s:v>
      </s:c>
      <s:c r="F840" s="24">
        <s:f>'자료구성'!$B$2+TIME(INT($C$3/10000),INT(MOD($C$3,10000)/100),MOD($C$3,100))+(ROW()-ROW($C$3))/86400</s:f>
        <s:v>46247.39365740741</s:v>
      </s:c>
    </s:row>
    <s:row r="841">
      <s:c r="A841" s="0" t="n">
        <s:v>260813</s:v>
      </s:c>
      <s:c r="B841" s="0" t="inlineStr">
        <s:is>
          <s:t>이종훈</s:t>
        </s:is>
      </s:c>
      <s:c r="C841" s="0" t="n">
        <s:v>91255</s:v>
      </s:c>
      <s:c r="D841" s="0" t="n">
        <s:v>2894</s:v>
      </s:c>
      <s:c r="E841" s="0" t="n">
        <s:v>24.299</s:v>
      </s:c>
      <s:c r="F841" s="24">
        <s:f>'자료구성'!$B$2+TIME(INT($C$3/10000),INT(MOD($C$3,10000)/100),MOD($C$3,100))+(ROW()-ROW($C$3))/86400</s:f>
        <s:v>46247.39366898148</s:v>
      </s:c>
    </s:row>
    <s:row r="842">
      <s:c r="A842" s="0" t="n">
        <s:v>260813</s:v>
      </s:c>
      <s:c r="B842" s="0" t="inlineStr">
        <s:is>
          <s:t>이종훈</s:t>
        </s:is>
      </s:c>
      <s:c r="C842" s="0" t="n">
        <s:v>91255</s:v>
      </s:c>
      <s:c r="D842" s="0" t="n">
        <s:v>2899</s:v>
      </s:c>
      <s:c r="E842" s="0" t="n">
        <s:v>24.299</s:v>
      </s:c>
      <s:c r="F842" s="24">
        <s:f>'자료구성'!$B$2+TIME(INT($C$3/10000),INT(MOD($C$3,10000)/100),MOD($C$3,100))+(ROW()-ROW($C$3))/86400</s:f>
        <s:v>46247.39368055556</s:v>
      </s:c>
    </s:row>
    <s:row r="843">
      <s:c r="A843" s="0" t="n">
        <s:v>260813</s:v>
      </s:c>
      <s:c r="B843" s="0" t="inlineStr">
        <s:is>
          <s:t>이종훈</s:t>
        </s:is>
      </s:c>
      <s:c r="C843" s="0" t="n">
        <s:v>91255</s:v>
      </s:c>
      <s:c r="D843" s="0" t="n">
        <s:v>2910</s:v>
      </s:c>
      <s:c r="E843" s="0" t="n">
        <s:v>24.299</s:v>
      </s:c>
      <s:c r="F843" s="24">
        <s:f>'자료구성'!$B$2+TIME(INT($C$3/10000),INT(MOD($C$3,10000)/100),MOD($C$3,100))+(ROW()-ROW($C$3))/86400</s:f>
        <s:v>46247.393692129626</s:v>
      </s:c>
    </s:row>
    <s:row r="844">
      <s:c r="A844" s="0" t="n">
        <s:v>260813</s:v>
      </s:c>
      <s:c r="B844" s="0" t="inlineStr">
        <s:is>
          <s:t>이종훈</s:t>
        </s:is>
      </s:c>
      <s:c r="C844" s="0" t="n">
        <s:v>91255</s:v>
      </s:c>
      <s:c r="D844" s="0" t="n">
        <s:v>2907</s:v>
      </s:c>
      <s:c r="E844" s="0" t="n">
        <s:v>24.299</s:v>
      </s:c>
      <s:c r="F844" s="24">
        <s:f>'자료구성'!$B$2+TIME(INT($C$3/10000),INT(MOD($C$3,10000)/100),MOD($C$3,100))+(ROW()-ROW($C$3))/86400</s:f>
        <s:v>46247.3937037037</s:v>
      </s:c>
    </s:row>
    <s:row r="845">
      <s:c r="A845" s="0" t="n">
        <s:v>260813</s:v>
      </s:c>
      <s:c r="B845" s="0" t="inlineStr">
        <s:is>
          <s:t>이종훈</s:t>
        </s:is>
      </s:c>
      <s:c r="C845" s="0" t="n">
        <s:v>91255</s:v>
      </s:c>
      <s:c r="D845" s="0" t="n">
        <s:v>2922</s:v>
      </s:c>
      <s:c r="E845" s="0" t="n">
        <s:v>24.299</s:v>
      </s:c>
      <s:c r="F845" s="24">
        <s:f>'자료구성'!$B$2+TIME(INT($C$3/10000),INT(MOD($C$3,10000)/100),MOD($C$3,100))+(ROW()-ROW($C$3))/86400</s:f>
        <s:v>46247.39371527778</s:v>
      </s:c>
    </s:row>
    <s:row r="846">
      <s:c r="A846" s="0" t="n">
        <s:v>260813</s:v>
      </s:c>
      <s:c r="B846" s="0" t="inlineStr">
        <s:is>
          <s:t>이종훈</s:t>
        </s:is>
      </s:c>
      <s:c r="C846" s="0" t="n">
        <s:v>91255</s:v>
      </s:c>
      <s:c r="D846" s="0" t="n">
        <s:v>2929</s:v>
      </s:c>
      <s:c r="E846" s="0" t="n">
        <s:v>24.299</s:v>
      </s:c>
      <s:c r="F846" s="24">
        <s:f>'자료구성'!$B$2+TIME(INT($C$3/10000),INT(MOD($C$3,10000)/100),MOD($C$3,100))+(ROW()-ROW($C$3))/86400</s:f>
        <s:v>46247.39372685185</s:v>
      </s:c>
    </s:row>
    <s:row r="847">
      <s:c r="A847" s="0" t="n">
        <s:v>260813</s:v>
      </s:c>
      <s:c r="B847" s="0" t="inlineStr">
        <s:is>
          <s:t>이종훈</s:t>
        </s:is>
      </s:c>
      <s:c r="C847" s="0" t="n">
        <s:v>91255</s:v>
      </s:c>
      <s:c r="D847" s="0" t="n">
        <s:v>2926</s:v>
      </s:c>
      <s:c r="E847" s="0" t="n">
        <s:v>24.299</s:v>
      </s:c>
      <s:c r="F847" s="24">
        <s:f>'자료구성'!$B$2+TIME(INT($C$3/10000),INT(MOD($C$3,10000)/100),MOD($C$3,100))+(ROW()-ROW($C$3))/86400</s:f>
        <s:v>46247.393738425926</s:v>
      </s:c>
    </s:row>
    <s:row r="848">
      <s:c r="A848" s="0" t="n">
        <s:v>260813</s:v>
      </s:c>
      <s:c r="B848" s="0" t="inlineStr">
        <s:is>
          <s:t>이종훈</s:t>
        </s:is>
      </s:c>
      <s:c r="C848" s="0" t="n">
        <s:v>91255</s:v>
      </s:c>
      <s:c r="D848" s="0" t="n">
        <s:v>2912</s:v>
      </s:c>
      <s:c r="E848" s="0" t="n">
        <s:v>24.299</s:v>
      </s:c>
      <s:c r="F848" s="24">
        <s:f>'자료구성'!$B$2+TIME(INT($C$3/10000),INT(MOD($C$3,10000)/100),MOD($C$3,100))+(ROW()-ROW($C$3))/86400</s:f>
        <s:v>46247.39375</s:v>
      </s:c>
    </s:row>
    <s:row r="849">
      <s:c r="A849" s="0" t="n">
        <s:v>260813</s:v>
      </s:c>
      <s:c r="B849" s="0" t="inlineStr">
        <s:is>
          <s:t>이종훈</s:t>
        </s:is>
      </s:c>
      <s:c r="C849" s="0" t="n">
        <s:v>91255</s:v>
      </s:c>
      <s:c r="D849" s="0" t="n">
        <s:v>2931</s:v>
      </s:c>
      <s:c r="E849" s="0" t="n">
        <s:v>24.299</s:v>
      </s:c>
      <s:c r="F849" s="24">
        <s:f>'자료구성'!$B$2+TIME(INT($C$3/10000),INT(MOD($C$3,10000)/100),MOD($C$3,100))+(ROW()-ROW($C$3))/86400</s:f>
        <s:v>46247.39376157407</s:v>
      </s:c>
    </s:row>
    <s:row r="850">
      <s:c r="A850" s="0" t="n">
        <s:v>260813</s:v>
      </s:c>
      <s:c r="B850" s="0" t="inlineStr">
        <s:is>
          <s:t>이종훈</s:t>
        </s:is>
      </s:c>
      <s:c r="C850" s="0" t="n">
        <s:v>91255</s:v>
      </s:c>
      <s:c r="D850" s="0" t="n">
        <s:v>2945</s:v>
      </s:c>
      <s:c r="E850" s="0" t="n">
        <s:v>24.299</s:v>
      </s:c>
      <s:c r="F850" s="24">
        <s:f>'자료구성'!$B$2+TIME(INT($C$3/10000),INT(MOD($C$3,10000)/100),MOD($C$3,100))+(ROW()-ROW($C$3))/86400</s:f>
        <s:v>46247.39377314815</s:v>
      </s:c>
    </s:row>
    <s:row r="851">
      <s:c r="A851" s="0" t="n">
        <s:v>260813</s:v>
      </s:c>
      <s:c r="B851" s="0" t="inlineStr">
        <s:is>
          <s:t>이종훈</s:t>
        </s:is>
      </s:c>
      <s:c r="C851" s="0" t="n">
        <s:v>91255</s:v>
      </s:c>
      <s:c r="D851" s="0" t="n">
        <s:v>2967</s:v>
      </s:c>
      <s:c r="E851" s="0" t="n">
        <s:v>24.299</s:v>
      </s:c>
      <s:c r="F851" s="24">
        <s:f>'자료구성'!$B$2+TIME(INT($C$3/10000),INT(MOD($C$3,10000)/100),MOD($C$3,100))+(ROW()-ROW($C$3))/86400</s:f>
        <s:v>46247.39378472222</s:v>
      </s:c>
    </s:row>
    <s:row r="852">
      <s:c r="A852" s="0" t="n">
        <s:v>260813</s:v>
      </s:c>
      <s:c r="B852" s="0" t="inlineStr">
        <s:is>
          <s:t>이종훈</s:t>
        </s:is>
      </s:c>
      <s:c r="C852" s="0" t="n">
        <s:v>91255</s:v>
      </s:c>
      <s:c r="D852" s="0" t="n">
        <s:v>3014</s:v>
      </s:c>
      <s:c r="E852" s="0" t="n">
        <s:v>24.299</s:v>
      </s:c>
      <s:c r="F852" s="24">
        <s:f>'자료구성'!$B$2+TIME(INT($C$3/10000),INT(MOD($C$3,10000)/100),MOD($C$3,100))+(ROW()-ROW($C$3))/86400</s:f>
        <s:v>46247.393796296295</s:v>
      </s:c>
    </s:row>
    <s:row r="853">
      <s:c r="A853" s="0" t="n">
        <s:v>260813</s:v>
      </s:c>
      <s:c r="B853" s="0" t="inlineStr">
        <s:is>
          <s:t>이종훈</s:t>
        </s:is>
      </s:c>
      <s:c r="C853" s="0" t="n">
        <s:v>91255</s:v>
      </s:c>
      <s:c r="D853" s="0" t="n">
        <s:v>3078</s:v>
      </s:c>
      <s:c r="E853" s="0" t="n">
        <s:v>24.299</s:v>
      </s:c>
      <s:c r="F853" s="24">
        <s:f>'자료구성'!$B$2+TIME(INT($C$3/10000),INT(MOD($C$3,10000)/100),MOD($C$3,100))+(ROW()-ROW($C$3))/86400</s:f>
        <s:v>46247.39380787037</s:v>
      </s:c>
    </s:row>
    <s:row r="854">
      <s:c r="A854" s="0" t="n">
        <s:v>260813</s:v>
      </s:c>
      <s:c r="B854" s="0" t="inlineStr">
        <s:is>
          <s:t>이종훈</s:t>
        </s:is>
      </s:c>
      <s:c r="C854" s="0" t="n">
        <s:v>91255</s:v>
      </s:c>
      <s:c r="D854" s="0" t="n">
        <s:v>3123</s:v>
      </s:c>
      <s:c r="E854" s="0" t="n">
        <s:v>24.299</s:v>
      </s:c>
      <s:c r="F854" s="24">
        <s:f>'자료구성'!$B$2+TIME(INT($C$3/10000),INT(MOD($C$3,10000)/100),MOD($C$3,100))+(ROW()-ROW($C$3))/86400</s:f>
        <s:v>46247.39381944444</s:v>
      </s:c>
    </s:row>
    <s:row r="855">
      <s:c r="A855" s="0" t="n">
        <s:v>260813</s:v>
      </s:c>
      <s:c r="B855" s="0" t="inlineStr">
        <s:is>
          <s:t>이종훈</s:t>
        </s:is>
      </s:c>
      <s:c r="C855" s="0" t="n">
        <s:v>91255</s:v>
      </s:c>
      <s:c r="D855" s="0" t="n">
        <s:v>3159</s:v>
      </s:c>
      <s:c r="E855" s="0" t="n">
        <s:v>24.299</s:v>
      </s:c>
      <s:c r="F855" s="24">
        <s:f>'자료구성'!$B$2+TIME(INT($C$3/10000),INT(MOD($C$3,10000)/100),MOD($C$3,100))+(ROW()-ROW($C$3))/86400</s:f>
        <s:v>46247.39383101852</s:v>
      </s:c>
    </s:row>
    <s:row r="856">
      <s:c r="A856" s="0" t="n">
        <s:v>260813</s:v>
      </s:c>
      <s:c r="B856" s="0" t="inlineStr">
        <s:is>
          <s:t>이종훈</s:t>
        </s:is>
      </s:c>
      <s:c r="C856" s="0" t="n">
        <s:v>91255</s:v>
      </s:c>
      <s:c r="D856" s="0" t="n">
        <s:v>3178</s:v>
      </s:c>
      <s:c r="E856" s="0" t="n">
        <s:v>24.299</s:v>
      </s:c>
      <s:c r="F856" s="24">
        <s:f>'자료구성'!$B$2+TIME(INT($C$3/10000),INT(MOD($C$3,10000)/100),MOD($C$3,100))+(ROW()-ROW($C$3))/86400</s:f>
        <s:v>46247.393842592595</s:v>
      </s:c>
    </s:row>
    <s:row r="857">
      <s:c r="A857" s="0" t="n">
        <s:v>260813</s:v>
      </s:c>
      <s:c r="B857" s="0" t="inlineStr">
        <s:is>
          <s:t>이종훈</s:t>
        </s:is>
      </s:c>
      <s:c r="C857" s="0" t="n">
        <s:v>91255</s:v>
      </s:c>
      <s:c r="D857" s="0" t="n">
        <s:v>3175</s:v>
      </s:c>
      <s:c r="E857" s="0" t="n">
        <s:v>24.299</s:v>
      </s:c>
      <s:c r="F857" s="24">
        <s:f>'자료구성'!$B$2+TIME(INT($C$3/10000),INT(MOD($C$3,10000)/100),MOD($C$3,100))+(ROW()-ROW($C$3))/86400</s:f>
        <s:v>46247.393854166665</s:v>
      </s:c>
    </s:row>
    <s:row r="858">
      <s:c r="A858" s="0" t="n">
        <s:v>260813</s:v>
      </s:c>
      <s:c r="B858" s="0" t="inlineStr">
        <s:is>
          <s:t>이종훈</s:t>
        </s:is>
      </s:c>
      <s:c r="C858" s="0" t="n">
        <s:v>91255</s:v>
      </s:c>
      <s:c r="D858" s="0" t="n">
        <s:v>3177</s:v>
      </s:c>
      <s:c r="E858" s="0" t="n">
        <s:v>24.299</s:v>
      </s:c>
      <s:c r="F858" s="24">
        <s:f>'자료구성'!$B$2+TIME(INT($C$3/10000),INT(MOD($C$3,10000)/100),MOD($C$3,100))+(ROW()-ROW($C$3))/86400</s:f>
        <s:v>46247.39386574074</s:v>
      </s:c>
    </s:row>
    <s:row r="859">
      <s:c r="A859" s="0" t="n">
        <s:v>260813</s:v>
      </s:c>
      <s:c r="B859" s="0" t="inlineStr">
        <s:is>
          <s:t>이종훈</s:t>
        </s:is>
      </s:c>
      <s:c r="C859" s="0" t="n">
        <s:v>91255</s:v>
      </s:c>
      <s:c r="D859" s="0" t="n">
        <s:v>3190</s:v>
      </s:c>
      <s:c r="E859" s="0" t="n">
        <s:v>24.299</s:v>
      </s:c>
      <s:c r="F859" s="24">
        <s:f>'자료구성'!$B$2+TIME(INT($C$3/10000),INT(MOD($C$3,10000)/100),MOD($C$3,100))+(ROW()-ROW($C$3))/86400</s:f>
        <s:v>46247.39387731482</s:v>
      </s:c>
    </s:row>
    <s:row r="860">
      <s:c r="A860" s="0" t="n">
        <s:v>260813</s:v>
      </s:c>
      <s:c r="B860" s="0" t="inlineStr">
        <s:is>
          <s:t>이종훈</s:t>
        </s:is>
      </s:c>
      <s:c r="C860" s="0" t="n">
        <s:v>91255</s:v>
      </s:c>
      <s:c r="D860" s="0" t="n">
        <s:v>3179</s:v>
      </s:c>
      <s:c r="E860" s="0" t="n">
        <s:v>24.299</s:v>
      </s:c>
      <s:c r="F860" s="24">
        <s:f>'자료구성'!$B$2+TIME(INT($C$3/10000),INT(MOD($C$3,10000)/100),MOD($C$3,100))+(ROW()-ROW($C$3))/86400</s:f>
        <s:v>46247.39388888889</s:v>
      </s:c>
    </s:row>
    <s:row r="861">
      <s:c r="A861" s="0" t="n">
        <s:v>260813</s:v>
      </s:c>
      <s:c r="B861" s="0" t="inlineStr">
        <s:is>
          <s:t>이종훈</s:t>
        </s:is>
      </s:c>
      <s:c r="C861" s="0" t="n">
        <s:v>91255</s:v>
      </s:c>
      <s:c r="D861" s="0" t="n">
        <s:v>3271</s:v>
      </s:c>
      <s:c r="E861" s="0" t="n">
        <s:v>24.299</s:v>
      </s:c>
      <s:c r="F861" s="24">
        <s:f>'자료구성'!$B$2+TIME(INT($C$3/10000),INT(MOD($C$3,10000)/100),MOD($C$3,100))+(ROW()-ROW($C$3))/86400</s:f>
        <s:v>46247.393900462965</s:v>
      </s:c>
    </s:row>
    <s:row r="862">
      <s:c r="A862" s="0" t="n">
        <s:v>260813</s:v>
      </s:c>
      <s:c r="B862" s="0" t="inlineStr">
        <s:is>
          <s:t>이종훈</s:t>
        </s:is>
      </s:c>
      <s:c r="C862" s="0" t="n">
        <s:v>91255</s:v>
      </s:c>
      <s:c r="D862" s="0" t="n">
        <s:v>3357</s:v>
      </s:c>
      <s:c r="E862" s="0" t="n">
        <s:v>24.299</s:v>
      </s:c>
      <s:c r="F862" s="24">
        <s:f>'자료구성'!$B$2+TIME(INT($C$3/10000),INT(MOD($C$3,10000)/100),MOD($C$3,100))+(ROW()-ROW($C$3))/86400</s:f>
        <s:v>46247.393912037034</s:v>
      </s:c>
    </s:row>
    <s:row r="863">
      <s:c r="A863" s="0" t="n">
        <s:v>260813</s:v>
      </s:c>
      <s:c r="B863" s="0" t="inlineStr">
        <s:is>
          <s:t>이종훈</s:t>
        </s:is>
      </s:c>
      <s:c r="C863" s="0" t="n">
        <s:v>91255</s:v>
      </s:c>
      <s:c r="D863" s="0" t="n">
        <s:v>3407</s:v>
      </s:c>
      <s:c r="E863" s="0" t="n">
        <s:v>24.299</s:v>
      </s:c>
      <s:c r="F863" s="24">
        <s:f>'자료구성'!$B$2+TIME(INT($C$3/10000),INT(MOD($C$3,10000)/100),MOD($C$3,100))+(ROW()-ROW($C$3))/86400</s:f>
        <s:v>46247.39392361111</s:v>
      </s:c>
    </s:row>
    <s:row r="864">
      <s:c r="A864" s="0" t="n">
        <s:v>260813</s:v>
      </s:c>
      <s:c r="B864" s="0" t="inlineStr">
        <s:is>
          <s:t>이종훈</s:t>
        </s:is>
      </s:c>
      <s:c r="C864" s="0" t="n">
        <s:v>91255</s:v>
      </s:c>
      <s:c r="D864" s="0" t="n">
        <s:v>3443</s:v>
      </s:c>
      <s:c r="E864" s="0" t="n">
        <s:v>24.299</s:v>
      </s:c>
      <s:c r="F864" s="24">
        <s:f>'자료구성'!$B$2+TIME(INT($C$3/10000),INT(MOD($C$3,10000)/100),MOD($C$3,100))+(ROW()-ROW($C$3))/86400</s:f>
        <s:v>46247.39393518519</s:v>
      </s:c>
    </s:row>
    <s:row r="865">
      <s:c r="A865" s="0" t="n">
        <s:v>260813</s:v>
      </s:c>
      <s:c r="B865" s="0" t="inlineStr">
        <s:is>
          <s:t>이종훈</s:t>
        </s:is>
      </s:c>
      <s:c r="C865" s="0" t="n">
        <s:v>91255</s:v>
      </s:c>
      <s:c r="D865" s="0" t="n">
        <s:v>3480</s:v>
      </s:c>
      <s:c r="E865" s="0" t="n">
        <s:v>24.299</s:v>
      </s:c>
      <s:c r="F865" s="24">
        <s:f>'자료구성'!$B$2+TIME(INT($C$3/10000),INT(MOD($C$3,10000)/100),MOD($C$3,100))+(ROW()-ROW($C$3))/86400</s:f>
        <s:v>46247.39394675926</s:v>
      </s:c>
    </s:row>
    <s:row r="866">
      <s:c r="A866" s="0" t="n">
        <s:v>260813</s:v>
      </s:c>
      <s:c r="B866" s="0" t="inlineStr">
        <s:is>
          <s:t>이종훈</s:t>
        </s:is>
      </s:c>
      <s:c r="C866" s="0" t="n">
        <s:v>91255</s:v>
      </s:c>
      <s:c r="D866" s="0" t="n">
        <s:v>3521</s:v>
      </s:c>
      <s:c r="E866" s="0" t="n">
        <s:v>24.299</s:v>
      </s:c>
      <s:c r="F866" s="24">
        <s:f>'자료구성'!$B$2+TIME(INT($C$3/10000),INT(MOD($C$3,10000)/100),MOD($C$3,100))+(ROW()-ROW($C$3))/86400</s:f>
        <s:v>46247.393958333334</s:v>
      </s:c>
    </s:row>
    <s:row r="867">
      <s:c r="A867" s="0" t="n">
        <s:v>260813</s:v>
      </s:c>
      <s:c r="B867" s="0" t="inlineStr">
        <s:is>
          <s:t>이종훈</s:t>
        </s:is>
      </s:c>
      <s:c r="C867" s="0" t="n">
        <s:v>91255</s:v>
      </s:c>
      <s:c r="D867" s="0" t="n">
        <s:v>3517</s:v>
      </s:c>
      <s:c r="E867" s="0" t="n">
        <s:v>24.299</s:v>
      </s:c>
      <s:c r="F867" s="24">
        <s:f>'자료구성'!$B$2+TIME(INT($C$3/10000),INT(MOD($C$3,10000)/100),MOD($C$3,100))+(ROW()-ROW($C$3))/86400</s:f>
        <s:v>46247.39396990741</s:v>
      </s:c>
    </s:row>
    <s:row r="868">
      <s:c r="A868" s="0" t="n">
        <s:v>260813</s:v>
      </s:c>
      <s:c r="B868" s="0" t="inlineStr">
        <s:is>
          <s:t>이종훈</s:t>
        </s:is>
      </s:c>
      <s:c r="C868" s="0" t="n">
        <s:v>91255</s:v>
      </s:c>
      <s:c r="D868" s="0" t="n">
        <s:v>3568</s:v>
      </s:c>
      <s:c r="E868" s="0" t="n">
        <s:v>24.299</s:v>
      </s:c>
      <s:c r="F868" s="24">
        <s:f>'자료구성'!$B$2+TIME(INT($C$3/10000),INT(MOD($C$3,10000)/100),MOD($C$3,100))+(ROW()-ROW($C$3))/86400</s:f>
        <s:v>46247.39398148148</s:v>
      </s:c>
    </s:row>
    <s:row r="869">
      <s:c r="A869" s="0" t="n">
        <s:v>260813</s:v>
      </s:c>
      <s:c r="B869" s="0" t="inlineStr">
        <s:is>
          <s:t>이종훈</s:t>
        </s:is>
      </s:c>
      <s:c r="C869" s="0" t="n">
        <s:v>91255</s:v>
      </s:c>
      <s:c r="D869" s="0" t="n">
        <s:v>3622</s:v>
      </s:c>
      <s:c r="E869" s="0" t="n">
        <s:v>24.299</s:v>
      </s:c>
      <s:c r="F869" s="24">
        <s:f>'자료구성'!$B$2+TIME(INT($C$3/10000),INT(MOD($C$3,10000)/100),MOD($C$3,100))+(ROW()-ROW($C$3))/86400</s:f>
        <s:v>46247.39399305556</s:v>
      </s:c>
    </s:row>
    <s:row r="870">
      <s:c r="A870" s="0" t="n">
        <s:v>260813</s:v>
      </s:c>
      <s:c r="B870" s="0" t="inlineStr">
        <s:is>
          <s:t>이종훈</s:t>
        </s:is>
      </s:c>
      <s:c r="C870" s="0" t="n">
        <s:v>91255</s:v>
      </s:c>
      <s:c r="D870" s="0" t="n">
        <s:v>3677</s:v>
      </s:c>
      <s:c r="E870" s="0" t="n">
        <s:v>24.299</s:v>
      </s:c>
      <s:c r="F870" s="24">
        <s:f>'자료구성'!$B$2+TIME(INT($C$3/10000),INT(MOD($C$3,10000)/100),MOD($C$3,100))+(ROW()-ROW($C$3))/86400</s:f>
        <s:v>46247.39400462963</s:v>
      </s:c>
    </s:row>
    <s:row r="871">
      <s:c r="A871" s="0" t="n">
        <s:v>260813</s:v>
      </s:c>
      <s:c r="B871" s="0" t="inlineStr">
        <s:is>
          <s:t>이종훈</s:t>
        </s:is>
      </s:c>
      <s:c r="C871" s="0" t="n">
        <s:v>91255</s:v>
      </s:c>
      <s:c r="D871" s="0" t="n">
        <s:v>3746</s:v>
      </s:c>
      <s:c r="E871" s="0" t="n">
        <s:v>24.299</s:v>
      </s:c>
      <s:c r="F871" s="24">
        <s:f>'자료구성'!$B$2+TIME(INT($C$3/10000),INT(MOD($C$3,10000)/100),MOD($C$3,100))+(ROW()-ROW($C$3))/86400</s:f>
        <s:v>46247.3940162037</s:v>
      </s:c>
    </s:row>
    <s:row r="872">
      <s:c r="A872" s="0" t="n">
        <s:v>260813</s:v>
      </s:c>
      <s:c r="B872" s="0" t="inlineStr">
        <s:is>
          <s:t>이종훈</s:t>
        </s:is>
      </s:c>
      <s:c r="C872" s="0" t="n">
        <s:v>91255</s:v>
      </s:c>
      <s:c r="D872" s="0" t="n">
        <s:v>3790</s:v>
      </s:c>
      <s:c r="E872" s="0" t="n">
        <s:v>24.299</s:v>
      </s:c>
      <s:c r="F872" s="24">
        <s:f>'자료구성'!$B$2+TIME(INT($C$3/10000),INT(MOD($C$3,10000)/100),MOD($C$3,100))+(ROW()-ROW($C$3))/86400</s:f>
        <s:v>46247.39402777778</s:v>
      </s:c>
    </s:row>
    <s:row r="873">
      <s:c r="A873" s="0" t="n">
        <s:v>260813</s:v>
      </s:c>
      <s:c r="B873" s="0" t="inlineStr">
        <s:is>
          <s:t>이종훈</s:t>
        </s:is>
      </s:c>
      <s:c r="C873" s="0" t="n">
        <s:v>91255</s:v>
      </s:c>
      <s:c r="D873" s="0" t="n">
        <s:v>3842</s:v>
      </s:c>
      <s:c r="E873" s="0" t="n">
        <s:v>24.299</s:v>
      </s:c>
      <s:c r="F873" s="24">
        <s:f>'자료구성'!$B$2+TIME(INT($C$3/10000),INT(MOD($C$3,10000)/100),MOD($C$3,100))+(ROW()-ROW($C$3))/86400</s:f>
        <s:v>46247.39403935185</s:v>
      </s:c>
    </s:row>
    <s:row r="874">
      <s:c r="A874" s="0" t="n">
        <s:v>260813</s:v>
      </s:c>
      <s:c r="B874" s="0" t="inlineStr">
        <s:is>
          <s:t>이종훈</s:t>
        </s:is>
      </s:c>
      <s:c r="C874" s="0" t="n">
        <s:v>91255</s:v>
      </s:c>
      <s:c r="D874" s="0" t="n">
        <s:v>3885</s:v>
      </s:c>
      <s:c r="E874" s="0" t="n">
        <s:v>24.299</s:v>
      </s:c>
      <s:c r="F874" s="24">
        <s:f>'자료구성'!$B$2+TIME(INT($C$3/10000),INT(MOD($C$3,10000)/100),MOD($C$3,100))+(ROW()-ROW($C$3))/86400</s:f>
        <s:v>46247.39405092593</s:v>
      </s:c>
    </s:row>
    <s:row r="875">
      <s:c r="A875" s="0" t="n">
        <s:v>260813</s:v>
      </s:c>
      <s:c r="B875" s="0" t="inlineStr">
        <s:is>
          <s:t>이종훈</s:t>
        </s:is>
      </s:c>
      <s:c r="C875" s="0" t="n">
        <s:v>91255</s:v>
      </s:c>
      <s:c r="D875" s="0" t="n">
        <s:v>3957</s:v>
      </s:c>
      <s:c r="E875" s="0" t="n">
        <s:v>24.299</s:v>
      </s:c>
      <s:c r="F875" s="24">
        <s:f>'자료구성'!$B$2+TIME(INT($C$3/10000),INT(MOD($C$3,10000)/100),MOD($C$3,100))+(ROW()-ROW($C$3))/86400</s:f>
        <s:v>46247.3940625</s:v>
      </s:c>
    </s:row>
    <s:row r="876">
      <s:c r="A876" s="0" t="n">
        <s:v>260813</s:v>
      </s:c>
      <s:c r="B876" s="0" t="inlineStr">
        <s:is>
          <s:t>이종훈</s:t>
        </s:is>
      </s:c>
      <s:c r="C876" s="0" t="n">
        <s:v>91255</s:v>
      </s:c>
      <s:c r="D876" s="0" t="n">
        <s:v>4008</s:v>
      </s:c>
      <s:c r="E876" s="0" t="n">
        <s:v>24.199</s:v>
      </s:c>
      <s:c r="F876" s="24">
        <s:f>'자료구성'!$B$2+TIME(INT($C$3/10000),INT(MOD($C$3,10000)/100),MOD($C$3,100))+(ROW()-ROW($C$3))/86400</s:f>
        <s:v>46247.39407407407</s:v>
      </s:c>
    </s:row>
    <s:row r="877">
      <s:c r="A877" s="0" t="n">
        <s:v>260813</s:v>
      </s:c>
      <s:c r="B877" s="0" t="inlineStr">
        <s:is>
          <s:t>이종훈</s:t>
        </s:is>
      </s:c>
      <s:c r="C877" s="0" t="n">
        <s:v>91255</s:v>
      </s:c>
      <s:c r="D877" s="0" t="n">
        <s:v>4039</s:v>
      </s:c>
      <s:c r="E877" s="0" t="n">
        <s:v>24.199</s:v>
      </s:c>
      <s:c r="F877" s="24">
        <s:f>'자료구성'!$B$2+TIME(INT($C$3/10000),INT(MOD($C$3,10000)/100),MOD($C$3,100))+(ROW()-ROW($C$3))/86400</s:f>
        <s:v>46247.39408564815</s:v>
      </s:c>
    </s:row>
    <s:row r="878">
      <s:c r="A878" s="0" t="n">
        <s:v>260813</s:v>
      </s:c>
      <s:c r="B878" s="0" t="inlineStr">
        <s:is>
          <s:t>이종훈</s:t>
        </s:is>
      </s:c>
      <s:c r="C878" s="0" t="n">
        <s:v>91255</s:v>
      </s:c>
      <s:c r="D878" s="0" t="n">
        <s:v>4001</s:v>
      </s:c>
      <s:c r="E878" s="0" t="n">
        <s:v>24.199</s:v>
      </s:c>
      <s:c r="F878" s="24">
        <s:f>'자료구성'!$B$2+TIME(INT($C$3/10000),INT(MOD($C$3,10000)/100),MOD($C$3,100))+(ROW()-ROW($C$3))/86400</s:f>
        <s:v>46247.39409722222</s:v>
      </s:c>
    </s:row>
    <s:row r="879">
      <s:c r="A879" s="0" t="n">
        <s:v>260813</s:v>
      </s:c>
      <s:c r="B879" s="0" t="inlineStr">
        <s:is>
          <s:t>이종훈</s:t>
        </s:is>
      </s:c>
      <s:c r="C879" s="0" t="n">
        <s:v>91255</s:v>
      </s:c>
      <s:c r="D879" s="0" t="n">
        <s:v>3979</s:v>
      </s:c>
      <s:c r="E879" s="0" t="n">
        <s:v>24.199</s:v>
      </s:c>
      <s:c r="F879" s="24">
        <s:f>'자료구성'!$B$2+TIME(INT($C$3/10000),INT(MOD($C$3,10000)/100),MOD($C$3,100))+(ROW()-ROW($C$3))/86400</s:f>
        <s:v>46247.394108796296</s:v>
      </s:c>
    </s:row>
    <s:row r="880">
      <s:c r="A880" s="0" t="n">
        <s:v>260813</s:v>
      </s:c>
      <s:c r="B880" s="0" t="inlineStr">
        <s:is>
          <s:t>이종훈</s:t>
        </s:is>
      </s:c>
      <s:c r="C880" s="0" t="n">
        <s:v>91255</s:v>
      </s:c>
      <s:c r="D880" s="0" t="n">
        <s:v>3956</s:v>
      </s:c>
      <s:c r="E880" s="0" t="n">
        <s:v>24.299</s:v>
      </s:c>
      <s:c r="F880" s="24">
        <s:f>'자료구성'!$B$2+TIME(INT($C$3/10000),INT(MOD($C$3,10000)/100),MOD($C$3,100))+(ROW()-ROW($C$3))/86400</s:f>
        <s:v>46247.39412037037</s:v>
      </s:c>
    </s:row>
    <s:row r="881">
      <s:c r="A881" s="0" t="n">
        <s:v>260813</s:v>
      </s:c>
      <s:c r="B881" s="0" t="inlineStr">
        <s:is>
          <s:t>이종훈</s:t>
        </s:is>
      </s:c>
      <s:c r="C881" s="0" t="n">
        <s:v>91255</s:v>
      </s:c>
      <s:c r="D881" s="0" t="n">
        <s:v>3942</s:v>
      </s:c>
      <s:c r="E881" s="0" t="n">
        <s:v>24.299</s:v>
      </s:c>
      <s:c r="F881" s="24">
        <s:f>'자료구성'!$B$2+TIME(INT($C$3/10000),INT(MOD($C$3,10000)/100),MOD($C$3,100))+(ROW()-ROW($C$3))/86400</s:f>
        <s:v>46247.39413194444</s:v>
      </s:c>
    </s:row>
    <s:row r="882">
      <s:c r="A882" s="0" t="n">
        <s:v>260813</s:v>
      </s:c>
      <s:c r="B882" s="0" t="inlineStr">
        <s:is>
          <s:t>이종훈</s:t>
        </s:is>
      </s:c>
      <s:c r="C882" s="0" t="n">
        <s:v>91255</s:v>
      </s:c>
      <s:c r="D882" s="0" t="n">
        <s:v>3946</s:v>
      </s:c>
      <s:c r="E882" s="0" t="n">
        <s:v>24.299</s:v>
      </s:c>
      <s:c r="F882" s="24">
        <s:f>'자료구성'!$B$2+TIME(INT($C$3/10000),INT(MOD($C$3,10000)/100),MOD($C$3,100))+(ROW()-ROW($C$3))/86400</s:f>
        <s:v>46247.39414351852</s:v>
      </s:c>
    </s:row>
    <s:row r="883">
      <s:c r="A883" s="0" t="n">
        <s:v>260813</s:v>
      </s:c>
      <s:c r="B883" s="0" t="inlineStr">
        <s:is>
          <s:t>이종훈</s:t>
        </s:is>
      </s:c>
      <s:c r="C883" s="0" t="n">
        <s:v>91255</s:v>
      </s:c>
      <s:c r="D883" s="0" t="n">
        <s:v>3912</s:v>
      </s:c>
      <s:c r="E883" s="0" t="n">
        <s:v>24.299</s:v>
      </s:c>
      <s:c r="F883" s="24">
        <s:f>'자료구성'!$B$2+TIME(INT($C$3/10000),INT(MOD($C$3,10000)/100),MOD($C$3,100))+(ROW()-ROW($C$3))/86400</s:f>
        <s:v>46247.394155092596</s:v>
      </s:c>
    </s:row>
    <s:row r="884">
      <s:c r="A884" s="0" t="n">
        <s:v>260813</s:v>
      </s:c>
      <s:c r="B884" s="0" t="inlineStr">
        <s:is>
          <s:t>이종훈</s:t>
        </s:is>
      </s:c>
      <s:c r="C884" s="0" t="n">
        <s:v>91255</s:v>
      </s:c>
      <s:c r="D884" s="0" t="n">
        <s:v>3900</s:v>
      </s:c>
      <s:c r="E884" s="0" t="n">
        <s:v>24.299</s:v>
      </s:c>
      <s:c r="F884" s="24">
        <s:f>'자료구성'!$B$2+TIME(INT($C$3/10000),INT(MOD($C$3,10000)/100),MOD($C$3,100))+(ROW()-ROW($C$3))/86400</s:f>
        <s:v>46247.394166666665</s:v>
      </s:c>
    </s:row>
    <s:row r="885">
      <s:c r="A885" s="0" t="n">
        <s:v>260813</s:v>
      </s:c>
      <s:c r="B885" s="0" t="inlineStr">
        <s:is>
          <s:t>이종훈</s:t>
        </s:is>
      </s:c>
      <s:c r="C885" s="0" t="n">
        <s:v>91255</s:v>
      </s:c>
      <s:c r="D885" s="0" t="n">
        <s:v>3841</s:v>
      </s:c>
      <s:c r="E885" s="0" t="n">
        <s:v>24.299</s:v>
      </s:c>
      <s:c r="F885" s="24">
        <s:f>'자료구성'!$B$2+TIME(INT($C$3/10000),INT(MOD($C$3,10000)/100),MOD($C$3,100))+(ROW()-ROW($C$3))/86400</s:f>
        <s:v>46247.39417824074</s:v>
      </s:c>
    </s:row>
    <s:row r="886">
      <s:c r="A886" s="0" t="n">
        <s:v>260813</s:v>
      </s:c>
      <s:c r="B886" s="0" t="inlineStr">
        <s:is>
          <s:t>이종훈</s:t>
        </s:is>
      </s:c>
      <s:c r="C886" s="0" t="n">
        <s:v>91255</s:v>
      </s:c>
      <s:c r="D886" s="0" t="n">
        <s:v>3800</s:v>
      </s:c>
      <s:c r="E886" s="0" t="n">
        <s:v>24.299</s:v>
      </s:c>
      <s:c r="F886" s="24">
        <s:f>'자료구성'!$B$2+TIME(INT($C$3/10000),INT(MOD($C$3,10000)/100),MOD($C$3,100))+(ROW()-ROW($C$3))/86400</s:f>
        <s:v>46247.39418981481</s:v>
      </s:c>
    </s:row>
    <s:row r="887">
      <s:c r="A887" s="0" t="n">
        <s:v>260813</s:v>
      </s:c>
      <s:c r="B887" s="0" t="inlineStr">
        <s:is>
          <s:t>이종훈</s:t>
        </s:is>
      </s:c>
      <s:c r="C887" s="0" t="n">
        <s:v>91255</s:v>
      </s:c>
      <s:c r="D887" s="0" t="n">
        <s:v>3788</s:v>
      </s:c>
      <s:c r="E887" s="0" t="n">
        <s:v>24.299</s:v>
      </s:c>
      <s:c r="F887" s="24">
        <s:f>'자료구성'!$B$2+TIME(INT($C$3/10000),INT(MOD($C$3,10000)/100),MOD($C$3,100))+(ROW()-ROW($C$3))/86400</s:f>
        <s:v>46247.39420138889</s:v>
      </s:c>
    </s:row>
    <s:row r="888">
      <s:c r="A888" s="0" t="n">
        <s:v>260813</s:v>
      </s:c>
      <s:c r="B888" s="0" t="inlineStr">
        <s:is>
          <s:t>이종훈</s:t>
        </s:is>
      </s:c>
      <s:c r="C888" s="0" t="n">
        <s:v>91255</s:v>
      </s:c>
      <s:c r="D888" s="0" t="n">
        <s:v>3862</s:v>
      </s:c>
      <s:c r="E888" s="0" t="n">
        <s:v>24.199</s:v>
      </s:c>
      <s:c r="F888" s="24">
        <s:f>'자료구성'!$B$2+TIME(INT($C$3/10000),INT(MOD($C$3,10000)/100),MOD($C$3,100))+(ROW()-ROW($C$3))/86400</s:f>
        <s:v>46247.394212962965</s:v>
      </s:c>
    </s:row>
    <s:row r="889">
      <s:c r="A889" s="0" t="n">
        <s:v>260813</s:v>
      </s:c>
      <s:c r="B889" s="0" t="inlineStr">
        <s:is>
          <s:t>이종훈</s:t>
        </s:is>
      </s:c>
      <s:c r="C889" s="0" t="n">
        <s:v>91255</s:v>
      </s:c>
      <s:c r="D889" s="0" t="n">
        <s:v>3899</s:v>
      </s:c>
      <s:c r="E889" s="0" t="n">
        <s:v>24.199</s:v>
      </s:c>
      <s:c r="F889" s="24">
        <s:f>'자료구성'!$B$2+TIME(INT($C$3/10000),INT(MOD($C$3,10000)/100),MOD($C$3,100))+(ROW()-ROW($C$3))/86400</s:f>
        <s:v>46247.394224537034</s:v>
      </s:c>
    </s:row>
    <s:row r="890">
      <s:c r="A890" s="0" t="n">
        <s:v>260813</s:v>
      </s:c>
      <s:c r="B890" s="0" t="inlineStr">
        <s:is>
          <s:t>이종훈</s:t>
        </s:is>
      </s:c>
      <s:c r="C890" s="0" t="n">
        <s:v>91255</s:v>
      </s:c>
      <s:c r="D890" s="0" t="n">
        <s:v>3884</s:v>
      </s:c>
      <s:c r="E890" s="0" t="n">
        <s:v>24.199</s:v>
      </s:c>
      <s:c r="F890" s="24">
        <s:f>'자료구성'!$B$2+TIME(INT($C$3/10000),INT(MOD($C$3,10000)/100),MOD($C$3,100))+(ROW()-ROW($C$3))/86400</s:f>
        <s:v>46247.39423611111</s:v>
      </s:c>
    </s:row>
    <s:row r="891">
      <s:c r="A891" s="0" t="n">
        <s:v>260813</s:v>
      </s:c>
      <s:c r="B891" s="0" t="inlineStr">
        <s:is>
          <s:t>이종훈</s:t>
        </s:is>
      </s:c>
      <s:c r="C891" s="0" t="n">
        <s:v>91255</s:v>
      </s:c>
      <s:c r="D891" s="0" t="n">
        <s:v>3845</s:v>
      </s:c>
      <s:c r="E891" s="0" t="n">
        <s:v>24.199</s:v>
      </s:c>
      <s:c r="F891" s="24">
        <s:f>'자료구성'!$B$2+TIME(INT($C$3/10000),INT(MOD($C$3,10000)/100),MOD($C$3,100))+(ROW()-ROW($C$3))/86400</s:f>
        <s:v>46247.39424768519</s:v>
      </s:c>
    </s:row>
    <s:row r="892">
      <s:c r="A892" s="0" t="n">
        <s:v>260813</s:v>
      </s:c>
      <s:c r="B892" s="0" t="inlineStr">
        <s:is>
          <s:t>이종훈</s:t>
        </s:is>
      </s:c>
      <s:c r="C892" s="0" t="n">
        <s:v>91255</s:v>
      </s:c>
      <s:c r="D892" s="0" t="n">
        <s:v>3865</s:v>
      </s:c>
      <s:c r="E892" s="0" t="n">
        <s:v>24.299</s:v>
      </s:c>
      <s:c r="F892" s="24">
        <s:f>'자료구성'!$B$2+TIME(INT($C$3/10000),INT(MOD($C$3,10000)/100),MOD($C$3,100))+(ROW()-ROW($C$3))/86400</s:f>
        <s:v>46247.39425925926</s:v>
      </s:c>
    </s:row>
    <s:row r="893">
      <s:c r="A893" s="0" t="n">
        <s:v>260813</s:v>
      </s:c>
      <s:c r="B893" s="0" t="inlineStr">
        <s:is>
          <s:t>이종훈</s:t>
        </s:is>
      </s:c>
      <s:c r="C893" s="0" t="n">
        <s:v>91255</s:v>
      </s:c>
      <s:c r="D893" s="0" t="n">
        <s:v>3899</s:v>
      </s:c>
      <s:c r="E893" s="0" t="n">
        <s:v>24.299</s:v>
      </s:c>
      <s:c r="F893" s="24">
        <s:f>'자료구성'!$B$2+TIME(INT($C$3/10000),INT(MOD($C$3,10000)/100),MOD($C$3,100))+(ROW()-ROW($C$3))/86400</s:f>
        <s:v>46247.394270833334</s:v>
      </s:c>
    </s:row>
    <s:row r="894">
      <s:c r="A894" s="0" t="n">
        <s:v>260813</s:v>
      </s:c>
      <s:c r="B894" s="0" t="inlineStr">
        <s:is>
          <s:t>이종훈</s:t>
        </s:is>
      </s:c>
      <s:c r="C894" s="0" t="n">
        <s:v>91255</s:v>
      </s:c>
      <s:c r="D894" s="0" t="n">
        <s:v>3941</s:v>
      </s:c>
      <s:c r="E894" s="0" t="n">
        <s:v>24.299</s:v>
      </s:c>
      <s:c r="F894" s="24">
        <s:f>'자료구성'!$B$2+TIME(INT($C$3/10000),INT(MOD($C$3,10000)/100),MOD($C$3,100))+(ROW()-ROW($C$3))/86400</s:f>
        <s:v>46247.394282407404</s:v>
      </s:c>
    </s:row>
    <s:row r="895">
      <s:c r="A895" s="0" t="n">
        <s:v>260813</s:v>
      </s:c>
      <s:c r="B895" s="0" t="inlineStr">
        <s:is>
          <s:t>이종훈</s:t>
        </s:is>
      </s:c>
      <s:c r="C895" s="0" t="n">
        <s:v>91255</s:v>
      </s:c>
      <s:c r="D895" s="0" t="n">
        <s:v>4051</s:v>
      </s:c>
      <s:c r="E895" s="0" t="n">
        <s:v>24.299</s:v>
      </s:c>
      <s:c r="F895" s="24">
        <s:f>'자료구성'!$B$2+TIME(INT($C$3/10000),INT(MOD($C$3,10000)/100),MOD($C$3,100))+(ROW()-ROW($C$3))/86400</s:f>
        <s:v>46247.39429398148</s:v>
      </s:c>
    </s:row>
    <s:row r="896">
      <s:c r="A896" s="0" t="n">
        <s:v>260813</s:v>
      </s:c>
      <s:c r="B896" s="0" t="inlineStr">
        <s:is>
          <s:t>이종훈</s:t>
        </s:is>
      </s:c>
      <s:c r="C896" s="0" t="n">
        <s:v>91255</s:v>
      </s:c>
      <s:c r="D896" s="0" t="n">
        <s:v>4134</s:v>
      </s:c>
      <s:c r="E896" s="0" t="n">
        <s:v>24.299</s:v>
      </s:c>
      <s:c r="F896" s="24">
        <s:f>'자료구성'!$B$2+TIME(INT($C$3/10000),INT(MOD($C$3,10000)/100),MOD($C$3,100))+(ROW()-ROW($C$3))/86400</s:f>
        <s:v>46247.39430555556</s:v>
      </s:c>
    </s:row>
    <s:row r="897">
      <s:c r="A897" s="0" t="n">
        <s:v>260813</s:v>
      </s:c>
      <s:c r="B897" s="0" t="inlineStr">
        <s:is>
          <s:t>이종훈</s:t>
        </s:is>
      </s:c>
      <s:c r="C897" s="0" t="n">
        <s:v>91255</s:v>
      </s:c>
      <s:c r="D897" s="0" t="n">
        <s:v>4206</s:v>
      </s:c>
      <s:c r="E897" s="0" t="n">
        <s:v>24.299</s:v>
      </s:c>
      <s:c r="F897" s="24">
        <s:f>'자료구성'!$B$2+TIME(INT($C$3/10000),INT(MOD($C$3,10000)/100),MOD($C$3,100))+(ROW()-ROW($C$3))/86400</s:f>
        <s:v>46247.39431712963</s:v>
      </s:c>
    </s:row>
    <s:row r="898">
      <s:c r="A898" s="0" t="n">
        <s:v>260813</s:v>
      </s:c>
      <s:c r="B898" s="0" t="inlineStr">
        <s:is>
          <s:t>이종훈</s:t>
        </s:is>
      </s:c>
      <s:c r="C898" s="0" t="n">
        <s:v>91255</s:v>
      </s:c>
      <s:c r="D898" s="0" t="n">
        <s:v>4206</s:v>
      </s:c>
      <s:c r="E898" s="0" t="n">
        <s:v>24.299</s:v>
      </s:c>
      <s:c r="F898" s="24">
        <s:f>'자료구성'!$B$2+TIME(INT($C$3/10000),INT(MOD($C$3,10000)/100),MOD($C$3,100))+(ROW()-ROW($C$3))/86400</s:f>
        <s:v>46247.394328703704</s:v>
      </s:c>
    </s:row>
    <s:row r="899">
      <s:c r="A899" s="0" t="n">
        <s:v>260813</s:v>
      </s:c>
      <s:c r="B899" s="0" t="inlineStr">
        <s:is>
          <s:t>이종훈</s:t>
        </s:is>
      </s:c>
      <s:c r="C899" s="0" t="n">
        <s:v>91255</s:v>
      </s:c>
      <s:c r="D899" s="0" t="n">
        <s:v>4297</s:v>
      </s:c>
      <s:c r="E899" s="0" t="n">
        <s:v>24.299</s:v>
      </s:c>
      <s:c r="F899" s="24">
        <s:f>'자료구성'!$B$2+TIME(INT($C$3/10000),INT(MOD($C$3,10000)/100),MOD($C$3,100))+(ROW()-ROW($C$3))/86400</s:f>
        <s:v>46247.39434027778</s:v>
      </s:c>
    </s:row>
    <s:row r="900">
      <s:c r="A900" s="0" t="n">
        <s:v>260813</s:v>
      </s:c>
      <s:c r="B900" s="0" t="inlineStr">
        <s:is>
          <s:t>이종훈</s:t>
        </s:is>
      </s:c>
      <s:c r="C900" s="0" t="n">
        <s:v>91255</s:v>
      </s:c>
      <s:c r="D900" s="0" t="n">
        <s:v>4342</s:v>
      </s:c>
      <s:c r="E900" s="0" t="n">
        <s:v>24.299</s:v>
      </s:c>
      <s:c r="F900" s="24">
        <s:f>'자료구성'!$B$2+TIME(INT($C$3/10000),INT(MOD($C$3,10000)/100),MOD($C$3,100))+(ROW()-ROW($C$3))/86400</s:f>
        <s:v>46247.39435185185</s:v>
      </s:c>
    </s:row>
    <s:row r="901">
      <s:c r="A901" s="0" t="n">
        <s:v>260813</s:v>
      </s:c>
      <s:c r="B901" s="0" t="inlineStr">
        <s:is>
          <s:t>이종훈</s:t>
        </s:is>
      </s:c>
      <s:c r="C901" s="0" t="n">
        <s:v>91255</s:v>
      </s:c>
      <s:c r="D901" s="0" t="n">
        <s:v>4378</s:v>
      </s:c>
      <s:c r="E901" s="0" t="n">
        <s:v>24.299</s:v>
      </s:c>
      <s:c r="F901" s="24">
        <s:f>'자료구성'!$B$2+TIME(INT($C$3/10000),INT(MOD($C$3,10000)/100),MOD($C$3,100))+(ROW()-ROW($C$3))/86400</s:f>
        <s:v>46247.39436342593</s:v>
      </s:c>
    </s:row>
    <s:row r="902">
      <s:c r="A902" s="0" t="n">
        <s:v>260813</s:v>
      </s:c>
      <s:c r="B902" s="0" t="inlineStr">
        <s:is>
          <s:t>이종훈</s:t>
        </s:is>
      </s:c>
      <s:c r="C902" s="0" t="n">
        <s:v>91255</s:v>
      </s:c>
      <s:c r="D902" s="0" t="n">
        <s:v>4473</s:v>
      </s:c>
      <s:c r="E902" s="0" t="n">
        <s:v>24.299</s:v>
      </s:c>
      <s:c r="F902" s="24">
        <s:f>'자료구성'!$B$2+TIME(INT($C$3/10000),INT(MOD($C$3,10000)/100),MOD($C$3,100))+(ROW()-ROW($C$3))/86400</s:f>
        <s:v>46247.394375</s:v>
      </s:c>
    </s:row>
  </s:sheetData>
  <s:mergeCells count="1">
    <s:mergeCell ref="A1:E1"/>
  </s:mergeCells>
  <s:pageMargins left="0.7" right="0.7" top="0.75" bottom="0.75" header="0.3" footer="0.3"/>
  <s:legacyDrawing r:id="anysvml"/>
</s:worksheet>
</file>

<file path=xl/worksheets/sheet10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/>
  </s:sheetPr>
  <s:dimension ref="A1:F902"/>
  <s:sheetViews>
    <s:sheetView workbookViewId="0">
      <s:pane ySplit="2" topLeftCell="A874" activePane="bottomLeft" state="frozen"/>
      <s:selection pane="bottomLeft" activeCell="D3" sqref="D3:D902"/>
    </s:sheetView>
  </s:sheetViews>
  <s:sheetFormatPr baseColWidth="8" defaultRowHeight="16.5"/>
  <s:cols>
    <s:col width="25" customWidth="1" style="7" min="6" max="6"/>
  </s:cols>
  <s:sheetData>
    <s:row r="1">
      <s:c r="A1" s="4" t="inlineStr">
        <s:is>
          <s:t>일본잎갈나무B</s:t>
        </s:is>
      </s:c>
    </s:row>
    <s:row r="2" ht="17.25" customHeight="1" s="7" thickBot="1">
      <s:c r="A2" s="2" t="inlineStr">
        <s:is>
          <s:t>조사일자</s:t>
        </s:is>
      </s:c>
      <s:c r="B2" s="3" t="inlineStr">
        <s:is>
          <s:t>조사자명</s:t>
        </s:is>
      </s:c>
      <s:c r="C2" s="3" t="inlineStr">
        <s:is>
          <s:t>조사시작시간</s:t>
        </s:is>
      </s:c>
      <s:c r="D2" s="3" t="inlineStr">
        <s:is>
          <s:t>음이온발생량</s:t>
        </s:is>
      </s:c>
      <s:c r="E2" s="1" t="inlineStr">
        <s:is>
          <s:t>비고</s:t>
        </s:is>
      </s:c>
      <s:c r="F2" s="3" t="inlineStr">
        <s:is>
          <s:t>측정일시</s:t>
        </s:is>
      </s:c>
    </s:row>
    <s:row r="3">
      <s:c r="A3" s="0" t="n">
        <s:v>260813</s:v>
      </s:c>
      <s:c r="B3" s="0" t="inlineStr">
        <s:is>
          <s:t>이종훈</s:t>
        </s:is>
      </s:c>
      <s:c r="C3" s="0" t="n">
        <s:v>84716</s:v>
      </s:c>
      <s:c r="D3" s="0" t="n">
        <s:v>1183</s:v>
      </s:c>
      <s:c r="F3" s="24">
        <s:f>'자료구성'!$B$2+TIME(INT($C$3/10000),INT(MOD($C$3,10000)/100),MOD($C$3,100))+(ROW()-ROW($C$3))/86400</s:f>
        <s:v>46247.36615740741</s:v>
      </s:c>
    </s:row>
    <s:row r="4">
      <s:c r="A4" s="0" t="n">
        <s:v>260813</s:v>
      </s:c>
      <s:c r="B4" s="0" t="inlineStr">
        <s:is>
          <s:t>이종훈</s:t>
        </s:is>
      </s:c>
      <s:c r="C4" s="0" t="n">
        <s:v>84716</s:v>
      </s:c>
      <s:c r="D4" s="0" t="n">
        <s:v>1181</s:v>
      </s:c>
      <s:c r="F4" s="24">
        <s:f>'자료구성'!$B$2+TIME(INT($C$3/10000),INT(MOD($C$3,10000)/100),MOD($C$3,100))+(ROW()-ROW($C$3))/86400</s:f>
        <s:v>46247.36616898148</s:v>
      </s:c>
    </s:row>
    <s:row r="5">
      <s:c r="A5" s="0" t="n">
        <s:v>260813</s:v>
      </s:c>
      <s:c r="B5" s="0" t="inlineStr">
        <s:is>
          <s:t>이종훈</s:t>
        </s:is>
      </s:c>
      <s:c r="C5" s="0" t="n">
        <s:v>84716</s:v>
      </s:c>
      <s:c r="D5" s="0" t="n">
        <s:v>1192</s:v>
      </s:c>
      <s:c r="F5" s="24">
        <s:f>'자료구성'!$B$2+TIME(INT($C$3/10000),INT(MOD($C$3,10000)/100),MOD($C$3,100))+(ROW()-ROW($C$3))/86400</s:f>
        <s:v>46247.36618055555</s:v>
      </s:c>
    </s:row>
    <s:row r="6">
      <s:c r="A6" s="0" t="n">
        <s:v>260813</s:v>
      </s:c>
      <s:c r="B6" s="0" t="inlineStr">
        <s:is>
          <s:t>이종훈</s:t>
        </s:is>
      </s:c>
      <s:c r="C6" s="0" t="n">
        <s:v>84716</s:v>
      </s:c>
      <s:c r="D6" s="0" t="n">
        <s:v>1214</s:v>
      </s:c>
      <s:c r="F6" s="24">
        <s:f>'자료구성'!$B$2+TIME(INT($C$3/10000),INT(MOD($C$3,10000)/100),MOD($C$3,100))+(ROW()-ROW($C$3))/86400</s:f>
        <s:v>46247.36619212963</s:v>
      </s:c>
    </s:row>
    <s:row r="7">
      <s:c r="A7" s="0" t="n">
        <s:v>260813</s:v>
      </s:c>
      <s:c r="B7" s="0" t="inlineStr">
        <s:is>
          <s:t>이종훈</s:t>
        </s:is>
      </s:c>
      <s:c r="C7" s="0" t="n">
        <s:v>84716</s:v>
      </s:c>
      <s:c r="D7" s="0" t="n">
        <s:v>1236</s:v>
      </s:c>
      <s:c r="F7" s="24">
        <s:f>'자료구성'!$B$2+TIME(INT($C$3/10000),INT(MOD($C$3,10000)/100),MOD($C$3,100))+(ROW()-ROW($C$3))/86400</s:f>
        <s:v>46247.36620370371</s:v>
      </s:c>
    </s:row>
    <s:row r="8">
      <s:c r="A8" s="0" t="n">
        <s:v>260813</s:v>
      </s:c>
      <s:c r="B8" s="0" t="inlineStr">
        <s:is>
          <s:t>이종훈</s:t>
        </s:is>
      </s:c>
      <s:c r="C8" s="0" t="n">
        <s:v>84716</s:v>
      </s:c>
      <s:c r="D8" s="0" t="n">
        <s:v>1246</s:v>
      </s:c>
      <s:c r="F8" s="24">
        <s:f>'자료구성'!$B$2+TIME(INT($C$3/10000),INT(MOD($C$3,10000)/100),MOD($C$3,100))+(ROW()-ROW($C$3))/86400</s:f>
        <s:v>46247.366215277776</s:v>
      </s:c>
    </s:row>
    <s:row r="9">
      <s:c r="A9" s="0" t="n">
        <s:v>260813</s:v>
      </s:c>
      <s:c r="B9" s="0" t="inlineStr">
        <s:is>
          <s:t>이종훈</s:t>
        </s:is>
      </s:c>
      <s:c r="C9" s="0" t="n">
        <s:v>84716</s:v>
      </s:c>
      <s:c r="D9" s="0" t="n">
        <s:v>1240</s:v>
      </s:c>
      <s:c r="F9" s="24">
        <s:f>'자료구성'!$B$2+TIME(INT($C$3/10000),INT(MOD($C$3,10000)/100),MOD($C$3,100))+(ROW()-ROW($C$3))/86400</s:f>
        <s:v>46247.36622685185</s:v>
      </s:c>
    </s:row>
    <s:row r="10">
      <s:c r="A10" s="0" t="n">
        <s:v>260813</s:v>
      </s:c>
      <s:c r="B10" s="0" t="inlineStr">
        <s:is>
          <s:t>이종훈</s:t>
        </s:is>
      </s:c>
      <s:c r="C10" s="0" t="n">
        <s:v>84716</s:v>
      </s:c>
      <s:c r="D10" s="0" t="n">
        <s:v>1222</s:v>
      </s:c>
      <s:c r="F10" s="24">
        <s:f>'자료구성'!$B$2+TIME(INT($C$3/10000),INT(MOD($C$3,10000)/100),MOD($C$3,100))+(ROW()-ROW($C$3))/86400</s:f>
        <s:v>46247.36623842592</s:v>
      </s:c>
    </s:row>
    <s:row r="11">
      <s:c r="A11" s="0" t="n">
        <s:v>260813</s:v>
      </s:c>
      <s:c r="B11" s="0" t="inlineStr">
        <s:is>
          <s:t>이종훈</s:t>
        </s:is>
      </s:c>
      <s:c r="C11" s="0" t="n">
        <s:v>84716</s:v>
      </s:c>
      <s:c r="D11" s="0" t="n">
        <s:v>1212</s:v>
      </s:c>
      <s:c r="F11" s="24">
        <s:f>'자료구성'!$B$2+TIME(INT($C$3/10000),INT(MOD($C$3,10000)/100),MOD($C$3,100))+(ROW()-ROW($C$3))/86400</s:f>
        <s:v>46247.36625</s:v>
      </s:c>
    </s:row>
    <s:row r="12">
      <s:c r="A12" s="0" t="n">
        <s:v>260813</s:v>
      </s:c>
      <s:c r="B12" s="0" t="inlineStr">
        <s:is>
          <s:t>이종훈</s:t>
        </s:is>
      </s:c>
      <s:c r="C12" s="0" t="n">
        <s:v>84716</s:v>
      </s:c>
      <s:c r="D12" s="0" t="n">
        <s:v>1209</s:v>
      </s:c>
      <s:c r="F12" s="24">
        <s:f>'자료구성'!$B$2+TIME(INT($C$3/10000),INT(MOD($C$3,10000)/100),MOD($C$3,100))+(ROW()-ROW($C$3))/86400</s:f>
        <s:v>46247.366261574076</s:v>
      </s:c>
    </s:row>
    <s:row r="13">
      <s:c r="A13" s="0" t="n">
        <s:v>260813</s:v>
      </s:c>
      <s:c r="B13" s="0" t="inlineStr">
        <s:is>
          <s:t>이종훈</s:t>
        </s:is>
      </s:c>
      <s:c r="C13" s="0" t="n">
        <s:v>84716</s:v>
      </s:c>
      <s:c r="D13" s="0" t="n">
        <s:v>1211</s:v>
      </s:c>
      <s:c r="F13" s="24">
        <s:f>'자료구성'!$B$2+TIME(INT($C$3/10000),INT(MOD($C$3,10000)/100),MOD($C$3,100))+(ROW()-ROW($C$3))/86400</s:f>
        <s:v>46247.366273148145</s:v>
      </s:c>
    </s:row>
    <s:row r="14">
      <s:c r="A14" s="0" t="n">
        <s:v>260813</s:v>
      </s:c>
      <s:c r="B14" s="0" t="inlineStr">
        <s:is>
          <s:t>이종훈</s:t>
        </s:is>
      </s:c>
      <s:c r="C14" s="0" t="n">
        <s:v>84716</s:v>
      </s:c>
      <s:c r="D14" s="0" t="n">
        <s:v>1212</s:v>
      </s:c>
      <s:c r="F14" s="24">
        <s:f>'자료구성'!$B$2+TIME(INT($C$3/10000),INT(MOD($C$3,10000)/100),MOD($C$3,100))+(ROW()-ROW($C$3))/86400</s:f>
        <s:v>46247.36628472222</s:v>
      </s:c>
    </s:row>
    <s:row r="15">
      <s:c r="A15" s="0" t="n">
        <s:v>260813</s:v>
      </s:c>
      <s:c r="B15" s="0" t="inlineStr">
        <s:is>
          <s:t>이종훈</s:t>
        </s:is>
      </s:c>
      <s:c r="C15" s="0" t="n">
        <s:v>84716</s:v>
      </s:c>
      <s:c r="D15" s="0" t="n">
        <s:v>1210</s:v>
      </s:c>
      <s:c r="F15" s="24">
        <s:f>'자료구성'!$B$2+TIME(INT($C$3/10000),INT(MOD($C$3,10000)/100),MOD($C$3,100))+(ROW()-ROW($C$3))/86400</s:f>
        <s:v>46247.3662962963</s:v>
      </s:c>
    </s:row>
    <s:row r="16">
      <s:c r="A16" s="0" t="n">
        <s:v>260813</s:v>
      </s:c>
      <s:c r="B16" s="0" t="inlineStr">
        <s:is>
          <s:t>이종훈</s:t>
        </s:is>
      </s:c>
      <s:c r="C16" s="0" t="n">
        <s:v>84716</s:v>
      </s:c>
      <s:c r="D16" s="0" t="n">
        <s:v>1211</s:v>
      </s:c>
      <s:c r="F16" s="24">
        <s:f>'자료구성'!$B$2+TIME(INT($C$3/10000),INT(MOD($C$3,10000)/100),MOD($C$3,100))+(ROW()-ROW($C$3))/86400</s:f>
        <s:v>46247.36630787037</s:v>
      </s:c>
    </s:row>
    <s:row r="17">
      <s:c r="A17" s="0" t="n">
        <s:v>260813</s:v>
      </s:c>
      <s:c r="B17" s="0" t="inlineStr">
        <s:is>
          <s:t>이종훈</s:t>
        </s:is>
      </s:c>
      <s:c r="C17" s="0" t="n">
        <s:v>84716</s:v>
      </s:c>
      <s:c r="D17" s="0" t="n">
        <s:v>1211</s:v>
      </s:c>
      <s:c r="F17" s="24">
        <s:f>'자료구성'!$B$2+TIME(INT($C$3/10000),INT(MOD($C$3,10000)/100),MOD($C$3,100))+(ROW()-ROW($C$3))/86400</s:f>
        <s:v>46247.366319444445</s:v>
      </s:c>
    </s:row>
    <s:row r="18">
      <s:c r="A18" s="0" t="n">
        <s:v>260813</s:v>
      </s:c>
      <s:c r="B18" s="0" t="inlineStr">
        <s:is>
          <s:t>이종훈</s:t>
        </s:is>
      </s:c>
      <s:c r="C18" s="0" t="n">
        <s:v>84716</s:v>
      </s:c>
      <s:c r="D18" s="0" t="n">
        <s:v>1216</s:v>
      </s:c>
      <s:c r="F18" s="24">
        <s:f>'자료구성'!$B$2+TIME(INT($C$3/10000),INT(MOD($C$3,10000)/100),MOD($C$3,100))+(ROW()-ROW($C$3))/86400</s:f>
        <s:v>46247.36633101852</s:v>
      </s:c>
    </s:row>
    <s:row r="19">
      <s:c r="A19" s="0" t="n">
        <s:v>260813</s:v>
      </s:c>
      <s:c r="B19" s="0" t="inlineStr">
        <s:is>
          <s:t>이종훈</s:t>
        </s:is>
      </s:c>
      <s:c r="C19" s="0" t="n">
        <s:v>84716</s:v>
      </s:c>
      <s:c r="D19" s="0" t="n">
        <s:v>1221</s:v>
      </s:c>
      <s:c r="F19" s="24">
        <s:f>'자료구성'!$B$2+TIME(INT($C$3/10000),INT(MOD($C$3,10000)/100),MOD($C$3,100))+(ROW()-ROW($C$3))/86400</s:f>
        <s:v>46247.36634259259</s:v>
      </s:c>
    </s:row>
    <s:row r="20">
      <s:c r="A20" s="0" t="n">
        <s:v>260813</s:v>
      </s:c>
      <s:c r="B20" s="0" t="inlineStr">
        <s:is>
          <s:t>이종훈</s:t>
        </s:is>
      </s:c>
      <s:c r="C20" s="0" t="n">
        <s:v>84716</s:v>
      </s:c>
      <s:c r="D20" s="0" t="n">
        <s:v>1230</s:v>
      </s:c>
      <s:c r="F20" s="24">
        <s:f>'자료구성'!$B$2+TIME(INT($C$3/10000),INT(MOD($C$3,10000)/100),MOD($C$3,100))+(ROW()-ROW($C$3))/86400</s:f>
        <s:v>46247.36635416667</s:v>
      </s:c>
    </s:row>
    <s:row r="21">
      <s:c r="A21" s="0" t="n">
        <s:v>260813</s:v>
      </s:c>
      <s:c r="B21" s="0" t="inlineStr">
        <s:is>
          <s:t>이종훈</s:t>
        </s:is>
      </s:c>
      <s:c r="C21" s="0" t="n">
        <s:v>84716</s:v>
      </s:c>
      <s:c r="D21" s="0" t="n">
        <s:v>1247</s:v>
      </s:c>
      <s:c r="F21" s="24">
        <s:f>'자료구성'!$B$2+TIME(INT($C$3/10000),INT(MOD($C$3,10000)/100),MOD($C$3,100))+(ROW()-ROW($C$3))/86400</s:f>
        <s:v>46247.36636574074</s:v>
      </s:c>
    </s:row>
    <s:row r="22">
      <s:c r="A22" s="0" t="n">
        <s:v>260813</s:v>
      </s:c>
      <s:c r="B22" s="0" t="inlineStr">
        <s:is>
          <s:t>이종훈</s:t>
        </s:is>
      </s:c>
      <s:c r="C22" s="0" t="n">
        <s:v>84716</s:v>
      </s:c>
      <s:c r="D22" s="0" t="n">
        <s:v>1259</s:v>
      </s:c>
      <s:c r="F22" s="24">
        <s:f>'자료구성'!$B$2+TIME(INT($C$3/10000),INT(MOD($C$3,10000)/100),MOD($C$3,100))+(ROW()-ROW($C$3))/86400</s:f>
        <s:v>46247.366377314815</s:v>
      </s:c>
    </s:row>
    <s:row r="23">
      <s:c r="A23" s="0" t="n">
        <s:v>260813</s:v>
      </s:c>
      <s:c r="B23" s="0" t="inlineStr">
        <s:is>
          <s:t>이종훈</s:t>
        </s:is>
      </s:c>
      <s:c r="C23" s="0" t="n">
        <s:v>84716</s:v>
      </s:c>
      <s:c r="D23" s="0" t="n">
        <s:v>1251</s:v>
      </s:c>
      <s:c r="F23" s="24">
        <s:f>'자료구성'!$B$2+TIME(INT($C$3/10000),INT(MOD($C$3,10000)/100),MOD($C$3,100))+(ROW()-ROW($C$3))/86400</s:f>
        <s:v>46247.36638888889</s:v>
      </s:c>
    </s:row>
    <s:row r="24">
      <s:c r="A24" s="0" t="n">
        <s:v>260813</s:v>
      </s:c>
      <s:c r="B24" s="0" t="inlineStr">
        <s:is>
          <s:t>이종훈</s:t>
        </s:is>
      </s:c>
      <s:c r="C24" s="0" t="n">
        <s:v>84716</s:v>
      </s:c>
      <s:c r="D24" s="0" t="n">
        <s:v>1253</s:v>
      </s:c>
      <s:c r="F24" s="24">
        <s:f>'자료구성'!$B$2+TIME(INT($C$3/10000),INT(MOD($C$3,10000)/100),MOD($C$3,100))+(ROW()-ROW($C$3))/86400</s:f>
        <s:v>46247.36640046296</s:v>
      </s:c>
    </s:row>
    <s:row r="25">
      <s:c r="A25" s="0" t="n">
        <s:v>260813</s:v>
      </s:c>
      <s:c r="B25" s="0" t="inlineStr">
        <s:is>
          <s:t>이종훈</s:t>
        </s:is>
      </s:c>
      <s:c r="C25" s="0" t="n">
        <s:v>84716</s:v>
      </s:c>
      <s:c r="D25" s="0" t="n">
        <s:v>1264</s:v>
      </s:c>
      <s:c r="F25" s="24">
        <s:f>'자료구성'!$B$2+TIME(INT($C$3/10000),INT(MOD($C$3,10000)/100),MOD($C$3,100))+(ROW()-ROW($C$3))/86400</s:f>
        <s:v>46247.36641203704</s:v>
      </s:c>
    </s:row>
    <s:row r="26">
      <s:c r="A26" s="0" t="n">
        <s:v>260813</s:v>
      </s:c>
      <s:c r="B26" s="0" t="inlineStr">
        <s:is>
          <s:t>이종훈</s:t>
        </s:is>
      </s:c>
      <s:c r="C26" s="0" t="n">
        <s:v>84716</s:v>
      </s:c>
      <s:c r="D26" s="0" t="n">
        <s:v>1267</s:v>
      </s:c>
      <s:c r="F26" s="24">
        <s:f>'자료구성'!$B$2+TIME(INT($C$3/10000),INT(MOD($C$3,10000)/100),MOD($C$3,100))+(ROW()-ROW($C$3))/86400</s:f>
        <s:v>46247.366423611114</s:v>
      </s:c>
    </s:row>
    <s:row r="27">
      <s:c r="A27" s="0" t="n">
        <s:v>260813</s:v>
      </s:c>
      <s:c r="B27" s="0" t="inlineStr">
        <s:is>
          <s:t>이종훈</s:t>
        </s:is>
      </s:c>
      <s:c r="C27" s="0" t="n">
        <s:v>84716</s:v>
      </s:c>
      <s:c r="D27" s="0" t="n">
        <s:v>1264</s:v>
      </s:c>
      <s:c r="F27" s="24">
        <s:f>'자료구성'!$B$2+TIME(INT($C$3/10000),INT(MOD($C$3,10000)/100),MOD($C$3,100))+(ROW()-ROW($C$3))/86400</s:f>
        <s:v>46247.366435185184</s:v>
      </s:c>
    </s:row>
    <s:row r="28">
      <s:c r="A28" s="0" t="n">
        <s:v>260813</s:v>
      </s:c>
      <s:c r="B28" s="0" t="inlineStr">
        <s:is>
          <s:t>이종훈</s:t>
        </s:is>
      </s:c>
      <s:c r="C28" s="0" t="n">
        <s:v>84716</s:v>
      </s:c>
      <s:c r="D28" s="0" t="n">
        <s:v>1254</s:v>
      </s:c>
      <s:c r="F28" s="24">
        <s:f>'자료구성'!$B$2+TIME(INT($C$3/10000),INT(MOD($C$3,10000)/100),MOD($C$3,100))+(ROW()-ROW($C$3))/86400</s:f>
        <s:v>46247.36644675926</s:v>
      </s:c>
    </s:row>
    <s:row r="29">
      <s:c r="A29" s="0" t="n">
        <s:v>260813</s:v>
      </s:c>
      <s:c r="B29" s="0" t="inlineStr">
        <s:is>
          <s:t>이종훈</s:t>
        </s:is>
      </s:c>
      <s:c r="C29" s="0" t="n">
        <s:v>84716</s:v>
      </s:c>
      <s:c r="D29" s="0" t="n">
        <s:v>1259</s:v>
      </s:c>
      <s:c r="F29" s="24">
        <s:f>'자료구성'!$B$2+TIME(INT($C$3/10000),INT(MOD($C$3,10000)/100),MOD($C$3,100))+(ROW()-ROW($C$3))/86400</s:f>
        <s:v>46247.36645833333</s:v>
      </s:c>
    </s:row>
    <s:row r="30">
      <s:c r="A30" s="0" t="n">
        <s:v>260813</s:v>
      </s:c>
      <s:c r="B30" s="0" t="inlineStr">
        <s:is>
          <s:t>이종훈</s:t>
        </s:is>
      </s:c>
      <s:c r="C30" s="0" t="n">
        <s:v>84716</s:v>
      </s:c>
      <s:c r="D30" s="0" t="n">
        <s:v>1258</s:v>
      </s:c>
      <s:c r="F30" s="24">
        <s:f>'자료구성'!$B$2+TIME(INT($C$3/10000),INT(MOD($C$3,10000)/100),MOD($C$3,100))+(ROW()-ROW($C$3))/86400</s:f>
        <s:v>46247.36646990741</s:v>
      </s:c>
    </s:row>
    <s:row r="31">
      <s:c r="A31" s="0" t="n">
        <s:v>260813</s:v>
      </s:c>
      <s:c r="B31" s="0" t="inlineStr">
        <s:is>
          <s:t>이종훈</s:t>
        </s:is>
      </s:c>
      <s:c r="C31" s="0" t="n">
        <s:v>84716</s:v>
      </s:c>
      <s:c r="D31" s="0" t="n">
        <s:v>1265</s:v>
      </s:c>
      <s:c r="F31" s="24">
        <s:f>'자료구성'!$B$2+TIME(INT($C$3/10000),INT(MOD($C$3,10000)/100),MOD($C$3,100))+(ROW()-ROW($C$3))/86400</s:f>
        <s:v>46247.366481481484</s:v>
      </s:c>
    </s:row>
    <s:row r="32">
      <s:c r="A32" s="0" t="n">
        <s:v>260813</s:v>
      </s:c>
      <s:c r="B32" s="0" t="inlineStr">
        <s:is>
          <s:t>이종훈</s:t>
        </s:is>
      </s:c>
      <s:c r="C32" s="0" t="n">
        <s:v>84716</s:v>
      </s:c>
      <s:c r="D32" s="0" t="n">
        <s:v>1267</s:v>
      </s:c>
      <s:c r="F32" s="24">
        <s:f>'자료구성'!$B$2+TIME(INT($C$3/10000),INT(MOD($C$3,10000)/100),MOD($C$3,100))+(ROW()-ROW($C$3))/86400</s:f>
        <s:v>46247.36649305555</s:v>
      </s:c>
    </s:row>
    <s:row r="33">
      <s:c r="A33" s="0" t="n">
        <s:v>260813</s:v>
      </s:c>
      <s:c r="B33" s="0" t="inlineStr">
        <s:is>
          <s:t>이종훈</s:t>
        </s:is>
      </s:c>
      <s:c r="C33" s="0" t="n">
        <s:v>84716</s:v>
      </s:c>
      <s:c r="D33" s="0" t="n">
        <s:v>1263</s:v>
      </s:c>
      <s:c r="F33" s="24">
        <s:f>'자료구성'!$B$2+TIME(INT($C$3/10000),INT(MOD($C$3,10000)/100),MOD($C$3,100))+(ROW()-ROW($C$3))/86400</s:f>
        <s:v>46247.36650462963</s:v>
      </s:c>
    </s:row>
    <s:row r="34">
      <s:c r="A34" s="0" t="n">
        <s:v>260813</s:v>
      </s:c>
      <s:c r="B34" s="0" t="inlineStr">
        <s:is>
          <s:t>이종훈</s:t>
        </s:is>
      </s:c>
      <s:c r="C34" s="0" t="n">
        <s:v>84716</s:v>
      </s:c>
      <s:c r="D34" s="0" t="n">
        <s:v>1258</s:v>
      </s:c>
      <s:c r="F34" s="24">
        <s:f>'자료구성'!$B$2+TIME(INT($C$3/10000),INT(MOD($C$3,10000)/100),MOD($C$3,100))+(ROW()-ROW($C$3))/86400</s:f>
        <s:v>46247.36651620371</s:v>
      </s:c>
    </s:row>
    <s:row r="35">
      <s:c r="A35" s="0" t="n">
        <s:v>260813</s:v>
      </s:c>
      <s:c r="B35" s="0" t="inlineStr">
        <s:is>
          <s:t>이종훈</s:t>
        </s:is>
      </s:c>
      <s:c r="C35" s="0" t="n">
        <s:v>84716</s:v>
      </s:c>
      <s:c r="D35" s="0" t="n">
        <s:v>1259</s:v>
      </s:c>
      <s:c r="F35" s="24">
        <s:f>'자료구성'!$B$2+TIME(INT($C$3/10000),INT(MOD($C$3,10000)/100),MOD($C$3,100))+(ROW()-ROW($C$3))/86400</s:f>
        <s:v>46247.366527777776</s:v>
      </s:c>
    </s:row>
    <s:row r="36">
      <s:c r="A36" s="0" t="n">
        <s:v>260813</s:v>
      </s:c>
      <s:c r="B36" s="0" t="inlineStr">
        <s:is>
          <s:t>이종훈</s:t>
        </s:is>
      </s:c>
      <s:c r="C36" s="0" t="n">
        <s:v>84716</s:v>
      </s:c>
      <s:c r="D36" s="0" t="n">
        <s:v>1277</s:v>
      </s:c>
      <s:c r="F36" s="24">
        <s:f>'자료구성'!$B$2+TIME(INT($C$3/10000),INT(MOD($C$3,10000)/100),MOD($C$3,100))+(ROW()-ROW($C$3))/86400</s:f>
        <s:v>46247.36653935185</s:v>
      </s:c>
    </s:row>
    <s:row r="37">
      <s:c r="A37" s="0" t="n">
        <s:v>260813</s:v>
      </s:c>
      <s:c r="B37" s="0" t="inlineStr">
        <s:is>
          <s:t>이종훈</s:t>
        </s:is>
      </s:c>
      <s:c r="C37" s="0" t="n">
        <s:v>84716</s:v>
      </s:c>
      <s:c r="D37" s="0" t="n">
        <s:v>1278</s:v>
      </s:c>
      <s:c r="F37" s="24">
        <s:f>'자료구성'!$B$2+TIME(INT($C$3/10000),INT(MOD($C$3,10000)/100),MOD($C$3,100))+(ROW()-ROW($C$3))/86400</s:f>
        <s:v>46247.36655092592</s:v>
      </s:c>
    </s:row>
    <s:row r="38">
      <s:c r="A38" s="0" t="n">
        <s:v>260813</s:v>
      </s:c>
      <s:c r="B38" s="0" t="inlineStr">
        <s:is>
          <s:t>이종훈</s:t>
        </s:is>
      </s:c>
      <s:c r="C38" s="0" t="n">
        <s:v>84716</s:v>
      </s:c>
      <s:c r="D38" s="0" t="n">
        <s:v>1269</s:v>
      </s:c>
      <s:c r="F38" s="24">
        <s:f>'자료구성'!$B$2+TIME(INT($C$3/10000),INT(MOD($C$3,10000)/100),MOD($C$3,100))+(ROW()-ROW($C$3))/86400</s:f>
        <s:v>46247.3665625</s:v>
      </s:c>
    </s:row>
    <s:row r="39">
      <s:c r="A39" s="0" t="n">
        <s:v>260813</s:v>
      </s:c>
      <s:c r="B39" s="0" t="inlineStr">
        <s:is>
          <s:t>이종훈</s:t>
        </s:is>
      </s:c>
      <s:c r="C39" s="0" t="n">
        <s:v>84716</s:v>
      </s:c>
      <s:c r="D39" s="0" t="n">
        <s:v>1284</s:v>
      </s:c>
      <s:c r="F39" s="24">
        <s:f>'자료구성'!$B$2+TIME(INT($C$3/10000),INT(MOD($C$3,10000)/100),MOD($C$3,100))+(ROW()-ROW($C$3))/86400</s:f>
        <s:v>46247.366574074076</s:v>
      </s:c>
    </s:row>
    <s:row r="40">
      <s:c r="A40" s="0" t="n">
        <s:v>260813</s:v>
      </s:c>
      <s:c r="B40" s="0" t="inlineStr">
        <s:is>
          <s:t>이종훈</s:t>
        </s:is>
      </s:c>
      <s:c r="C40" s="0" t="n">
        <s:v>84716</s:v>
      </s:c>
      <s:c r="D40" s="0" t="n">
        <s:v>1274</s:v>
      </s:c>
      <s:c r="F40" s="24">
        <s:f>'자료구성'!$B$2+TIME(INT($C$3/10000),INT(MOD($C$3,10000)/100),MOD($C$3,100))+(ROW()-ROW($C$3))/86400</s:f>
        <s:v>46247.366585648146</s:v>
      </s:c>
    </s:row>
    <s:row r="41">
      <s:c r="A41" s="0" t="n">
        <s:v>260813</s:v>
      </s:c>
      <s:c r="B41" s="0" t="inlineStr">
        <s:is>
          <s:t>이종훈</s:t>
        </s:is>
      </s:c>
      <s:c r="C41" s="0" t="n">
        <s:v>84716</s:v>
      </s:c>
      <s:c r="D41" s="0" t="n">
        <s:v>1254</s:v>
      </s:c>
      <s:c r="F41" s="24">
        <s:f>'자료구성'!$B$2+TIME(INT($C$3/10000),INT(MOD($C$3,10000)/100),MOD($C$3,100))+(ROW()-ROW($C$3))/86400</s:f>
        <s:v>46247.36659722222</s:v>
      </s:c>
    </s:row>
    <s:row r="42">
      <s:c r="A42" s="0" t="n">
        <s:v>260813</s:v>
      </s:c>
      <s:c r="B42" s="0" t="inlineStr">
        <s:is>
          <s:t>이종훈</s:t>
        </s:is>
      </s:c>
      <s:c r="C42" s="0" t="n">
        <s:v>84716</s:v>
      </s:c>
      <s:c r="D42" s="0" t="n">
        <s:v>1243</s:v>
      </s:c>
      <s:c r="F42" s="24">
        <s:f>'자료구성'!$B$2+TIME(INT($C$3/10000),INT(MOD($C$3,10000)/100),MOD($C$3,100))+(ROW()-ROW($C$3))/86400</s:f>
        <s:v>46247.3666087963</s:v>
      </s:c>
    </s:row>
    <s:row r="43">
      <s:c r="A43" s="0" t="n">
        <s:v>260813</s:v>
      </s:c>
      <s:c r="B43" s="0" t="inlineStr">
        <s:is>
          <s:t>이종훈</s:t>
        </s:is>
      </s:c>
      <s:c r="C43" s="0" t="n">
        <s:v>84716</s:v>
      </s:c>
      <s:c r="D43" s="0" t="n">
        <s:v>1220</s:v>
      </s:c>
      <s:c r="F43" s="24">
        <s:f>'자료구성'!$B$2+TIME(INT($C$3/10000),INT(MOD($C$3,10000)/100),MOD($C$3,100))+(ROW()-ROW($C$3))/86400</s:f>
        <s:v>46247.36662037037</s:v>
      </s:c>
    </s:row>
    <s:row r="44">
      <s:c r="A44" s="0" t="n">
        <s:v>260813</s:v>
      </s:c>
      <s:c r="B44" s="0" t="inlineStr">
        <s:is>
          <s:t>이종훈</s:t>
        </s:is>
      </s:c>
      <s:c r="C44" s="0" t="n">
        <s:v>84716</s:v>
      </s:c>
      <s:c r="D44" s="0" t="n">
        <s:v>1205</s:v>
      </s:c>
      <s:c r="F44" s="24">
        <s:f>'자료구성'!$B$2+TIME(INT($C$3/10000),INT(MOD($C$3,10000)/100),MOD($C$3,100))+(ROW()-ROW($C$3))/86400</s:f>
        <s:v>46247.366631944446</s:v>
      </s:c>
    </s:row>
    <s:row r="45">
      <s:c r="A45" s="0" t="n">
        <s:v>260813</s:v>
      </s:c>
      <s:c r="B45" s="0" t="inlineStr">
        <s:is>
          <s:t>이종훈</s:t>
        </s:is>
      </s:c>
      <s:c r="C45" s="0" t="n">
        <s:v>84716</s:v>
      </s:c>
      <s:c r="D45" s="0" t="n">
        <s:v>1188</s:v>
      </s:c>
      <s:c r="F45" s="24">
        <s:f>'자료구성'!$B$2+TIME(INT($C$3/10000),INT(MOD($C$3,10000)/100),MOD($C$3,100))+(ROW()-ROW($C$3))/86400</s:f>
        <s:v>46247.366643518515</s:v>
      </s:c>
    </s:row>
    <s:row r="46">
      <s:c r="A46" s="0" t="n">
        <s:v>260813</s:v>
      </s:c>
      <s:c r="B46" s="0" t="inlineStr">
        <s:is>
          <s:t>이종훈</s:t>
        </s:is>
      </s:c>
      <s:c r="C46" s="0" t="n">
        <s:v>84716</s:v>
      </s:c>
      <s:c r="D46" s="0" t="n">
        <s:v>1172</s:v>
      </s:c>
      <s:c r="F46" s="24">
        <s:f>'자료구성'!$B$2+TIME(INT($C$3/10000),INT(MOD($C$3,10000)/100),MOD($C$3,100))+(ROW()-ROW($C$3))/86400</s:f>
        <s:v>46247.36665509259</s:v>
      </s:c>
    </s:row>
    <s:row r="47">
      <s:c r="A47" s="0" t="n">
        <s:v>260813</s:v>
      </s:c>
      <s:c r="B47" s="0" t="inlineStr">
        <s:is>
          <s:t>이종훈</s:t>
        </s:is>
      </s:c>
      <s:c r="C47" s="0" t="n">
        <s:v>84716</s:v>
      </s:c>
      <s:c r="D47" s="0" t="n">
        <s:v>1175</s:v>
      </s:c>
      <s:c r="F47" s="24">
        <s:f>'자료구성'!$B$2+TIME(INT($C$3/10000),INT(MOD($C$3,10000)/100),MOD($C$3,100))+(ROW()-ROW($C$3))/86400</s:f>
        <s:v>46247.36666666667</s:v>
      </s:c>
    </s:row>
    <s:row r="48">
      <s:c r="A48" s="0" t="n">
        <s:v>260813</s:v>
      </s:c>
      <s:c r="B48" s="0" t="inlineStr">
        <s:is>
          <s:t>이종훈</s:t>
        </s:is>
      </s:c>
      <s:c r="C48" s="0" t="n">
        <s:v>84716</s:v>
      </s:c>
      <s:c r="D48" s="0" t="n">
        <s:v>1180</s:v>
      </s:c>
      <s:c r="F48" s="24">
        <s:f>'자료구성'!$B$2+TIME(INT($C$3/10000),INT(MOD($C$3,10000)/100),MOD($C$3,100))+(ROW()-ROW($C$3))/86400</s:f>
        <s:v>46247.36667824074</s:v>
      </s:c>
    </s:row>
    <s:row r="49">
      <s:c r="A49" s="0" t="n">
        <s:v>260813</s:v>
      </s:c>
      <s:c r="B49" s="0" t="inlineStr">
        <s:is>
          <s:t>이종훈</s:t>
        </s:is>
      </s:c>
      <s:c r="C49" s="0" t="n">
        <s:v>84716</s:v>
      </s:c>
      <s:c r="D49" s="0" t="n">
        <s:v>1177</s:v>
      </s:c>
      <s:c r="F49" s="24">
        <s:f>'자료구성'!$B$2+TIME(INT($C$3/10000),INT(MOD($C$3,10000)/100),MOD($C$3,100))+(ROW()-ROW($C$3))/86400</s:f>
        <s:v>46247.366689814815</s:v>
      </s:c>
    </s:row>
    <s:row r="50">
      <s:c r="A50" s="0" t="n">
        <s:v>260813</s:v>
      </s:c>
      <s:c r="B50" s="0" t="inlineStr">
        <s:is>
          <s:t>이종훈</s:t>
        </s:is>
      </s:c>
      <s:c r="C50" s="0" t="n">
        <s:v>84716</s:v>
      </s:c>
      <s:c r="D50" s="0" t="n">
        <s:v>1176</s:v>
      </s:c>
      <s:c r="F50" s="24">
        <s:f>'자료구성'!$B$2+TIME(INT($C$3/10000),INT(MOD($C$3,10000)/100),MOD($C$3,100))+(ROW()-ROW($C$3))/86400</s:f>
        <s:v>46247.36670138889</s:v>
      </s:c>
    </s:row>
    <s:row r="51">
      <s:c r="A51" s="0" t="n">
        <s:v>260813</s:v>
      </s:c>
      <s:c r="B51" s="0" t="inlineStr">
        <s:is>
          <s:t>이종훈</s:t>
        </s:is>
      </s:c>
      <s:c r="C51" s="0" t="n">
        <s:v>84716</s:v>
      </s:c>
      <s:c r="D51" s="0" t="n">
        <s:v>1161</s:v>
      </s:c>
      <s:c r="F51" s="24">
        <s:f>'자료구성'!$B$2+TIME(INT($C$3/10000),INT(MOD($C$3,10000)/100),MOD($C$3,100))+(ROW()-ROW($C$3))/86400</s:f>
        <s:v>46247.36671296296</s:v>
      </s:c>
    </s:row>
    <s:row r="52">
      <s:c r="A52" s="0" t="n">
        <s:v>260813</s:v>
      </s:c>
      <s:c r="B52" s="0" t="inlineStr">
        <s:is>
          <s:t>이종훈</s:t>
        </s:is>
      </s:c>
      <s:c r="C52" s="0" t="n">
        <s:v>84716</s:v>
      </s:c>
      <s:c r="D52" s="0" t="n">
        <s:v>1172</s:v>
      </s:c>
      <s:c r="F52" s="24">
        <s:f>'자료구성'!$B$2+TIME(INT($C$3/10000),INT(MOD($C$3,10000)/100),MOD($C$3,100))+(ROW()-ROW($C$3))/86400</s:f>
        <s:v>46247.36672453704</s:v>
      </s:c>
    </s:row>
    <s:row r="53">
      <s:c r="A53" s="0" t="n">
        <s:v>260813</s:v>
      </s:c>
      <s:c r="B53" s="0" t="inlineStr">
        <s:is>
          <s:t>이종훈</s:t>
        </s:is>
      </s:c>
      <s:c r="C53" s="0" t="n">
        <s:v>84716</s:v>
      </s:c>
      <s:c r="D53" s="0" t="n">
        <s:v>1175</s:v>
      </s:c>
      <s:c r="F53" s="24">
        <s:f>'자료구성'!$B$2+TIME(INT($C$3/10000),INT(MOD($C$3,10000)/100),MOD($C$3,100))+(ROW()-ROW($C$3))/86400</s:f>
        <s:v>46247.366736111115</s:v>
      </s:c>
    </s:row>
    <s:row r="54">
      <s:c r="A54" s="0" t="n">
        <s:v>260813</s:v>
      </s:c>
      <s:c r="B54" s="0" t="inlineStr">
        <s:is>
          <s:t>이종훈</s:t>
        </s:is>
      </s:c>
      <s:c r="C54" s="0" t="n">
        <s:v>84716</s:v>
      </s:c>
      <s:c r="D54" s="0" t="n">
        <s:v>1187</s:v>
      </s:c>
      <s:c r="F54" s="24">
        <s:f>'자료구성'!$B$2+TIME(INT($C$3/10000),INT(MOD($C$3,10000)/100),MOD($C$3,100))+(ROW()-ROW($C$3))/86400</s:f>
        <s:v>46247.366747685184</s:v>
      </s:c>
    </s:row>
    <s:row r="55">
      <s:c r="A55" s="0" t="n">
        <s:v>260813</s:v>
      </s:c>
      <s:c r="B55" s="0" t="inlineStr">
        <s:is>
          <s:t>이종훈</s:t>
        </s:is>
      </s:c>
      <s:c r="C55" s="0" t="n">
        <s:v>84716</s:v>
      </s:c>
      <s:c r="D55" s="0" t="n">
        <s:v>1188</s:v>
      </s:c>
      <s:c r="F55" s="24">
        <s:f>'자료구성'!$B$2+TIME(INT($C$3/10000),INT(MOD($C$3,10000)/100),MOD($C$3,100))+(ROW()-ROW($C$3))/86400</s:f>
        <s:v>46247.36675925926</s:v>
      </s:c>
    </s:row>
    <s:row r="56">
      <s:c r="A56" s="0" t="n">
        <s:v>260813</s:v>
      </s:c>
      <s:c r="B56" s="0" t="inlineStr">
        <s:is>
          <s:t>이종훈</s:t>
        </s:is>
      </s:c>
      <s:c r="C56" s="0" t="n">
        <s:v>84716</s:v>
      </s:c>
      <s:c r="D56" s="0" t="n">
        <s:v>1156</s:v>
      </s:c>
      <s:c r="F56" s="24">
        <s:f>'자료구성'!$B$2+TIME(INT($C$3/10000),INT(MOD($C$3,10000)/100),MOD($C$3,100))+(ROW()-ROW($C$3))/86400</s:f>
        <s:v>46247.36677083333</s:v>
      </s:c>
    </s:row>
    <s:row r="57">
      <s:c r="A57" s="0" t="n">
        <s:v>260813</s:v>
      </s:c>
      <s:c r="B57" s="0" t="inlineStr">
        <s:is>
          <s:t>이종훈</s:t>
        </s:is>
      </s:c>
      <s:c r="C57" s="0" t="n">
        <s:v>84716</s:v>
      </s:c>
      <s:c r="D57" s="0" t="n">
        <s:v>1151</s:v>
      </s:c>
      <s:c r="F57" s="24">
        <s:f>'자료구성'!$B$2+TIME(INT($C$3/10000),INT(MOD($C$3,10000)/100),MOD($C$3,100))+(ROW()-ROW($C$3))/86400</s:f>
        <s:v>46247.36678240741</s:v>
      </s:c>
    </s:row>
    <s:row r="58">
      <s:c r="A58" s="0" t="n">
        <s:v>260813</s:v>
      </s:c>
      <s:c r="B58" s="0" t="inlineStr">
        <s:is>
          <s:t>이종훈</s:t>
        </s:is>
      </s:c>
      <s:c r="C58" s="0" t="n">
        <s:v>84716</s:v>
      </s:c>
      <s:c r="D58" s="0" t="n">
        <s:v>1158</s:v>
      </s:c>
      <s:c r="F58" s="24">
        <s:f>'자료구성'!$B$2+TIME(INT($C$3/10000),INT(MOD($C$3,10000)/100),MOD($C$3,100))+(ROW()-ROW($C$3))/86400</s:f>
        <s:v>46247.366793981484</s:v>
      </s:c>
    </s:row>
    <s:row r="59">
      <s:c r="A59" s="0" t="n">
        <s:v>260813</s:v>
      </s:c>
      <s:c r="B59" s="0" t="inlineStr">
        <s:is>
          <s:t>이종훈</s:t>
        </s:is>
      </s:c>
      <s:c r="C59" s="0" t="n">
        <s:v>84716</s:v>
      </s:c>
      <s:c r="D59" s="0" t="n">
        <s:v>1140</s:v>
      </s:c>
      <s:c r="F59" s="24">
        <s:f>'자료구성'!$B$2+TIME(INT($C$3/10000),INT(MOD($C$3,10000)/100),MOD($C$3,100))+(ROW()-ROW($C$3))/86400</s:f>
        <s:v>46247.36680555555</s:v>
      </s:c>
    </s:row>
    <s:row r="60">
      <s:c r="A60" s="0" t="n">
        <s:v>260813</s:v>
      </s:c>
      <s:c r="B60" s="0" t="inlineStr">
        <s:is>
          <s:t>이종훈</s:t>
        </s:is>
      </s:c>
      <s:c r="C60" s="0" t="n">
        <s:v>84716</s:v>
      </s:c>
      <s:c r="D60" s="0" t="n">
        <s:v>1137</s:v>
      </s:c>
      <s:c r="F60" s="24">
        <s:f>'자료구성'!$B$2+TIME(INT($C$3/10000),INT(MOD($C$3,10000)/100),MOD($C$3,100))+(ROW()-ROW($C$3))/86400</s:f>
        <s:v>46247.36681712963</s:v>
      </s:c>
    </s:row>
    <s:row r="61">
      <s:c r="A61" s="0" t="n">
        <s:v>260813</s:v>
      </s:c>
      <s:c r="B61" s="0" t="inlineStr">
        <s:is>
          <s:t>이종훈</s:t>
        </s:is>
      </s:c>
      <s:c r="C61" s="0" t="n">
        <s:v>84716</s:v>
      </s:c>
      <s:c r="D61" s="0" t="n">
        <s:v>1136</s:v>
      </s:c>
      <s:c r="F61" s="24">
        <s:f>'자료구성'!$B$2+TIME(INT($C$3/10000),INT(MOD($C$3,10000)/100),MOD($C$3,100))+(ROW()-ROW($C$3))/86400</s:f>
        <s:v>46247.36682870371</s:v>
      </s:c>
    </s:row>
    <s:row r="62">
      <s:c r="A62" s="0" t="n">
        <s:v>260813</s:v>
      </s:c>
      <s:c r="B62" s="0" t="inlineStr">
        <s:is>
          <s:t>이종훈</s:t>
        </s:is>
      </s:c>
      <s:c r="C62" s="0" t="n">
        <s:v>84716</s:v>
      </s:c>
      <s:c r="D62" s="0" t="n">
        <s:v>1134</s:v>
      </s:c>
      <s:c r="F62" s="24">
        <s:f>'자료구성'!$B$2+TIME(INT($C$3/10000),INT(MOD($C$3,10000)/100),MOD($C$3,100))+(ROW()-ROW($C$3))/86400</s:f>
        <s:v>46247.36684027778</s:v>
      </s:c>
    </s:row>
    <s:row r="63">
      <s:c r="A63" s="0" t="n">
        <s:v>260813</s:v>
      </s:c>
      <s:c r="B63" s="0" t="inlineStr">
        <s:is>
          <s:t>이종훈</s:t>
        </s:is>
      </s:c>
      <s:c r="C63" s="0" t="n">
        <s:v>84716</s:v>
      </s:c>
      <s:c r="D63" s="0" t="n">
        <s:v>1123</s:v>
      </s:c>
      <s:c r="F63" s="24">
        <s:f>'자료구성'!$B$2+TIME(INT($C$3/10000),INT(MOD($C$3,10000)/100),MOD($C$3,100))+(ROW()-ROW($C$3))/86400</s:f>
        <s:v>46247.36685185185</s:v>
      </s:c>
    </s:row>
    <s:row r="64">
      <s:c r="A64" s="0" t="n">
        <s:v>260813</s:v>
      </s:c>
      <s:c r="B64" s="0" t="inlineStr">
        <s:is>
          <s:t>이종훈</s:t>
        </s:is>
      </s:c>
      <s:c r="C64" s="0" t="n">
        <s:v>84716</s:v>
      </s:c>
      <s:c r="D64" s="0" t="n">
        <s:v>1123</s:v>
      </s:c>
      <s:c r="F64" s="24">
        <s:f>'자료구성'!$B$2+TIME(INT($C$3/10000),INT(MOD($C$3,10000)/100),MOD($C$3,100))+(ROW()-ROW($C$3))/86400</s:f>
        <s:v>46247.36686342592</s:v>
      </s:c>
    </s:row>
    <s:row r="65">
      <s:c r="A65" s="0" t="n">
        <s:v>260813</s:v>
      </s:c>
      <s:c r="B65" s="0" t="inlineStr">
        <s:is>
          <s:t>이종훈</s:t>
        </s:is>
      </s:c>
      <s:c r="C65" s="0" t="n">
        <s:v>84716</s:v>
      </s:c>
      <s:c r="D65" s="0" t="n">
        <s:v>1114</s:v>
      </s:c>
      <s:c r="F65" s="24">
        <s:f>'자료구성'!$B$2+TIME(INT($C$3/10000),INT(MOD($C$3,10000)/100),MOD($C$3,100))+(ROW()-ROW($C$3))/86400</s:f>
        <s:v>46247.366875</s:v>
      </s:c>
    </s:row>
    <s:row r="66">
      <s:c r="A66" s="0" t="n">
        <s:v>260813</s:v>
      </s:c>
      <s:c r="B66" s="0" t="inlineStr">
        <s:is>
          <s:t>이종훈</s:t>
        </s:is>
      </s:c>
      <s:c r="C66" s="0" t="n">
        <s:v>84716</s:v>
      </s:c>
      <s:c r="D66" s="0" t="n">
        <s:v>1118</s:v>
      </s:c>
      <s:c r="F66" s="24">
        <s:f>'자료구성'!$B$2+TIME(INT($C$3/10000),INT(MOD($C$3,10000)/100),MOD($C$3,100))+(ROW()-ROW($C$3))/86400</s:f>
        <s:v>46247.36688657408</s:v>
      </s:c>
    </s:row>
    <s:row r="67">
      <s:c r="A67" s="0" t="n">
        <s:v>260813</s:v>
      </s:c>
      <s:c r="B67" s="0" t="inlineStr">
        <s:is>
          <s:t>이종훈</s:t>
        </s:is>
      </s:c>
      <s:c r="C67" s="0" t="n">
        <s:v>84716</s:v>
      </s:c>
      <s:c r="D67" s="0" t="n">
        <s:v>1131</s:v>
      </s:c>
      <s:c r="F67" s="24">
        <s:f>'자료구성'!$B$2+TIME(INT($C$3/10000),INT(MOD($C$3,10000)/100),MOD($C$3,100))+(ROW()-ROW($C$3))/86400</s:f>
        <s:v>46247.366898148146</s:v>
      </s:c>
    </s:row>
    <s:row r="68">
      <s:c r="A68" s="0" t="n">
        <s:v>260813</s:v>
      </s:c>
      <s:c r="B68" s="0" t="inlineStr">
        <s:is>
          <s:t>이종훈</s:t>
        </s:is>
      </s:c>
      <s:c r="C68" s="0" t="n">
        <s:v>84716</s:v>
      </s:c>
      <s:c r="D68" s="0" t="n">
        <s:v>1124</s:v>
      </s:c>
      <s:c r="F68" s="24">
        <s:f>'자료구성'!$B$2+TIME(INT($C$3/10000),INT(MOD($C$3,10000)/100),MOD($C$3,100))+(ROW()-ROW($C$3))/86400</s:f>
        <s:v>46247.36690972222</s:v>
      </s:c>
    </s:row>
    <s:row r="69">
      <s:c r="A69" s="0" t="n">
        <s:v>260813</s:v>
      </s:c>
      <s:c r="B69" s="0" t="inlineStr">
        <s:is>
          <s:t>이종훈</s:t>
        </s:is>
      </s:c>
      <s:c r="C69" s="0" t="n">
        <s:v>84716</s:v>
      </s:c>
      <s:c r="D69" s="0" t="n">
        <s:v>1118</s:v>
      </s:c>
      <s:c r="F69" s="24">
        <s:f>'자료구성'!$B$2+TIME(INT($C$3/10000),INT(MOD($C$3,10000)/100),MOD($C$3,100))+(ROW()-ROW($C$3))/86400</s:f>
        <s:v>46247.3669212963</s:v>
      </s:c>
    </s:row>
    <s:row r="70">
      <s:c r="A70" s="0" t="n">
        <s:v>260813</s:v>
      </s:c>
      <s:c r="B70" s="0" t="inlineStr">
        <s:is>
          <s:t>이종훈</s:t>
        </s:is>
      </s:c>
      <s:c r="C70" s="0" t="n">
        <s:v>84716</s:v>
      </s:c>
      <s:c r="D70" s="0" t="n">
        <s:v>1098</s:v>
      </s:c>
      <s:c r="F70" s="24">
        <s:f>'자료구성'!$B$2+TIME(INT($C$3/10000),INT(MOD($C$3,10000)/100),MOD($C$3,100))+(ROW()-ROW($C$3))/86400</s:f>
        <s:v>46247.36693287037</s:v>
      </s:c>
    </s:row>
    <s:row r="71">
      <s:c r="A71" s="0" t="n">
        <s:v>260813</s:v>
      </s:c>
      <s:c r="B71" s="0" t="inlineStr">
        <s:is>
          <s:t>이종훈</s:t>
        </s:is>
      </s:c>
      <s:c r="C71" s="0" t="n">
        <s:v>84716</s:v>
      </s:c>
      <s:c r="D71" s="0" t="n">
        <s:v>1081</s:v>
      </s:c>
      <s:c r="F71" s="24">
        <s:f>'자료구성'!$B$2+TIME(INT($C$3/10000),INT(MOD($C$3,10000)/100),MOD($C$3,100))+(ROW()-ROW($C$3))/86400</s:f>
        <s:v>46247.366944444446</s:v>
      </s:c>
    </s:row>
    <s:row r="72">
      <s:c r="A72" s="0" t="n">
        <s:v>260813</s:v>
      </s:c>
      <s:c r="B72" s="0" t="inlineStr">
        <s:is>
          <s:t>이종훈</s:t>
        </s:is>
      </s:c>
      <s:c r="C72" s="0" t="n">
        <s:v>84716</s:v>
      </s:c>
      <s:c r="D72" s="0" t="n">
        <s:v>1081</s:v>
      </s:c>
      <s:c r="F72" s="24">
        <s:f>'자료구성'!$B$2+TIME(INT($C$3/10000),INT(MOD($C$3,10000)/100),MOD($C$3,100))+(ROW()-ROW($C$3))/86400</s:f>
        <s:v>46247.366956018515</s:v>
      </s:c>
    </s:row>
    <s:row r="73">
      <s:c r="A73" s="0" t="n">
        <s:v>260813</s:v>
      </s:c>
      <s:c r="B73" s="0" t="inlineStr">
        <s:is>
          <s:t>이종훈</s:t>
        </s:is>
      </s:c>
      <s:c r="C73" s="0" t="n">
        <s:v>84716</s:v>
      </s:c>
      <s:c r="D73" s="0" t="n">
        <s:v>1084</s:v>
      </s:c>
      <s:c r="F73" s="24">
        <s:f>'자료구성'!$B$2+TIME(INT($C$3/10000),INT(MOD($C$3,10000)/100),MOD($C$3,100))+(ROW()-ROW($C$3))/86400</s:f>
        <s:v>46247.36696759259</s:v>
      </s:c>
    </s:row>
    <s:row r="74">
      <s:c r="A74" s="0" t="n">
        <s:v>260813</s:v>
      </s:c>
      <s:c r="B74" s="0" t="inlineStr">
        <s:is>
          <s:t>이종훈</s:t>
        </s:is>
      </s:c>
      <s:c r="C74" s="0" t="n">
        <s:v>84716</s:v>
      </s:c>
      <s:c r="D74" s="0" t="n">
        <s:v>1083</s:v>
      </s:c>
      <s:c r="F74" s="24">
        <s:f>'자료구성'!$B$2+TIME(INT($C$3/10000),INT(MOD($C$3,10000)/100),MOD($C$3,100))+(ROW()-ROW($C$3))/86400</s:f>
        <s:v>46247.36697916667</s:v>
      </s:c>
    </s:row>
    <s:row r="75">
      <s:c r="A75" s="0" t="n">
        <s:v>260813</s:v>
      </s:c>
      <s:c r="B75" s="0" t="inlineStr">
        <s:is>
          <s:t>이종훈</s:t>
        </s:is>
      </s:c>
      <s:c r="C75" s="0" t="n">
        <s:v>84716</s:v>
      </s:c>
      <s:c r="D75" s="0" t="n">
        <s:v>1108</s:v>
      </s:c>
      <s:c r="F75" s="24">
        <s:f>'자료구성'!$B$2+TIME(INT($C$3/10000),INT(MOD($C$3,10000)/100),MOD($C$3,100))+(ROW()-ROW($C$3))/86400</s:f>
        <s:v>46247.36699074074</s:v>
      </s:c>
    </s:row>
    <s:row r="76">
      <s:c r="A76" s="0" t="n">
        <s:v>260813</s:v>
      </s:c>
      <s:c r="B76" s="0" t="inlineStr">
        <s:is>
          <s:t>이종훈</s:t>
        </s:is>
      </s:c>
      <s:c r="C76" s="0" t="n">
        <s:v>84716</s:v>
      </s:c>
      <s:c r="D76" s="0" t="n">
        <s:v>1137</s:v>
      </s:c>
      <s:c r="F76" s="24">
        <s:f>'자료구성'!$B$2+TIME(INT($C$3/10000),INT(MOD($C$3,10000)/100),MOD($C$3,100))+(ROW()-ROW($C$3))/86400</s:f>
        <s:v>46247.367002314815</s:v>
      </s:c>
    </s:row>
    <s:row r="77">
      <s:c r="A77" s="0" t="n">
        <s:v>260813</s:v>
      </s:c>
      <s:c r="B77" s="0" t="inlineStr">
        <s:is>
          <s:t>이종훈</s:t>
        </s:is>
      </s:c>
      <s:c r="C77" s="0" t="n">
        <s:v>84716</s:v>
      </s:c>
      <s:c r="D77" s="0" t="n">
        <s:v>1152</s:v>
      </s:c>
      <s:c r="F77" s="24">
        <s:f>'자료구성'!$B$2+TIME(INT($C$3/10000),INT(MOD($C$3,10000)/100),MOD($C$3,100))+(ROW()-ROW($C$3))/86400</s:f>
        <s:v>46247.36701388889</s:v>
      </s:c>
    </s:row>
    <s:row r="78">
      <s:c r="A78" s="0" t="n">
        <s:v>260813</s:v>
      </s:c>
      <s:c r="B78" s="0" t="inlineStr">
        <s:is>
          <s:t>이종훈</s:t>
        </s:is>
      </s:c>
      <s:c r="C78" s="0" t="n">
        <s:v>84716</s:v>
      </s:c>
      <s:c r="D78" s="0" t="n">
        <s:v>1168</s:v>
      </s:c>
      <s:c r="F78" s="24">
        <s:f>'자료구성'!$B$2+TIME(INT($C$3/10000),INT(MOD($C$3,10000)/100),MOD($C$3,100))+(ROW()-ROW($C$3))/86400</s:f>
        <s:v>46247.36702546296</s:v>
      </s:c>
    </s:row>
    <s:row r="79">
      <s:c r="A79" s="0" t="n">
        <s:v>260813</s:v>
      </s:c>
      <s:c r="B79" s="0" t="inlineStr">
        <s:is>
          <s:t>이종훈</s:t>
        </s:is>
      </s:c>
      <s:c r="C79" s="0" t="n">
        <s:v>84716</s:v>
      </s:c>
      <s:c r="D79" s="0" t="n">
        <s:v>1175</s:v>
      </s:c>
      <s:c r="F79" s="24">
        <s:f>'자료구성'!$B$2+TIME(INT($C$3/10000),INT(MOD($C$3,10000)/100),MOD($C$3,100))+(ROW()-ROW($C$3))/86400</s:f>
        <s:v>46247.36703703704</s:v>
      </s:c>
    </s:row>
    <s:row r="80">
      <s:c r="A80" s="0" t="n">
        <s:v>260813</s:v>
      </s:c>
      <s:c r="B80" s="0" t="inlineStr">
        <s:is>
          <s:t>이종훈</s:t>
        </s:is>
      </s:c>
      <s:c r="C80" s="0" t="n">
        <s:v>84716</s:v>
      </s:c>
      <s:c r="D80" s="0" t="n">
        <s:v>1181</s:v>
      </s:c>
      <s:c r="F80" s="24">
        <s:f>'자료구성'!$B$2+TIME(INT($C$3/10000),INT(MOD($C$3,10000)/100),MOD($C$3,100))+(ROW()-ROW($C$3))/86400</s:f>
        <s:v>46247.36704861111</s:v>
      </s:c>
    </s:row>
    <s:row r="81">
      <s:c r="A81" s="0" t="n">
        <s:v>260813</s:v>
      </s:c>
      <s:c r="B81" s="0" t="inlineStr">
        <s:is>
          <s:t>이종훈</s:t>
        </s:is>
      </s:c>
      <s:c r="C81" s="0" t="n">
        <s:v>84716</s:v>
      </s:c>
      <s:c r="D81" s="0" t="n">
        <s:v>1188</s:v>
      </s:c>
      <s:c r="F81" s="24">
        <s:f>'자료구성'!$B$2+TIME(INT($C$3/10000),INT(MOD($C$3,10000)/100),MOD($C$3,100))+(ROW()-ROW($C$3))/86400</s:f>
        <s:v>46247.367060185185</s:v>
      </s:c>
    </s:row>
    <s:row r="82">
      <s:c r="A82" s="0" t="n">
        <s:v>260813</s:v>
      </s:c>
      <s:c r="B82" s="0" t="inlineStr">
        <s:is>
          <s:t>이종훈</s:t>
        </s:is>
      </s:c>
      <s:c r="C82" s="0" t="n">
        <s:v>84716</s:v>
      </s:c>
      <s:c r="D82" s="0" t="n">
        <s:v>1195</s:v>
      </s:c>
      <s:c r="F82" s="24">
        <s:f>'자료구성'!$B$2+TIME(INT($C$3/10000),INT(MOD($C$3,10000)/100),MOD($C$3,100))+(ROW()-ROW($C$3))/86400</s:f>
        <s:v>46247.36707175926</s:v>
      </s:c>
    </s:row>
    <s:row r="83">
      <s:c r="A83" s="0" t="n">
        <s:v>260813</s:v>
      </s:c>
      <s:c r="B83" s="0" t="inlineStr">
        <s:is>
          <s:t>이종훈</s:t>
        </s:is>
      </s:c>
      <s:c r="C83" s="0" t="n">
        <s:v>84716</s:v>
      </s:c>
      <s:c r="D83" s="0" t="n">
        <s:v>1181</s:v>
      </s:c>
      <s:c r="F83" s="24">
        <s:f>'자료구성'!$B$2+TIME(INT($C$3/10000),INT(MOD($C$3,10000)/100),MOD($C$3,100))+(ROW()-ROW($C$3))/86400</s:f>
        <s:v>46247.36708333333</s:v>
      </s:c>
    </s:row>
    <s:row r="84">
      <s:c r="A84" s="0" t="n">
        <s:v>260813</s:v>
      </s:c>
      <s:c r="B84" s="0" t="inlineStr">
        <s:is>
          <s:t>이종훈</s:t>
        </s:is>
      </s:c>
      <s:c r="C84" s="0" t="n">
        <s:v>84716</s:v>
      </s:c>
      <s:c r="D84" s="0" t="n">
        <s:v>1173</s:v>
      </s:c>
      <s:c r="F84" s="24">
        <s:f>'자료구성'!$B$2+TIME(INT($C$3/10000),INT(MOD($C$3,10000)/100),MOD($C$3,100))+(ROW()-ROW($C$3))/86400</s:f>
        <s:v>46247.36709490741</s:v>
      </s:c>
    </s:row>
    <s:row r="85">
      <s:c r="A85" s="0" t="n">
        <s:v>260813</s:v>
      </s:c>
      <s:c r="B85" s="0" t="inlineStr">
        <s:is>
          <s:t>이종훈</s:t>
        </s:is>
      </s:c>
      <s:c r="C85" s="0" t="n">
        <s:v>84716</s:v>
      </s:c>
      <s:c r="D85" s="0" t="n">
        <s:v>1197</s:v>
      </s:c>
      <s:c r="F85" s="24">
        <s:f>'자료구성'!$B$2+TIME(INT($C$3/10000),INT(MOD($C$3,10000)/100),MOD($C$3,100))+(ROW()-ROW($C$3))/86400</s:f>
        <s:v>46247.367106481484</s:v>
      </s:c>
    </s:row>
    <s:row r="86">
      <s:c r="A86" s="0" t="n">
        <s:v>260813</s:v>
      </s:c>
      <s:c r="B86" s="0" t="inlineStr">
        <s:is>
          <s:t>이종훈</s:t>
        </s:is>
      </s:c>
      <s:c r="C86" s="0" t="n">
        <s:v>84716</s:v>
      </s:c>
      <s:c r="D86" s="0" t="n">
        <s:v>1189</s:v>
      </s:c>
      <s:c r="F86" s="24">
        <s:f>'자료구성'!$B$2+TIME(INT($C$3/10000),INT(MOD($C$3,10000)/100),MOD($C$3,100))+(ROW()-ROW($C$3))/86400</s:f>
        <s:v>46247.367118055554</s:v>
      </s:c>
    </s:row>
    <s:row r="87">
      <s:c r="A87" s="0" t="n">
        <s:v>260813</s:v>
      </s:c>
      <s:c r="B87" s="0" t="inlineStr">
        <s:is>
          <s:t>이종훈</s:t>
        </s:is>
      </s:c>
      <s:c r="C87" s="0" t="n">
        <s:v>84716</s:v>
      </s:c>
      <s:c r="D87" s="0" t="n">
        <s:v>1190</s:v>
      </s:c>
      <s:c r="F87" s="24">
        <s:f>'자료구성'!$B$2+TIME(INT($C$3/10000),INT(MOD($C$3,10000)/100),MOD($C$3,100))+(ROW()-ROW($C$3))/86400</s:f>
        <s:v>46247.36712962963</s:v>
      </s:c>
    </s:row>
    <s:row r="88">
      <s:c r="A88" s="0" t="n">
        <s:v>260813</s:v>
      </s:c>
      <s:c r="B88" s="0" t="inlineStr">
        <s:is>
          <s:t>이종훈</s:t>
        </s:is>
      </s:c>
      <s:c r="C88" s="0" t="n">
        <s:v>84716</s:v>
      </s:c>
      <s:c r="D88" s="0" t="n">
        <s:v>1189</s:v>
      </s:c>
      <s:c r="F88" s="24">
        <s:f>'자료구성'!$B$2+TIME(INT($C$3/10000),INT(MOD($C$3,10000)/100),MOD($C$3,100))+(ROW()-ROW($C$3))/86400</s:f>
        <s:v>46247.3671412037</s:v>
      </s:c>
    </s:row>
    <s:row r="89">
      <s:c r="A89" s="0" t="n">
        <s:v>260813</s:v>
      </s:c>
      <s:c r="B89" s="0" t="inlineStr">
        <s:is>
          <s:t>이종훈</s:t>
        </s:is>
      </s:c>
      <s:c r="C89" s="0" t="n">
        <s:v>84716</s:v>
      </s:c>
      <s:c r="D89" s="0" t="n">
        <s:v>1176</s:v>
      </s:c>
      <s:c r="F89" s="24">
        <s:f>'자료구성'!$B$2+TIME(INT($C$3/10000),INT(MOD($C$3,10000)/100),MOD($C$3,100))+(ROW()-ROW($C$3))/86400</s:f>
        <s:v>46247.36715277778</s:v>
      </s:c>
    </s:row>
    <s:row r="90">
      <s:c r="A90" s="0" t="n">
        <s:v>260813</s:v>
      </s:c>
      <s:c r="B90" s="0" t="inlineStr">
        <s:is>
          <s:t>이종훈</s:t>
        </s:is>
      </s:c>
      <s:c r="C90" s="0" t="n">
        <s:v>84716</s:v>
      </s:c>
      <s:c r="D90" s="0" t="n">
        <s:v>1171</s:v>
      </s:c>
      <s:c r="F90" s="24">
        <s:f>'자료구성'!$B$2+TIME(INT($C$3/10000),INT(MOD($C$3,10000)/100),MOD($C$3,100))+(ROW()-ROW($C$3))/86400</s:f>
        <s:v>46247.367164351854</s:v>
      </s:c>
    </s:row>
    <s:row r="91">
      <s:c r="A91" s="0" t="n">
        <s:v>260813</s:v>
      </s:c>
      <s:c r="B91" s="0" t="inlineStr">
        <s:is>
          <s:t>이종훈</s:t>
        </s:is>
      </s:c>
      <s:c r="C91" s="0" t="n">
        <s:v>84716</s:v>
      </s:c>
      <s:c r="D91" s="0" t="n">
        <s:v>1167</s:v>
      </s:c>
      <s:c r="F91" s="24">
        <s:f>'자료구성'!$B$2+TIME(INT($C$3/10000),INT(MOD($C$3,10000)/100),MOD($C$3,100))+(ROW()-ROW($C$3))/86400</s:f>
        <s:v>46247.36717592592</s:v>
      </s:c>
    </s:row>
    <s:row r="92">
      <s:c r="A92" s="0" t="n">
        <s:v>260813</s:v>
      </s:c>
      <s:c r="B92" s="0" t="inlineStr">
        <s:is>
          <s:t>이종훈</s:t>
        </s:is>
      </s:c>
      <s:c r="C92" s="0" t="n">
        <s:v>84716</s:v>
      </s:c>
      <s:c r="D92" s="0" t="n">
        <s:v>1168</s:v>
      </s:c>
      <s:c r="F92" s="24">
        <s:f>'자료구성'!$B$2+TIME(INT($C$3/10000),INT(MOD($C$3,10000)/100),MOD($C$3,100))+(ROW()-ROW($C$3))/86400</s:f>
        <s:v>46247.3671875</s:v>
      </s:c>
    </s:row>
    <s:row r="93">
      <s:c r="A93" s="0" t="n">
        <s:v>260813</s:v>
      </s:c>
      <s:c r="B93" s="0" t="inlineStr">
        <s:is>
          <s:t>이종훈</s:t>
        </s:is>
      </s:c>
      <s:c r="C93" s="0" t="n">
        <s:v>84716</s:v>
      </s:c>
      <s:c r="D93" s="0" t="n">
        <s:v>1134</s:v>
      </s:c>
      <s:c r="F93" s="24">
        <s:f>'자료구성'!$B$2+TIME(INT($C$3/10000),INT(MOD($C$3,10000)/100),MOD($C$3,100))+(ROW()-ROW($C$3))/86400</s:f>
        <s:v>46247.36719907408</s:v>
      </s:c>
    </s:row>
    <s:row r="94">
      <s:c r="A94" s="0" t="n">
        <s:v>260813</s:v>
      </s:c>
      <s:c r="B94" s="0" t="inlineStr">
        <s:is>
          <s:t>이종훈</s:t>
        </s:is>
      </s:c>
      <s:c r="C94" s="0" t="n">
        <s:v>84716</s:v>
      </s:c>
      <s:c r="D94" s="0" t="n">
        <s:v>1137</s:v>
      </s:c>
      <s:c r="F94" s="24">
        <s:f>'자료구성'!$B$2+TIME(INT($C$3/10000),INT(MOD($C$3,10000)/100),MOD($C$3,100))+(ROW()-ROW($C$3))/86400</s:f>
        <s:v>46247.367210648146</s:v>
      </s:c>
    </s:row>
    <s:row r="95">
      <s:c r="A95" s="0" t="n">
        <s:v>260813</s:v>
      </s:c>
      <s:c r="B95" s="0" t="inlineStr">
        <s:is>
          <s:t>이종훈</s:t>
        </s:is>
      </s:c>
      <s:c r="C95" s="0" t="n">
        <s:v>84716</s:v>
      </s:c>
      <s:c r="D95" s="0" t="n">
        <s:v>1137</s:v>
      </s:c>
      <s:c r="F95" s="24">
        <s:f>'자료구성'!$B$2+TIME(INT($C$3/10000),INT(MOD($C$3,10000)/100),MOD($C$3,100))+(ROW()-ROW($C$3))/86400</s:f>
        <s:v>46247.36722222222</s:v>
      </s:c>
    </s:row>
    <s:row r="96">
      <s:c r="A96" s="0" t="n">
        <s:v>260813</s:v>
      </s:c>
      <s:c r="B96" s="0" t="inlineStr">
        <s:is>
          <s:t>이종훈</s:t>
        </s:is>
      </s:c>
      <s:c r="C96" s="0" t="n">
        <s:v>84716</s:v>
      </s:c>
      <s:c r="D96" s="0" t="n">
        <s:v>1177</s:v>
      </s:c>
      <s:c r="F96" s="24">
        <s:f>'자료구성'!$B$2+TIME(INT($C$3/10000),INT(MOD($C$3,10000)/100),MOD($C$3,100))+(ROW()-ROW($C$3))/86400</s:f>
        <s:v>46247.3672337963</s:v>
      </s:c>
    </s:row>
    <s:row r="97">
      <s:c r="A97" s="0" t="n">
        <s:v>260813</s:v>
      </s:c>
      <s:c r="B97" s="0" t="inlineStr">
        <s:is>
          <s:t>이종훈</s:t>
        </s:is>
      </s:c>
      <s:c r="C97" s="0" t="n">
        <s:v>84716</s:v>
      </s:c>
      <s:c r="D97" s="0" t="n">
        <s:v>1203</s:v>
      </s:c>
      <s:c r="F97" s="24">
        <s:f>'자료구성'!$B$2+TIME(INT($C$3/10000),INT(MOD($C$3,10000)/100),MOD($C$3,100))+(ROW()-ROW($C$3))/86400</s:f>
        <s:v>46247.36724537037</s:v>
      </s:c>
    </s:row>
    <s:row r="98">
      <s:c r="A98" s="0" t="n">
        <s:v>260813</s:v>
      </s:c>
      <s:c r="B98" s="0" t="inlineStr">
        <s:is>
          <s:t>이종훈</s:t>
        </s:is>
      </s:c>
      <s:c r="C98" s="0" t="n">
        <s:v>84716</s:v>
      </s:c>
      <s:c r="D98" s="0" t="n">
        <s:v>1193</s:v>
      </s:c>
      <s:c r="F98" s="24">
        <s:f>'자료구성'!$B$2+TIME(INT($C$3/10000),INT(MOD($C$3,10000)/100),MOD($C$3,100))+(ROW()-ROW($C$3))/86400</s:f>
        <s:v>46247.367256944446</s:v>
      </s:c>
    </s:row>
    <s:row r="99">
      <s:c r="A99" s="0" t="n">
        <s:v>260813</s:v>
      </s:c>
      <s:c r="B99" s="0" t="inlineStr">
        <s:is>
          <s:t>이종훈</s:t>
        </s:is>
      </s:c>
      <s:c r="C99" s="0" t="n">
        <s:v>84716</s:v>
      </s:c>
      <s:c r="D99" s="0" t="n">
        <s:v>1200</s:v>
      </s:c>
      <s:c r="F99" s="24">
        <s:f>'자료구성'!$B$2+TIME(INT($C$3/10000),INT(MOD($C$3,10000)/100),MOD($C$3,100))+(ROW()-ROW($C$3))/86400</s:f>
        <s:v>46247.367268518516</s:v>
      </s:c>
    </s:row>
    <s:row r="100">
      <s:c r="A100" s="0" t="n">
        <s:v>260813</s:v>
      </s:c>
      <s:c r="B100" s="0" t="inlineStr">
        <s:is>
          <s:t>이종훈</s:t>
        </s:is>
      </s:c>
      <s:c r="C100" s="0" t="n">
        <s:v>84716</s:v>
      </s:c>
      <s:c r="D100" s="0" t="n">
        <s:v>1199</s:v>
      </s:c>
      <s:c r="F100" s="24">
        <s:f>'자료구성'!$B$2+TIME(INT($C$3/10000),INT(MOD($C$3,10000)/100),MOD($C$3,100))+(ROW()-ROW($C$3))/86400</s:f>
        <s:v>46247.36728009259</s:v>
      </s:c>
    </s:row>
    <s:row r="101">
      <s:c r="A101" s="0" t="n">
        <s:v>260813</s:v>
      </s:c>
      <s:c r="B101" s="0" t="inlineStr">
        <s:is>
          <s:t>이종훈</s:t>
        </s:is>
      </s:c>
      <s:c r="C101" s="0" t="n">
        <s:v>84716</s:v>
      </s:c>
      <s:c r="D101" s="0" t="n">
        <s:v>1197</s:v>
      </s:c>
      <s:c r="F101" s="24">
        <s:f>'자료구성'!$B$2+TIME(INT($C$3/10000),INT(MOD($C$3,10000)/100),MOD($C$3,100))+(ROW()-ROW($C$3))/86400</s:f>
        <s:v>46247.36729166667</s:v>
      </s:c>
    </s:row>
    <s:row r="102">
      <s:c r="A102" s="0" t="n">
        <s:v>260813</s:v>
      </s:c>
      <s:c r="B102" s="0" t="inlineStr">
        <s:is>
          <s:t>이종훈</s:t>
        </s:is>
      </s:c>
      <s:c r="C102" s="0" t="n">
        <s:v>84716</s:v>
      </s:c>
      <s:c r="D102" s="0" t="n">
        <s:v>1210</s:v>
      </s:c>
      <s:c r="F102" s="24">
        <s:f>'자료구성'!$B$2+TIME(INT($C$3/10000),INT(MOD($C$3,10000)/100),MOD($C$3,100))+(ROW()-ROW($C$3))/86400</s:f>
        <s:v>46247.36730324074</s:v>
      </s:c>
    </s:row>
    <s:row r="103">
      <s:c r="A103" s="0" t="n">
        <s:v>260813</s:v>
      </s:c>
      <s:c r="B103" s="0" t="inlineStr">
        <s:is>
          <s:t>이종훈</s:t>
        </s:is>
      </s:c>
      <s:c r="C103" s="0" t="n">
        <s:v>84716</s:v>
      </s:c>
      <s:c r="D103" s="0" t="n">
        <s:v>1230</s:v>
      </s:c>
      <s:c r="F103" s="24">
        <s:f>'자료구성'!$B$2+TIME(INT($C$3/10000),INT(MOD($C$3,10000)/100),MOD($C$3,100))+(ROW()-ROW($C$3))/86400</s:f>
        <s:v>46247.367314814815</s:v>
      </s:c>
    </s:row>
    <s:row r="104">
      <s:c r="A104" s="0" t="n">
        <s:v>260813</s:v>
      </s:c>
      <s:c r="B104" s="0" t="inlineStr">
        <s:is>
          <s:t>이종훈</s:t>
        </s:is>
      </s:c>
      <s:c r="C104" s="0" t="n">
        <s:v>84716</s:v>
      </s:c>
      <s:c r="D104" s="0" t="n">
        <s:v>1242</s:v>
      </s:c>
      <s:c r="F104" s="24">
        <s:f>'자료구성'!$B$2+TIME(INT($C$3/10000),INT(MOD($C$3,10000)/100),MOD($C$3,100))+(ROW()-ROW($C$3))/86400</s:f>
        <s:v>46247.36732638889</s:v>
      </s:c>
    </s:row>
    <s:row r="105">
      <s:c r="A105" s="0" t="n">
        <s:v>260813</s:v>
      </s:c>
      <s:c r="B105" s="0" t="inlineStr">
        <s:is>
          <s:t>이종훈</s:t>
        </s:is>
      </s:c>
      <s:c r="C105" s="0" t="n">
        <s:v>84716</s:v>
      </s:c>
      <s:c r="D105" s="0" t="n">
        <s:v>1265</s:v>
      </s:c>
      <s:c r="F105" s="24">
        <s:f>'자료구성'!$B$2+TIME(INT($C$3/10000),INT(MOD($C$3,10000)/100),MOD($C$3,100))+(ROW()-ROW($C$3))/86400</s:f>
        <s:v>46247.36733796296</s:v>
      </s:c>
    </s:row>
    <s:row r="106">
      <s:c r="A106" s="0" t="n">
        <s:v>260813</s:v>
      </s:c>
      <s:c r="B106" s="0" t="inlineStr">
        <s:is>
          <s:t>이종훈</s:t>
        </s:is>
      </s:c>
      <s:c r="C106" s="0" t="n">
        <s:v>84716</s:v>
      </s:c>
      <s:c r="D106" s="0" t="n">
        <s:v>1292</s:v>
      </s:c>
      <s:c r="F106" s="24">
        <s:f>'자료구성'!$B$2+TIME(INT($C$3/10000),INT(MOD($C$3,10000)/100),MOD($C$3,100))+(ROW()-ROW($C$3))/86400</s:f>
        <s:v>46247.36734953704</s:v>
      </s:c>
    </s:row>
    <s:row r="107">
      <s:c r="A107" s="0" t="n">
        <s:v>260813</s:v>
      </s:c>
      <s:c r="B107" s="0" t="inlineStr">
        <s:is>
          <s:t>이종훈</s:t>
        </s:is>
      </s:c>
      <s:c r="C107" s="0" t="n">
        <s:v>84716</s:v>
      </s:c>
      <s:c r="D107" s="0" t="n">
        <s:v>1298</s:v>
      </s:c>
      <s:c r="F107" s="24">
        <s:f>'자료구성'!$B$2+TIME(INT($C$3/10000),INT(MOD($C$3,10000)/100),MOD($C$3,100))+(ROW()-ROW($C$3))/86400</s:f>
        <s:v>46247.36736111111</s:v>
      </s:c>
    </s:row>
    <s:row r="108">
      <s:c r="A108" s="0" t="n">
        <s:v>260813</s:v>
      </s:c>
      <s:c r="B108" s="0" t="inlineStr">
        <s:is>
          <s:t>이종훈</s:t>
        </s:is>
      </s:c>
      <s:c r="C108" s="0" t="n">
        <s:v>84716</s:v>
      </s:c>
      <s:c r="D108" s="0" t="n">
        <s:v>1300</s:v>
      </s:c>
      <s:c r="F108" s="24">
        <s:f>'자료구성'!$B$2+TIME(INT($C$3/10000),INT(MOD($C$3,10000)/100),MOD($C$3,100))+(ROW()-ROW($C$3))/86400</s:f>
        <s:v>46247.367372685185</s:v>
      </s:c>
    </s:row>
    <s:row r="109">
      <s:c r="A109" s="0" t="n">
        <s:v>260813</s:v>
      </s:c>
      <s:c r="B109" s="0" t="inlineStr">
        <s:is>
          <s:t>이종훈</s:t>
        </s:is>
      </s:c>
      <s:c r="C109" s="0" t="n">
        <s:v>84716</s:v>
      </s:c>
      <s:c r="D109" s="0" t="n">
        <s:v>1307</s:v>
      </s:c>
      <s:c r="F109" s="24">
        <s:f>'자료구성'!$B$2+TIME(INT($C$3/10000),INT(MOD($C$3,10000)/100),MOD($C$3,100))+(ROW()-ROW($C$3))/86400</s:f>
        <s:v>46247.36738425926</s:v>
      </s:c>
    </s:row>
    <s:row r="110">
      <s:c r="A110" s="0" t="n">
        <s:v>260813</s:v>
      </s:c>
      <s:c r="B110" s="0" t="inlineStr">
        <s:is>
          <s:t>이종훈</s:t>
        </s:is>
      </s:c>
      <s:c r="C110" s="0" t="n">
        <s:v>84716</s:v>
      </s:c>
      <s:c r="D110" s="0" t="n">
        <s:v>1313</s:v>
      </s:c>
      <s:c r="F110" s="24">
        <s:f>'자료구성'!$B$2+TIME(INT($C$3/10000),INT(MOD($C$3,10000)/100),MOD($C$3,100))+(ROW()-ROW($C$3))/86400</s:f>
        <s:v>46247.36739583333</s:v>
      </s:c>
    </s:row>
    <s:row r="111">
      <s:c r="A111" s="0" t="n">
        <s:v>260813</s:v>
      </s:c>
      <s:c r="B111" s="0" t="inlineStr">
        <s:is>
          <s:t>이종훈</s:t>
        </s:is>
      </s:c>
      <s:c r="C111" s="0" t="n">
        <s:v>84716</s:v>
      </s:c>
      <s:c r="D111" s="0" t="n">
        <s:v>1326</s:v>
      </s:c>
      <s:c r="F111" s="24">
        <s:f>'자료구성'!$B$2+TIME(INT($C$3/10000),INT(MOD($C$3,10000)/100),MOD($C$3,100))+(ROW()-ROW($C$3))/86400</s:f>
        <s:v>46247.36740740741</s:v>
      </s:c>
    </s:row>
    <s:row r="112">
      <s:c r="A112" s="0" t="n">
        <s:v>260813</s:v>
      </s:c>
      <s:c r="B112" s="0" t="inlineStr">
        <s:is>
          <s:t>이종훈</s:t>
        </s:is>
      </s:c>
      <s:c r="C112" s="0" t="n">
        <s:v>84716</s:v>
      </s:c>
      <s:c r="D112" s="0" t="n">
        <s:v>1352</s:v>
      </s:c>
      <s:c r="F112" s="24">
        <s:f>'자료구성'!$B$2+TIME(INT($C$3/10000),INT(MOD($C$3,10000)/100),MOD($C$3,100))+(ROW()-ROW($C$3))/86400</s:f>
        <s:v>46247.367418981485</s:v>
      </s:c>
    </s:row>
    <s:row r="113">
      <s:c r="A113" s="0" t="n">
        <s:v>260813</s:v>
      </s:c>
      <s:c r="B113" s="0" t="inlineStr">
        <s:is>
          <s:t>이종훈</s:t>
        </s:is>
      </s:c>
      <s:c r="C113" s="0" t="n">
        <s:v>84716</s:v>
      </s:c>
      <s:c r="D113" s="0" t="n">
        <s:v>1346</s:v>
      </s:c>
      <s:c r="F113" s="24">
        <s:f>'자료구성'!$B$2+TIME(INT($C$3/10000),INT(MOD($C$3,10000)/100),MOD($C$3,100))+(ROW()-ROW($C$3))/86400</s:f>
        <s:v>46247.367430555554</s:v>
      </s:c>
    </s:row>
    <s:row r="114">
      <s:c r="A114" s="0" t="n">
        <s:v>260813</s:v>
      </s:c>
      <s:c r="B114" s="0" t="inlineStr">
        <s:is>
          <s:t>이종훈</s:t>
        </s:is>
      </s:c>
      <s:c r="C114" s="0" t="n">
        <s:v>84716</s:v>
      </s:c>
      <s:c r="D114" s="0" t="n">
        <s:v>1358</s:v>
      </s:c>
      <s:c r="F114" s="24">
        <s:f>'자료구성'!$B$2+TIME(INT($C$3/10000),INT(MOD($C$3,10000)/100),MOD($C$3,100))+(ROW()-ROW($C$3))/86400</s:f>
        <s:v>46247.36744212963</s:v>
      </s:c>
    </s:row>
    <s:row r="115">
      <s:c r="A115" s="0" t="n">
        <s:v>260813</s:v>
      </s:c>
      <s:c r="B115" s="0" t="inlineStr">
        <s:is>
          <s:t>이종훈</s:t>
        </s:is>
      </s:c>
      <s:c r="C115" s="0" t="n">
        <s:v>84716</s:v>
      </s:c>
      <s:c r="D115" s="0" t="n">
        <s:v>1365</s:v>
      </s:c>
      <s:c r="F115" s="24">
        <s:f>'자료구성'!$B$2+TIME(INT($C$3/10000),INT(MOD($C$3,10000)/100),MOD($C$3,100))+(ROW()-ROW($C$3))/86400</s:f>
        <s:v>46247.3674537037</s:v>
      </s:c>
    </s:row>
    <s:row r="116">
      <s:c r="A116" s="0" t="n">
        <s:v>260813</s:v>
      </s:c>
      <s:c r="B116" s="0" t="inlineStr">
        <s:is>
          <s:t>이종훈</s:t>
        </s:is>
      </s:c>
      <s:c r="C116" s="0" t="n">
        <s:v>84716</s:v>
      </s:c>
      <s:c r="D116" s="0" t="n">
        <s:v>1360</s:v>
      </s:c>
      <s:c r="F116" s="24">
        <s:f>'자료구성'!$B$2+TIME(INT($C$3/10000),INT(MOD($C$3,10000)/100),MOD($C$3,100))+(ROW()-ROW($C$3))/86400</s:f>
        <s:v>46247.36746527778</s:v>
      </s:c>
    </s:row>
    <s:row r="117">
      <s:c r="A117" s="0" t="n">
        <s:v>260813</s:v>
      </s:c>
      <s:c r="B117" s="0" t="inlineStr">
        <s:is>
          <s:t>이종훈</s:t>
        </s:is>
      </s:c>
      <s:c r="C117" s="0" t="n">
        <s:v>84716</s:v>
      </s:c>
      <s:c r="D117" s="0" t="n">
        <s:v>1356</s:v>
      </s:c>
      <s:c r="F117" s="24">
        <s:f>'자료구성'!$B$2+TIME(INT($C$3/10000),INT(MOD($C$3,10000)/100),MOD($C$3,100))+(ROW()-ROW($C$3))/86400</s:f>
        <s:v>46247.367476851854</s:v>
      </s:c>
    </s:row>
    <s:row r="118">
      <s:c r="A118" s="0" t="n">
        <s:v>260813</s:v>
      </s:c>
      <s:c r="B118" s="0" t="inlineStr">
        <s:is>
          <s:t>이종훈</s:t>
        </s:is>
      </s:c>
      <s:c r="C118" s="0" t="n">
        <s:v>84716</s:v>
      </s:c>
      <s:c r="D118" s="0" t="n">
        <s:v>1362</s:v>
      </s:c>
      <s:c r="F118" s="24">
        <s:f>'자료구성'!$B$2+TIME(INT($C$3/10000),INT(MOD($C$3,10000)/100),MOD($C$3,100))+(ROW()-ROW($C$3))/86400</s:f>
        <s:v>46247.36748842592</s:v>
      </s:c>
    </s:row>
    <s:row r="119">
      <s:c r="A119" s="0" t="n">
        <s:v>260813</s:v>
      </s:c>
      <s:c r="B119" s="0" t="inlineStr">
        <s:is>
          <s:t>이종훈</s:t>
        </s:is>
      </s:c>
      <s:c r="C119" s="0" t="n">
        <s:v>84716</s:v>
      </s:c>
      <s:c r="D119" s="0" t="n">
        <s:v>1357</s:v>
      </s:c>
      <s:c r="F119" s="24">
        <s:f>'자료구성'!$B$2+TIME(INT($C$3/10000),INT(MOD($C$3,10000)/100),MOD($C$3,100))+(ROW()-ROW($C$3))/86400</s:f>
        <s:v>46247.3675</s:v>
      </s:c>
    </s:row>
    <s:row r="120">
      <s:c r="A120" s="0" t="n">
        <s:v>260813</s:v>
      </s:c>
      <s:c r="B120" s="0" t="inlineStr">
        <s:is>
          <s:t>이종훈</s:t>
        </s:is>
      </s:c>
      <s:c r="C120" s="0" t="n">
        <s:v>84716</s:v>
      </s:c>
      <s:c r="D120" s="0" t="n">
        <s:v>1358</s:v>
      </s:c>
      <s:c r="F120" s="24">
        <s:f>'자료구성'!$B$2+TIME(INT($C$3/10000),INT(MOD($C$3,10000)/100),MOD($C$3,100))+(ROW()-ROW($C$3))/86400</s:f>
        <s:v>46247.36751157408</s:v>
      </s:c>
    </s:row>
    <s:row r="121">
      <s:c r="A121" s="0" t="n">
        <s:v>260813</s:v>
      </s:c>
      <s:c r="B121" s="0" t="inlineStr">
        <s:is>
          <s:t>이종훈</s:t>
        </s:is>
      </s:c>
      <s:c r="C121" s="0" t="n">
        <s:v>84716</s:v>
      </s:c>
      <s:c r="D121" s="0" t="n">
        <s:v>1359</s:v>
      </s:c>
      <s:c r="F121" s="24">
        <s:f>'자료구성'!$B$2+TIME(INT($C$3/10000),INT(MOD($C$3,10000)/100),MOD($C$3,100))+(ROW()-ROW($C$3))/86400</s:f>
        <s:v>46247.36752314815</s:v>
      </s:c>
    </s:row>
    <s:row r="122">
      <s:c r="A122" s="0" t="n">
        <s:v>260813</s:v>
      </s:c>
      <s:c r="B122" s="0" t="inlineStr">
        <s:is>
          <s:t>이종훈</s:t>
        </s:is>
      </s:c>
      <s:c r="C122" s="0" t="n">
        <s:v>84716</s:v>
      </s:c>
      <s:c r="D122" s="0" t="n">
        <s:v>1367</s:v>
      </s:c>
      <s:c r="F122" s="24">
        <s:f>'자료구성'!$B$2+TIME(INT($C$3/10000),INT(MOD($C$3,10000)/100),MOD($C$3,100))+(ROW()-ROW($C$3))/86400</s:f>
        <s:v>46247.36753472222</s:v>
      </s:c>
    </s:row>
    <s:row r="123">
      <s:c r="A123" s="0" t="n">
        <s:v>260813</s:v>
      </s:c>
      <s:c r="B123" s="0" t="inlineStr">
        <s:is>
          <s:t>이종훈</s:t>
        </s:is>
      </s:c>
      <s:c r="C123" s="0" t="n">
        <s:v>84716</s:v>
      </s:c>
      <s:c r="D123" s="0" t="n">
        <s:v>1374</s:v>
      </s:c>
      <s:c r="F123" s="24">
        <s:f>'자료구성'!$B$2+TIME(INT($C$3/10000),INT(MOD($C$3,10000)/100),MOD($C$3,100))+(ROW()-ROW($C$3))/86400</s:f>
        <s:v>46247.36754629629</s:v>
      </s:c>
    </s:row>
    <s:row r="124">
      <s:c r="A124" s="0" t="n">
        <s:v>260813</s:v>
      </s:c>
      <s:c r="B124" s="0" t="inlineStr">
        <s:is>
          <s:t>이종훈</s:t>
        </s:is>
      </s:c>
      <s:c r="C124" s="0" t="n">
        <s:v>84716</s:v>
      </s:c>
      <s:c r="D124" s="0" t="n">
        <s:v>1381</s:v>
      </s:c>
      <s:c r="F124" s="24">
        <s:f>'자료구성'!$B$2+TIME(INT($C$3/10000),INT(MOD($C$3,10000)/100),MOD($C$3,100))+(ROW()-ROW($C$3))/86400</s:f>
        <s:v>46247.36755787037</s:v>
      </s:c>
    </s:row>
    <s:row r="125">
      <s:c r="A125" s="0" t="n">
        <s:v>260813</s:v>
      </s:c>
      <s:c r="B125" s="0" t="inlineStr">
        <s:is>
          <s:t>이종훈</s:t>
        </s:is>
      </s:c>
      <s:c r="C125" s="0" t="n">
        <s:v>84716</s:v>
      </s:c>
      <s:c r="D125" s="0" t="n">
        <s:v>1368</s:v>
      </s:c>
      <s:c r="F125" s="24">
        <s:f>'자료구성'!$B$2+TIME(INT($C$3/10000),INT(MOD($C$3,10000)/100),MOD($C$3,100))+(ROW()-ROW($C$3))/86400</s:f>
        <s:v>46247.36756944445</s:v>
      </s:c>
    </s:row>
    <s:row r="126">
      <s:c r="A126" s="0" t="n">
        <s:v>260813</s:v>
      </s:c>
      <s:c r="B126" s="0" t="inlineStr">
        <s:is>
          <s:t>이종훈</s:t>
        </s:is>
      </s:c>
      <s:c r="C126" s="0" t="n">
        <s:v>84716</s:v>
      </s:c>
      <s:c r="D126" s="0" t="n">
        <s:v>1347</s:v>
      </s:c>
      <s:c r="F126" s="24">
        <s:f>'자료구성'!$B$2+TIME(INT($C$3/10000),INT(MOD($C$3,10000)/100),MOD($C$3,100))+(ROW()-ROW($C$3))/86400</s:f>
        <s:v>46247.367581018516</s:v>
      </s:c>
    </s:row>
    <s:row r="127">
      <s:c r="A127" s="0" t="n">
        <s:v>260813</s:v>
      </s:c>
      <s:c r="B127" s="0" t="inlineStr">
        <s:is>
          <s:t>이종훈</s:t>
        </s:is>
      </s:c>
      <s:c r="C127" s="0" t="n">
        <s:v>84716</s:v>
      </s:c>
      <s:c r="D127" s="0" t="n">
        <s:v>1329</s:v>
      </s:c>
      <s:c r="F127" s="24">
        <s:f>'자료구성'!$B$2+TIME(INT($C$3/10000),INT(MOD($C$3,10000)/100),MOD($C$3,100))+(ROW()-ROW($C$3))/86400</s:f>
        <s:v>46247.36759259259</s:v>
      </s:c>
    </s:row>
    <s:row r="128">
      <s:c r="A128" s="0" t="n">
        <s:v>260813</s:v>
      </s:c>
      <s:c r="B128" s="0" t="inlineStr">
        <s:is>
          <s:t>이종훈</s:t>
        </s:is>
      </s:c>
      <s:c r="C128" s="0" t="n">
        <s:v>84716</s:v>
      </s:c>
      <s:c r="D128" s="0" t="n">
        <s:v>1320</s:v>
      </s:c>
      <s:c r="F128" s="24">
        <s:f>'자료구성'!$B$2+TIME(INT($C$3/10000),INT(MOD($C$3,10000)/100),MOD($C$3,100))+(ROW()-ROW($C$3))/86400</s:f>
        <s:v>46247.36760416667</s:v>
      </s:c>
    </s:row>
    <s:row r="129">
      <s:c r="A129" s="0" t="n">
        <s:v>260813</s:v>
      </s:c>
      <s:c r="B129" s="0" t="inlineStr">
        <s:is>
          <s:t>이종훈</s:t>
        </s:is>
      </s:c>
      <s:c r="C129" s="0" t="n">
        <s:v>84716</s:v>
      </s:c>
      <s:c r="D129" s="0" t="n">
        <s:v>1320</s:v>
      </s:c>
      <s:c r="F129" s="24">
        <s:f>'자료구성'!$B$2+TIME(INT($C$3/10000),INT(MOD($C$3,10000)/100),MOD($C$3,100))+(ROW()-ROW($C$3))/86400</s:f>
        <s:v>46247.36761574074</s:v>
      </s:c>
    </s:row>
    <s:row r="130">
      <s:c r="A130" s="0" t="n">
        <s:v>260813</s:v>
      </s:c>
      <s:c r="B130" s="0" t="inlineStr">
        <s:is>
          <s:t>이종훈</s:t>
        </s:is>
      </s:c>
      <s:c r="C130" s="0" t="n">
        <s:v>84716</s:v>
      </s:c>
      <s:c r="D130" s="0" t="n">
        <s:v>1331</s:v>
      </s:c>
      <s:c r="F130" s="24">
        <s:f>'자료구성'!$B$2+TIME(INT($C$3/10000),INT(MOD($C$3,10000)/100),MOD($C$3,100))+(ROW()-ROW($C$3))/86400</s:f>
        <s:v>46247.367627314816</s:v>
      </s:c>
    </s:row>
    <s:row r="131">
      <s:c r="A131" s="0" t="n">
        <s:v>260813</s:v>
      </s:c>
      <s:c r="B131" s="0" t="inlineStr">
        <s:is>
          <s:t>이종훈</s:t>
        </s:is>
      </s:c>
      <s:c r="C131" s="0" t="n">
        <s:v>84716</s:v>
      </s:c>
      <s:c r="D131" s="0" t="n">
        <s:v>1331</s:v>
      </s:c>
      <s:c r="F131" s="24">
        <s:f>'자료구성'!$B$2+TIME(INT($C$3/10000),INT(MOD($C$3,10000)/100),MOD($C$3,100))+(ROW()-ROW($C$3))/86400</s:f>
        <s:v>46247.367638888885</s:v>
      </s:c>
    </s:row>
    <s:row r="132">
      <s:c r="A132" s="0" t="n">
        <s:v>260813</s:v>
      </s:c>
      <s:c r="B132" s="0" t="inlineStr">
        <s:is>
          <s:t>이종훈</s:t>
        </s:is>
      </s:c>
      <s:c r="C132" s="0" t="n">
        <s:v>84716</s:v>
      </s:c>
      <s:c r="D132" s="0" t="n">
        <s:v>1328</s:v>
      </s:c>
      <s:c r="F132" s="24">
        <s:f>'자료구성'!$B$2+TIME(INT($C$3/10000),INT(MOD($C$3,10000)/100),MOD($C$3,100))+(ROW()-ROW($C$3))/86400</s:f>
        <s:v>46247.36765046296</s:v>
      </s:c>
    </s:row>
    <s:row r="133">
      <s:c r="A133" s="0" t="n">
        <s:v>260813</s:v>
      </s:c>
      <s:c r="B133" s="0" t="inlineStr">
        <s:is>
          <s:t>이종훈</s:t>
        </s:is>
      </s:c>
      <s:c r="C133" s="0" t="n">
        <s:v>84716</s:v>
      </s:c>
      <s:c r="D133" s="0" t="n">
        <s:v>1299</s:v>
      </s:c>
      <s:c r="F133" s="24">
        <s:f>'자료구성'!$B$2+TIME(INT($C$3/10000),INT(MOD($C$3,10000)/100),MOD($C$3,100))+(ROW()-ROW($C$3))/86400</s:f>
        <s:v>46247.36766203704</s:v>
      </s:c>
    </s:row>
    <s:row r="134">
      <s:c r="A134" s="0" t="n">
        <s:v>260813</s:v>
      </s:c>
      <s:c r="B134" s="0" t="inlineStr">
        <s:is>
          <s:t>이종훈</s:t>
        </s:is>
      </s:c>
      <s:c r="C134" s="0" t="n">
        <s:v>84716</s:v>
      </s:c>
      <s:c r="D134" s="0" t="n">
        <s:v>1276</s:v>
      </s:c>
      <s:c r="F134" s="24">
        <s:f>'자료구성'!$B$2+TIME(INT($C$3/10000),INT(MOD($C$3,10000)/100),MOD($C$3,100))+(ROW()-ROW($C$3))/86400</s:f>
        <s:v>46247.36767361111</s:v>
      </s:c>
    </s:row>
    <s:row r="135">
      <s:c r="A135" s="0" t="n">
        <s:v>260813</s:v>
      </s:c>
      <s:c r="B135" s="0" t="inlineStr">
        <s:is>
          <s:t>이종훈</s:t>
        </s:is>
      </s:c>
      <s:c r="C135" s="0" t="n">
        <s:v>84716</s:v>
      </s:c>
      <s:c r="D135" s="0" t="n">
        <s:v>1259</s:v>
      </s:c>
      <s:c r="F135" s="24">
        <s:f>'자료구성'!$B$2+TIME(INT($C$3/10000),INT(MOD($C$3,10000)/100),MOD($C$3,100))+(ROW()-ROW($C$3))/86400</s:f>
        <s:v>46247.367685185185</s:v>
      </s:c>
    </s:row>
    <s:row r="136">
      <s:c r="A136" s="0" t="n">
        <s:v>260813</s:v>
      </s:c>
      <s:c r="B136" s="0" t="inlineStr">
        <s:is>
          <s:t>이종훈</s:t>
        </s:is>
      </s:c>
      <s:c r="C136" s="0" t="n">
        <s:v>84716</s:v>
      </s:c>
      <s:c r="D136" s="0" t="n">
        <s:v>1264</s:v>
      </s:c>
      <s:c r="F136" s="24">
        <s:f>'자료구성'!$B$2+TIME(INT($C$3/10000),INT(MOD($C$3,10000)/100),MOD($C$3,100))+(ROW()-ROW($C$3))/86400</s:f>
        <s:v>46247.36769675926</s:v>
      </s:c>
    </s:row>
    <s:row r="137">
      <s:c r="A137" s="0" t="n">
        <s:v>260813</s:v>
      </s:c>
      <s:c r="B137" s="0" t="inlineStr">
        <s:is>
          <s:t>이종훈</s:t>
        </s:is>
      </s:c>
      <s:c r="C137" s="0" t="n">
        <s:v>84716</s:v>
      </s:c>
      <s:c r="D137" s="0" t="n">
        <s:v>1264</s:v>
      </s:c>
      <s:c r="F137" s="24">
        <s:f>'자료구성'!$B$2+TIME(INT($C$3/10000),INT(MOD($C$3,10000)/100),MOD($C$3,100))+(ROW()-ROW($C$3))/86400</s:f>
        <s:v>46247.36770833333</s:v>
      </s:c>
    </s:row>
    <s:row r="138">
      <s:c r="A138" s="0" t="n">
        <s:v>260813</s:v>
      </s:c>
      <s:c r="B138" s="0" t="inlineStr">
        <s:is>
          <s:t>이종훈</s:t>
        </s:is>
      </s:c>
      <s:c r="C138" s="0" t="n">
        <s:v>84716</s:v>
      </s:c>
      <s:c r="D138" s="0" t="n">
        <s:v>1267</s:v>
      </s:c>
      <s:c r="F138" s="24">
        <s:f>'자료구성'!$B$2+TIME(INT($C$3/10000),INT(MOD($C$3,10000)/100),MOD($C$3,100))+(ROW()-ROW($C$3))/86400</s:f>
        <s:v>46247.36771990741</s:v>
      </s:c>
    </s:row>
    <s:row r="139">
      <s:c r="A139" s="0" t="n">
        <s:v>260813</s:v>
      </s:c>
      <s:c r="B139" s="0" t="inlineStr">
        <s:is>
          <s:t>이종훈</s:t>
        </s:is>
      </s:c>
      <s:c r="C139" s="0" t="n">
        <s:v>84716</s:v>
      </s:c>
      <s:c r="D139" s="0" t="n">
        <s:v>1270</s:v>
      </s:c>
      <s:c r="F139" s="24">
        <s:f>'자료구성'!$B$2+TIME(INT($C$3/10000),INT(MOD($C$3,10000)/100),MOD($C$3,100))+(ROW()-ROW($C$3))/86400</s:f>
        <s:v>46247.367731481485</s:v>
      </s:c>
    </s:row>
    <s:row r="140">
      <s:c r="A140" s="0" t="n">
        <s:v>260813</s:v>
      </s:c>
      <s:c r="B140" s="0" t="inlineStr">
        <s:is>
          <s:t>이종훈</s:t>
        </s:is>
      </s:c>
      <s:c r="C140" s="0" t="n">
        <s:v>84716</s:v>
      </s:c>
      <s:c r="D140" s="0" t="n">
        <s:v>1301</s:v>
      </s:c>
      <s:c r="F140" s="24">
        <s:f>'자료구성'!$B$2+TIME(INT($C$3/10000),INT(MOD($C$3,10000)/100),MOD($C$3,100))+(ROW()-ROW($C$3))/86400</s:f>
        <s:v>46247.367743055554</s:v>
      </s:c>
    </s:row>
    <s:row r="141">
      <s:c r="A141" s="0" t="n">
        <s:v>260813</s:v>
      </s:c>
      <s:c r="B141" s="0" t="inlineStr">
        <s:is>
          <s:t>이종훈</s:t>
        </s:is>
      </s:c>
      <s:c r="C141" s="0" t="n">
        <s:v>84716</s:v>
      </s:c>
      <s:c r="D141" s="0" t="n">
        <s:v>1307</s:v>
      </s:c>
      <s:c r="F141" s="24">
        <s:f>'자료구성'!$B$2+TIME(INT($C$3/10000),INT(MOD($C$3,10000)/100),MOD($C$3,100))+(ROW()-ROW($C$3))/86400</s:f>
        <s:v>46247.36775462963</s:v>
      </s:c>
    </s:row>
    <s:row r="142">
      <s:c r="A142" s="0" t="n">
        <s:v>260813</s:v>
      </s:c>
      <s:c r="B142" s="0" t="inlineStr">
        <s:is>
          <s:t>이종훈</s:t>
        </s:is>
      </s:c>
      <s:c r="C142" s="0" t="n">
        <s:v>84716</s:v>
      </s:c>
      <s:c r="D142" s="0" t="n">
        <s:v>1343</s:v>
      </s:c>
      <s:c r="F142" s="24">
        <s:f>'자료구성'!$B$2+TIME(INT($C$3/10000),INT(MOD($C$3,10000)/100),MOD($C$3,100))+(ROW()-ROW($C$3))/86400</s:f>
        <s:v>46247.3677662037</s:v>
      </s:c>
    </s:row>
    <s:row r="143">
      <s:c r="A143" s="0" t="n">
        <s:v>260813</s:v>
      </s:c>
      <s:c r="B143" s="0" t="inlineStr">
        <s:is>
          <s:t>이종훈</s:t>
        </s:is>
      </s:c>
      <s:c r="C143" s="0" t="n">
        <s:v>84716</s:v>
      </s:c>
      <s:c r="D143" s="0" t="n">
        <s:v>1364</s:v>
      </s:c>
      <s:c r="F143" s="24">
        <s:f>'자료구성'!$B$2+TIME(INT($C$3/10000),INT(MOD($C$3,10000)/100),MOD($C$3,100))+(ROW()-ROW($C$3))/86400</s:f>
        <s:v>46247.36777777778</s:v>
      </s:c>
    </s:row>
    <s:row r="144">
      <s:c r="A144" s="0" t="n">
        <s:v>260813</s:v>
      </s:c>
      <s:c r="B144" s="0" t="inlineStr">
        <s:is>
          <s:t>이종훈</s:t>
        </s:is>
      </s:c>
      <s:c r="C144" s="0" t="n">
        <s:v>84716</s:v>
      </s:c>
      <s:c r="D144" s="0" t="n">
        <s:v>1373</s:v>
      </s:c>
      <s:c r="F144" s="24">
        <s:f>'자료구성'!$B$2+TIME(INT($C$3/10000),INT(MOD($C$3,10000)/100),MOD($C$3,100))+(ROW()-ROW($C$3))/86400</s:f>
        <s:v>46247.367789351854</s:v>
      </s:c>
    </s:row>
    <s:row r="145">
      <s:c r="A145" s="0" t="n">
        <s:v>260813</s:v>
      </s:c>
      <s:c r="B145" s="0" t="inlineStr">
        <s:is>
          <s:t>이종훈</s:t>
        </s:is>
      </s:c>
      <s:c r="C145" s="0" t="n">
        <s:v>84716</s:v>
      </s:c>
      <s:c r="D145" s="0" t="n">
        <s:v>1375</s:v>
      </s:c>
      <s:c r="F145" s="24">
        <s:f>'자료구성'!$B$2+TIME(INT($C$3/10000),INT(MOD($C$3,10000)/100),MOD($C$3,100))+(ROW()-ROW($C$3))/86400</s:f>
        <s:v>46247.367800925924</s:v>
      </s:c>
    </s:row>
    <s:row r="146">
      <s:c r="A146" s="0" t="n">
        <s:v>260813</s:v>
      </s:c>
      <s:c r="B146" s="0" t="inlineStr">
        <s:is>
          <s:t>이종훈</s:t>
        </s:is>
      </s:c>
      <s:c r="C146" s="0" t="n">
        <s:v>84716</s:v>
      </s:c>
      <s:c r="D146" s="0" t="n">
        <s:v>1381</s:v>
      </s:c>
      <s:c r="F146" s="24">
        <s:f>'자료구성'!$B$2+TIME(INT($C$3/10000),INT(MOD($C$3,10000)/100),MOD($C$3,100))+(ROW()-ROW($C$3))/86400</s:f>
        <s:v>46247.3678125</s:v>
      </s:c>
    </s:row>
    <s:row r="147">
      <s:c r="A147" s="0" t="n">
        <s:v>260813</s:v>
      </s:c>
      <s:c r="B147" s="0" t="inlineStr">
        <s:is>
          <s:t>이종훈</s:t>
        </s:is>
      </s:c>
      <s:c r="C147" s="0" t="n">
        <s:v>84716</s:v>
      </s:c>
      <s:c r="D147" s="0" t="n">
        <s:v>1390</s:v>
      </s:c>
      <s:c r="F147" s="24">
        <s:f>'자료구성'!$B$2+TIME(INT($C$3/10000),INT(MOD($C$3,10000)/100),MOD($C$3,100))+(ROW()-ROW($C$3))/86400</s:f>
        <s:v>46247.36782407408</s:v>
      </s:c>
    </s:row>
    <s:row r="148">
      <s:c r="A148" s="0" t="n">
        <s:v>260813</s:v>
      </s:c>
      <s:c r="B148" s="0" t="inlineStr">
        <s:is>
          <s:t>이종훈</s:t>
        </s:is>
      </s:c>
      <s:c r="C148" s="0" t="n">
        <s:v>84716</s:v>
      </s:c>
      <s:c r="D148" s="0" t="n">
        <s:v>1413</s:v>
      </s:c>
      <s:c r="F148" s="24">
        <s:f>'자료구성'!$B$2+TIME(INT($C$3/10000),INT(MOD($C$3,10000)/100),MOD($C$3,100))+(ROW()-ROW($C$3))/86400</s:f>
        <s:v>46247.36783564815</s:v>
      </s:c>
    </s:row>
    <s:row r="149">
      <s:c r="A149" s="0" t="n">
        <s:v>260813</s:v>
      </s:c>
      <s:c r="B149" s="0" t="inlineStr">
        <s:is>
          <s:t>이종훈</s:t>
        </s:is>
      </s:c>
      <s:c r="C149" s="0" t="n">
        <s:v>84716</s:v>
      </s:c>
      <s:c r="D149" s="0" t="n">
        <s:v>1416</s:v>
      </s:c>
      <s:c r="F149" s="24">
        <s:f>'자료구성'!$B$2+TIME(INT($C$3/10000),INT(MOD($C$3,10000)/100),MOD($C$3,100))+(ROW()-ROW($C$3))/86400</s:f>
        <s:v>46247.367847222224</s:v>
      </s:c>
    </s:row>
    <s:row r="150">
      <s:c r="A150" s="0" t="n">
        <s:v>260813</s:v>
      </s:c>
      <s:c r="B150" s="0" t="inlineStr">
        <s:is>
          <s:t>이종훈</s:t>
        </s:is>
      </s:c>
      <s:c r="C150" s="0" t="n">
        <s:v>84716</s:v>
      </s:c>
      <s:c r="D150" s="0" t="n">
        <s:v>1413</s:v>
      </s:c>
      <s:c r="F150" s="24">
        <s:f>'자료구성'!$B$2+TIME(INT($C$3/10000),INT(MOD($C$3,10000)/100),MOD($C$3,100))+(ROW()-ROW($C$3))/86400</s:f>
        <s:v>46247.36785879629</s:v>
      </s:c>
    </s:row>
    <s:row r="151">
      <s:c r="A151" s="0" t="n">
        <s:v>260813</s:v>
      </s:c>
      <s:c r="B151" s="0" t="inlineStr">
        <s:is>
          <s:t>이종훈</s:t>
        </s:is>
      </s:c>
      <s:c r="C151" s="0" t="n">
        <s:v>84716</s:v>
      </s:c>
      <s:c r="D151" s="0" t="n">
        <s:v>1412</s:v>
      </s:c>
      <s:c r="F151" s="24">
        <s:f>'자료구성'!$B$2+TIME(INT($C$3/10000),INT(MOD($C$3,10000)/100),MOD($C$3,100))+(ROW()-ROW($C$3))/86400</s:f>
        <s:v>46247.36787037037</s:v>
      </s:c>
    </s:row>
    <s:row r="152">
      <s:c r="A152" s="0" t="n">
        <s:v>260813</s:v>
      </s:c>
      <s:c r="B152" s="0" t="inlineStr">
        <s:is>
          <s:t>이종훈</s:t>
        </s:is>
      </s:c>
      <s:c r="C152" s="0" t="n">
        <s:v>84716</s:v>
      </s:c>
      <s:c r="D152" s="0" t="n">
        <s:v>1430</s:v>
      </s:c>
      <s:c r="F152" s="24">
        <s:f>'자료구성'!$B$2+TIME(INT($C$3/10000),INT(MOD($C$3,10000)/100),MOD($C$3,100))+(ROW()-ROW($C$3))/86400</s:f>
        <s:v>46247.36788194445</s:v>
      </s:c>
    </s:row>
    <s:row r="153">
      <s:c r="A153" s="0" t="n">
        <s:v>260813</s:v>
      </s:c>
      <s:c r="B153" s="0" t="inlineStr">
        <s:is>
          <s:t>이종훈</s:t>
        </s:is>
      </s:c>
      <s:c r="C153" s="0" t="n">
        <s:v>84716</s:v>
      </s:c>
      <s:c r="D153" s="0" t="n">
        <s:v>1449</s:v>
      </s:c>
      <s:c r="F153" s="24">
        <s:f>'자료구성'!$B$2+TIME(INT($C$3/10000),INT(MOD($C$3,10000)/100),MOD($C$3,100))+(ROW()-ROW($C$3))/86400</s:f>
        <s:v>46247.367893518516</s:v>
      </s:c>
    </s:row>
    <s:row r="154">
      <s:c r="A154" s="0" t="n">
        <s:v>260813</s:v>
      </s:c>
      <s:c r="B154" s="0" t="inlineStr">
        <s:is>
          <s:t>이종훈</s:t>
        </s:is>
      </s:c>
      <s:c r="C154" s="0" t="n">
        <s:v>84716</s:v>
      </s:c>
      <s:c r="D154" s="0" t="n">
        <s:v>1446</s:v>
      </s:c>
      <s:c r="F154" s="24">
        <s:f>'자료구성'!$B$2+TIME(INT($C$3/10000),INT(MOD($C$3,10000)/100),MOD($C$3,100))+(ROW()-ROW($C$3))/86400</s:f>
        <s:v>46247.36790509259</s:v>
      </s:c>
    </s:row>
    <s:row r="155">
      <s:c r="A155" s="0" t="n">
        <s:v>260813</s:v>
      </s:c>
      <s:c r="B155" s="0" t="inlineStr">
        <s:is>
          <s:t>이종훈</s:t>
        </s:is>
      </s:c>
      <s:c r="C155" s="0" t="n">
        <s:v>84716</s:v>
      </s:c>
      <s:c r="D155" s="0" t="n">
        <s:v>1435</s:v>
      </s:c>
      <s:c r="F155" s="24">
        <s:f>'자료구성'!$B$2+TIME(INT($C$3/10000),INT(MOD($C$3,10000)/100),MOD($C$3,100))+(ROW()-ROW($C$3))/86400</s:f>
        <s:v>46247.36791666667</s:v>
      </s:c>
    </s:row>
    <s:row r="156">
      <s:c r="A156" s="0" t="n">
        <s:v>260813</s:v>
      </s:c>
      <s:c r="B156" s="0" t="inlineStr">
        <s:is>
          <s:t>이종훈</s:t>
        </s:is>
      </s:c>
      <s:c r="C156" s="0" t="n">
        <s:v>84716</s:v>
      </s:c>
      <s:c r="D156" s="0" t="n">
        <s:v>1398</s:v>
      </s:c>
      <s:c r="F156" s="24">
        <s:f>'자료구성'!$B$2+TIME(INT($C$3/10000),INT(MOD($C$3,10000)/100),MOD($C$3,100))+(ROW()-ROW($C$3))/86400</s:f>
        <s:v>46247.36792824074</s:v>
      </s:c>
    </s:row>
    <s:row r="157">
      <s:c r="A157" s="0" t="n">
        <s:v>260813</s:v>
      </s:c>
      <s:c r="B157" s="0" t="inlineStr">
        <s:is>
          <s:t>이종훈</s:t>
        </s:is>
      </s:c>
      <s:c r="C157" s="0" t="n">
        <s:v>84716</s:v>
      </s:c>
      <s:c r="D157" s="0" t="n">
        <s:v>1351</s:v>
      </s:c>
      <s:c r="F157" s="24">
        <s:f>'자료구성'!$B$2+TIME(INT($C$3/10000),INT(MOD($C$3,10000)/100),MOD($C$3,100))+(ROW()-ROW($C$3))/86400</s:f>
        <s:v>46247.367939814816</s:v>
      </s:c>
    </s:row>
    <s:row r="158">
      <s:c r="A158" s="0" t="n">
        <s:v>260813</s:v>
      </s:c>
      <s:c r="B158" s="0" t="inlineStr">
        <s:is>
          <s:t>이종훈</s:t>
        </s:is>
      </s:c>
      <s:c r="C158" s="0" t="n">
        <s:v>84716</s:v>
      </s:c>
      <s:c r="D158" s="0" t="n">
        <s:v>1304</s:v>
      </s:c>
      <s:c r="F158" s="24">
        <s:f>'자료구성'!$B$2+TIME(INT($C$3/10000),INT(MOD($C$3,10000)/100),MOD($C$3,100))+(ROW()-ROW($C$3))/86400</s:f>
        <s:v>46247.367951388886</s:v>
      </s:c>
    </s:row>
    <s:row r="159">
      <s:c r="A159" s="0" t="n">
        <s:v>260813</s:v>
      </s:c>
      <s:c r="B159" s="0" t="inlineStr">
        <s:is>
          <s:t>이종훈</s:t>
        </s:is>
      </s:c>
      <s:c r="C159" s="0" t="n">
        <s:v>84716</s:v>
      </s:c>
      <s:c r="D159" s="0" t="n">
        <s:v>1260</s:v>
      </s:c>
      <s:c r="F159" s="24">
        <s:f>'자료구성'!$B$2+TIME(INT($C$3/10000),INT(MOD($C$3,10000)/100),MOD($C$3,100))+(ROW()-ROW($C$3))/86400</s:f>
        <s:v>46247.36796296296</s:v>
      </s:c>
    </s:row>
    <s:row r="160">
      <s:c r="A160" s="0" t="n">
        <s:v>260813</s:v>
      </s:c>
      <s:c r="B160" s="0" t="inlineStr">
        <s:is>
          <s:t>이종훈</s:t>
        </s:is>
      </s:c>
      <s:c r="C160" s="0" t="n">
        <s:v>84716</s:v>
      </s:c>
      <s:c r="D160" s="0" t="n">
        <s:v>1250</s:v>
      </s:c>
      <s:c r="F160" s="24">
        <s:f>'자료구성'!$B$2+TIME(INT($C$3/10000),INT(MOD($C$3,10000)/100),MOD($C$3,100))+(ROW()-ROW($C$3))/86400</s:f>
        <s:v>46247.36797453704</s:v>
      </s:c>
    </s:row>
    <s:row r="161">
      <s:c r="A161" s="0" t="n">
        <s:v>260813</s:v>
      </s:c>
      <s:c r="B161" s="0" t="inlineStr">
        <s:is>
          <s:t>이종훈</s:t>
        </s:is>
      </s:c>
      <s:c r="C161" s="0" t="n">
        <s:v>84716</s:v>
      </s:c>
      <s:c r="D161" s="0" t="n">
        <s:v>1266</s:v>
      </s:c>
      <s:c r="F161" s="24">
        <s:f>'자료구성'!$B$2+TIME(INT($C$3/10000),INT(MOD($C$3,10000)/100),MOD($C$3,100))+(ROW()-ROW($C$3))/86400</s:f>
        <s:v>46247.36798611111</s:v>
      </s:c>
    </s:row>
    <s:row r="162">
      <s:c r="A162" s="0" t="n">
        <s:v>260813</s:v>
      </s:c>
      <s:c r="B162" s="0" t="inlineStr">
        <s:is>
          <s:t>이종훈</s:t>
        </s:is>
      </s:c>
      <s:c r="C162" s="0" t="n">
        <s:v>84716</s:v>
      </s:c>
      <s:c r="D162" s="0" t="n">
        <s:v>1275</s:v>
      </s:c>
      <s:c r="F162" s="24">
        <s:f>'자료구성'!$B$2+TIME(INT($C$3/10000),INT(MOD($C$3,10000)/100),MOD($C$3,100))+(ROW()-ROW($C$3))/86400</s:f>
        <s:v>46247.367997685185</s:v>
      </s:c>
    </s:row>
    <s:row r="163">
      <s:c r="A163" s="0" t="n">
        <s:v>260813</s:v>
      </s:c>
      <s:c r="B163" s="0" t="inlineStr">
        <s:is>
          <s:t>이종훈</s:t>
        </s:is>
      </s:c>
      <s:c r="C163" s="0" t="n">
        <s:v>84716</s:v>
      </s:c>
      <s:c r="D163" s="0" t="n">
        <s:v>1228</s:v>
      </s:c>
      <s:c r="F163" s="24">
        <s:f>'자료구성'!$B$2+TIME(INT($C$3/10000),INT(MOD($C$3,10000)/100),MOD($C$3,100))+(ROW()-ROW($C$3))/86400</s:f>
        <s:v>46247.36800925926</s:v>
      </s:c>
    </s:row>
    <s:row r="164">
      <s:c r="A164" s="0" t="n">
        <s:v>260813</s:v>
      </s:c>
      <s:c r="B164" s="0" t="inlineStr">
        <s:is>
          <s:t>이종훈</s:t>
        </s:is>
      </s:c>
      <s:c r="C164" s="0" t="n">
        <s:v>84716</s:v>
      </s:c>
      <s:c r="D164" s="0" t="n">
        <s:v>1227</s:v>
      </s:c>
      <s:c r="F164" s="24">
        <s:f>'자료구성'!$B$2+TIME(INT($C$3/10000),INT(MOD($C$3,10000)/100),MOD($C$3,100))+(ROW()-ROW($C$3))/86400</s:f>
        <s:v>46247.36802083333</s:v>
      </s:c>
    </s:row>
    <s:row r="165">
      <s:c r="A165" s="0" t="n">
        <s:v>260813</s:v>
      </s:c>
      <s:c r="B165" s="0" t="inlineStr">
        <s:is>
          <s:t>이종훈</s:t>
        </s:is>
      </s:c>
      <s:c r="C165" s="0" t="n">
        <s:v>84716</s:v>
      </s:c>
      <s:c r="D165" s="0" t="n">
        <s:v>1246</s:v>
      </s:c>
      <s:c r="F165" s="24">
        <s:f>'자료구성'!$B$2+TIME(INT($C$3/10000),INT(MOD($C$3,10000)/100),MOD($C$3,100))+(ROW()-ROW($C$3))/86400</s:f>
        <s:v>46247.36803240741</s:v>
      </s:c>
    </s:row>
    <s:row r="166">
      <s:c r="A166" s="0" t="n">
        <s:v>260813</s:v>
      </s:c>
      <s:c r="B166" s="0" t="inlineStr">
        <s:is>
          <s:t>이종훈</s:t>
        </s:is>
      </s:c>
      <s:c r="C166" s="0" t="n">
        <s:v>84716</s:v>
      </s:c>
      <s:c r="D166" s="0" t="n">
        <s:v>1300</s:v>
      </s:c>
      <s:c r="F166" s="24">
        <s:f>'자료구성'!$B$2+TIME(INT($C$3/10000),INT(MOD($C$3,10000)/100),MOD($C$3,100))+(ROW()-ROW($C$3))/86400</s:f>
        <s:v>46247.36804398148</s:v>
      </s:c>
    </s:row>
    <s:row r="167">
      <s:c r="A167" s="0" t="n">
        <s:v>260813</s:v>
      </s:c>
      <s:c r="B167" s="0" t="inlineStr">
        <s:is>
          <s:t>이종훈</s:t>
        </s:is>
      </s:c>
      <s:c r="C167" s="0" t="n">
        <s:v>84716</s:v>
      </s:c>
      <s:c r="D167" s="0" t="n">
        <s:v>1359</s:v>
      </s:c>
      <s:c r="F167" s="24">
        <s:f>'자료구성'!$B$2+TIME(INT($C$3/10000),INT(MOD($C$3,10000)/100),MOD($C$3,100))+(ROW()-ROW($C$3))/86400</s:f>
        <s:v>46247.368055555555</s:v>
      </s:c>
    </s:row>
    <s:row r="168">
      <s:c r="A168" s="0" t="n">
        <s:v>260813</s:v>
      </s:c>
      <s:c r="B168" s="0" t="inlineStr">
        <s:is>
          <s:t>이종훈</s:t>
        </s:is>
      </s:c>
      <s:c r="C168" s="0" t="n">
        <s:v>84716</s:v>
      </s:c>
      <s:c r="D168" s="0" t="n">
        <s:v>1403</s:v>
      </s:c>
      <s:c r="F168" s="24">
        <s:f>'자료구성'!$B$2+TIME(INT($C$3/10000),INT(MOD($C$3,10000)/100),MOD($C$3,100))+(ROW()-ROW($C$3))/86400</s:f>
        <s:v>46247.36806712963</s:v>
      </s:c>
    </s:row>
    <s:row r="169">
      <s:c r="A169" s="0" t="n">
        <s:v>260813</s:v>
      </s:c>
      <s:c r="B169" s="0" t="inlineStr">
        <s:is>
          <s:t>이종훈</s:t>
        </s:is>
      </s:c>
      <s:c r="C169" s="0" t="n">
        <s:v>84716</s:v>
      </s:c>
      <s:c r="D169" s="0" t="n">
        <s:v>1444</s:v>
      </s:c>
      <s:c r="F169" s="24">
        <s:f>'자료구성'!$B$2+TIME(INT($C$3/10000),INT(MOD($C$3,10000)/100),MOD($C$3,100))+(ROW()-ROW($C$3))/86400</s:f>
        <s:v>46247.3680787037</s:v>
      </s:c>
    </s:row>
    <s:row r="170">
      <s:c r="A170" s="0" t="n">
        <s:v>260813</s:v>
      </s:c>
      <s:c r="B170" s="0" t="inlineStr">
        <s:is>
          <s:t>이종훈</s:t>
        </s:is>
      </s:c>
      <s:c r="C170" s="0" t="n">
        <s:v>84716</s:v>
      </s:c>
      <s:c r="D170" s="0" t="n">
        <s:v>1488</s:v>
      </s:c>
      <s:c r="F170" s="24">
        <s:f>'자료구성'!$B$2+TIME(INT($C$3/10000),INT(MOD($C$3,10000)/100),MOD($C$3,100))+(ROW()-ROW($C$3))/86400</s:f>
        <s:v>46247.36809027778</s:v>
      </s:c>
    </s:row>
    <s:row r="171">
      <s:c r="A171" s="0" t="n">
        <s:v>260813</s:v>
      </s:c>
      <s:c r="B171" s="0" t="inlineStr">
        <s:is>
          <s:t>이종훈</s:t>
        </s:is>
      </s:c>
      <s:c r="C171" s="0" t="n">
        <s:v>84716</s:v>
      </s:c>
      <s:c r="D171" s="0" t="n">
        <s:v>1494</s:v>
      </s:c>
      <s:c r="F171" s="24">
        <s:f>'자료구성'!$B$2+TIME(INT($C$3/10000),INT(MOD($C$3,10000)/100),MOD($C$3,100))+(ROW()-ROW($C$3))/86400</s:f>
        <s:v>46247.368101851855</s:v>
      </s:c>
    </s:row>
    <s:row r="172">
      <s:c r="A172" s="0" t="n">
        <s:v>260813</s:v>
      </s:c>
      <s:c r="B172" s="0" t="inlineStr">
        <s:is>
          <s:t>이종훈</s:t>
        </s:is>
      </s:c>
      <s:c r="C172" s="0" t="n">
        <s:v>84716</s:v>
      </s:c>
      <s:c r="D172" s="0" t="n">
        <s:v>1492</s:v>
      </s:c>
      <s:c r="F172" s="24">
        <s:f>'자료구성'!$B$2+TIME(INT($C$3/10000),INT(MOD($C$3,10000)/100),MOD($C$3,100))+(ROW()-ROW($C$3))/86400</s:f>
        <s:v>46247.368113425924</s:v>
      </s:c>
    </s:row>
    <s:row r="173">
      <s:c r="A173" s="0" t="n">
        <s:v>260813</s:v>
      </s:c>
      <s:c r="B173" s="0" t="inlineStr">
        <s:is>
          <s:t>이종훈</s:t>
        </s:is>
      </s:c>
      <s:c r="C173" s="0" t="n">
        <s:v>84716</s:v>
      </s:c>
      <s:c r="D173" s="0" t="n">
        <s:v>1486</s:v>
      </s:c>
      <s:c r="F173" s="24">
        <s:f>'자료구성'!$B$2+TIME(INT($C$3/10000),INT(MOD($C$3,10000)/100),MOD($C$3,100))+(ROW()-ROW($C$3))/86400</s:f>
        <s:v>46247.368125</s:v>
      </s:c>
    </s:row>
    <s:row r="174">
      <s:c r="A174" s="0" t="n">
        <s:v>260813</s:v>
      </s:c>
      <s:c r="B174" s="0" t="inlineStr">
        <s:is>
          <s:t>이종훈</s:t>
        </s:is>
      </s:c>
      <s:c r="C174" s="0" t="n">
        <s:v>84716</s:v>
      </s:c>
      <s:c r="D174" s="0" t="n">
        <s:v>1512</s:v>
      </s:c>
      <s:c r="F174" s="24">
        <s:f>'자료구성'!$B$2+TIME(INT($C$3/10000),INT(MOD($C$3,10000)/100),MOD($C$3,100))+(ROW()-ROW($C$3))/86400</s:f>
        <s:v>46247.36813657408</s:v>
      </s:c>
    </s:row>
    <s:row r="175">
      <s:c r="A175" s="0" t="n">
        <s:v>260813</s:v>
      </s:c>
      <s:c r="B175" s="0" t="inlineStr">
        <s:is>
          <s:t>이종훈</s:t>
        </s:is>
      </s:c>
      <s:c r="C175" s="0" t="n">
        <s:v>84716</s:v>
      </s:c>
      <s:c r="D175" s="0" t="n">
        <s:v>1582</s:v>
      </s:c>
      <s:c r="F175" s="24">
        <s:f>'자료구성'!$B$2+TIME(INT($C$3/10000),INT(MOD($C$3,10000)/100),MOD($C$3,100))+(ROW()-ROW($C$3))/86400</s:f>
        <s:v>46247.36814814815</s:v>
      </s:c>
    </s:row>
    <s:row r="176">
      <s:c r="A176" s="0" t="n">
        <s:v>260813</s:v>
      </s:c>
      <s:c r="B176" s="0" t="inlineStr">
        <s:is>
          <s:t>이종훈</s:t>
        </s:is>
      </s:c>
      <s:c r="C176" s="0" t="n">
        <s:v>84716</s:v>
      </s:c>
      <s:c r="D176" s="0" t="n">
        <s:v>1666</s:v>
      </s:c>
      <s:c r="F176" s="24">
        <s:f>'자료구성'!$B$2+TIME(INT($C$3/10000),INT(MOD($C$3,10000)/100),MOD($C$3,100))+(ROW()-ROW($C$3))/86400</s:f>
        <s:v>46247.368159722224</s:v>
      </s:c>
    </s:row>
    <s:row r="177">
      <s:c r="A177" s="0" t="n">
        <s:v>260813</s:v>
      </s:c>
      <s:c r="B177" s="0" t="inlineStr">
        <s:is>
          <s:t>이종훈</s:t>
        </s:is>
      </s:c>
      <s:c r="C177" s="0" t="n">
        <s:v>84716</s:v>
      </s:c>
      <s:c r="D177" s="0" t="n">
        <s:v>1784</s:v>
      </s:c>
      <s:c r="F177" s="24">
        <s:f>'자료구성'!$B$2+TIME(INT($C$3/10000),INT(MOD($C$3,10000)/100),MOD($C$3,100))+(ROW()-ROW($C$3))/86400</s:f>
        <s:v>46247.36817129629</s:v>
      </s:c>
    </s:row>
    <s:row r="178">
      <s:c r="A178" s="0" t="n">
        <s:v>260813</s:v>
      </s:c>
      <s:c r="B178" s="0" t="inlineStr">
        <s:is>
          <s:t>이종훈</s:t>
        </s:is>
      </s:c>
      <s:c r="C178" s="0" t="n">
        <s:v>84716</s:v>
      </s:c>
      <s:c r="D178" s="0" t="n">
        <s:v>1870</s:v>
      </s:c>
      <s:c r="F178" s="24">
        <s:f>'자료구성'!$B$2+TIME(INT($C$3/10000),INT(MOD($C$3,10000)/100),MOD($C$3,100))+(ROW()-ROW($C$3))/86400</s:f>
        <s:v>46247.36818287037</s:v>
      </s:c>
    </s:row>
    <s:row r="179">
      <s:c r="A179" s="0" t="n">
        <s:v>260813</s:v>
      </s:c>
      <s:c r="B179" s="0" t="inlineStr">
        <s:is>
          <s:t>이종훈</s:t>
        </s:is>
      </s:c>
      <s:c r="C179" s="0" t="n">
        <s:v>84716</s:v>
      </s:c>
      <s:c r="D179" s="0" t="n">
        <s:v>1930</s:v>
      </s:c>
      <s:c r="F179" s="24">
        <s:f>'자료구성'!$B$2+TIME(INT($C$3/10000),INT(MOD($C$3,10000)/100),MOD($C$3,100))+(ROW()-ROW($C$3))/86400</s:f>
        <s:v>46247.36819444445</s:v>
      </s:c>
    </s:row>
    <s:row r="180">
      <s:c r="A180" s="0" t="n">
        <s:v>260813</s:v>
      </s:c>
      <s:c r="B180" s="0" t="inlineStr">
        <s:is>
          <s:t>이종훈</s:t>
        </s:is>
      </s:c>
      <s:c r="C180" s="0" t="n">
        <s:v>84716</s:v>
      </s:c>
      <s:c r="D180" s="0" t="n">
        <s:v>1965</s:v>
      </s:c>
      <s:c r="F180" s="24">
        <s:f>'자료구성'!$B$2+TIME(INT($C$3/10000),INT(MOD($C$3,10000)/100),MOD($C$3,100))+(ROW()-ROW($C$3))/86400</s:f>
        <s:v>46247.36820601852</s:v>
      </s:c>
    </s:row>
    <s:row r="181">
      <s:c r="A181" s="0" t="n">
        <s:v>260813</s:v>
      </s:c>
      <s:c r="B181" s="0" t="inlineStr">
        <s:is>
          <s:t>이종훈</s:t>
        </s:is>
      </s:c>
      <s:c r="C181" s="0" t="n">
        <s:v>84716</s:v>
      </s:c>
      <s:c r="D181" s="0" t="n">
        <s:v>1989</s:v>
      </s:c>
      <s:c r="F181" s="24">
        <s:f>'자료구성'!$B$2+TIME(INT($C$3/10000),INT(MOD($C$3,10000)/100),MOD($C$3,100))+(ROW()-ROW($C$3))/86400</s:f>
        <s:v>46247.36821759259</s:v>
      </s:c>
    </s:row>
    <s:row r="182">
      <s:c r="A182" s="0" t="n">
        <s:v>260813</s:v>
      </s:c>
      <s:c r="B182" s="0" t="inlineStr">
        <s:is>
          <s:t>이종훈</s:t>
        </s:is>
      </s:c>
      <s:c r="C182" s="0" t="n">
        <s:v>84716</s:v>
      </s:c>
      <s:c r="D182" s="0" t="n">
        <s:v>2005</s:v>
      </s:c>
      <s:c r="F182" s="24">
        <s:f>'자료구성'!$B$2+TIME(INT($C$3/10000),INT(MOD($C$3,10000)/100),MOD($C$3,100))+(ROW()-ROW($C$3))/86400</s:f>
        <s:v>46247.36822916667</s:v>
      </s:c>
    </s:row>
    <s:row r="183">
      <s:c r="A183" s="0" t="n">
        <s:v>260813</s:v>
      </s:c>
      <s:c r="B183" s="0" t="inlineStr">
        <s:is>
          <s:t>이종훈</s:t>
        </s:is>
      </s:c>
      <s:c r="C183" s="0" t="n">
        <s:v>84716</s:v>
      </s:c>
      <s:c r="D183" s="0" t="n">
        <s:v>2011</s:v>
      </s:c>
      <s:c r="F183" s="24">
        <s:f>'자료구성'!$B$2+TIME(INT($C$3/10000),INT(MOD($C$3,10000)/100),MOD($C$3,100))+(ROW()-ROW($C$3))/86400</s:f>
        <s:v>46247.36824074074</s:v>
      </s:c>
    </s:row>
    <s:row r="184">
      <s:c r="A184" s="0" t="n">
        <s:v>260813</s:v>
      </s:c>
      <s:c r="B184" s="0" t="inlineStr">
        <s:is>
          <s:t>이종훈</s:t>
        </s:is>
      </s:c>
      <s:c r="C184" s="0" t="n">
        <s:v>84716</s:v>
      </s:c>
      <s:c r="D184" s="0" t="n">
        <s:v>2007</s:v>
      </s:c>
      <s:c r="F184" s="24">
        <s:f>'자료구성'!$B$2+TIME(INT($C$3/10000),INT(MOD($C$3,10000)/100),MOD($C$3,100))+(ROW()-ROW($C$3))/86400</s:f>
        <s:v>46247.368252314816</s:v>
      </s:c>
    </s:row>
    <s:row r="185">
      <s:c r="A185" s="0" t="n">
        <s:v>260813</s:v>
      </s:c>
      <s:c r="B185" s="0" t="inlineStr">
        <s:is>
          <s:t>이종훈</s:t>
        </s:is>
      </s:c>
      <s:c r="C185" s="0" t="n">
        <s:v>84716</s:v>
      </s:c>
      <s:c r="D185" s="0" t="n">
        <s:v>1990</s:v>
      </s:c>
      <s:c r="F185" s="24">
        <s:f>'자료구성'!$B$2+TIME(INT($C$3/10000),INT(MOD($C$3,10000)/100),MOD($C$3,100))+(ROW()-ROW($C$3))/86400</s:f>
        <s:v>46247.368263888886</s:v>
      </s:c>
    </s:row>
    <s:row r="186">
      <s:c r="A186" s="0" t="n">
        <s:v>260813</s:v>
      </s:c>
      <s:c r="B186" s="0" t="inlineStr">
        <s:is>
          <s:t>이종훈</s:t>
        </s:is>
      </s:c>
      <s:c r="C186" s="0" t="n">
        <s:v>84716</s:v>
      </s:c>
      <s:c r="D186" s="0" t="n">
        <s:v>1973</s:v>
      </s:c>
      <s:c r="F186" s="24">
        <s:f>'자료구성'!$B$2+TIME(INT($C$3/10000),INT(MOD($C$3,10000)/100),MOD($C$3,100))+(ROW()-ROW($C$3))/86400</s:f>
        <s:v>46247.36827546296</s:v>
      </s:c>
    </s:row>
    <s:row r="187">
      <s:c r="A187" s="0" t="n">
        <s:v>260813</s:v>
      </s:c>
      <s:c r="B187" s="0" t="inlineStr">
        <s:is>
          <s:t>이종훈</s:t>
        </s:is>
      </s:c>
      <s:c r="C187" s="0" t="n">
        <s:v>84716</s:v>
      </s:c>
      <s:c r="D187" s="0" t="n">
        <s:v>1988</s:v>
      </s:c>
      <s:c r="F187" s="24">
        <s:f>'자료구성'!$B$2+TIME(INT($C$3/10000),INT(MOD($C$3,10000)/100),MOD($C$3,100))+(ROW()-ROW($C$3))/86400</s:f>
        <s:v>46247.36828703704</s:v>
      </s:c>
    </s:row>
    <s:row r="188">
      <s:c r="A188" s="0" t="n">
        <s:v>260813</s:v>
      </s:c>
      <s:c r="B188" s="0" t="inlineStr">
        <s:is>
          <s:t>이종훈</s:t>
        </s:is>
      </s:c>
      <s:c r="C188" s="0" t="n">
        <s:v>84716</s:v>
      </s:c>
      <s:c r="D188" s="0" t="n">
        <s:v>1973</s:v>
      </s:c>
      <s:c r="F188" s="24">
        <s:f>'자료구성'!$B$2+TIME(INT($C$3/10000),INT(MOD($C$3,10000)/100),MOD($C$3,100))+(ROW()-ROW($C$3))/86400</s:f>
        <s:v>46247.36829861111</s:v>
      </s:c>
    </s:row>
    <s:row r="189">
      <s:c r="A189" s="0" t="n">
        <s:v>260813</s:v>
      </s:c>
      <s:c r="B189" s="0" t="inlineStr">
        <s:is>
          <s:t>이종훈</s:t>
        </s:is>
      </s:c>
      <s:c r="C189" s="0" t="n">
        <s:v>84716</s:v>
      </s:c>
      <s:c r="D189" s="0" t="n">
        <s:v>1953</s:v>
      </s:c>
      <s:c r="F189" s="24">
        <s:f>'자료구성'!$B$2+TIME(INT($C$3/10000),INT(MOD($C$3,10000)/100),MOD($C$3,100))+(ROW()-ROW($C$3))/86400</s:f>
        <s:v>46247.368310185186</s:v>
      </s:c>
    </s:row>
    <s:row r="190">
      <s:c r="A190" s="0" t="n">
        <s:v>260813</s:v>
      </s:c>
      <s:c r="B190" s="0" t="inlineStr">
        <s:is>
          <s:t>이종훈</s:t>
        </s:is>
      </s:c>
      <s:c r="C190" s="0" t="n">
        <s:v>84716</s:v>
      </s:c>
      <s:c r="D190" s="0" t="n">
        <s:v>1958</s:v>
      </s:c>
      <s:c r="F190" s="24">
        <s:f>'자료구성'!$B$2+TIME(INT($C$3/10000),INT(MOD($C$3,10000)/100),MOD($C$3,100))+(ROW()-ROW($C$3))/86400</s:f>
        <s:v>46247.36832175926</s:v>
      </s:c>
    </s:row>
    <s:row r="191">
      <s:c r="A191" s="0" t="n">
        <s:v>260813</s:v>
      </s:c>
      <s:c r="B191" s="0" t="inlineStr">
        <s:is>
          <s:t>이종훈</s:t>
        </s:is>
      </s:c>
      <s:c r="C191" s="0" t="n">
        <s:v>84716</s:v>
      </s:c>
      <s:c r="D191" s="0" t="n">
        <s:v>1980</s:v>
      </s:c>
      <s:c r="F191" s="24">
        <s:f>'자료구성'!$B$2+TIME(INT($C$3/10000),INT(MOD($C$3,10000)/100),MOD($C$3,100))+(ROW()-ROW($C$3))/86400</s:f>
        <s:v>46247.36833333333</s:v>
      </s:c>
    </s:row>
    <s:row r="192">
      <s:c r="A192" s="0" t="n">
        <s:v>260813</s:v>
      </s:c>
      <s:c r="B192" s="0" t="inlineStr">
        <s:is>
          <s:t>이종훈</s:t>
        </s:is>
      </s:c>
      <s:c r="C192" s="0" t="n">
        <s:v>84716</s:v>
      </s:c>
      <s:c r="D192" s="0" t="n">
        <s:v>1992</s:v>
      </s:c>
      <s:c r="F192" s="24">
        <s:f>'자료구성'!$B$2+TIME(INT($C$3/10000),INT(MOD($C$3,10000)/100),MOD($C$3,100))+(ROW()-ROW($C$3))/86400</s:f>
        <s:v>46247.36834490741</s:v>
      </s:c>
    </s:row>
    <s:row r="193">
      <s:c r="A193" s="0" t="n">
        <s:v>260813</s:v>
      </s:c>
      <s:c r="B193" s="0" t="inlineStr">
        <s:is>
          <s:t>이종훈</s:t>
        </s:is>
      </s:c>
      <s:c r="C193" s="0" t="n">
        <s:v>84716</s:v>
      </s:c>
      <s:c r="D193" s="0" t="n">
        <s:v>2001</s:v>
      </s:c>
      <s:c r="F193" s="24">
        <s:f>'자료구성'!$B$2+TIME(INT($C$3/10000),INT(MOD($C$3,10000)/100),MOD($C$3,100))+(ROW()-ROW($C$3))/86400</s:f>
        <s:v>46247.36835648148</s:v>
      </s:c>
    </s:row>
    <s:row r="194">
      <s:c r="A194" s="0" t="n">
        <s:v>260813</s:v>
      </s:c>
      <s:c r="B194" s="0" t="inlineStr">
        <s:is>
          <s:t>이종훈</s:t>
        </s:is>
      </s:c>
      <s:c r="C194" s="0" t="n">
        <s:v>84716</s:v>
      </s:c>
      <s:c r="D194" s="0" t="n">
        <s:v>2021</s:v>
      </s:c>
      <s:c r="F194" s="24">
        <s:f>'자료구성'!$B$2+TIME(INT($C$3/10000),INT(MOD($C$3,10000)/100),MOD($C$3,100))+(ROW()-ROW($C$3))/86400</s:f>
        <s:v>46247.368368055555</s:v>
      </s:c>
    </s:row>
    <s:row r="195">
      <s:c r="A195" s="0" t="n">
        <s:v>260813</s:v>
      </s:c>
      <s:c r="B195" s="0" t="inlineStr">
        <s:is>
          <s:t>이종훈</s:t>
        </s:is>
      </s:c>
      <s:c r="C195" s="0" t="n">
        <s:v>84716</s:v>
      </s:c>
      <s:c r="D195" s="0" t="n">
        <s:v>2068</s:v>
      </s:c>
      <s:c r="F195" s="24">
        <s:f>'자료구성'!$B$2+TIME(INT($C$3/10000),INT(MOD($C$3,10000)/100),MOD($C$3,100))+(ROW()-ROW($C$3))/86400</s:f>
        <s:v>46247.36837962963</s:v>
      </s:c>
    </s:row>
    <s:row r="196">
      <s:c r="A196" s="0" t="n">
        <s:v>260813</s:v>
      </s:c>
      <s:c r="B196" s="0" t="inlineStr">
        <s:is>
          <s:t>이종훈</s:t>
        </s:is>
      </s:c>
      <s:c r="C196" s="0" t="n">
        <s:v>84716</s:v>
      </s:c>
      <s:c r="D196" s="0" t="n">
        <s:v>2109</s:v>
      </s:c>
      <s:c r="F196" s="24">
        <s:f>'자료구성'!$B$2+TIME(INT($C$3/10000),INT(MOD($C$3,10000)/100),MOD($C$3,100))+(ROW()-ROW($C$3))/86400</s:f>
        <s:v>46247.3683912037</s:v>
      </s:c>
    </s:row>
    <s:row r="197">
      <s:c r="A197" s="0" t="n">
        <s:v>260813</s:v>
      </s:c>
      <s:c r="B197" s="0" t="inlineStr">
        <s:is>
          <s:t>이종훈</s:t>
        </s:is>
      </s:c>
      <s:c r="C197" s="0" t="n">
        <s:v>84716</s:v>
      </s:c>
      <s:c r="D197" s="0" t="n">
        <s:v>2131</s:v>
      </s:c>
      <s:c r="F197" s="24">
        <s:f>'자료구성'!$B$2+TIME(INT($C$3/10000),INT(MOD($C$3,10000)/100),MOD($C$3,100))+(ROW()-ROW($C$3))/86400</s:f>
        <s:v>46247.36840277778</s:v>
      </s:c>
    </s:row>
    <s:row r="198">
      <s:c r="A198" s="0" t="n">
        <s:v>260813</s:v>
      </s:c>
      <s:c r="B198" s="0" t="inlineStr">
        <s:is>
          <s:t>이종훈</s:t>
        </s:is>
      </s:c>
      <s:c r="C198" s="0" t="n">
        <s:v>84716</s:v>
      </s:c>
      <s:c r="D198" s="0" t="n">
        <s:v>2152</s:v>
      </s:c>
      <s:c r="F198" s="24">
        <s:f>'자료구성'!$B$2+TIME(INT($C$3/10000),INT(MOD($C$3,10000)/100),MOD($C$3,100))+(ROW()-ROW($C$3))/86400</s:f>
        <s:v>46247.368414351855</s:v>
      </s:c>
    </s:row>
    <s:row r="199">
      <s:c r="A199" s="0" t="n">
        <s:v>260813</s:v>
      </s:c>
      <s:c r="B199" s="0" t="inlineStr">
        <s:is>
          <s:t>이종훈</s:t>
        </s:is>
      </s:c>
      <s:c r="C199" s="0" t="n">
        <s:v>84716</s:v>
      </s:c>
      <s:c r="D199" s="0" t="n">
        <s:v>2219</s:v>
      </s:c>
      <s:c r="F199" s="24">
        <s:f>'자료구성'!$B$2+TIME(INT($C$3/10000),INT(MOD($C$3,10000)/100),MOD($C$3,100))+(ROW()-ROW($C$3))/86400</s:f>
        <s:v>46247.368425925924</s:v>
      </s:c>
    </s:row>
    <s:row r="200">
      <s:c r="A200" s="0" t="n">
        <s:v>260813</s:v>
      </s:c>
      <s:c r="B200" s="0" t="inlineStr">
        <s:is>
          <s:t>이종훈</s:t>
        </s:is>
      </s:c>
      <s:c r="C200" s="0" t="n">
        <s:v>84716</s:v>
      </s:c>
      <s:c r="D200" s="0" t="n">
        <s:v>2249</s:v>
      </s:c>
      <s:c r="F200" s="24">
        <s:f>'자료구성'!$B$2+TIME(INT($C$3/10000),INT(MOD($C$3,10000)/100),MOD($C$3,100))+(ROW()-ROW($C$3))/86400</s:f>
        <s:v>46247.3684375</s:v>
      </s:c>
    </s:row>
    <s:row r="201">
      <s:c r="A201" s="0" t="n">
        <s:v>260813</s:v>
      </s:c>
      <s:c r="B201" s="0" t="inlineStr">
        <s:is>
          <s:t>이종훈</s:t>
        </s:is>
      </s:c>
      <s:c r="C201" s="0" t="n">
        <s:v>84716</s:v>
      </s:c>
      <s:c r="D201" s="0" t="n">
        <s:v>2264</s:v>
      </s:c>
      <s:c r="F201" s="24">
        <s:f>'자료구성'!$B$2+TIME(INT($C$3/10000),INT(MOD($C$3,10000)/100),MOD($C$3,100))+(ROW()-ROW($C$3))/86400</s:f>
        <s:v>46247.36844907407</s:v>
      </s:c>
    </s:row>
    <s:row r="202">
      <s:c r="A202" s="0" t="n">
        <s:v>260813</s:v>
      </s:c>
      <s:c r="B202" s="0" t="inlineStr">
        <s:is>
          <s:t>이종훈</s:t>
        </s:is>
      </s:c>
      <s:c r="C202" s="0" t="n">
        <s:v>84716</s:v>
      </s:c>
      <s:c r="D202" s="0" t="n">
        <s:v>2233</s:v>
      </s:c>
      <s:c r="F202" s="24">
        <s:f>'자료구성'!$B$2+TIME(INT($C$3/10000),INT(MOD($C$3,10000)/100),MOD($C$3,100))+(ROW()-ROW($C$3))/86400</s:f>
        <s:v>46247.36846064815</s:v>
      </s:c>
    </s:row>
    <s:row r="203">
      <s:c r="A203" s="0" t="n">
        <s:v>260813</s:v>
      </s:c>
      <s:c r="B203" s="0" t="inlineStr">
        <s:is>
          <s:t>이종훈</s:t>
        </s:is>
      </s:c>
      <s:c r="C203" s="0" t="n">
        <s:v>84716</s:v>
      </s:c>
      <s:c r="D203" s="0" t="n">
        <s:v>2183</s:v>
      </s:c>
      <s:c r="F203" s="24">
        <s:f>'자료구성'!$B$2+TIME(INT($C$3/10000),INT(MOD($C$3,10000)/100),MOD($C$3,100))+(ROW()-ROW($C$3))/86400</s:f>
        <s:v>46247.368472222224</s:v>
      </s:c>
    </s:row>
    <s:row r="204">
      <s:c r="A204" s="0" t="n">
        <s:v>260813</s:v>
      </s:c>
      <s:c r="B204" s="0" t="inlineStr">
        <s:is>
          <s:t>이종훈</s:t>
        </s:is>
      </s:c>
      <s:c r="C204" s="0" t="n">
        <s:v>84716</s:v>
      </s:c>
      <s:c r="D204" s="0" t="n">
        <s:v>2179</s:v>
      </s:c>
      <s:c r="F204" s="24">
        <s:f>'자료구성'!$B$2+TIME(INT($C$3/10000),INT(MOD($C$3,10000)/100),MOD($C$3,100))+(ROW()-ROW($C$3))/86400</s:f>
        <s:v>46247.368483796294</s:v>
      </s:c>
    </s:row>
    <s:row r="205">
      <s:c r="A205" s="0" t="n">
        <s:v>260813</s:v>
      </s:c>
      <s:c r="B205" s="0" t="inlineStr">
        <s:is>
          <s:t>이종훈</s:t>
        </s:is>
      </s:c>
      <s:c r="C205" s="0" t="n">
        <s:v>84716</s:v>
      </s:c>
      <s:c r="D205" s="0" t="n">
        <s:v>2152</s:v>
      </s:c>
      <s:c r="F205" s="24">
        <s:f>'자료구성'!$B$2+TIME(INT($C$3/10000),INT(MOD($C$3,10000)/100),MOD($C$3,100))+(ROW()-ROW($C$3))/86400</s:f>
        <s:v>46247.36849537037</s:v>
      </s:c>
    </s:row>
    <s:row r="206">
      <s:c r="A206" s="0" t="n">
        <s:v>260813</s:v>
      </s:c>
      <s:c r="B206" s="0" t="inlineStr">
        <s:is>
          <s:t>이종훈</s:t>
        </s:is>
      </s:c>
      <s:c r="C206" s="0" t="n">
        <s:v>84716</s:v>
      </s:c>
      <s:c r="D206" s="0" t="n">
        <s:v>2120</s:v>
      </s:c>
      <s:c r="F206" s="24">
        <s:f>'자료구성'!$B$2+TIME(INT($C$3/10000),INT(MOD($C$3,10000)/100),MOD($C$3,100))+(ROW()-ROW($C$3))/86400</s:f>
        <s:v>46247.36850694445</s:v>
      </s:c>
    </s:row>
    <s:row r="207">
      <s:c r="A207" s="0" t="n">
        <s:v>260813</s:v>
      </s:c>
      <s:c r="B207" s="0" t="inlineStr">
        <s:is>
          <s:t>이종훈</s:t>
        </s:is>
      </s:c>
      <s:c r="C207" s="0" t="n">
        <s:v>84716</s:v>
      </s:c>
      <s:c r="D207" s="0" t="n">
        <s:v>2113</s:v>
      </s:c>
      <s:c r="F207" s="24">
        <s:f>'자료구성'!$B$2+TIME(INT($C$3/10000),INT(MOD($C$3,10000)/100),MOD($C$3,100))+(ROW()-ROW($C$3))/86400</s:f>
        <s:v>46247.36851851852</s:v>
      </s:c>
    </s:row>
    <s:row r="208">
      <s:c r="A208" s="0" t="n">
        <s:v>260813</s:v>
      </s:c>
      <s:c r="B208" s="0" t="inlineStr">
        <s:is>
          <s:t>이종훈</s:t>
        </s:is>
      </s:c>
      <s:c r="C208" s="0" t="n">
        <s:v>84716</s:v>
      </s:c>
      <s:c r="D208" s="0" t="n">
        <s:v>2124</s:v>
      </s:c>
      <s:c r="F208" s="24">
        <s:f>'자료구성'!$B$2+TIME(INT($C$3/10000),INT(MOD($C$3,10000)/100),MOD($C$3,100))+(ROW()-ROW($C$3))/86400</s:f>
        <s:v>46247.36853009259</s:v>
      </s:c>
    </s:row>
    <s:row r="209">
      <s:c r="A209" s="0" t="n">
        <s:v>260813</s:v>
      </s:c>
      <s:c r="B209" s="0" t="inlineStr">
        <s:is>
          <s:t>이종훈</s:t>
        </s:is>
      </s:c>
      <s:c r="C209" s="0" t="n">
        <s:v>84716</s:v>
      </s:c>
      <s:c r="D209" s="0" t="n">
        <s:v>2122</s:v>
      </s:c>
      <s:c r="F209" s="24">
        <s:f>'자료구성'!$B$2+TIME(INT($C$3/10000),INT(MOD($C$3,10000)/100),MOD($C$3,100))+(ROW()-ROW($C$3))/86400</s:f>
        <s:v>46247.36854166666</s:v>
      </s:c>
    </s:row>
    <s:row r="210">
      <s:c r="A210" s="0" t="n">
        <s:v>260813</s:v>
      </s:c>
      <s:c r="B210" s="0" t="inlineStr">
        <s:is>
          <s:t>이종훈</s:t>
        </s:is>
      </s:c>
      <s:c r="C210" s="0" t="n">
        <s:v>84716</s:v>
      </s:c>
      <s:c r="D210" s="0" t="n">
        <s:v>2128</s:v>
      </s:c>
      <s:c r="F210" s="24">
        <s:f>'자료구성'!$B$2+TIME(INT($C$3/10000),INT(MOD($C$3,10000)/100),MOD($C$3,100))+(ROW()-ROW($C$3))/86400</s:f>
        <s:v>46247.36855324074</s:v>
      </s:c>
    </s:row>
    <s:row r="211">
      <s:c r="A211" s="0" t="n">
        <s:v>260813</s:v>
      </s:c>
      <s:c r="B211" s="0" t="inlineStr">
        <s:is>
          <s:t>이종훈</s:t>
        </s:is>
      </s:c>
      <s:c r="C211" s="0" t="n">
        <s:v>84716</s:v>
      </s:c>
      <s:c r="D211" s="0" t="n">
        <s:v>2170</s:v>
      </s:c>
      <s:c r="F211" s="24">
        <s:f>'자료구성'!$B$2+TIME(INT($C$3/10000),INT(MOD($C$3,10000)/100),MOD($C$3,100))+(ROW()-ROW($C$3))/86400</s:f>
        <s:v>46247.36856481482</s:v>
      </s:c>
    </s:row>
    <s:row r="212">
      <s:c r="A212" s="0" t="n">
        <s:v>260813</s:v>
      </s:c>
      <s:c r="B212" s="0" t="inlineStr">
        <s:is>
          <s:t>이종훈</s:t>
        </s:is>
      </s:c>
      <s:c r="C212" s="0" t="n">
        <s:v>84716</s:v>
      </s:c>
      <s:c r="D212" s="0" t="n">
        <s:v>2238</s:v>
      </s:c>
      <s:c r="F212" s="24">
        <s:f>'자료구성'!$B$2+TIME(INT($C$3/10000),INT(MOD($C$3,10000)/100),MOD($C$3,100))+(ROW()-ROW($C$3))/86400</s:f>
        <s:v>46247.368576388886</s:v>
      </s:c>
    </s:row>
    <s:row r="213">
      <s:c r="A213" s="0" t="n">
        <s:v>260813</s:v>
      </s:c>
      <s:c r="B213" s="0" t="inlineStr">
        <s:is>
          <s:t>이종훈</s:t>
        </s:is>
      </s:c>
      <s:c r="C213" s="0" t="n">
        <s:v>84716</s:v>
      </s:c>
      <s:c r="D213" s="0" t="n">
        <s:v>2311</s:v>
      </s:c>
      <s:c r="F213" s="24">
        <s:f>'자료구성'!$B$2+TIME(INT($C$3/10000),INT(MOD($C$3,10000)/100),MOD($C$3,100))+(ROW()-ROW($C$3))/86400</s:f>
        <s:v>46247.36858796296</s:v>
      </s:c>
    </s:row>
    <s:row r="214">
      <s:c r="A214" s="0" t="n">
        <s:v>260813</s:v>
      </s:c>
      <s:c r="B214" s="0" t="inlineStr">
        <s:is>
          <s:t>이종훈</s:t>
        </s:is>
      </s:c>
      <s:c r="C214" s="0" t="n">
        <s:v>84716</s:v>
      </s:c>
      <s:c r="D214" s="0" t="n">
        <s:v>2335</s:v>
      </s:c>
      <s:c r="F214" s="24">
        <s:f>'자료구성'!$B$2+TIME(INT($C$3/10000),INT(MOD($C$3,10000)/100),MOD($C$3,100))+(ROW()-ROW($C$3))/86400</s:f>
        <s:v>46247.36859953704</s:v>
      </s:c>
    </s:row>
    <s:row r="215">
      <s:c r="A215" s="0" t="n">
        <s:v>260813</s:v>
      </s:c>
      <s:c r="B215" s="0" t="inlineStr">
        <s:is>
          <s:t>이종훈</s:t>
        </s:is>
      </s:c>
      <s:c r="C215" s="0" t="n">
        <s:v>84716</s:v>
      </s:c>
      <s:c r="D215" s="0" t="n">
        <s:v>2360</s:v>
      </s:c>
      <s:c r="F215" s="24">
        <s:f>'자료구성'!$B$2+TIME(INT($C$3/10000),INT(MOD($C$3,10000)/100),MOD($C$3,100))+(ROW()-ROW($C$3))/86400</s:f>
        <s:v>46247.36861111111</s:v>
      </s:c>
    </s:row>
    <s:row r="216">
      <s:c r="A216" s="0" t="n">
        <s:v>260813</s:v>
      </s:c>
      <s:c r="B216" s="0" t="inlineStr">
        <s:is>
          <s:t>이종훈</s:t>
        </s:is>
      </s:c>
      <s:c r="C216" s="0" t="n">
        <s:v>84716</s:v>
      </s:c>
      <s:c r="D216" s="0" t="n">
        <s:v>2332</s:v>
      </s:c>
      <s:c r="F216" s="24">
        <s:f>'자료구성'!$B$2+TIME(INT($C$3/10000),INT(MOD($C$3,10000)/100),MOD($C$3,100))+(ROW()-ROW($C$3))/86400</s:f>
        <s:v>46247.368622685186</s:v>
      </s:c>
    </s:row>
    <s:row r="217">
      <s:c r="A217" s="0" t="n">
        <s:v>260813</s:v>
      </s:c>
      <s:c r="B217" s="0" t="inlineStr">
        <s:is>
          <s:t>이종훈</s:t>
        </s:is>
      </s:c>
      <s:c r="C217" s="0" t="n">
        <s:v>84716</s:v>
      </s:c>
      <s:c r="D217" s="0" t="n">
        <s:v>2311</s:v>
      </s:c>
      <s:c r="F217" s="24">
        <s:f>'자료구성'!$B$2+TIME(INT($C$3/10000),INT(MOD($C$3,10000)/100),MOD($C$3,100))+(ROW()-ROW($C$3))/86400</s:f>
        <s:v>46247.36863425926</s:v>
      </s:c>
    </s:row>
    <s:row r="218">
      <s:c r="A218" s="0" t="n">
        <s:v>260813</s:v>
      </s:c>
      <s:c r="B218" s="0" t="inlineStr">
        <s:is>
          <s:t>이종훈</s:t>
        </s:is>
      </s:c>
      <s:c r="C218" s="0" t="n">
        <s:v>84716</s:v>
      </s:c>
      <s:c r="D218" s="0" t="n">
        <s:v>2301</s:v>
      </s:c>
      <s:c r="F218" s="24">
        <s:f>'자료구성'!$B$2+TIME(INT($C$3/10000),INT(MOD($C$3,10000)/100),MOD($C$3,100))+(ROW()-ROW($C$3))/86400</s:f>
        <s:v>46247.36864583333</s:v>
      </s:c>
    </s:row>
    <s:row r="219">
      <s:c r="A219" s="0" t="n">
        <s:v>260813</s:v>
      </s:c>
      <s:c r="B219" s="0" t="inlineStr">
        <s:is>
          <s:t>이종훈</s:t>
        </s:is>
      </s:c>
      <s:c r="C219" s="0" t="n">
        <s:v>84716</s:v>
      </s:c>
      <s:c r="D219" s="0" t="n">
        <s:v>2262</s:v>
      </s:c>
      <s:c r="F219" s="24">
        <s:f>'자료구성'!$B$2+TIME(INT($C$3/10000),INT(MOD($C$3,10000)/100),MOD($C$3,100))+(ROW()-ROW($C$3))/86400</s:f>
        <s:v>46247.36865740741</s:v>
      </s:c>
    </s:row>
    <s:row r="220">
      <s:c r="A220" s="0" t="n">
        <s:v>260813</s:v>
      </s:c>
      <s:c r="B220" s="0" t="inlineStr">
        <s:is>
          <s:t>이종훈</s:t>
        </s:is>
      </s:c>
      <s:c r="C220" s="0" t="n">
        <s:v>84716</s:v>
      </s:c>
      <s:c r="D220" s="0" t="n">
        <s:v>2198</s:v>
      </s:c>
      <s:c r="F220" s="24">
        <s:f>'자료구성'!$B$2+TIME(INT($C$3/10000),INT(MOD($C$3,10000)/100),MOD($C$3,100))+(ROW()-ROW($C$3))/86400</s:f>
        <s:v>46247.36866898148</s:v>
      </s:c>
    </s:row>
    <s:row r="221">
      <s:c r="A221" s="0" t="n">
        <s:v>260813</s:v>
      </s:c>
      <s:c r="B221" s="0" t="inlineStr">
        <s:is>
          <s:t>이종훈</s:t>
        </s:is>
      </s:c>
      <s:c r="C221" s="0" t="n">
        <s:v>84716</s:v>
      </s:c>
      <s:c r="D221" s="0" t="n">
        <s:v>2146</s:v>
      </s:c>
      <s:c r="F221" s="24">
        <s:f>'자료구성'!$B$2+TIME(INT($C$3/10000),INT(MOD($C$3,10000)/100),MOD($C$3,100))+(ROW()-ROW($C$3))/86400</s:f>
        <s:v>46247.368680555555</s:v>
      </s:c>
    </s:row>
    <s:row r="222">
      <s:c r="A222" s="0" t="n">
        <s:v>260813</s:v>
      </s:c>
      <s:c r="B222" s="0" t="inlineStr">
        <s:is>
          <s:t>이종훈</s:t>
        </s:is>
      </s:c>
      <s:c r="C222" s="0" t="n">
        <s:v>84716</s:v>
      </s:c>
      <s:c r="D222" s="0" t="n">
        <s:v>2104</s:v>
      </s:c>
      <s:c r="F222" s="24">
        <s:f>'자료구성'!$B$2+TIME(INT($C$3/10000),INT(MOD($C$3,10000)/100),MOD($C$3,100))+(ROW()-ROW($C$3))/86400</s:f>
        <s:v>46247.36869212963</s:v>
      </s:c>
    </s:row>
    <s:row r="223">
      <s:c r="A223" s="0" t="n">
        <s:v>260813</s:v>
      </s:c>
      <s:c r="B223" s="0" t="inlineStr">
        <s:is>
          <s:t>이종훈</s:t>
        </s:is>
      </s:c>
      <s:c r="C223" s="0" t="n">
        <s:v>84716</s:v>
      </s:c>
      <s:c r="D223" s="0" t="n">
        <s:v>2120</s:v>
      </s:c>
      <s:c r="F223" s="24">
        <s:f>'자료구성'!$B$2+TIME(INT($C$3/10000),INT(MOD($C$3,10000)/100),MOD($C$3,100))+(ROW()-ROW($C$3))/86400</s:f>
        <s:v>46247.3687037037</s:v>
      </s:c>
    </s:row>
    <s:row r="224">
      <s:c r="A224" s="0" t="n">
        <s:v>260813</s:v>
      </s:c>
      <s:c r="B224" s="0" t="inlineStr">
        <s:is>
          <s:t>이종훈</s:t>
        </s:is>
      </s:c>
      <s:c r="C224" s="0" t="n">
        <s:v>84716</s:v>
      </s:c>
      <s:c r="D224" s="0" t="n">
        <s:v>2147</s:v>
      </s:c>
      <s:c r="F224" s="24">
        <s:f>'자료구성'!$B$2+TIME(INT($C$3/10000),INT(MOD($C$3,10000)/100),MOD($C$3,100))+(ROW()-ROW($C$3))/86400</s:f>
        <s:v>46247.36871527778</s:v>
      </s:c>
    </s:row>
    <s:row r="225">
      <s:c r="A225" s="0" t="n">
        <s:v>260813</s:v>
      </s:c>
      <s:c r="B225" s="0" t="inlineStr">
        <s:is>
          <s:t>이종훈</s:t>
        </s:is>
      </s:c>
      <s:c r="C225" s="0" t="n">
        <s:v>84716</s:v>
      </s:c>
      <s:c r="D225" s="0" t="n">
        <s:v>2194</s:v>
      </s:c>
      <s:c r="F225" s="24">
        <s:f>'자료구성'!$B$2+TIME(INT($C$3/10000),INT(MOD($C$3,10000)/100),MOD($C$3,100))+(ROW()-ROW($C$3))/86400</s:f>
        <s:v>46247.368726851855</s:v>
      </s:c>
    </s:row>
    <s:row r="226">
      <s:c r="A226" s="0" t="n">
        <s:v>260813</s:v>
      </s:c>
      <s:c r="B226" s="0" t="inlineStr">
        <s:is>
          <s:t>이종훈</s:t>
        </s:is>
      </s:c>
      <s:c r="C226" s="0" t="n">
        <s:v>84716</s:v>
      </s:c>
      <s:c r="D226" s="0" t="n">
        <s:v>2240</s:v>
      </s:c>
      <s:c r="F226" s="24">
        <s:f>'자료구성'!$B$2+TIME(INT($C$3/10000),INT(MOD($C$3,10000)/100),MOD($C$3,100))+(ROW()-ROW($C$3))/86400</s:f>
        <s:v>46247.368738425925</s:v>
      </s:c>
    </s:row>
    <s:row r="227">
      <s:c r="A227" s="0" t="n">
        <s:v>260813</s:v>
      </s:c>
      <s:c r="B227" s="0" t="inlineStr">
        <s:is>
          <s:t>이종훈</s:t>
        </s:is>
      </s:c>
      <s:c r="C227" s="0" t="n">
        <s:v>84716</s:v>
      </s:c>
      <s:c r="D227" s="0" t="n">
        <s:v>2332</s:v>
      </s:c>
      <s:c r="F227" s="24">
        <s:f>'자료구성'!$B$2+TIME(INT($C$3/10000),INT(MOD($C$3,10000)/100),MOD($C$3,100))+(ROW()-ROW($C$3))/86400</s:f>
        <s:v>46247.36875</s:v>
      </s:c>
    </s:row>
    <s:row r="228">
      <s:c r="A228" s="0" t="n">
        <s:v>260813</s:v>
      </s:c>
      <s:c r="B228" s="0" t="inlineStr">
        <s:is>
          <s:t>이종훈</s:t>
        </s:is>
      </s:c>
      <s:c r="C228" s="0" t="n">
        <s:v>84716</s:v>
      </s:c>
      <s:c r="D228" s="0" t="n">
        <s:v>2387</s:v>
      </s:c>
      <s:c r="F228" s="24">
        <s:f>'자료구성'!$B$2+TIME(INT($C$3/10000),INT(MOD($C$3,10000)/100),MOD($C$3,100))+(ROW()-ROW($C$3))/86400</s:f>
        <s:v>46247.36876157407</s:v>
      </s:c>
    </s:row>
    <s:row r="229">
      <s:c r="A229" s="0" t="n">
        <s:v>260813</s:v>
      </s:c>
      <s:c r="B229" s="0" t="inlineStr">
        <s:is>
          <s:t>이종훈</s:t>
        </s:is>
      </s:c>
      <s:c r="C229" s="0" t="n">
        <s:v>84716</s:v>
      </s:c>
      <s:c r="D229" s="0" t="n">
        <s:v>2443</s:v>
      </s:c>
      <s:c r="F229" s="24">
        <s:f>'자료구성'!$B$2+TIME(INT($C$3/10000),INT(MOD($C$3,10000)/100),MOD($C$3,100))+(ROW()-ROW($C$3))/86400</s:f>
        <s:v>46247.36877314815</s:v>
      </s:c>
    </s:row>
    <s:row r="230">
      <s:c r="A230" s="0" t="n">
        <s:v>260813</s:v>
      </s:c>
      <s:c r="B230" s="0" t="inlineStr">
        <s:is>
          <s:t>이종훈</s:t>
        </s:is>
      </s:c>
      <s:c r="C230" s="0" t="n">
        <s:v>84716</s:v>
      </s:c>
      <s:c r="D230" s="0" t="n">
        <s:v>2473</s:v>
      </s:c>
      <s:c r="F230" s="24">
        <s:f>'자료구성'!$B$2+TIME(INT($C$3/10000),INT(MOD($C$3,10000)/100),MOD($C$3,100))+(ROW()-ROW($C$3))/86400</s:f>
        <s:v>46247.368784722225</s:v>
      </s:c>
    </s:row>
    <s:row r="231">
      <s:c r="A231" s="0" t="n">
        <s:v>260813</s:v>
      </s:c>
      <s:c r="B231" s="0" t="inlineStr">
        <s:is>
          <s:t>이종훈</s:t>
        </s:is>
      </s:c>
      <s:c r="C231" s="0" t="n">
        <s:v>84716</s:v>
      </s:c>
      <s:c r="D231" s="0" t="n">
        <s:v>2521</s:v>
      </s:c>
      <s:c r="F231" s="24">
        <s:f>'자료구성'!$B$2+TIME(INT($C$3/10000),INT(MOD($C$3,10000)/100),MOD($C$3,100))+(ROW()-ROW($C$3))/86400</s:f>
        <s:v>46247.368796296294</s:v>
      </s:c>
    </s:row>
    <s:row r="232">
      <s:c r="A232" s="0" t="n">
        <s:v>260813</s:v>
      </s:c>
      <s:c r="B232" s="0" t="inlineStr">
        <s:is>
          <s:t>이종훈</s:t>
        </s:is>
      </s:c>
      <s:c r="C232" s="0" t="n">
        <s:v>84716</s:v>
      </s:c>
      <s:c r="D232" s="0" t="n">
        <s:v>2545</s:v>
      </s:c>
      <s:c r="F232" s="24">
        <s:f>'자료구성'!$B$2+TIME(INT($C$3/10000),INT(MOD($C$3,10000)/100),MOD($C$3,100))+(ROW()-ROW($C$3))/86400</s:f>
        <s:v>46247.36880787037</s:v>
      </s:c>
    </s:row>
    <s:row r="233">
      <s:c r="A233" s="0" t="n">
        <s:v>260813</s:v>
      </s:c>
      <s:c r="B233" s="0" t="inlineStr">
        <s:is>
          <s:t>이종훈</s:t>
        </s:is>
      </s:c>
      <s:c r="C233" s="0" t="n">
        <s:v>84716</s:v>
      </s:c>
      <s:c r="D233" s="0" t="n">
        <s:v>2517</s:v>
      </s:c>
      <s:c r="F233" s="24">
        <s:f>'자료구성'!$B$2+TIME(INT($C$3/10000),INT(MOD($C$3,10000)/100),MOD($C$3,100))+(ROW()-ROW($C$3))/86400</s:f>
        <s:v>46247.36881944445</s:v>
      </s:c>
    </s:row>
    <s:row r="234">
      <s:c r="A234" s="0" t="n">
        <s:v>260813</s:v>
      </s:c>
      <s:c r="B234" s="0" t="inlineStr">
        <s:is>
          <s:t>이종훈</s:t>
        </s:is>
      </s:c>
      <s:c r="C234" s="0" t="n">
        <s:v>84716</s:v>
      </s:c>
      <s:c r="D234" s="0" t="n">
        <s:v>2494</s:v>
      </s:c>
      <s:c r="F234" s="24">
        <s:f>'자료구성'!$B$2+TIME(INT($C$3/10000),INT(MOD($C$3,10000)/100),MOD($C$3,100))+(ROW()-ROW($C$3))/86400</s:f>
        <s:v>46247.36883101852</s:v>
      </s:c>
    </s:row>
    <s:row r="235">
      <s:c r="A235" s="0" t="n">
        <s:v>260813</s:v>
      </s:c>
      <s:c r="B235" s="0" t="inlineStr">
        <s:is>
          <s:t>이종훈</s:t>
        </s:is>
      </s:c>
      <s:c r="C235" s="0" t="n">
        <s:v>84716</s:v>
      </s:c>
      <s:c r="D235" s="0" t="n">
        <s:v>2508</s:v>
      </s:c>
      <s:c r="F235" s="24">
        <s:f>'자료구성'!$B$2+TIME(INT($C$3/10000),INT(MOD($C$3,10000)/100),MOD($C$3,100))+(ROW()-ROW($C$3))/86400</s:f>
        <s:v>46247.368842592594</s:v>
      </s:c>
    </s:row>
    <s:row r="236">
      <s:c r="A236" s="0" t="n">
        <s:v>260813</s:v>
      </s:c>
      <s:c r="B236" s="0" t="inlineStr">
        <s:is>
          <s:t>이종훈</s:t>
        </s:is>
      </s:c>
      <s:c r="C236" s="0" t="n">
        <s:v>84716</s:v>
      </s:c>
      <s:c r="D236" s="0" t="n">
        <s:v>2497</s:v>
      </s:c>
      <s:c r="F236" s="24">
        <s:f>'자료구성'!$B$2+TIME(INT($C$3/10000),INT(MOD($C$3,10000)/100),MOD($C$3,100))+(ROW()-ROW($C$3))/86400</s:f>
        <s:v>46247.36885416666</s:v>
      </s:c>
    </s:row>
    <s:row r="237">
      <s:c r="A237" s="0" t="n">
        <s:v>260813</s:v>
      </s:c>
      <s:c r="B237" s="0" t="inlineStr">
        <s:is>
          <s:t>이종훈</s:t>
        </s:is>
      </s:c>
      <s:c r="C237" s="0" t="n">
        <s:v>84716</s:v>
      </s:c>
      <s:c r="D237" s="0" t="n">
        <s:v>2511</s:v>
      </s:c>
      <s:c r="F237" s="24">
        <s:f>'자료구성'!$B$2+TIME(INT($C$3/10000),INT(MOD($C$3,10000)/100),MOD($C$3,100))+(ROW()-ROW($C$3))/86400</s:f>
        <s:v>46247.36886574074</s:v>
      </s:c>
    </s:row>
    <s:row r="238">
      <s:c r="A238" s="0" t="n">
        <s:v>260813</s:v>
      </s:c>
      <s:c r="B238" s="0" t="inlineStr">
        <s:is>
          <s:t>이종훈</s:t>
        </s:is>
      </s:c>
      <s:c r="C238" s="0" t="n">
        <s:v>84716</s:v>
      </s:c>
      <s:c r="D238" s="0" t="n">
        <s:v>2576</s:v>
      </s:c>
      <s:c r="F238" s="24">
        <s:f>'자료구성'!$B$2+TIME(INT($C$3/10000),INT(MOD($C$3,10000)/100),MOD($C$3,100))+(ROW()-ROW($C$3))/86400</s:f>
        <s:v>46247.36887731482</s:v>
      </s:c>
    </s:row>
    <s:row r="239">
      <s:c r="A239" s="0" t="n">
        <s:v>260813</s:v>
      </s:c>
      <s:c r="B239" s="0" t="inlineStr">
        <s:is>
          <s:t>이종훈</s:t>
        </s:is>
      </s:c>
      <s:c r="C239" s="0" t="n">
        <s:v>84716</s:v>
      </s:c>
      <s:c r="D239" s="0" t="n">
        <s:v>2583</s:v>
      </s:c>
      <s:c r="F239" s="24">
        <s:f>'자료구성'!$B$2+TIME(INT($C$3/10000),INT(MOD($C$3,10000)/100),MOD($C$3,100))+(ROW()-ROW($C$3))/86400</s:f>
        <s:v>46247.36888888889</s:v>
      </s:c>
    </s:row>
    <s:row r="240">
      <s:c r="A240" s="0" t="n">
        <s:v>260813</s:v>
      </s:c>
      <s:c r="B240" s="0" t="inlineStr">
        <s:is>
          <s:t>이종훈</s:t>
        </s:is>
      </s:c>
      <s:c r="C240" s="0" t="n">
        <s:v>84716</s:v>
      </s:c>
      <s:c r="D240" s="0" t="n">
        <s:v>2559</s:v>
      </s:c>
      <s:c r="F240" s="24">
        <s:f>'자료구성'!$B$2+TIME(INT($C$3/10000),INT(MOD($C$3,10000)/100),MOD($C$3,100))+(ROW()-ROW($C$3))/86400</s:f>
        <s:v>46247.36890046296</s:v>
      </s:c>
    </s:row>
    <s:row r="241">
      <s:c r="A241" s="0" t="n">
        <s:v>260813</s:v>
      </s:c>
      <s:c r="B241" s="0" t="inlineStr">
        <s:is>
          <s:t>이종훈</s:t>
        </s:is>
      </s:c>
      <s:c r="C241" s="0" t="n">
        <s:v>84716</s:v>
      </s:c>
      <s:c r="D241" s="0" t="n">
        <s:v>2567</s:v>
      </s:c>
      <s:c r="F241" s="24">
        <s:f>'자료구성'!$B$2+TIME(INT($C$3/10000),INT(MOD($C$3,10000)/100),MOD($C$3,100))+(ROW()-ROW($C$3))/86400</s:f>
        <s:v>46247.36891203704</s:v>
      </s:c>
    </s:row>
    <s:row r="242">
      <s:c r="A242" s="0" t="n">
        <s:v>260813</s:v>
      </s:c>
      <s:c r="B242" s="0" t="inlineStr">
        <s:is>
          <s:t>이종훈</s:t>
        </s:is>
      </s:c>
      <s:c r="C242" s="0" t="n">
        <s:v>84716</s:v>
      </s:c>
      <s:c r="D242" s="0" t="n">
        <s:v>2595</s:v>
      </s:c>
      <s:c r="F242" s="24">
        <s:f>'자료구성'!$B$2+TIME(INT($C$3/10000),INT(MOD($C$3,10000)/100),MOD($C$3,100))+(ROW()-ROW($C$3))/86400</s:f>
        <s:v>46247.36892361111</s:v>
      </s:c>
    </s:row>
    <s:row r="243">
      <s:c r="A243" s="0" t="n">
        <s:v>260813</s:v>
      </s:c>
      <s:c r="B243" s="0" t="inlineStr">
        <s:is>
          <s:t>이종훈</s:t>
        </s:is>
      </s:c>
      <s:c r="C243" s="0" t="n">
        <s:v>84716</s:v>
      </s:c>
      <s:c r="D243" s="0" t="n">
        <s:v>2624</s:v>
      </s:c>
      <s:c r="F243" s="24">
        <s:f>'자료구성'!$B$2+TIME(INT($C$3/10000),INT(MOD($C$3,10000)/100),MOD($C$3,100))+(ROW()-ROW($C$3))/86400</s:f>
        <s:v>46247.368935185186</s:v>
      </s:c>
    </s:row>
    <s:row r="244">
      <s:c r="A244" s="0" t="n">
        <s:v>260813</s:v>
      </s:c>
      <s:c r="B244" s="0" t="inlineStr">
        <s:is>
          <s:t>이종훈</s:t>
        </s:is>
      </s:c>
      <s:c r="C244" s="0" t="n">
        <s:v>84716</s:v>
      </s:c>
      <s:c r="D244" s="0" t="n">
        <s:v>2640</s:v>
      </s:c>
      <s:c r="F244" s="24">
        <s:f>'자료구성'!$B$2+TIME(INT($C$3/10000),INT(MOD($C$3,10000)/100),MOD($C$3,100))+(ROW()-ROW($C$3))/86400</s:f>
        <s:v>46247.368946759256</s:v>
      </s:c>
    </s:row>
    <s:row r="245">
      <s:c r="A245" s="0" t="n">
        <s:v>260813</s:v>
      </s:c>
      <s:c r="B245" s="0" t="inlineStr">
        <s:is>
          <s:t>이종훈</s:t>
        </s:is>
      </s:c>
      <s:c r="C245" s="0" t="n">
        <s:v>84716</s:v>
      </s:c>
      <s:c r="D245" s="0" t="n">
        <s:v>2636</s:v>
      </s:c>
      <s:c r="F245" s="24">
        <s:f>'자료구성'!$B$2+TIME(INT($C$3/10000),INT(MOD($C$3,10000)/100),MOD($C$3,100))+(ROW()-ROW($C$3))/86400</s:f>
        <s:v>46247.36895833333</s:v>
      </s:c>
    </s:row>
    <s:row r="246">
      <s:c r="A246" s="0" t="n">
        <s:v>260813</s:v>
      </s:c>
      <s:c r="B246" s="0" t="inlineStr">
        <s:is>
          <s:t>이종훈</s:t>
        </s:is>
      </s:c>
      <s:c r="C246" s="0" t="n">
        <s:v>84716</s:v>
      </s:c>
      <s:c r="D246" s="0" t="n">
        <s:v>2636</s:v>
      </s:c>
      <s:c r="F246" s="24">
        <s:f>'자료구성'!$B$2+TIME(INT($C$3/10000),INT(MOD($C$3,10000)/100),MOD($C$3,100))+(ROW()-ROW($C$3))/86400</s:f>
        <s:v>46247.36896990741</s:v>
      </s:c>
    </s:row>
    <s:row r="247">
      <s:c r="A247" s="0" t="n">
        <s:v>260813</s:v>
      </s:c>
      <s:c r="B247" s="0" t="inlineStr">
        <s:is>
          <s:t>이종훈</s:t>
        </s:is>
      </s:c>
      <s:c r="C247" s="0" t="n">
        <s:v>84716</s:v>
      </s:c>
      <s:c r="D247" s="0" t="n">
        <s:v>2488</s:v>
      </s:c>
      <s:c r="F247" s="24">
        <s:f>'자료구성'!$B$2+TIME(INT($C$3/10000),INT(MOD($C$3,10000)/100),MOD($C$3,100))+(ROW()-ROW($C$3))/86400</s:f>
        <s:v>46247.36898148148</s:v>
      </s:c>
    </s:row>
    <s:row r="248">
      <s:c r="A248" s="0" t="n">
        <s:v>260813</s:v>
      </s:c>
      <s:c r="B248" s="0" t="inlineStr">
        <s:is>
          <s:t>이종훈</s:t>
        </s:is>
      </s:c>
      <s:c r="C248" s="0" t="n">
        <s:v>84716</s:v>
      </s:c>
      <s:c r="D248" s="0" t="n">
        <s:v>2438</s:v>
      </s:c>
      <s:c r="F248" s="24">
        <s:f>'자료구성'!$B$2+TIME(INT($C$3/10000),INT(MOD($C$3,10000)/100),MOD($C$3,100))+(ROW()-ROW($C$3))/86400</s:f>
        <s:v>46247.368993055556</s:v>
      </s:c>
    </s:row>
    <s:row r="249">
      <s:c r="A249" s="0" t="n">
        <s:v>260813</s:v>
      </s:c>
      <s:c r="B249" s="0" t="inlineStr">
        <s:is>
          <s:t>이종훈</s:t>
        </s:is>
      </s:c>
      <s:c r="C249" s="0" t="n">
        <s:v>84716</s:v>
      </s:c>
      <s:c r="D249" s="0" t="n">
        <s:v>2375</s:v>
      </s:c>
      <s:c r="F249" s="24">
        <s:f>'자료구성'!$B$2+TIME(INT($C$3/10000),INT(MOD($C$3,10000)/100),MOD($C$3,100))+(ROW()-ROW($C$3))/86400</s:f>
        <s:v>46247.36900462963</s:v>
      </s:c>
    </s:row>
    <s:row r="250">
      <s:c r="A250" s="0" t="n">
        <s:v>260813</s:v>
      </s:c>
      <s:c r="B250" s="0" t="inlineStr">
        <s:is>
          <s:t>이종훈</s:t>
        </s:is>
      </s:c>
      <s:c r="C250" s="0" t="n">
        <s:v>84716</s:v>
      </s:c>
      <s:c r="D250" s="0" t="n">
        <s:v>2309</s:v>
      </s:c>
      <s:c r="F250" s="24">
        <s:f>'자료구성'!$B$2+TIME(INT($C$3/10000),INT(MOD($C$3,10000)/100),MOD($C$3,100))+(ROW()-ROW($C$3))/86400</s:f>
        <s:v>46247.3690162037</s:v>
      </s:c>
    </s:row>
    <s:row r="251">
      <s:c r="A251" s="0" t="n">
        <s:v>260813</s:v>
      </s:c>
      <s:c r="B251" s="0" t="inlineStr">
        <s:is>
          <s:t>이종훈</s:t>
        </s:is>
      </s:c>
      <s:c r="C251" s="0" t="n">
        <s:v>84716</s:v>
      </s:c>
      <s:c r="D251" s="0" t="n">
        <s:v>2279</s:v>
      </s:c>
      <s:c r="F251" s="24">
        <s:f>'자료구성'!$B$2+TIME(INT($C$3/10000),INT(MOD($C$3,10000)/100),MOD($C$3,100))+(ROW()-ROW($C$3))/86400</s:f>
        <s:v>46247.36902777778</s:v>
      </s:c>
    </s:row>
    <s:row r="252">
      <s:c r="A252" s="0" t="n">
        <s:v>260813</s:v>
      </s:c>
      <s:c r="B252" s="0" t="inlineStr">
        <s:is>
          <s:t>이종훈</s:t>
        </s:is>
      </s:c>
      <s:c r="C252" s="0" t="n">
        <s:v>84716</s:v>
      </s:c>
      <s:c r="D252" s="0" t="n">
        <s:v>2238</s:v>
      </s:c>
      <s:c r="F252" s="24">
        <s:f>'자료구성'!$B$2+TIME(INT($C$3/10000),INT(MOD($C$3,10000)/100),MOD($C$3,100))+(ROW()-ROW($C$3))/86400</s:f>
        <s:v>46247.369039351855</s:v>
      </s:c>
    </s:row>
    <s:row r="253">
      <s:c r="A253" s="0" t="n">
        <s:v>260813</s:v>
      </s:c>
      <s:c r="B253" s="0" t="inlineStr">
        <s:is>
          <s:t>이종훈</s:t>
        </s:is>
      </s:c>
      <s:c r="C253" s="0" t="n">
        <s:v>84716</s:v>
      </s:c>
      <s:c r="D253" s="0" t="n">
        <s:v>2222</s:v>
      </s:c>
      <s:c r="F253" s="24">
        <s:f>'자료구성'!$B$2+TIME(INT($C$3/10000),INT(MOD($C$3,10000)/100),MOD($C$3,100))+(ROW()-ROW($C$3))/86400</s:f>
        <s:v>46247.369050925925</s:v>
      </s:c>
    </s:row>
    <s:row r="254">
      <s:c r="A254" s="0" t="n">
        <s:v>260813</s:v>
      </s:c>
      <s:c r="B254" s="0" t="inlineStr">
        <s:is>
          <s:t>이종훈</s:t>
        </s:is>
      </s:c>
      <s:c r="C254" s="0" t="n">
        <s:v>84716</s:v>
      </s:c>
      <s:c r="D254" s="0" t="n">
        <s:v>2178</s:v>
      </s:c>
      <s:c r="F254" s="24">
        <s:f>'자료구성'!$B$2+TIME(INT($C$3/10000),INT(MOD($C$3,10000)/100),MOD($C$3,100))+(ROW()-ROW($C$3))/86400</s:f>
        <s:v>46247.3690625</s:v>
      </s:c>
    </s:row>
    <s:row r="255">
      <s:c r="A255" s="0" t="n">
        <s:v>260813</s:v>
      </s:c>
      <s:c r="B255" s="0" t="inlineStr">
        <s:is>
          <s:t>이종훈</s:t>
        </s:is>
      </s:c>
      <s:c r="C255" s="0" t="n">
        <s:v>84716</s:v>
      </s:c>
      <s:c r="D255" s="0" t="n">
        <s:v>2169</s:v>
      </s:c>
      <s:c r="F255" s="24">
        <s:f>'자료구성'!$B$2+TIME(INT($C$3/10000),INT(MOD($C$3,10000)/100),MOD($C$3,100))+(ROW()-ROW($C$3))/86400</s:f>
        <s:v>46247.36907407407</s:v>
      </s:c>
    </s:row>
    <s:row r="256">
      <s:c r="A256" s="0" t="n">
        <s:v>260813</s:v>
      </s:c>
      <s:c r="B256" s="0" t="inlineStr">
        <s:is>
          <s:t>이종훈</s:t>
        </s:is>
      </s:c>
      <s:c r="C256" s="0" t="n">
        <s:v>84716</s:v>
      </s:c>
      <s:c r="D256" s="0" t="n">
        <s:v>2153</s:v>
      </s:c>
      <s:c r="F256" s="24">
        <s:f>'자료구성'!$B$2+TIME(INT($C$3/10000),INT(MOD($C$3,10000)/100),MOD($C$3,100))+(ROW()-ROW($C$3))/86400</s:f>
        <s:v>46247.36908564815</s:v>
      </s:c>
    </s:row>
    <s:row r="257">
      <s:c r="A257" s="0" t="n">
        <s:v>260813</s:v>
      </s:c>
      <s:c r="B257" s="0" t="inlineStr">
        <s:is>
          <s:t>이종훈</s:t>
        </s:is>
      </s:c>
      <s:c r="C257" s="0" t="n">
        <s:v>84716</s:v>
      </s:c>
      <s:c r="D257" s="0" t="n">
        <s:v>2146</s:v>
      </s:c>
      <s:c r="F257" s="24">
        <s:f>'자료구성'!$B$2+TIME(INT($C$3/10000),INT(MOD($C$3,10000)/100),MOD($C$3,100))+(ROW()-ROW($C$3))/86400</s:f>
        <s:v>46247.369097222225</s:v>
      </s:c>
    </s:row>
    <s:row r="258">
      <s:c r="A258" s="0" t="n">
        <s:v>260813</s:v>
      </s:c>
      <s:c r="B258" s="0" t="inlineStr">
        <s:is>
          <s:t>이종훈</s:t>
        </s:is>
      </s:c>
      <s:c r="C258" s="0" t="n">
        <s:v>84716</s:v>
      </s:c>
      <s:c r="D258" s="0" t="n">
        <s:v>2103</s:v>
      </s:c>
      <s:c r="F258" s="24">
        <s:f>'자료구성'!$B$2+TIME(INT($C$3/10000),INT(MOD($C$3,10000)/100),MOD($C$3,100))+(ROW()-ROW($C$3))/86400</s:f>
        <s:v>46247.369108796294</s:v>
      </s:c>
    </s:row>
    <s:row r="259">
      <s:c r="A259" s="0" t="n">
        <s:v>260813</s:v>
      </s:c>
      <s:c r="B259" s="0" t="inlineStr">
        <s:is>
          <s:t>이종훈</s:t>
        </s:is>
      </s:c>
      <s:c r="C259" s="0" t="n">
        <s:v>84716</s:v>
      </s:c>
      <s:c r="D259" s="0" t="n">
        <s:v>2061</s:v>
      </s:c>
      <s:c r="F259" s="24">
        <s:f>'자료구성'!$B$2+TIME(INT($C$3/10000),INT(MOD($C$3,10000)/100),MOD($C$3,100))+(ROW()-ROW($C$3))/86400</s:f>
        <s:v>46247.36912037037</s:v>
      </s:c>
    </s:row>
    <s:row r="260">
      <s:c r="A260" s="0" t="n">
        <s:v>260813</s:v>
      </s:c>
      <s:c r="B260" s="0" t="inlineStr">
        <s:is>
          <s:t>이종훈</s:t>
        </s:is>
      </s:c>
      <s:c r="C260" s="0" t="n">
        <s:v>84716</s:v>
      </s:c>
      <s:c r="D260" s="0" t="n">
        <s:v>2024</s:v>
      </s:c>
      <s:c r="F260" s="24">
        <s:f>'자료구성'!$B$2+TIME(INT($C$3/10000),INT(MOD($C$3,10000)/100),MOD($C$3,100))+(ROW()-ROW($C$3))/86400</s:f>
        <s:v>46247.36913194445</s:v>
      </s:c>
    </s:row>
    <s:row r="261">
      <s:c r="A261" s="0" t="n">
        <s:v>260813</s:v>
      </s:c>
      <s:c r="B261" s="0" t="inlineStr">
        <s:is>
          <s:t>이종훈</s:t>
        </s:is>
      </s:c>
      <s:c r="C261" s="0" t="n">
        <s:v>84716</s:v>
      </s:c>
      <s:c r="D261" s="0" t="n">
        <s:v>2003</s:v>
      </s:c>
      <s:c r="F261" s="24">
        <s:f>'자료구성'!$B$2+TIME(INT($C$3/10000),INT(MOD($C$3,10000)/100),MOD($C$3,100))+(ROW()-ROW($C$3))/86400</s:f>
        <s:v>46247.36914351852</s:v>
      </s:c>
    </s:row>
    <s:row r="262">
      <s:c r="A262" s="0" t="n">
        <s:v>260813</s:v>
      </s:c>
      <s:c r="B262" s="0" t="inlineStr">
        <s:is>
          <s:t>이종훈</s:t>
        </s:is>
      </s:c>
      <s:c r="C262" s="0" t="n">
        <s:v>84716</s:v>
      </s:c>
      <s:c r="D262" s="0" t="n">
        <s:v>1976</s:v>
      </s:c>
      <s:c r="F262" s="24">
        <s:f>'자료구성'!$B$2+TIME(INT($C$3/10000),INT(MOD($C$3,10000)/100),MOD($C$3,100))+(ROW()-ROW($C$3))/86400</s:f>
        <s:v>46247.369155092594</s:v>
      </s:c>
    </s:row>
    <s:row r="263">
      <s:c r="A263" s="0" t="n">
        <s:v>260813</s:v>
      </s:c>
      <s:c r="B263" s="0" t="inlineStr">
        <s:is>
          <s:t>이종훈</s:t>
        </s:is>
      </s:c>
      <s:c r="C263" s="0" t="n">
        <s:v>84716</s:v>
      </s:c>
      <s:c r="D263" s="0" t="n">
        <s:v>1959</s:v>
      </s:c>
      <s:c r="F263" s="24">
        <s:f>'자료구성'!$B$2+TIME(INT($C$3/10000),INT(MOD($C$3,10000)/100),MOD($C$3,100))+(ROW()-ROW($C$3))/86400</s:f>
        <s:v>46247.369166666664</s:v>
      </s:c>
    </s:row>
    <s:row r="264">
      <s:c r="A264" s="0" t="n">
        <s:v>260813</s:v>
      </s:c>
      <s:c r="B264" s="0" t="inlineStr">
        <s:is>
          <s:t>이종훈</s:t>
        </s:is>
      </s:c>
      <s:c r="C264" s="0" t="n">
        <s:v>84716</s:v>
      </s:c>
      <s:c r="D264" s="0" t="n">
        <s:v>1926</s:v>
      </s:c>
      <s:c r="F264" s="24">
        <s:f>'자료구성'!$B$2+TIME(INT($C$3/10000),INT(MOD($C$3,10000)/100),MOD($C$3,100))+(ROW()-ROW($C$3))/86400</s:f>
        <s:v>46247.36917824074</s:v>
      </s:c>
    </s:row>
    <s:row r="265">
      <s:c r="A265" s="0" t="n">
        <s:v>260813</s:v>
      </s:c>
      <s:c r="B265" s="0" t="inlineStr">
        <s:is>
          <s:t>이종훈</s:t>
        </s:is>
      </s:c>
      <s:c r="C265" s="0" t="n">
        <s:v>84716</s:v>
      </s:c>
      <s:c r="D265" s="0" t="n">
        <s:v>1943</s:v>
      </s:c>
      <s:c r="F265" s="24">
        <s:f>'자료구성'!$B$2+TIME(INT($C$3/10000),INT(MOD($C$3,10000)/100),MOD($C$3,100))+(ROW()-ROW($C$3))/86400</s:f>
        <s:v>46247.36918981482</s:v>
      </s:c>
    </s:row>
    <s:row r="266">
      <s:c r="A266" s="0" t="n">
        <s:v>260813</s:v>
      </s:c>
      <s:c r="B266" s="0" t="inlineStr">
        <s:is>
          <s:t>이종훈</s:t>
        </s:is>
      </s:c>
      <s:c r="C266" s="0" t="n">
        <s:v>84716</s:v>
      </s:c>
      <s:c r="D266" s="0" t="n">
        <s:v>1927</s:v>
      </s:c>
      <s:c r="F266" s="24">
        <s:f>'자료구성'!$B$2+TIME(INT($C$3/10000),INT(MOD($C$3,10000)/100),MOD($C$3,100))+(ROW()-ROW($C$3))/86400</s:f>
        <s:v>46247.36920138889</s:v>
      </s:c>
    </s:row>
    <s:row r="267">
      <s:c r="A267" s="0" t="n">
        <s:v>260813</s:v>
      </s:c>
      <s:c r="B267" s="0" t="inlineStr">
        <s:is>
          <s:t>이종훈</s:t>
        </s:is>
      </s:c>
      <s:c r="C267" s="0" t="n">
        <s:v>84716</s:v>
      </s:c>
      <s:c r="D267" s="0" t="n">
        <s:v>1880</s:v>
      </s:c>
      <s:c r="F267" s="24">
        <s:f>'자료구성'!$B$2+TIME(INT($C$3/10000),INT(MOD($C$3,10000)/100),MOD($C$3,100))+(ROW()-ROW($C$3))/86400</s:f>
        <s:v>46247.36921296296</s:v>
      </s:c>
    </s:row>
    <s:row r="268">
      <s:c r="A268" s="0" t="n">
        <s:v>260813</s:v>
      </s:c>
      <s:c r="B268" s="0" t="inlineStr">
        <s:is>
          <s:t>이종훈</s:t>
        </s:is>
      </s:c>
      <s:c r="C268" s="0" t="n">
        <s:v>84716</s:v>
      </s:c>
      <s:c r="D268" s="0" t="n">
        <s:v>1806</s:v>
      </s:c>
      <s:c r="F268" s="24">
        <s:f>'자료구성'!$B$2+TIME(INT($C$3/10000),INT(MOD($C$3,10000)/100),MOD($C$3,100))+(ROW()-ROW($C$3))/86400</s:f>
        <s:v>46247.36922453704</s:v>
      </s:c>
    </s:row>
    <s:row r="269">
      <s:c r="A269" s="0" t="n">
        <s:v>260813</s:v>
      </s:c>
      <s:c r="B269" s="0" t="inlineStr">
        <s:is>
          <s:t>이종훈</s:t>
        </s:is>
      </s:c>
      <s:c r="C269" s="0" t="n">
        <s:v>84716</s:v>
      </s:c>
      <s:c r="D269" s="0" t="n">
        <s:v>1749</s:v>
      </s:c>
      <s:c r="F269" s="24">
        <s:f>'자료구성'!$B$2+TIME(INT($C$3/10000),INT(MOD($C$3,10000)/100),MOD($C$3,100))+(ROW()-ROW($C$3))/86400</s:f>
        <s:v>46247.36923611111</s:v>
      </s:c>
    </s:row>
    <s:row r="270">
      <s:c r="A270" s="0" t="n">
        <s:v>260813</s:v>
      </s:c>
      <s:c r="B270" s="0" t="inlineStr">
        <s:is>
          <s:t>이종훈</s:t>
        </s:is>
      </s:c>
      <s:c r="C270" s="0" t="n">
        <s:v>84716</s:v>
      </s:c>
      <s:c r="D270" s="0" t="n">
        <s:v>1712</s:v>
      </s:c>
      <s:c r="F270" s="24">
        <s:f>'자료구성'!$B$2+TIME(INT($C$3/10000),INT(MOD($C$3,10000)/100),MOD($C$3,100))+(ROW()-ROW($C$3))/86400</s:f>
        <s:v>46247.36924768519</s:v>
      </s:c>
    </s:row>
    <s:row r="271">
      <s:c r="A271" s="0" t="n">
        <s:v>260813</s:v>
      </s:c>
      <s:c r="B271" s="0" t="inlineStr">
        <s:is>
          <s:t>이종훈</s:t>
        </s:is>
      </s:c>
      <s:c r="C271" s="0" t="n">
        <s:v>84716</s:v>
      </s:c>
      <s:c r="D271" s="0" t="n">
        <s:v>1691</s:v>
      </s:c>
      <s:c r="F271" s="24">
        <s:f>'자료구성'!$B$2+TIME(INT($C$3/10000),INT(MOD($C$3,10000)/100),MOD($C$3,100))+(ROW()-ROW($C$3))/86400</s:f>
        <s:v>46247.369259259256</s:v>
      </s:c>
    </s:row>
    <s:row r="272">
      <s:c r="A272" s="0" t="n">
        <s:v>260813</s:v>
      </s:c>
      <s:c r="B272" s="0" t="inlineStr">
        <s:is>
          <s:t>이종훈</s:t>
        </s:is>
      </s:c>
      <s:c r="C272" s="0" t="n">
        <s:v>84716</s:v>
      </s:c>
      <s:c r="D272" s="0" t="n">
        <s:v>1695</s:v>
      </s:c>
      <s:c r="F272" s="24">
        <s:f>'자료구성'!$B$2+TIME(INT($C$3/10000),INT(MOD($C$3,10000)/100),MOD($C$3,100))+(ROW()-ROW($C$3))/86400</s:f>
        <s:v>46247.36927083333</s:v>
      </s:c>
    </s:row>
    <s:row r="273">
      <s:c r="A273" s="0" t="n">
        <s:v>260813</s:v>
      </s:c>
      <s:c r="B273" s="0" t="inlineStr">
        <s:is>
          <s:t>이종훈</s:t>
        </s:is>
      </s:c>
      <s:c r="C273" s="0" t="n">
        <s:v>84716</s:v>
      </s:c>
      <s:c r="D273" s="0" t="n">
        <s:v>1711</s:v>
      </s:c>
      <s:c r="F273" s="24">
        <s:f>'자료구성'!$B$2+TIME(INT($C$3/10000),INT(MOD($C$3,10000)/100),MOD($C$3,100))+(ROW()-ROW($C$3))/86400</s:f>
        <s:v>46247.36928240741</s:v>
      </s:c>
    </s:row>
    <s:row r="274">
      <s:c r="A274" s="0" t="n">
        <s:v>260813</s:v>
      </s:c>
      <s:c r="B274" s="0" t="inlineStr">
        <s:is>
          <s:t>이종훈</s:t>
        </s:is>
      </s:c>
      <s:c r="C274" s="0" t="n">
        <s:v>84716</s:v>
      </s:c>
      <s:c r="D274" s="0" t="n">
        <s:v>1661</s:v>
      </s:c>
      <s:c r="F274" s="24">
        <s:f>'자료구성'!$B$2+TIME(INT($C$3/10000),INT(MOD($C$3,10000)/100),MOD($C$3,100))+(ROW()-ROW($C$3))/86400</s:f>
        <s:v>46247.36929398148</s:v>
      </s:c>
    </s:row>
    <s:row r="275">
      <s:c r="A275" s="0" t="n">
        <s:v>260813</s:v>
      </s:c>
      <s:c r="B275" s="0" t="inlineStr">
        <s:is>
          <s:t>이종훈</s:t>
        </s:is>
      </s:c>
      <s:c r="C275" s="0" t="n">
        <s:v>84716</s:v>
      </s:c>
      <s:c r="D275" s="0" t="n">
        <s:v>1640</s:v>
      </s:c>
      <s:c r="F275" s="24">
        <s:f>'자료구성'!$B$2+TIME(INT($C$3/10000),INT(MOD($C$3,10000)/100),MOD($C$3,100))+(ROW()-ROW($C$3))/86400</s:f>
        <s:v>46247.369305555556</s:v>
      </s:c>
    </s:row>
    <s:row r="276">
      <s:c r="A276" s="0" t="n">
        <s:v>260813</s:v>
      </s:c>
      <s:c r="B276" s="0" t="inlineStr">
        <s:is>
          <s:t>이종훈</s:t>
        </s:is>
      </s:c>
      <s:c r="C276" s="0" t="n">
        <s:v>84716</s:v>
      </s:c>
      <s:c r="D276" s="0" t="n">
        <s:v>1604</s:v>
      </s:c>
      <s:c r="F276" s="24">
        <s:f>'자료구성'!$B$2+TIME(INT($C$3/10000),INT(MOD($C$3,10000)/100),MOD($C$3,100))+(ROW()-ROW($C$3))/86400</s:f>
        <s:v>46247.36931712963</s:v>
      </s:c>
    </s:row>
    <s:row r="277">
      <s:c r="A277" s="0" t="n">
        <s:v>260813</s:v>
      </s:c>
      <s:c r="B277" s="0" t="inlineStr">
        <s:is>
          <s:t>이종훈</s:t>
        </s:is>
      </s:c>
      <s:c r="C277" s="0" t="n">
        <s:v>84716</s:v>
      </s:c>
      <s:c r="D277" s="0" t="n">
        <s:v>1588</s:v>
      </s:c>
      <s:c r="F277" s="24">
        <s:f>'자료구성'!$B$2+TIME(INT($C$3/10000),INT(MOD($C$3,10000)/100),MOD($C$3,100))+(ROW()-ROW($C$3))/86400</s:f>
        <s:v>46247.3693287037</s:v>
      </s:c>
    </s:row>
    <s:row r="278">
      <s:c r="A278" s="0" t="n">
        <s:v>260813</s:v>
      </s:c>
      <s:c r="B278" s="0" t="inlineStr">
        <s:is>
          <s:t>이종훈</s:t>
        </s:is>
      </s:c>
      <s:c r="C278" s="0" t="n">
        <s:v>84716</s:v>
      </s:c>
      <s:c r="D278" s="0" t="n">
        <s:v>1574</s:v>
      </s:c>
      <s:c r="F278" s="24">
        <s:f>'자료구성'!$B$2+TIME(INT($C$3/10000),INT(MOD($C$3,10000)/100),MOD($C$3,100))+(ROW()-ROW($C$3))/86400</s:f>
        <s:v>46247.36934027778</s:v>
      </s:c>
    </s:row>
    <s:row r="279">
      <s:c r="A279" s="0" t="n">
        <s:v>260813</s:v>
      </s:c>
      <s:c r="B279" s="0" t="inlineStr">
        <s:is>
          <s:t>이종훈</s:t>
        </s:is>
      </s:c>
      <s:c r="C279" s="0" t="n">
        <s:v>84716</s:v>
      </s:c>
      <s:c r="D279" s="0" t="n">
        <s:v>1560</s:v>
      </s:c>
      <s:c r="F279" s="24">
        <s:f>'자료구성'!$B$2+TIME(INT($C$3/10000),INT(MOD($C$3,10000)/100),MOD($C$3,100))+(ROW()-ROW($C$3))/86400</s:f>
        <s:v>46247.36935185185</s:v>
      </s:c>
    </s:row>
    <s:row r="280">
      <s:c r="A280" s="0" t="n">
        <s:v>260813</s:v>
      </s:c>
      <s:c r="B280" s="0" t="inlineStr">
        <s:is>
          <s:t>이종훈</s:t>
        </s:is>
      </s:c>
      <s:c r="C280" s="0" t="n">
        <s:v>84716</s:v>
      </s:c>
      <s:c r="D280" s="0" t="n">
        <s:v>1577</s:v>
      </s:c>
      <s:c r="F280" s="24">
        <s:f>'자료구성'!$B$2+TIME(INT($C$3/10000),INT(MOD($C$3,10000)/100),MOD($C$3,100))+(ROW()-ROW($C$3))/86400</s:f>
        <s:v>46247.369363425925</s:v>
      </s:c>
    </s:row>
    <s:row r="281">
      <s:c r="A281" s="0" t="n">
        <s:v>260813</s:v>
      </s:c>
      <s:c r="B281" s="0" t="inlineStr">
        <s:is>
          <s:t>이종훈</s:t>
        </s:is>
      </s:c>
      <s:c r="C281" s="0" t="n">
        <s:v>84716</s:v>
      </s:c>
      <s:c r="D281" s="0" t="n">
        <s:v>1618</s:v>
      </s:c>
      <s:c r="F281" s="24">
        <s:f>'자료구성'!$B$2+TIME(INT($C$3/10000),INT(MOD($C$3,10000)/100),MOD($C$3,100))+(ROW()-ROW($C$3))/86400</s:f>
        <s:v>46247.369375</s:v>
      </s:c>
    </s:row>
    <s:row r="282">
      <s:c r="A282" s="0" t="n">
        <s:v>260813</s:v>
      </s:c>
      <s:c r="B282" s="0" t="inlineStr">
        <s:is>
          <s:t>이종훈</s:t>
        </s:is>
      </s:c>
      <s:c r="C282" s="0" t="n">
        <s:v>84716</s:v>
      </s:c>
      <s:c r="D282" s="0" t="n">
        <s:v>1616</s:v>
      </s:c>
      <s:c r="F282" s="24">
        <s:f>'자료구성'!$B$2+TIME(INT($C$3/10000),INT(MOD($C$3,10000)/100),MOD($C$3,100))+(ROW()-ROW($C$3))/86400</s:f>
        <s:v>46247.36938657407</s:v>
      </s:c>
    </s:row>
    <s:row r="283">
      <s:c r="A283" s="0" t="n">
        <s:v>260813</s:v>
      </s:c>
      <s:c r="B283" s="0" t="inlineStr">
        <s:is>
          <s:t>이종훈</s:t>
        </s:is>
      </s:c>
      <s:c r="C283" s="0" t="n">
        <s:v>84716</s:v>
      </s:c>
      <s:c r="D283" s="0" t="n">
        <s:v>1619</s:v>
      </s:c>
      <s:c r="F283" s="24">
        <s:f>'자료구성'!$B$2+TIME(INT($C$3/10000),INT(MOD($C$3,10000)/100),MOD($C$3,100))+(ROW()-ROW($C$3))/86400</s:f>
        <s:v>46247.36939814815</s:v>
      </s:c>
    </s:row>
    <s:row r="284">
      <s:c r="A284" s="0" t="n">
        <s:v>260813</s:v>
      </s:c>
      <s:c r="B284" s="0" t="inlineStr">
        <s:is>
          <s:t>이종훈</s:t>
        </s:is>
      </s:c>
      <s:c r="C284" s="0" t="n">
        <s:v>84716</s:v>
      </s:c>
      <s:c r="D284" s="0" t="n">
        <s:v>1628</s:v>
      </s:c>
      <s:c r="F284" s="24">
        <s:f>'자료구성'!$B$2+TIME(INT($C$3/10000),INT(MOD($C$3,10000)/100),MOD($C$3,100))+(ROW()-ROW($C$3))/86400</s:f>
        <s:v>46247.369409722225</s:v>
      </s:c>
    </s:row>
    <s:row r="285">
      <s:c r="A285" s="0" t="n">
        <s:v>260813</s:v>
      </s:c>
      <s:c r="B285" s="0" t="inlineStr">
        <s:is>
          <s:t>이종훈</s:t>
        </s:is>
      </s:c>
      <s:c r="C285" s="0" t="n">
        <s:v>84716</s:v>
      </s:c>
      <s:c r="D285" s="0" t="n">
        <s:v>1661</s:v>
      </s:c>
      <s:c r="F285" s="24">
        <s:f>'자료구성'!$B$2+TIME(INT($C$3/10000),INT(MOD($C$3,10000)/100),MOD($C$3,100))+(ROW()-ROW($C$3))/86400</s:f>
        <s:v>46247.369421296295</s:v>
      </s:c>
    </s:row>
    <s:row r="286">
      <s:c r="A286" s="0" t="n">
        <s:v>260813</s:v>
      </s:c>
      <s:c r="B286" s="0" t="inlineStr">
        <s:is>
          <s:t>이종훈</s:t>
        </s:is>
      </s:c>
      <s:c r="C286" s="0" t="n">
        <s:v>84716</s:v>
      </s:c>
      <s:c r="D286" s="0" t="n">
        <s:v>1697</s:v>
      </s:c>
      <s:c r="F286" s="24">
        <s:f>'자료구성'!$B$2+TIME(INT($C$3/10000),INT(MOD($C$3,10000)/100),MOD($C$3,100))+(ROW()-ROW($C$3))/86400</s:f>
        <s:v>46247.36943287037</s:v>
      </s:c>
    </s:row>
    <s:row r="287">
      <s:c r="A287" s="0" t="n">
        <s:v>260813</s:v>
      </s:c>
      <s:c r="B287" s="0" t="inlineStr">
        <s:is>
          <s:t>이종훈</s:t>
        </s:is>
      </s:c>
      <s:c r="C287" s="0" t="n">
        <s:v>84716</s:v>
      </s:c>
      <s:c r="D287" s="0" t="n">
        <s:v>1694</s:v>
      </s:c>
      <s:c r="F287" s="24">
        <s:f>'자료구성'!$B$2+TIME(INT($C$3/10000),INT(MOD($C$3,10000)/100),MOD($C$3,100))+(ROW()-ROW($C$3))/86400</s:f>
        <s:v>46247.36944444444</s:v>
      </s:c>
    </s:row>
    <s:row r="288">
      <s:c r="A288" s="0" t="n">
        <s:v>260813</s:v>
      </s:c>
      <s:c r="B288" s="0" t="inlineStr">
        <s:is>
          <s:t>이종훈</s:t>
        </s:is>
      </s:c>
      <s:c r="C288" s="0" t="n">
        <s:v>84716</s:v>
      </s:c>
      <s:c r="D288" s="0" t="n">
        <s:v>1719</s:v>
      </s:c>
      <s:c r="F288" s="24">
        <s:f>'자료구성'!$B$2+TIME(INT($C$3/10000),INT(MOD($C$3,10000)/100),MOD($C$3,100))+(ROW()-ROW($C$3))/86400</s:f>
        <s:v>46247.36945601852</s:v>
      </s:c>
    </s:row>
    <s:row r="289">
      <s:c r="A289" s="0" t="n">
        <s:v>260813</s:v>
      </s:c>
      <s:c r="B289" s="0" t="inlineStr">
        <s:is>
          <s:t>이종훈</s:t>
        </s:is>
      </s:c>
      <s:c r="C289" s="0" t="n">
        <s:v>84716</s:v>
      </s:c>
      <s:c r="D289" s="0" t="n">
        <s:v>1722</s:v>
      </s:c>
      <s:c r="F289" s="24">
        <s:f>'자료구성'!$B$2+TIME(INT($C$3/10000),INT(MOD($C$3,10000)/100),MOD($C$3,100))+(ROW()-ROW($C$3))/86400</s:f>
        <s:v>46247.369467592594</s:v>
      </s:c>
    </s:row>
    <s:row r="290">
      <s:c r="A290" s="0" t="n">
        <s:v>260813</s:v>
      </s:c>
      <s:c r="B290" s="0" t="inlineStr">
        <s:is>
          <s:t>이종훈</s:t>
        </s:is>
      </s:c>
      <s:c r="C290" s="0" t="n">
        <s:v>84716</s:v>
      </s:c>
      <s:c r="D290" s="0" t="n">
        <s:v>1729</s:v>
      </s:c>
      <s:c r="F290" s="24">
        <s:f>'자료구성'!$B$2+TIME(INT($C$3/10000),INT(MOD($C$3,10000)/100),MOD($C$3,100))+(ROW()-ROW($C$3))/86400</s:f>
        <s:v>46247.369479166664</s:v>
      </s:c>
    </s:row>
    <s:row r="291">
      <s:c r="A291" s="0" t="n">
        <s:v>260813</s:v>
      </s:c>
      <s:c r="B291" s="0" t="inlineStr">
        <s:is>
          <s:t>이종훈</s:t>
        </s:is>
      </s:c>
      <s:c r="C291" s="0" t="n">
        <s:v>84716</s:v>
      </s:c>
      <s:c r="D291" s="0" t="n">
        <s:v>1713</s:v>
      </s:c>
      <s:c r="F291" s="24">
        <s:f>'자료구성'!$B$2+TIME(INT($C$3/10000),INT(MOD($C$3,10000)/100),MOD($C$3,100))+(ROW()-ROW($C$3))/86400</s:f>
        <s:v>46247.36949074074</s:v>
      </s:c>
    </s:row>
    <s:row r="292">
      <s:c r="A292" s="0" t="n">
        <s:v>260813</s:v>
      </s:c>
      <s:c r="B292" s="0" t="inlineStr">
        <s:is>
          <s:t>이종훈</s:t>
        </s:is>
      </s:c>
      <s:c r="C292" s="0" t="n">
        <s:v>84716</s:v>
      </s:c>
      <s:c r="D292" s="0" t="n">
        <s:v>1658</s:v>
      </s:c>
      <s:c r="F292" s="24">
        <s:f>'자료구성'!$B$2+TIME(INT($C$3/10000),INT(MOD($C$3,10000)/100),MOD($C$3,100))+(ROW()-ROW($C$3))/86400</s:f>
        <s:v>46247.36950231482</s:v>
      </s:c>
    </s:row>
    <s:row r="293">
      <s:c r="A293" s="0" t="n">
        <s:v>260813</s:v>
      </s:c>
      <s:c r="B293" s="0" t="inlineStr">
        <s:is>
          <s:t>이종훈</s:t>
        </s:is>
      </s:c>
      <s:c r="C293" s="0" t="n">
        <s:v>84716</s:v>
      </s:c>
      <s:c r="D293" s="0" t="n">
        <s:v>1603</s:v>
      </s:c>
      <s:c r="F293" s="24">
        <s:f>'자료구성'!$B$2+TIME(INT($C$3/10000),INT(MOD($C$3,10000)/100),MOD($C$3,100))+(ROW()-ROW($C$3))/86400</s:f>
        <s:v>46247.36951388889</s:v>
      </s:c>
    </s:row>
    <s:row r="294">
      <s:c r="A294" s="0" t="n">
        <s:v>260813</s:v>
      </s:c>
      <s:c r="B294" s="0" t="inlineStr">
        <s:is>
          <s:t>이종훈</s:t>
        </s:is>
      </s:c>
      <s:c r="C294" s="0" t="n">
        <s:v>84716</s:v>
      </s:c>
      <s:c r="D294" s="0" t="n">
        <s:v>1563</s:v>
      </s:c>
      <s:c r="F294" s="24">
        <s:f>'자료구성'!$B$2+TIME(INT($C$3/10000),INT(MOD($C$3,10000)/100),MOD($C$3,100))+(ROW()-ROW($C$3))/86400</s:f>
        <s:v>46247.369525462964</s:v>
      </s:c>
    </s:row>
    <s:row r="295">
      <s:c r="A295" s="0" t="n">
        <s:v>260813</s:v>
      </s:c>
      <s:c r="B295" s="0" t="inlineStr">
        <s:is>
          <s:t>이종훈</s:t>
        </s:is>
      </s:c>
      <s:c r="C295" s="0" t="n">
        <s:v>84716</s:v>
      </s:c>
      <s:c r="D295" s="0" t="n">
        <s:v>1527</s:v>
      </s:c>
      <s:c r="F295" s="24">
        <s:f>'자료구성'!$B$2+TIME(INT($C$3/10000),INT(MOD($C$3,10000)/100),MOD($C$3,100))+(ROW()-ROW($C$3))/86400</s:f>
        <s:v>46247.36953703704</s:v>
      </s:c>
    </s:row>
    <s:row r="296">
      <s:c r="A296" s="0" t="n">
        <s:v>260813</s:v>
      </s:c>
      <s:c r="B296" s="0" t="inlineStr">
        <s:is>
          <s:t>이종훈</s:t>
        </s:is>
      </s:c>
      <s:c r="C296" s="0" t="n">
        <s:v>84716</s:v>
      </s:c>
      <s:c r="D296" s="0" t="n">
        <s:v>1520</s:v>
      </s:c>
      <s:c r="F296" s="24">
        <s:f>'자료구성'!$B$2+TIME(INT($C$3/10000),INT(MOD($C$3,10000)/100),MOD($C$3,100))+(ROW()-ROW($C$3))/86400</s:f>
        <s:v>46247.36954861111</s:v>
      </s:c>
    </s:row>
    <s:row r="297">
      <s:c r="A297" s="0" t="n">
        <s:v>260813</s:v>
      </s:c>
      <s:c r="B297" s="0" t="inlineStr">
        <s:is>
          <s:t>이종훈</s:t>
        </s:is>
      </s:c>
      <s:c r="C297" s="0" t="n">
        <s:v>84716</s:v>
      </s:c>
      <s:c r="D297" s="0" t="n">
        <s:v>1498</s:v>
      </s:c>
      <s:c r="F297" s="24">
        <s:f>'자료구성'!$B$2+TIME(INT($C$3/10000),INT(MOD($C$3,10000)/100),MOD($C$3,100))+(ROW()-ROW($C$3))/86400</s:f>
        <s:v>46247.36956018519</s:v>
      </s:c>
    </s:row>
    <s:row r="298">
      <s:c r="A298" s="0" t="n">
        <s:v>260813</s:v>
      </s:c>
      <s:c r="B298" s="0" t="inlineStr">
        <s:is>
          <s:t>이종훈</s:t>
        </s:is>
      </s:c>
      <s:c r="C298" s="0" t="n">
        <s:v>84716</s:v>
      </s:c>
      <s:c r="D298" s="0" t="n">
        <s:v>1499</s:v>
      </s:c>
      <s:c r="F298" s="24">
        <s:f>'자료구성'!$B$2+TIME(INT($C$3/10000),INT(MOD($C$3,10000)/100),MOD($C$3,100))+(ROW()-ROW($C$3))/86400</s:f>
        <s:v>46247.369571759256</s:v>
      </s:c>
    </s:row>
    <s:row r="299">
      <s:c r="A299" s="0" t="n">
        <s:v>260813</s:v>
      </s:c>
      <s:c r="B299" s="0" t="inlineStr">
        <s:is>
          <s:t>이종훈</s:t>
        </s:is>
      </s:c>
      <s:c r="C299" s="0" t="n">
        <s:v>84716</s:v>
      </s:c>
      <s:c r="D299" s="0" t="n">
        <s:v>1495</s:v>
      </s:c>
      <s:c r="F299" s="24">
        <s:f>'자료구성'!$B$2+TIME(INT($C$3/10000),INT(MOD($C$3,10000)/100),MOD($C$3,100))+(ROW()-ROW($C$3))/86400</s:f>
        <s:v>46247.36958333333</s:v>
      </s:c>
    </s:row>
    <s:row r="300">
      <s:c r="A300" s="0" t="n">
        <s:v>260813</s:v>
      </s:c>
      <s:c r="B300" s="0" t="inlineStr">
        <s:is>
          <s:t>이종훈</s:t>
        </s:is>
      </s:c>
      <s:c r="C300" s="0" t="n">
        <s:v>84716</s:v>
      </s:c>
      <s:c r="D300" s="0" t="n">
        <s:v>1494</s:v>
      </s:c>
      <s:c r="F300" s="24">
        <s:f>'자료구성'!$B$2+TIME(INT($C$3/10000),INT(MOD($C$3,10000)/100),MOD($C$3,100))+(ROW()-ROW($C$3))/86400</s:f>
        <s:v>46247.36959490741</s:v>
      </s:c>
    </s:row>
    <s:row r="301">
      <s:c r="A301" s="0" t="n">
        <s:v>260813</s:v>
      </s:c>
      <s:c r="B301" s="0" t="inlineStr">
        <s:is>
          <s:t>이종훈</s:t>
        </s:is>
      </s:c>
      <s:c r="C301" s="0" t="n">
        <s:v>84716</s:v>
      </s:c>
      <s:c r="D301" s="0" t="n">
        <s:v>1486</s:v>
      </s:c>
      <s:c r="F301" s="24">
        <s:f>'자료구성'!$B$2+TIME(INT($C$3/10000),INT(MOD($C$3,10000)/100),MOD($C$3,100))+(ROW()-ROW($C$3))/86400</s:f>
        <s:v>46247.36960648148</s:v>
      </s:c>
    </s:row>
    <s:row r="302">
      <s:c r="A302" s="0" t="n">
        <s:v>260813</s:v>
      </s:c>
      <s:c r="B302" s="0" t="inlineStr">
        <s:is>
          <s:t>이종훈</s:t>
        </s:is>
      </s:c>
      <s:c r="C302" s="0" t="n">
        <s:v>84716</s:v>
      </s:c>
      <s:c r="D302" s="0" t="n">
        <s:v>1479</s:v>
      </s:c>
      <s:c r="F302" s="24">
        <s:f>'자료구성'!$B$2+TIME(INT($C$3/10000),INT(MOD($C$3,10000)/100),MOD($C$3,100))+(ROW()-ROW($C$3))/86400</s:f>
        <s:v>46247.369618055556</s:v>
      </s:c>
    </s:row>
    <s:row r="303">
      <s:c r="A303" s="0" t="n">
        <s:v>260813</s:v>
      </s:c>
      <s:c r="B303" s="0" t="inlineStr">
        <s:is>
          <s:t>이종훈</s:t>
        </s:is>
      </s:c>
      <s:c r="C303" s="0" t="n">
        <s:v>84716</s:v>
      </s:c>
      <s:c r="D303" s="0" t="n">
        <s:v>1528</s:v>
      </s:c>
      <s:c r="F303" s="24">
        <s:f>'자료구성'!$B$2+TIME(INT($C$3/10000),INT(MOD($C$3,10000)/100),MOD($C$3,100))+(ROW()-ROW($C$3))/86400</s:f>
        <s:v>46247.36962962963</s:v>
      </s:c>
    </s:row>
    <s:row r="304">
      <s:c r="A304" s="0" t="n">
        <s:v>260813</s:v>
      </s:c>
      <s:c r="B304" s="0" t="inlineStr">
        <s:is>
          <s:t>이종훈</s:t>
        </s:is>
      </s:c>
      <s:c r="C304" s="0" t="n">
        <s:v>84716</s:v>
      </s:c>
      <s:c r="D304" s="0" t="n">
        <s:v>1534</s:v>
      </s:c>
      <s:c r="F304" s="24">
        <s:f>'자료구성'!$B$2+TIME(INT($C$3/10000),INT(MOD($C$3,10000)/100),MOD($C$3,100))+(ROW()-ROW($C$3))/86400</s:f>
        <s:v>46247.3696412037</s:v>
      </s:c>
    </s:row>
    <s:row r="305">
      <s:c r="A305" s="0" t="n">
        <s:v>260813</s:v>
      </s:c>
      <s:c r="B305" s="0" t="inlineStr">
        <s:is>
          <s:t>이종훈</s:t>
        </s:is>
      </s:c>
      <s:c r="C305" s="0" t="n">
        <s:v>84716</s:v>
      </s:c>
      <s:c r="D305" s="0" t="n">
        <s:v>1528</s:v>
      </s:c>
      <s:c r="F305" s="24">
        <s:f>'자료구성'!$B$2+TIME(INT($C$3/10000),INT(MOD($C$3,10000)/100),MOD($C$3,100))+(ROW()-ROW($C$3))/86400</s:f>
        <s:v>46247.36965277778</s:v>
      </s:c>
    </s:row>
    <s:row r="306">
      <s:c r="A306" s="0" t="n">
        <s:v>260813</s:v>
      </s:c>
      <s:c r="B306" s="0" t="inlineStr">
        <s:is>
          <s:t>이종훈</s:t>
        </s:is>
      </s:c>
      <s:c r="C306" s="0" t="n">
        <s:v>84716</s:v>
      </s:c>
      <s:c r="D306" s="0" t="n">
        <s:v>1528</s:v>
      </s:c>
      <s:c r="F306" s="24">
        <s:f>'자료구성'!$B$2+TIME(INT($C$3/10000),INT(MOD($C$3,10000)/100),MOD($C$3,100))+(ROW()-ROW($C$3))/86400</s:f>
        <s:v>46247.36966435185</s:v>
      </s:c>
    </s:row>
    <s:row r="307">
      <s:c r="A307" s="0" t="n">
        <s:v>260813</s:v>
      </s:c>
      <s:c r="B307" s="0" t="inlineStr">
        <s:is>
          <s:t>이종훈</s:t>
        </s:is>
      </s:c>
      <s:c r="C307" s="0" t="n">
        <s:v>84716</s:v>
      </s:c>
      <s:c r="D307" s="0" t="n">
        <s:v>1489</s:v>
      </s:c>
      <s:c r="F307" s="24">
        <s:f>'자료구성'!$B$2+TIME(INT($C$3/10000),INT(MOD($C$3,10000)/100),MOD($C$3,100))+(ROW()-ROW($C$3))/86400</s:f>
        <s:v>46247.369675925926</s:v>
      </s:c>
    </s:row>
    <s:row r="308">
      <s:c r="A308" s="0" t="n">
        <s:v>260813</s:v>
      </s:c>
      <s:c r="B308" s="0" t="inlineStr">
        <s:is>
          <s:t>이종훈</s:t>
        </s:is>
      </s:c>
      <s:c r="C308" s="0" t="n">
        <s:v>84716</s:v>
      </s:c>
      <s:c r="D308" s="0" t="n">
        <s:v>1449</s:v>
      </s:c>
      <s:c r="F308" s="24">
        <s:f>'자료구성'!$B$2+TIME(INT($C$3/10000),INT(MOD($C$3,10000)/100),MOD($C$3,100))+(ROW()-ROW($C$3))/86400</s:f>
        <s:v>46247.3696875</s:v>
      </s:c>
    </s:row>
    <s:row r="309">
      <s:c r="A309" s="0" t="n">
        <s:v>260813</s:v>
      </s:c>
      <s:c r="B309" s="0" t="inlineStr">
        <s:is>
          <s:t>이종훈</s:t>
        </s:is>
      </s:c>
      <s:c r="C309" s="0" t="n">
        <s:v>84716</s:v>
      </s:c>
      <s:c r="D309" s="0" t="n">
        <s:v>1417</s:v>
      </s:c>
      <s:c r="F309" s="24">
        <s:f>'자료구성'!$B$2+TIME(INT($C$3/10000),INT(MOD($C$3,10000)/100),MOD($C$3,100))+(ROW()-ROW($C$3))/86400</s:f>
        <s:v>46247.36969907407</s:v>
      </s:c>
    </s:row>
    <s:row r="310">
      <s:c r="A310" s="0" t="n">
        <s:v>260813</s:v>
      </s:c>
      <s:c r="B310" s="0" t="inlineStr">
        <s:is>
          <s:t>이종훈</s:t>
        </s:is>
      </s:c>
      <s:c r="C310" s="0" t="n">
        <s:v>84716</s:v>
      </s:c>
      <s:c r="D310" s="0" t="n">
        <s:v>1408</s:v>
      </s:c>
      <s:c r="F310" s="24">
        <s:f>'자료구성'!$B$2+TIME(INT($C$3/10000),INT(MOD($C$3,10000)/100),MOD($C$3,100))+(ROW()-ROW($C$3))/86400</s:f>
        <s:v>46247.36971064815</s:v>
      </s:c>
    </s:row>
    <s:row r="311">
      <s:c r="A311" s="0" t="n">
        <s:v>260813</s:v>
      </s:c>
      <s:c r="B311" s="0" t="inlineStr">
        <s:is>
          <s:t>이종훈</s:t>
        </s:is>
      </s:c>
      <s:c r="C311" s="0" t="n">
        <s:v>84716</s:v>
      </s:c>
      <s:c r="D311" s="0" t="n">
        <s:v>1377</s:v>
      </s:c>
      <s:c r="F311" s="24">
        <s:f>'자료구성'!$B$2+TIME(INT($C$3/10000),INT(MOD($C$3,10000)/100),MOD($C$3,100))+(ROW()-ROW($C$3))/86400</s:f>
        <s:v>46247.369722222225</s:v>
      </s:c>
    </s:row>
    <s:row r="312">
      <s:c r="A312" s="0" t="n">
        <s:v>260813</s:v>
      </s:c>
      <s:c r="B312" s="0" t="inlineStr">
        <s:is>
          <s:t>이종훈</s:t>
        </s:is>
      </s:c>
      <s:c r="C312" s="0" t="n">
        <s:v>84716</s:v>
      </s:c>
      <s:c r="D312" s="0" t="n">
        <s:v>1355</s:v>
      </s:c>
      <s:c r="F312" s="24">
        <s:f>'자료구성'!$B$2+TIME(INT($C$3/10000),INT(MOD($C$3,10000)/100),MOD($C$3,100))+(ROW()-ROW($C$3))/86400</s:f>
        <s:v>46247.369733796295</s:v>
      </s:c>
    </s:row>
    <s:row r="313">
      <s:c r="A313" s="0" t="n">
        <s:v>260813</s:v>
      </s:c>
      <s:c r="B313" s="0" t="inlineStr">
        <s:is>
          <s:t>이종훈</s:t>
        </s:is>
      </s:c>
      <s:c r="C313" s="0" t="n">
        <s:v>84716</s:v>
      </s:c>
      <s:c r="D313" s="0" t="n">
        <s:v>1315</s:v>
      </s:c>
      <s:c r="F313" s="24">
        <s:f>'자료구성'!$B$2+TIME(INT($C$3/10000),INT(MOD($C$3,10000)/100),MOD($C$3,100))+(ROW()-ROW($C$3))/86400</s:f>
        <s:v>46247.36974537037</s:v>
      </s:c>
    </s:row>
    <s:row r="314">
      <s:c r="A314" s="0" t="n">
        <s:v>260813</s:v>
      </s:c>
      <s:c r="B314" s="0" t="inlineStr">
        <s:is>
          <s:t>이종훈</s:t>
        </s:is>
      </s:c>
      <s:c r="C314" s="0" t="n">
        <s:v>84716</s:v>
      </s:c>
      <s:c r="D314" s="0" t="n">
        <s:v>1291</s:v>
      </s:c>
      <s:c r="F314" s="24">
        <s:f>'자료구성'!$B$2+TIME(INT($C$3/10000),INT(MOD($C$3,10000)/100),MOD($C$3,100))+(ROW()-ROW($C$3))/86400</s:f>
        <s:v>46247.36975694444</s:v>
      </s:c>
    </s:row>
    <s:row r="315">
      <s:c r="A315" s="0" t="n">
        <s:v>260813</s:v>
      </s:c>
      <s:c r="B315" s="0" t="inlineStr">
        <s:is>
          <s:t>이종훈</s:t>
        </s:is>
      </s:c>
      <s:c r="C315" s="0" t="n">
        <s:v>84716</s:v>
      </s:c>
      <s:c r="D315" s="0" t="n">
        <s:v>1271</s:v>
      </s:c>
      <s:c r="F315" s="24">
        <s:f>'자료구성'!$B$2+TIME(INT($C$3/10000),INT(MOD($C$3,10000)/100),MOD($C$3,100))+(ROW()-ROW($C$3))/86400</s:f>
        <s:v>46247.36976851852</s:v>
      </s:c>
    </s:row>
    <s:row r="316">
      <s:c r="A316" s="0" t="n">
        <s:v>260813</s:v>
      </s:c>
      <s:c r="B316" s="0" t="inlineStr">
        <s:is>
          <s:t>이종훈</s:t>
        </s:is>
      </s:c>
      <s:c r="C316" s="0" t="n">
        <s:v>84716</s:v>
      </s:c>
      <s:c r="D316" s="0" t="n">
        <s:v>1246</s:v>
      </s:c>
      <s:c r="F316" s="24">
        <s:f>'자료구성'!$B$2+TIME(INT($C$3/10000),INT(MOD($C$3,10000)/100),MOD($C$3,100))+(ROW()-ROW($C$3))/86400</s:f>
        <s:v>46247.369780092595</s:v>
      </s:c>
    </s:row>
    <s:row r="317">
      <s:c r="A317" s="0" t="n">
        <s:v>260813</s:v>
      </s:c>
      <s:c r="B317" s="0" t="inlineStr">
        <s:is>
          <s:t>이종훈</s:t>
        </s:is>
      </s:c>
      <s:c r="C317" s="0" t="n">
        <s:v>84716</s:v>
      </s:c>
      <s:c r="D317" s="0" t="n">
        <s:v>1241</s:v>
      </s:c>
      <s:c r="F317" s="24">
        <s:f>'자료구성'!$B$2+TIME(INT($C$3/10000),INT(MOD($C$3,10000)/100),MOD($C$3,100))+(ROW()-ROW($C$3))/86400</s:f>
        <s:v>46247.369791666664</s:v>
      </s:c>
    </s:row>
    <s:row r="318">
      <s:c r="A318" s="0" t="n">
        <s:v>260813</s:v>
      </s:c>
      <s:c r="B318" s="0" t="inlineStr">
        <s:is>
          <s:t>이종훈</s:t>
        </s:is>
      </s:c>
      <s:c r="C318" s="0" t="n">
        <s:v>84716</s:v>
      </s:c>
      <s:c r="D318" s="0" t="n">
        <s:v>1195</s:v>
      </s:c>
      <s:c r="F318" s="24">
        <s:f>'자료구성'!$B$2+TIME(INT($C$3/10000),INT(MOD($C$3,10000)/100),MOD($C$3,100))+(ROW()-ROW($C$3))/86400</s:f>
        <s:v>46247.36980324074</s:v>
      </s:c>
    </s:row>
    <s:row r="319">
      <s:c r="A319" s="0" t="n">
        <s:v>260813</s:v>
      </s:c>
      <s:c r="B319" s="0" t="inlineStr">
        <s:is>
          <s:t>이종훈</s:t>
        </s:is>
      </s:c>
      <s:c r="C319" s="0" t="n">
        <s:v>84716</s:v>
      </s:c>
      <s:c r="D319" s="0" t="n">
        <s:v>1170</s:v>
      </s:c>
      <s:c r="F319" s="24">
        <s:f>'자료구성'!$B$2+TIME(INT($C$3/10000),INT(MOD($C$3,10000)/100),MOD($C$3,100))+(ROW()-ROW($C$3))/86400</s:f>
        <s:v>46247.36981481482</s:v>
      </s:c>
    </s:row>
    <s:row r="320">
      <s:c r="A320" s="0" t="n">
        <s:v>260813</s:v>
      </s:c>
      <s:c r="B320" s="0" t="inlineStr">
        <s:is>
          <s:t>이종훈</s:t>
        </s:is>
      </s:c>
      <s:c r="C320" s="0" t="n">
        <s:v>84716</s:v>
      </s:c>
      <s:c r="D320" s="0" t="n">
        <s:v>1165</s:v>
      </s:c>
      <s:c r="F320" s="24">
        <s:f>'자료구성'!$B$2+TIME(INT($C$3/10000),INT(MOD($C$3,10000)/100),MOD($C$3,100))+(ROW()-ROW($C$3))/86400</s:f>
        <s:v>46247.36982638889</s:v>
      </s:c>
    </s:row>
    <s:row r="321">
      <s:c r="A321" s="0" t="n">
        <s:v>260813</s:v>
      </s:c>
      <s:c r="B321" s="0" t="inlineStr">
        <s:is>
          <s:t>이종훈</s:t>
        </s:is>
      </s:c>
      <s:c r="C321" s="0" t="n">
        <s:v>84716</s:v>
      </s:c>
      <s:c r="D321" s="0" t="n">
        <s:v>1174</s:v>
      </s:c>
      <s:c r="F321" s="24">
        <s:f>'자료구성'!$B$2+TIME(INT($C$3/10000),INT(MOD($C$3,10000)/100),MOD($C$3,100))+(ROW()-ROW($C$3))/86400</s:f>
        <s:v>46247.369837962964</s:v>
      </s:c>
    </s:row>
    <s:row r="322">
      <s:c r="A322" s="0" t="n">
        <s:v>260813</s:v>
      </s:c>
      <s:c r="B322" s="0" t="inlineStr">
        <s:is>
          <s:t>이종훈</s:t>
        </s:is>
      </s:c>
      <s:c r="C322" s="0" t="n">
        <s:v>84716</s:v>
      </s:c>
      <s:c r="D322" s="0" t="n">
        <s:v>1170</s:v>
      </s:c>
      <s:c r="F322" s="24">
        <s:f>'자료구성'!$B$2+TIME(INT($C$3/10000),INT(MOD($C$3,10000)/100),MOD($C$3,100))+(ROW()-ROW($C$3))/86400</s:f>
        <s:v>46247.36984953703</s:v>
      </s:c>
    </s:row>
    <s:row r="323">
      <s:c r="A323" s="0" t="n">
        <s:v>260813</s:v>
      </s:c>
      <s:c r="B323" s="0" t="inlineStr">
        <s:is>
          <s:t>이종훈</s:t>
        </s:is>
      </s:c>
      <s:c r="C323" s="0" t="n">
        <s:v>84716</s:v>
      </s:c>
      <s:c r="D323" s="0" t="n">
        <s:v>1171</s:v>
      </s:c>
      <s:c r="F323" s="24">
        <s:f>'자료구성'!$B$2+TIME(INT($C$3/10000),INT(MOD($C$3,10000)/100),MOD($C$3,100))+(ROW()-ROW($C$3))/86400</s:f>
        <s:v>46247.36986111111</s:v>
      </s:c>
    </s:row>
    <s:row r="324">
      <s:c r="A324" s="0" t="n">
        <s:v>260813</s:v>
      </s:c>
      <s:c r="B324" s="0" t="inlineStr">
        <s:is>
          <s:t>이종훈</s:t>
        </s:is>
      </s:c>
      <s:c r="C324" s="0" t="n">
        <s:v>84716</s:v>
      </s:c>
      <s:c r="D324" s="0" t="n">
        <s:v>1170</s:v>
      </s:c>
      <s:c r="F324" s="24">
        <s:f>'자료구성'!$B$2+TIME(INT($C$3/10000),INT(MOD($C$3,10000)/100),MOD($C$3,100))+(ROW()-ROW($C$3))/86400</s:f>
        <s:v>46247.36987268519</s:v>
      </s:c>
    </s:row>
    <s:row r="325">
      <s:c r="A325" s="0" t="n">
        <s:v>260813</s:v>
      </s:c>
      <s:c r="B325" s="0" t="inlineStr">
        <s:is>
          <s:t>이종훈</s:t>
        </s:is>
      </s:c>
      <s:c r="C325" s="0" t="n">
        <s:v>84716</s:v>
      </s:c>
      <s:c r="D325" s="0" t="n">
        <s:v>1162</s:v>
      </s:c>
      <s:c r="F325" s="24">
        <s:f>'자료구성'!$B$2+TIME(INT($C$3/10000),INT(MOD($C$3,10000)/100),MOD($C$3,100))+(ROW()-ROW($C$3))/86400</s:f>
        <s:v>46247.36988425926</s:v>
      </s:c>
    </s:row>
    <s:row r="326">
      <s:c r="A326" s="0" t="n">
        <s:v>260813</s:v>
      </s:c>
      <s:c r="B326" s="0" t="inlineStr">
        <s:is>
          <s:t>이종훈</s:t>
        </s:is>
      </s:c>
      <s:c r="C326" s="0" t="n">
        <s:v>84716</s:v>
      </s:c>
      <s:c r="D326" s="0" t="n">
        <s:v>1154</s:v>
      </s:c>
      <s:c r="F326" s="24">
        <s:f>'자료구성'!$B$2+TIME(INT($C$3/10000),INT(MOD($C$3,10000)/100),MOD($C$3,100))+(ROW()-ROW($C$3))/86400</s:f>
        <s:v>46247.36989583333</s:v>
      </s:c>
    </s:row>
    <s:row r="327">
      <s:c r="A327" s="0" t="n">
        <s:v>260813</s:v>
      </s:c>
      <s:c r="B327" s="0" t="inlineStr">
        <s:is>
          <s:t>이종훈</s:t>
        </s:is>
      </s:c>
      <s:c r="C327" s="0" t="n">
        <s:v>84716</s:v>
      </s:c>
      <s:c r="D327" s="0" t="n">
        <s:v>1157</s:v>
      </s:c>
      <s:c r="F327" s="24">
        <s:f>'자료구성'!$B$2+TIME(INT($C$3/10000),INT(MOD($C$3,10000)/100),MOD($C$3,100))+(ROW()-ROW($C$3))/86400</s:f>
        <s:v>46247.36990740741</s:v>
      </s:c>
    </s:row>
    <s:row r="328">
      <s:c r="A328" s="0" t="n">
        <s:v>260813</s:v>
      </s:c>
      <s:c r="B328" s="0" t="inlineStr">
        <s:is>
          <s:t>이종훈</s:t>
        </s:is>
      </s:c>
      <s:c r="C328" s="0" t="n">
        <s:v>84716</s:v>
      </s:c>
      <s:c r="D328" s="0" t="n">
        <s:v>1182</s:v>
      </s:c>
      <s:c r="F328" s="24">
        <s:f>'자료구성'!$B$2+TIME(INT($C$3/10000),INT(MOD($C$3,10000)/100),MOD($C$3,100))+(ROW()-ROW($C$3))/86400</s:f>
        <s:v>46247.36991898148</s:v>
      </s:c>
    </s:row>
    <s:row r="329">
      <s:c r="A329" s="0" t="n">
        <s:v>260813</s:v>
      </s:c>
      <s:c r="B329" s="0" t="inlineStr">
        <s:is>
          <s:t>이종훈</s:t>
        </s:is>
      </s:c>
      <s:c r="C329" s="0" t="n">
        <s:v>84716</s:v>
      </s:c>
      <s:c r="D329" s="0" t="n">
        <s:v>1184</s:v>
      </s:c>
      <s:c r="F329" s="24">
        <s:f>'자료구성'!$B$2+TIME(INT($C$3/10000),INT(MOD($C$3,10000)/100),MOD($C$3,100))+(ROW()-ROW($C$3))/86400</s:f>
        <s:v>46247.36993055556</s:v>
      </s:c>
    </s:row>
    <s:row r="330">
      <s:c r="A330" s="0" t="n">
        <s:v>260813</s:v>
      </s:c>
      <s:c r="B330" s="0" t="inlineStr">
        <s:is>
          <s:t>이종훈</s:t>
        </s:is>
      </s:c>
      <s:c r="C330" s="0" t="n">
        <s:v>84716</s:v>
      </s:c>
      <s:c r="D330" s="0" t="n">
        <s:v>1219</s:v>
      </s:c>
      <s:c r="F330" s="24">
        <s:f>'자료구성'!$B$2+TIME(INT($C$3/10000),INT(MOD($C$3,10000)/100),MOD($C$3,100))+(ROW()-ROW($C$3))/86400</s:f>
        <s:v>46247.369942129626</s:v>
      </s:c>
    </s:row>
    <s:row r="331">
      <s:c r="A331" s="0" t="n">
        <s:v>260813</s:v>
      </s:c>
      <s:c r="B331" s="0" t="inlineStr">
        <s:is>
          <s:t>이종훈</s:t>
        </s:is>
      </s:c>
      <s:c r="C331" s="0" t="n">
        <s:v>84716</s:v>
      </s:c>
      <s:c r="D331" s="0" t="n">
        <s:v>1278</s:v>
      </s:c>
      <s:c r="F331" s="24">
        <s:f>'자료구성'!$B$2+TIME(INT($C$3/10000),INT(MOD($C$3,10000)/100),MOD($C$3,100))+(ROW()-ROW($C$3))/86400</s:f>
        <s:v>46247.3699537037</s:v>
      </s:c>
    </s:row>
    <s:row r="332">
      <s:c r="A332" s="0" t="n">
        <s:v>260813</s:v>
      </s:c>
      <s:c r="B332" s="0" t="inlineStr">
        <s:is>
          <s:t>이종훈</s:t>
        </s:is>
      </s:c>
      <s:c r="C332" s="0" t="n">
        <s:v>84716</s:v>
      </s:c>
      <s:c r="D332" s="0" t="n">
        <s:v>1270</s:v>
      </s:c>
      <s:c r="F332" s="24">
        <s:f>'자료구성'!$B$2+TIME(INT($C$3/10000),INT(MOD($C$3,10000)/100),MOD($C$3,100))+(ROW()-ROW($C$3))/86400</s:f>
        <s:v>46247.36996527778</s:v>
      </s:c>
    </s:row>
    <s:row r="333">
      <s:c r="A333" s="0" t="n">
        <s:v>260813</s:v>
      </s:c>
      <s:c r="B333" s="0" t="inlineStr">
        <s:is>
          <s:t>이종훈</s:t>
        </s:is>
      </s:c>
      <s:c r="C333" s="0" t="n">
        <s:v>84716</s:v>
      </s:c>
      <s:c r="D333" s="0" t="n">
        <s:v>1300</s:v>
      </s:c>
      <s:c r="F333" s="24">
        <s:f>'자료구성'!$B$2+TIME(INT($C$3/10000),INT(MOD($C$3,10000)/100),MOD($C$3,100))+(ROW()-ROW($C$3))/86400</s:f>
        <s:v>46247.36997685185</s:v>
      </s:c>
    </s:row>
    <s:row r="334">
      <s:c r="A334" s="0" t="n">
        <s:v>260813</s:v>
      </s:c>
      <s:c r="B334" s="0" t="inlineStr">
        <s:is>
          <s:t>이종훈</s:t>
        </s:is>
      </s:c>
      <s:c r="C334" s="0" t="n">
        <s:v>84716</s:v>
      </s:c>
      <s:c r="D334" s="0" t="n">
        <s:v>1276</s:v>
      </s:c>
      <s:c r="F334" s="24">
        <s:f>'자료구성'!$B$2+TIME(INT($C$3/10000),INT(MOD($C$3,10000)/100),MOD($C$3,100))+(ROW()-ROW($C$3))/86400</s:f>
        <s:v>46247.369988425926</s:v>
      </s:c>
    </s:row>
    <s:row r="335">
      <s:c r="A335" s="0" t="n">
        <s:v>260813</s:v>
      </s:c>
      <s:c r="B335" s="0" t="inlineStr">
        <s:is>
          <s:t>이종훈</s:t>
        </s:is>
      </s:c>
      <s:c r="C335" s="0" t="n">
        <s:v>84716</s:v>
      </s:c>
      <s:c r="D335" s="0" t="n">
        <s:v>1258</s:v>
      </s:c>
      <s:c r="F335" s="24">
        <s:f>'자료구성'!$B$2+TIME(INT($C$3/10000),INT(MOD($C$3,10000)/100),MOD($C$3,100))+(ROW()-ROW($C$3))/86400</s:f>
        <s:v>46247.37</s:v>
      </s:c>
    </s:row>
    <s:row r="336">
      <s:c r="A336" s="0" t="n">
        <s:v>260813</s:v>
      </s:c>
      <s:c r="B336" s="0" t="inlineStr">
        <s:is>
          <s:t>이종훈</s:t>
        </s:is>
      </s:c>
      <s:c r="C336" s="0" t="n">
        <s:v>84716</s:v>
      </s:c>
      <s:c r="D336" s="0" t="n">
        <s:v>1225</s:v>
      </s:c>
      <s:c r="F336" s="24">
        <s:f>'자료구성'!$B$2+TIME(INT($C$3/10000),INT(MOD($C$3,10000)/100),MOD($C$3,100))+(ROW()-ROW($C$3))/86400</s:f>
        <s:v>46247.37001157407</s:v>
      </s:c>
    </s:row>
    <s:row r="337">
      <s:c r="A337" s="0" t="n">
        <s:v>260813</s:v>
      </s:c>
      <s:c r="B337" s="0" t="inlineStr">
        <s:is>
          <s:t>이종훈</s:t>
        </s:is>
      </s:c>
      <s:c r="C337" s="0" t="n">
        <s:v>84716</s:v>
      </s:c>
      <s:c r="D337" s="0" t="n">
        <s:v>1193</s:v>
      </s:c>
      <s:c r="F337" s="24">
        <s:f>'자료구성'!$B$2+TIME(INT($C$3/10000),INT(MOD($C$3,10000)/100),MOD($C$3,100))+(ROW()-ROW($C$3))/86400</s:f>
        <s:v>46247.37002314815</s:v>
      </s:c>
    </s:row>
    <s:row r="338">
      <s:c r="A338" s="0" t="n">
        <s:v>260813</s:v>
      </s:c>
      <s:c r="B338" s="0" t="inlineStr">
        <s:is>
          <s:t>이종훈</s:t>
        </s:is>
      </s:c>
      <s:c r="C338" s="0" t="n">
        <s:v>84716</s:v>
      </s:c>
      <s:c r="D338" s="0" t="n">
        <s:v>1203</s:v>
      </s:c>
      <s:c r="F338" s="24">
        <s:f>'자료구성'!$B$2+TIME(INT($C$3/10000),INT(MOD($C$3,10000)/100),MOD($C$3,100))+(ROW()-ROW($C$3))/86400</s:f>
        <s:v>46247.370034722226</s:v>
      </s:c>
    </s:row>
    <s:row r="339">
      <s:c r="A339" s="0" t="n">
        <s:v>260813</s:v>
      </s:c>
      <s:c r="B339" s="0" t="inlineStr">
        <s:is>
          <s:t>이종훈</s:t>
        </s:is>
      </s:c>
      <s:c r="C339" s="0" t="n">
        <s:v>84716</s:v>
      </s:c>
      <s:c r="D339" s="0" t="n">
        <s:v>1224</s:v>
      </s:c>
      <s:c r="F339" s="24">
        <s:f>'자료구성'!$B$2+TIME(INT($C$3/10000),INT(MOD($C$3,10000)/100),MOD($C$3,100))+(ROW()-ROW($C$3))/86400</s:f>
        <s:v>46247.370046296295</s:v>
      </s:c>
    </s:row>
    <s:row r="340">
      <s:c r="A340" s="0" t="n">
        <s:v>260813</s:v>
      </s:c>
      <s:c r="B340" s="0" t="inlineStr">
        <s:is>
          <s:t>이종훈</s:t>
        </s:is>
      </s:c>
      <s:c r="C340" s="0" t="n">
        <s:v>84716</s:v>
      </s:c>
      <s:c r="D340" s="0" t="n">
        <s:v>1226</s:v>
      </s:c>
      <s:c r="F340" s="24">
        <s:f>'자료구성'!$B$2+TIME(INT($C$3/10000),INT(MOD($C$3,10000)/100),MOD($C$3,100))+(ROW()-ROW($C$3))/86400</s:f>
        <s:v>46247.37005787037</s:v>
      </s:c>
    </s:row>
    <s:row r="341">
      <s:c r="A341" s="0" t="n">
        <s:v>260813</s:v>
      </s:c>
      <s:c r="B341" s="0" t="inlineStr">
        <s:is>
          <s:t>이종훈</s:t>
        </s:is>
      </s:c>
      <s:c r="C341" s="0" t="n">
        <s:v>84716</s:v>
      </s:c>
      <s:c r="D341" s="0" t="n">
        <s:v>1212</s:v>
      </s:c>
      <s:c r="F341" s="24">
        <s:f>'자료구성'!$B$2+TIME(INT($C$3/10000),INT(MOD($C$3,10000)/100),MOD($C$3,100))+(ROW()-ROW($C$3))/86400</s:f>
        <s:v>46247.37006944444</s:v>
      </s:c>
    </s:row>
    <s:row r="342">
      <s:c r="A342" s="0" t="n">
        <s:v>260813</s:v>
      </s:c>
      <s:c r="B342" s="0" t="inlineStr">
        <s:is>
          <s:t>이종훈</s:t>
        </s:is>
      </s:c>
      <s:c r="C342" s="0" t="n">
        <s:v>84716</s:v>
      </s:c>
      <s:c r="D342" s="0" t="n">
        <s:v>1207</s:v>
      </s:c>
      <s:c r="F342" s="24">
        <s:f>'자료구성'!$B$2+TIME(INT($C$3/10000),INT(MOD($C$3,10000)/100),MOD($C$3,100))+(ROW()-ROW($C$3))/86400</s:f>
        <s:v>46247.37008101852</s:v>
      </s:c>
    </s:row>
    <s:row r="343">
      <s:c r="A343" s="0" t="n">
        <s:v>260813</s:v>
      </s:c>
      <s:c r="B343" s="0" t="inlineStr">
        <s:is>
          <s:t>이종훈</s:t>
        </s:is>
      </s:c>
      <s:c r="C343" s="0" t="n">
        <s:v>84716</s:v>
      </s:c>
      <s:c r="D343" s="0" t="n">
        <s:v>1197</s:v>
      </s:c>
      <s:c r="F343" s="24">
        <s:f>'자료구성'!$B$2+TIME(INT($C$3/10000),INT(MOD($C$3,10000)/100),MOD($C$3,100))+(ROW()-ROW($C$3))/86400</s:f>
        <s:v>46247.370092592595</s:v>
      </s:c>
    </s:row>
    <s:row r="344">
      <s:c r="A344" s="0" t="n">
        <s:v>260813</s:v>
      </s:c>
      <s:c r="B344" s="0" t="inlineStr">
        <s:is>
          <s:t>이종훈</s:t>
        </s:is>
      </s:c>
      <s:c r="C344" s="0" t="n">
        <s:v>84716</s:v>
      </s:c>
      <s:c r="D344" s="0" t="n">
        <s:v>1218</s:v>
      </s:c>
      <s:c r="F344" s="24">
        <s:f>'자료구성'!$B$2+TIME(INT($C$3/10000),INT(MOD($C$3,10000)/100),MOD($C$3,100))+(ROW()-ROW($C$3))/86400</s:f>
        <s:v>46247.370104166665</s:v>
      </s:c>
    </s:row>
    <s:row r="345">
      <s:c r="A345" s="0" t="n">
        <s:v>260813</s:v>
      </s:c>
      <s:c r="B345" s="0" t="inlineStr">
        <s:is>
          <s:t>이종훈</s:t>
        </s:is>
      </s:c>
      <s:c r="C345" s="0" t="n">
        <s:v>84716</s:v>
      </s:c>
      <s:c r="D345" s="0" t="n">
        <s:v>1227</s:v>
      </s:c>
      <s:c r="F345" s="24">
        <s:f>'자료구성'!$B$2+TIME(INT($C$3/10000),INT(MOD($C$3,10000)/100),MOD($C$3,100))+(ROW()-ROW($C$3))/86400</s:f>
        <s:v>46247.37011574074</s:v>
      </s:c>
    </s:row>
    <s:row r="346">
      <s:c r="A346" s="0" t="n">
        <s:v>260813</s:v>
      </s:c>
      <s:c r="B346" s="0" t="inlineStr">
        <s:is>
          <s:t>이종훈</s:t>
        </s:is>
      </s:c>
      <s:c r="C346" s="0" t="n">
        <s:v>84716</s:v>
      </s:c>
      <s:c r="D346" s="0" t="n">
        <s:v>1244</s:v>
      </s:c>
      <s:c r="F346" s="24">
        <s:f>'자료구성'!$B$2+TIME(INT($C$3/10000),INT(MOD($C$3,10000)/100),MOD($C$3,100))+(ROW()-ROW($C$3))/86400</s:f>
        <s:v>46247.37012731482</s:v>
      </s:c>
    </s:row>
    <s:row r="347">
      <s:c r="A347" s="0" t="n">
        <s:v>260813</s:v>
      </s:c>
      <s:c r="B347" s="0" t="inlineStr">
        <s:is>
          <s:t>이종훈</s:t>
        </s:is>
      </s:c>
      <s:c r="C347" s="0" t="n">
        <s:v>84716</s:v>
      </s:c>
      <s:c r="D347" s="0" t="n">
        <s:v>1229</s:v>
      </s:c>
      <s:c r="F347" s="24">
        <s:f>'자료구성'!$B$2+TIME(INT($C$3/10000),INT(MOD($C$3,10000)/100),MOD($C$3,100))+(ROW()-ROW($C$3))/86400</s:f>
        <s:v>46247.37013888889</s:v>
      </s:c>
    </s:row>
    <s:row r="348">
      <s:c r="A348" s="0" t="n">
        <s:v>260813</s:v>
      </s:c>
      <s:c r="B348" s="0" t="inlineStr">
        <s:is>
          <s:t>이종훈</s:t>
        </s:is>
      </s:c>
      <s:c r="C348" s="0" t="n">
        <s:v>84716</s:v>
      </s:c>
      <s:c r="D348" s="0" t="n">
        <s:v>1216</s:v>
      </s:c>
      <s:c r="F348" s="24">
        <s:f>'자료구성'!$B$2+TIME(INT($C$3/10000),INT(MOD($C$3,10000)/100),MOD($C$3,100))+(ROW()-ROW($C$3))/86400</s:f>
        <s:v>46247.370150462964</s:v>
      </s:c>
    </s:row>
    <s:row r="349">
      <s:c r="A349" s="0" t="n">
        <s:v>260813</s:v>
      </s:c>
      <s:c r="B349" s="0" t="inlineStr">
        <s:is>
          <s:t>이종훈</s:t>
        </s:is>
      </s:c>
      <s:c r="C349" s="0" t="n">
        <s:v>84716</s:v>
      </s:c>
      <s:c r="D349" s="0" t="n">
        <s:v>1204</s:v>
      </s:c>
      <s:c r="F349" s="24">
        <s:f>'자료구성'!$B$2+TIME(INT($C$3/10000),INT(MOD($C$3,10000)/100),MOD($C$3,100))+(ROW()-ROW($C$3))/86400</s:f>
        <s:v>46247.370162037034</s:v>
      </s:c>
    </s:row>
    <s:row r="350">
      <s:c r="A350" s="0" t="n">
        <s:v>260813</s:v>
      </s:c>
      <s:c r="B350" s="0" t="inlineStr">
        <s:is>
          <s:t>이종훈</s:t>
        </s:is>
      </s:c>
      <s:c r="C350" s="0" t="n">
        <s:v>84716</s:v>
      </s:c>
      <s:c r="D350" s="0" t="n">
        <s:v>1193</s:v>
      </s:c>
      <s:c r="F350" s="24">
        <s:f>'자료구성'!$B$2+TIME(INT($C$3/10000),INT(MOD($C$3,10000)/100),MOD($C$3,100))+(ROW()-ROW($C$3))/86400</s:f>
        <s:v>46247.37017361111</s:v>
      </s:c>
    </s:row>
    <s:row r="351">
      <s:c r="A351" s="0" t="n">
        <s:v>260813</s:v>
      </s:c>
      <s:c r="B351" s="0" t="inlineStr">
        <s:is>
          <s:t>이종훈</s:t>
        </s:is>
      </s:c>
      <s:c r="C351" s="0" t="n">
        <s:v>84716</s:v>
      </s:c>
      <s:c r="D351" s="0" t="n">
        <s:v>1249</s:v>
      </s:c>
      <s:c r="F351" s="24">
        <s:f>'자료구성'!$B$2+TIME(INT($C$3/10000),INT(MOD($C$3,10000)/100),MOD($C$3,100))+(ROW()-ROW($C$3))/86400</s:f>
        <s:v>46247.37018518519</s:v>
      </s:c>
    </s:row>
    <s:row r="352">
      <s:c r="A352" s="0" t="n">
        <s:v>260813</s:v>
      </s:c>
      <s:c r="B352" s="0" t="inlineStr">
        <s:is>
          <s:t>이종훈</s:t>
        </s:is>
      </s:c>
      <s:c r="C352" s="0" t="n">
        <s:v>84716</s:v>
      </s:c>
      <s:c r="D352" s="0" t="n">
        <s:v>1261</s:v>
      </s:c>
      <s:c r="F352" s="24">
        <s:f>'자료구성'!$B$2+TIME(INT($C$3/10000),INT(MOD($C$3,10000)/100),MOD($C$3,100))+(ROW()-ROW($C$3))/86400</s:f>
        <s:v>46247.37019675926</s:v>
      </s:c>
    </s:row>
    <s:row r="353">
      <s:c r="A353" s="0" t="n">
        <s:v>260813</s:v>
      </s:c>
      <s:c r="B353" s="0" t="inlineStr">
        <s:is>
          <s:t>이종훈</s:t>
        </s:is>
      </s:c>
      <s:c r="C353" s="0" t="n">
        <s:v>84716</s:v>
      </s:c>
      <s:c r="D353" s="0" t="n">
        <s:v>1249</s:v>
      </s:c>
      <s:c r="F353" s="24">
        <s:f>'자료구성'!$B$2+TIME(INT($C$3/10000),INT(MOD($C$3,10000)/100),MOD($C$3,100))+(ROW()-ROW($C$3))/86400</s:f>
        <s:v>46247.370208333334</s:v>
      </s:c>
    </s:row>
    <s:row r="354">
      <s:c r="A354" s="0" t="n">
        <s:v>260813</s:v>
      </s:c>
      <s:c r="B354" s="0" t="inlineStr">
        <s:is>
          <s:t>이종훈</s:t>
        </s:is>
      </s:c>
      <s:c r="C354" s="0" t="n">
        <s:v>84716</s:v>
      </s:c>
      <s:c r="D354" s="0" t="n">
        <s:v>1273</s:v>
      </s:c>
      <s:c r="F354" s="24">
        <s:f>'자료구성'!$B$2+TIME(INT($C$3/10000),INT(MOD($C$3,10000)/100),MOD($C$3,100))+(ROW()-ROW($C$3))/86400</s:f>
        <s:v>46247.37021990741</s:v>
      </s:c>
    </s:row>
    <s:row r="355">
      <s:c r="A355" s="0" t="n">
        <s:v>260813</s:v>
      </s:c>
      <s:c r="B355" s="0" t="inlineStr">
        <s:is>
          <s:t>이종훈</s:t>
        </s:is>
      </s:c>
      <s:c r="C355" s="0" t="n">
        <s:v>84716</s:v>
      </s:c>
      <s:c r="D355" s="0" t="n">
        <s:v>1291</s:v>
      </s:c>
      <s:c r="F355" s="24">
        <s:f>'자료구성'!$B$2+TIME(INT($C$3/10000),INT(MOD($C$3,10000)/100),MOD($C$3,100))+(ROW()-ROW($C$3))/86400</s:f>
        <s:v>46247.37023148148</s:v>
      </s:c>
    </s:row>
    <s:row r="356">
      <s:c r="A356" s="0" t="n">
        <s:v>260813</s:v>
      </s:c>
      <s:c r="B356" s="0" t="inlineStr">
        <s:is>
          <s:t>이종훈</s:t>
        </s:is>
      </s:c>
      <s:c r="C356" s="0" t="n">
        <s:v>84716</s:v>
      </s:c>
      <s:c r="D356" s="0" t="n">
        <s:v>1300</s:v>
      </s:c>
      <s:c r="F356" s="24">
        <s:f>'자료구성'!$B$2+TIME(INT($C$3/10000),INT(MOD($C$3,10000)/100),MOD($C$3,100))+(ROW()-ROW($C$3))/86400</s:f>
        <s:v>46247.37024305556</s:v>
      </s:c>
    </s:row>
    <s:row r="357">
      <s:c r="A357" s="0" t="n">
        <s:v>260813</s:v>
      </s:c>
      <s:c r="B357" s="0" t="inlineStr">
        <s:is>
          <s:t>이종훈</s:t>
        </s:is>
      </s:c>
      <s:c r="C357" s="0" t="n">
        <s:v>84716</s:v>
      </s:c>
      <s:c r="D357" s="0" t="n">
        <s:v>1335</s:v>
      </s:c>
      <s:c r="F357" s="24">
        <s:f>'자료구성'!$B$2+TIME(INT($C$3/10000),INT(MOD($C$3,10000)/100),MOD($C$3,100))+(ROW()-ROW($C$3))/86400</s:f>
        <s:v>46247.370254629626</s:v>
      </s:c>
    </s:row>
    <s:row r="358">
      <s:c r="A358" s="0" t="n">
        <s:v>260813</s:v>
      </s:c>
      <s:c r="B358" s="0" t="inlineStr">
        <s:is>
          <s:t>이종훈</s:t>
        </s:is>
      </s:c>
      <s:c r="C358" s="0" t="n">
        <s:v>84716</s:v>
      </s:c>
      <s:c r="D358" s="0" t="n">
        <s:v>1362</s:v>
      </s:c>
      <s:c r="F358" s="24">
        <s:f>'자료구성'!$B$2+TIME(INT($C$3/10000),INT(MOD($C$3,10000)/100),MOD($C$3,100))+(ROW()-ROW($C$3))/86400</s:f>
        <s:v>46247.3702662037</s:v>
      </s:c>
    </s:row>
    <s:row r="359">
      <s:c r="A359" s="0" t="n">
        <s:v>260813</s:v>
      </s:c>
      <s:c r="B359" s="0" t="inlineStr">
        <s:is>
          <s:t>이종훈</s:t>
        </s:is>
      </s:c>
      <s:c r="C359" s="0" t="n">
        <s:v>84716</s:v>
      </s:c>
      <s:c r="D359" s="0" t="n">
        <s:v>1391</s:v>
      </s:c>
      <s:c r="F359" s="24">
        <s:f>'자료구성'!$B$2+TIME(INT($C$3/10000),INT(MOD($C$3,10000)/100),MOD($C$3,100))+(ROW()-ROW($C$3))/86400</s:f>
        <s:v>46247.37027777778</s:v>
      </s:c>
    </s:row>
    <s:row r="360">
      <s:c r="A360" s="0" t="n">
        <s:v>260813</s:v>
      </s:c>
      <s:c r="B360" s="0" t="inlineStr">
        <s:is>
          <s:t>이종훈</s:t>
        </s:is>
      </s:c>
      <s:c r="C360" s="0" t="n">
        <s:v>84716</s:v>
      </s:c>
      <s:c r="D360" s="0" t="n">
        <s:v>1407</s:v>
      </s:c>
      <s:c r="F360" s="24">
        <s:f>'자료구성'!$B$2+TIME(INT($C$3/10000),INT(MOD($C$3,10000)/100),MOD($C$3,100))+(ROW()-ROW($C$3))/86400</s:f>
        <s:v>46247.37028935185</s:v>
      </s:c>
    </s:row>
    <s:row r="361">
      <s:c r="A361" s="0" t="n">
        <s:v>260813</s:v>
      </s:c>
      <s:c r="B361" s="0" t="inlineStr">
        <s:is>
          <s:t>이종훈</s:t>
        </s:is>
      </s:c>
      <s:c r="C361" s="0" t="n">
        <s:v>84716</s:v>
      </s:c>
      <s:c r="D361" s="0" t="n">
        <s:v>1447</s:v>
      </s:c>
      <s:c r="F361" s="24">
        <s:f>'자료구성'!$B$2+TIME(INT($C$3/10000),INT(MOD($C$3,10000)/100),MOD($C$3,100))+(ROW()-ROW($C$3))/86400</s:f>
        <s:v>46247.370300925926</s:v>
      </s:c>
    </s:row>
    <s:row r="362">
      <s:c r="A362" s="0" t="n">
        <s:v>260813</s:v>
      </s:c>
      <s:c r="B362" s="0" t="inlineStr">
        <s:is>
          <s:t>이종훈</s:t>
        </s:is>
      </s:c>
      <s:c r="C362" s="0" t="n">
        <s:v>84716</s:v>
      </s:c>
      <s:c r="D362" s="0" t="n">
        <s:v>1475</s:v>
      </s:c>
      <s:c r="F362" s="24">
        <s:f>'자료구성'!$B$2+TIME(INT($C$3/10000),INT(MOD($C$3,10000)/100),MOD($C$3,100))+(ROW()-ROW($C$3))/86400</s:f>
        <s:v>46247.3703125</s:v>
      </s:c>
    </s:row>
    <s:row r="363">
      <s:c r="A363" s="0" t="n">
        <s:v>260813</s:v>
      </s:c>
      <s:c r="B363" s="0" t="inlineStr">
        <s:is>
          <s:t>이종훈</s:t>
        </s:is>
      </s:c>
      <s:c r="C363" s="0" t="n">
        <s:v>84716</s:v>
      </s:c>
      <s:c r="D363" s="0" t="n">
        <s:v>1475</s:v>
      </s:c>
      <s:c r="F363" s="24">
        <s:f>'자료구성'!$B$2+TIME(INT($C$3/10000),INT(MOD($C$3,10000)/100),MOD($C$3,100))+(ROW()-ROW($C$3))/86400</s:f>
        <s:v>46247.37032407407</s:v>
      </s:c>
    </s:row>
    <s:row r="364">
      <s:c r="A364" s="0" t="n">
        <s:v>260813</s:v>
      </s:c>
      <s:c r="B364" s="0" t="inlineStr">
        <s:is>
          <s:t>이종훈</s:t>
        </s:is>
      </s:c>
      <s:c r="C364" s="0" t="n">
        <s:v>84716</s:v>
      </s:c>
      <s:c r="D364" s="0" t="n">
        <s:v>1471</s:v>
      </s:c>
      <s:c r="F364" s="24">
        <s:f>'자료구성'!$B$2+TIME(INT($C$3/10000),INT(MOD($C$3,10000)/100),MOD($C$3,100))+(ROW()-ROW($C$3))/86400</s:f>
        <s:v>46247.37033564815</s:v>
      </s:c>
    </s:row>
    <s:row r="365">
      <s:c r="A365" s="0" t="n">
        <s:v>260813</s:v>
      </s:c>
      <s:c r="B365" s="0" t="inlineStr">
        <s:is>
          <s:t>이종훈</s:t>
        </s:is>
      </s:c>
      <s:c r="C365" s="0" t="n">
        <s:v>84716</s:v>
      </s:c>
      <s:c r="D365" s="0" t="n">
        <s:v>1488</s:v>
      </s:c>
      <s:c r="F365" s="24">
        <s:f>'자료구성'!$B$2+TIME(INT($C$3/10000),INT(MOD($C$3,10000)/100),MOD($C$3,100))+(ROW()-ROW($C$3))/86400</s:f>
        <s:v>46247.37034722222</s:v>
      </s:c>
    </s:row>
    <s:row r="366">
      <s:c r="A366" s="0" t="n">
        <s:v>260813</s:v>
      </s:c>
      <s:c r="B366" s="0" t="inlineStr">
        <s:is>
          <s:t>이종훈</s:t>
        </s:is>
      </s:c>
      <s:c r="C366" s="0" t="n">
        <s:v>84716</s:v>
      </s:c>
      <s:c r="D366" s="0" t="n">
        <s:v>1512</s:v>
      </s:c>
      <s:c r="F366" s="24">
        <s:f>'자료구성'!$B$2+TIME(INT($C$3/10000),INT(MOD($C$3,10000)/100),MOD($C$3,100))+(ROW()-ROW($C$3))/86400</s:f>
        <s:v>46247.370358796295</s:v>
      </s:c>
    </s:row>
    <s:row r="367">
      <s:c r="A367" s="0" t="n">
        <s:v>260813</s:v>
      </s:c>
      <s:c r="B367" s="0" t="inlineStr">
        <s:is>
          <s:t>이종훈</s:t>
        </s:is>
      </s:c>
      <s:c r="C367" s="0" t="n">
        <s:v>84716</s:v>
      </s:c>
      <s:c r="D367" s="0" t="n">
        <s:v>1511</s:v>
      </s:c>
      <s:c r="F367" s="24">
        <s:f>'자료구성'!$B$2+TIME(INT($C$3/10000),INT(MOD($C$3,10000)/100),MOD($C$3,100))+(ROW()-ROW($C$3))/86400</s:f>
        <s:v>46247.37037037037</s:v>
      </s:c>
    </s:row>
    <s:row r="368">
      <s:c r="A368" s="0" t="n">
        <s:v>260813</s:v>
      </s:c>
      <s:c r="B368" s="0" t="inlineStr">
        <s:is>
          <s:t>이종훈</s:t>
        </s:is>
      </s:c>
      <s:c r="C368" s="0" t="n">
        <s:v>84716</s:v>
      </s:c>
      <s:c r="D368" s="0" t="n">
        <s:v>1509</s:v>
      </s:c>
      <s:c r="F368" s="24">
        <s:f>'자료구성'!$B$2+TIME(INT($C$3/10000),INT(MOD($C$3,10000)/100),MOD($C$3,100))+(ROW()-ROW($C$3))/86400</s:f>
        <s:v>46247.37038194444</s:v>
      </s:c>
    </s:row>
    <s:row r="369">
      <s:c r="A369" s="0" t="n">
        <s:v>260813</s:v>
      </s:c>
      <s:c r="B369" s="0" t="inlineStr">
        <s:is>
          <s:t>이종훈</s:t>
        </s:is>
      </s:c>
      <s:c r="C369" s="0" t="n">
        <s:v>84716</s:v>
      </s:c>
      <s:c r="D369" s="0" t="n">
        <s:v>1516</s:v>
      </s:c>
      <s:c r="F369" s="24">
        <s:f>'자료구성'!$B$2+TIME(INT($C$3/10000),INT(MOD($C$3,10000)/100),MOD($C$3,100))+(ROW()-ROW($C$3))/86400</s:f>
        <s:v>46247.37039351852</s:v>
      </s:c>
    </s:row>
    <s:row r="370">
      <s:c r="A370" s="0" t="n">
        <s:v>260813</s:v>
      </s:c>
      <s:c r="B370" s="0" t="inlineStr">
        <s:is>
          <s:t>이종훈</s:t>
        </s:is>
      </s:c>
      <s:c r="C370" s="0" t="n">
        <s:v>84716</s:v>
      </s:c>
      <s:c r="D370" s="0" t="n">
        <s:v>1522</s:v>
      </s:c>
      <s:c r="F370" s="24">
        <s:f>'자료구성'!$B$2+TIME(INT($C$3/10000),INT(MOD($C$3,10000)/100),MOD($C$3,100))+(ROW()-ROW($C$3))/86400</s:f>
        <s:v>46247.370405092595</s:v>
      </s:c>
    </s:row>
    <s:row r="371">
      <s:c r="A371" s="0" t="n">
        <s:v>260813</s:v>
      </s:c>
      <s:c r="B371" s="0" t="inlineStr">
        <s:is>
          <s:t>이종훈</s:t>
        </s:is>
      </s:c>
      <s:c r="C371" s="0" t="n">
        <s:v>84716</s:v>
      </s:c>
      <s:c r="D371" s="0" t="n">
        <s:v>1522</s:v>
      </s:c>
      <s:c r="F371" s="24">
        <s:f>'자료구성'!$B$2+TIME(INT($C$3/10000),INT(MOD($C$3,10000)/100),MOD($C$3,100))+(ROW()-ROW($C$3))/86400</s:f>
        <s:v>46247.370416666665</s:v>
      </s:c>
    </s:row>
    <s:row r="372">
      <s:c r="A372" s="0" t="n">
        <s:v>260813</s:v>
      </s:c>
      <s:c r="B372" s="0" t="inlineStr">
        <s:is>
          <s:t>이종훈</s:t>
        </s:is>
      </s:c>
      <s:c r="C372" s="0" t="n">
        <s:v>84716</s:v>
      </s:c>
      <s:c r="D372" s="0" t="n">
        <s:v>1534</s:v>
      </s:c>
      <s:c r="F372" s="24">
        <s:f>'자료구성'!$B$2+TIME(INT($C$3/10000),INT(MOD($C$3,10000)/100),MOD($C$3,100))+(ROW()-ROW($C$3))/86400</s:f>
        <s:v>46247.37042824074</s:v>
      </s:c>
    </s:row>
    <s:row r="373">
      <s:c r="A373" s="0" t="n">
        <s:v>260813</s:v>
      </s:c>
      <s:c r="B373" s="0" t="inlineStr">
        <s:is>
          <s:t>이종훈</s:t>
        </s:is>
      </s:c>
      <s:c r="C373" s="0" t="n">
        <s:v>84716</s:v>
      </s:c>
      <s:c r="D373" s="0" t="n">
        <s:v>1529</s:v>
      </s:c>
      <s:c r="F373" s="24">
        <s:f>'자료구성'!$B$2+TIME(INT($C$3/10000),INT(MOD($C$3,10000)/100),MOD($C$3,100))+(ROW()-ROW($C$3))/86400</s:f>
        <s:v>46247.37043981482</s:v>
      </s:c>
    </s:row>
    <s:row r="374">
      <s:c r="A374" s="0" t="n">
        <s:v>260813</s:v>
      </s:c>
      <s:c r="B374" s="0" t="inlineStr">
        <s:is>
          <s:t>이종훈</s:t>
        </s:is>
      </s:c>
      <s:c r="C374" s="0" t="n">
        <s:v>84716</s:v>
      </s:c>
      <s:c r="D374" s="0" t="n">
        <s:v>1554</s:v>
      </s:c>
      <s:c r="F374" s="24">
        <s:f>'자료구성'!$B$2+TIME(INT($C$3/10000),INT(MOD($C$3,10000)/100),MOD($C$3,100))+(ROW()-ROW($C$3))/86400</s:f>
        <s:v>46247.37045138889</s:v>
      </s:c>
    </s:row>
    <s:row r="375">
      <s:c r="A375" s="0" t="n">
        <s:v>260813</s:v>
      </s:c>
      <s:c r="B375" s="0" t="inlineStr">
        <s:is>
          <s:t>이종훈</s:t>
        </s:is>
      </s:c>
      <s:c r="C375" s="0" t="n">
        <s:v>84716</s:v>
      </s:c>
      <s:c r="D375" s="0" t="n">
        <s:v>1544</s:v>
      </s:c>
      <s:c r="F375" s="24">
        <s:f>'자료구성'!$B$2+TIME(INT($C$3/10000),INT(MOD($C$3,10000)/100),MOD($C$3,100))+(ROW()-ROW($C$3))/86400</s:f>
        <s:v>46247.370462962965</s:v>
      </s:c>
    </s:row>
    <s:row r="376">
      <s:c r="A376" s="0" t="n">
        <s:v>260813</s:v>
      </s:c>
      <s:c r="B376" s="0" t="inlineStr">
        <s:is>
          <s:t>이종훈</s:t>
        </s:is>
      </s:c>
      <s:c r="C376" s="0" t="n">
        <s:v>84716</s:v>
      </s:c>
      <s:c r="D376" s="0" t="n">
        <s:v>1525</s:v>
      </s:c>
      <s:c r="F376" s="24">
        <s:f>'자료구성'!$B$2+TIME(INT($C$3/10000),INT(MOD($C$3,10000)/100),MOD($C$3,100))+(ROW()-ROW($C$3))/86400</s:f>
        <s:v>46247.370474537034</s:v>
      </s:c>
    </s:row>
    <s:row r="377">
      <s:c r="A377" s="0" t="n">
        <s:v>260813</s:v>
      </s:c>
      <s:c r="B377" s="0" t="inlineStr">
        <s:is>
          <s:t>이종훈</s:t>
        </s:is>
      </s:c>
      <s:c r="C377" s="0" t="n">
        <s:v>84716</s:v>
      </s:c>
      <s:c r="D377" s="0" t="n">
        <s:v>1479</s:v>
      </s:c>
      <s:c r="F377" s="24">
        <s:f>'자료구성'!$B$2+TIME(INT($C$3/10000),INT(MOD($C$3,10000)/100),MOD($C$3,100))+(ROW()-ROW($C$3))/86400</s:f>
        <s:v>46247.37048611111</s:v>
      </s:c>
    </s:row>
    <s:row r="378">
      <s:c r="A378" s="0" t="n">
        <s:v>260813</s:v>
      </s:c>
      <s:c r="B378" s="0" t="inlineStr">
        <s:is>
          <s:t>이종훈</s:t>
        </s:is>
      </s:c>
      <s:c r="C378" s="0" t="n">
        <s:v>84716</s:v>
      </s:c>
      <s:c r="D378" s="0" t="n">
        <s:v>1457</s:v>
      </s:c>
      <s:c r="F378" s="24">
        <s:f>'자료구성'!$B$2+TIME(INT($C$3/10000),INT(MOD($C$3,10000)/100),MOD($C$3,100))+(ROW()-ROW($C$3))/86400</s:f>
        <s:v>46247.37049768519</s:v>
      </s:c>
    </s:row>
    <s:row r="379">
      <s:c r="A379" s="0" t="n">
        <s:v>260813</s:v>
      </s:c>
      <s:c r="B379" s="0" t="inlineStr">
        <s:is>
          <s:t>이종훈</s:t>
        </s:is>
      </s:c>
      <s:c r="C379" s="0" t="n">
        <s:v>84716</s:v>
      </s:c>
      <s:c r="D379" s="0" t="n">
        <s:v>1444</s:v>
      </s:c>
      <s:c r="F379" s="24">
        <s:f>'자료구성'!$B$2+TIME(INT($C$3/10000),INT(MOD($C$3,10000)/100),MOD($C$3,100))+(ROW()-ROW($C$3))/86400</s:f>
        <s:v>46247.37050925926</s:v>
      </s:c>
    </s:row>
    <s:row r="380">
      <s:c r="A380" s="0" t="n">
        <s:v>260813</s:v>
      </s:c>
      <s:c r="B380" s="0" t="inlineStr">
        <s:is>
          <s:t>이종훈</s:t>
        </s:is>
      </s:c>
      <s:c r="C380" s="0" t="n">
        <s:v>84716</s:v>
      </s:c>
      <s:c r="D380" s="0" t="n">
        <s:v>1413</s:v>
      </s:c>
      <s:c r="F380" s="24">
        <s:f>'자료구성'!$B$2+TIME(INT($C$3/10000),INT(MOD($C$3,10000)/100),MOD($C$3,100))+(ROW()-ROW($C$3))/86400</s:f>
        <s:v>46247.370520833334</s:v>
      </s:c>
    </s:row>
    <s:row r="381">
      <s:c r="A381" s="0" t="n">
        <s:v>260813</s:v>
      </s:c>
      <s:c r="B381" s="0" t="inlineStr">
        <s:is>
          <s:t>이종훈</s:t>
        </s:is>
      </s:c>
      <s:c r="C381" s="0" t="n">
        <s:v>84716</s:v>
      </s:c>
      <s:c r="D381" s="0" t="n">
        <s:v>1412</s:v>
      </s:c>
      <s:c r="F381" s="24">
        <s:f>'자료구성'!$B$2+TIME(INT($C$3/10000),INT(MOD($C$3,10000)/100),MOD($C$3,100))+(ROW()-ROW($C$3))/86400</s:f>
        <s:v>46247.37053240741</s:v>
      </s:c>
    </s:row>
    <s:row r="382">
      <s:c r="A382" s="0" t="n">
        <s:v>260813</s:v>
      </s:c>
      <s:c r="B382" s="0" t="inlineStr">
        <s:is>
          <s:t>이종훈</s:t>
        </s:is>
      </s:c>
      <s:c r="C382" s="0" t="n">
        <s:v>84716</s:v>
      </s:c>
      <s:c r="D382" s="0" t="n">
        <s:v>1404</s:v>
      </s:c>
      <s:c r="F382" s="24">
        <s:f>'자료구성'!$B$2+TIME(INT($C$3/10000),INT(MOD($C$3,10000)/100),MOD($C$3,100))+(ROW()-ROW($C$3))/86400</s:f>
        <s:v>46247.37054398148</s:v>
      </s:c>
    </s:row>
    <s:row r="383">
      <s:c r="A383" s="0" t="n">
        <s:v>260813</s:v>
      </s:c>
      <s:c r="B383" s="0" t="inlineStr">
        <s:is>
          <s:t>이종훈</s:t>
        </s:is>
      </s:c>
      <s:c r="C383" s="0" t="n">
        <s:v>84716</s:v>
      </s:c>
      <s:c r="D383" s="0" t="n">
        <s:v>1379</s:v>
      </s:c>
      <s:c r="F383" s="24">
        <s:f>'자료구성'!$B$2+TIME(INT($C$3/10000),INT(MOD($C$3,10000)/100),MOD($C$3,100))+(ROW()-ROW($C$3))/86400</s:f>
        <s:v>46247.37055555556</s:v>
      </s:c>
    </s:row>
    <s:row r="384">
      <s:c r="A384" s="0" t="n">
        <s:v>260813</s:v>
      </s:c>
      <s:c r="B384" s="0" t="inlineStr">
        <s:is>
          <s:t>이종훈</s:t>
        </s:is>
      </s:c>
      <s:c r="C384" s="0" t="n">
        <s:v>84716</s:v>
      </s:c>
      <s:c r="D384" s="0" t="n">
        <s:v>1379</s:v>
      </s:c>
      <s:c r="F384" s="24">
        <s:f>'자료구성'!$B$2+TIME(INT($C$3/10000),INT(MOD($C$3,10000)/100),MOD($C$3,100))+(ROW()-ROW($C$3))/86400</s:f>
        <s:v>46247.37056712963</s:v>
      </s:c>
    </s:row>
    <s:row r="385">
      <s:c r="A385" s="0" t="n">
        <s:v>260813</s:v>
      </s:c>
      <s:c r="B385" s="0" t="inlineStr">
        <s:is>
          <s:t>이종훈</s:t>
        </s:is>
      </s:c>
      <s:c r="C385" s="0" t="n">
        <s:v>84716</s:v>
      </s:c>
      <s:c r="D385" s="0" t="n">
        <s:v>1402</s:v>
      </s:c>
      <s:c r="F385" s="24">
        <s:f>'자료구성'!$B$2+TIME(INT($C$3/10000),INT(MOD($C$3,10000)/100),MOD($C$3,100))+(ROW()-ROW($C$3))/86400</s:f>
        <s:v>46247.3705787037</s:v>
      </s:c>
    </s:row>
    <s:row r="386">
      <s:c r="A386" s="0" t="n">
        <s:v>260813</s:v>
      </s:c>
      <s:c r="B386" s="0" t="inlineStr">
        <s:is>
          <s:t>이종훈</s:t>
        </s:is>
      </s:c>
      <s:c r="C386" s="0" t="n">
        <s:v>84716</s:v>
      </s:c>
      <s:c r="D386" s="0" t="n">
        <s:v>1430</s:v>
      </s:c>
      <s:c r="F386" s="24">
        <s:f>'자료구성'!$B$2+TIME(INT($C$3/10000),INT(MOD($C$3,10000)/100),MOD($C$3,100))+(ROW()-ROW($C$3))/86400</s:f>
        <s:v>46247.37059027778</s:v>
      </s:c>
    </s:row>
    <s:row r="387">
      <s:c r="A387" s="0" t="n">
        <s:v>260813</s:v>
      </s:c>
      <s:c r="B387" s="0" t="inlineStr">
        <s:is>
          <s:t>이종훈</s:t>
        </s:is>
      </s:c>
      <s:c r="C387" s="0" t="n">
        <s:v>84716</s:v>
      </s:c>
      <s:c r="D387" s="0" t="n">
        <s:v>1437</s:v>
      </s:c>
      <s:c r="F387" s="24">
        <s:f>'자료구성'!$B$2+TIME(INT($C$3/10000),INT(MOD($C$3,10000)/100),MOD($C$3,100))+(ROW()-ROW($C$3))/86400</s:f>
        <s:v>46247.37060185185</s:v>
      </s:c>
    </s:row>
    <s:row r="388">
      <s:c r="A388" s="0" t="n">
        <s:v>260813</s:v>
      </s:c>
      <s:c r="B388" s="0" t="inlineStr">
        <s:is>
          <s:t>이종훈</s:t>
        </s:is>
      </s:c>
      <s:c r="C388" s="0" t="n">
        <s:v>84716</s:v>
      </s:c>
      <s:c r="D388" s="0" t="n">
        <s:v>1435</s:v>
      </s:c>
      <s:c r="F388" s="24">
        <s:f>'자료구성'!$B$2+TIME(INT($C$3/10000),INT(MOD($C$3,10000)/100),MOD($C$3,100))+(ROW()-ROW($C$3))/86400</s:f>
        <s:v>46247.37061342593</s:v>
      </s:c>
    </s:row>
    <s:row r="389">
      <s:c r="A389" s="0" t="n">
        <s:v>260813</s:v>
      </s:c>
      <s:c r="B389" s="0" t="inlineStr">
        <s:is>
          <s:t>이종훈</s:t>
        </s:is>
      </s:c>
      <s:c r="C389" s="0" t="n">
        <s:v>84716</s:v>
      </s:c>
      <s:c r="D389" s="0" t="n">
        <s:v>1426</s:v>
      </s:c>
      <s:c r="F389" s="24">
        <s:f>'자료구성'!$B$2+TIME(INT($C$3/10000),INT(MOD($C$3,10000)/100),MOD($C$3,100))+(ROW()-ROW($C$3))/86400</s:f>
        <s:v>46247.370625</s:v>
      </s:c>
    </s:row>
    <s:row r="390">
      <s:c r="A390" s="0" t="n">
        <s:v>260813</s:v>
      </s:c>
      <s:c r="B390" s="0" t="inlineStr">
        <s:is>
          <s:t>이종훈</s:t>
        </s:is>
      </s:c>
      <s:c r="C390" s="0" t="n">
        <s:v>84716</s:v>
      </s:c>
      <s:c r="D390" s="0" t="n">
        <s:v>1422</s:v>
      </s:c>
      <s:c r="F390" s="24">
        <s:f>'자료구성'!$B$2+TIME(INT($C$3/10000),INT(MOD($C$3,10000)/100),MOD($C$3,100))+(ROW()-ROW($C$3))/86400</s:f>
        <s:v>46247.37063657407</s:v>
      </s:c>
    </s:row>
    <s:row r="391">
      <s:c r="A391" s="0" t="n">
        <s:v>260813</s:v>
      </s:c>
      <s:c r="B391" s="0" t="inlineStr">
        <s:is>
          <s:t>이종훈</s:t>
        </s:is>
      </s:c>
      <s:c r="C391" s="0" t="n">
        <s:v>84716</s:v>
      </s:c>
      <s:c r="D391" s="0" t="n">
        <s:v>1422</s:v>
      </s:c>
      <s:c r="F391" s="24">
        <s:f>'자료구성'!$B$2+TIME(INT($C$3/10000),INT(MOD($C$3,10000)/100),MOD($C$3,100))+(ROW()-ROW($C$3))/86400</s:f>
        <s:v>46247.37064814815</s:v>
      </s:c>
    </s:row>
    <s:row r="392">
      <s:c r="A392" s="0" t="n">
        <s:v>260813</s:v>
      </s:c>
      <s:c r="B392" s="0" t="inlineStr">
        <s:is>
          <s:t>이종훈</s:t>
        </s:is>
      </s:c>
      <s:c r="C392" s="0" t="n">
        <s:v>84716</s:v>
      </s:c>
      <s:c r="D392" s="0" t="n">
        <s:v>1416</s:v>
      </s:c>
      <s:c r="F392" s="24">
        <s:f>'자료구성'!$B$2+TIME(INT($C$3/10000),INT(MOD($C$3,10000)/100),MOD($C$3,100))+(ROW()-ROW($C$3))/86400</s:f>
        <s:v>46247.37065972222</s:v>
      </s:c>
    </s:row>
    <s:row r="393">
      <s:c r="A393" s="0" t="n">
        <s:v>260813</s:v>
      </s:c>
      <s:c r="B393" s="0" t="inlineStr">
        <s:is>
          <s:t>이종훈</s:t>
        </s:is>
      </s:c>
      <s:c r="C393" s="0" t="n">
        <s:v>84716</s:v>
      </s:c>
      <s:c r="D393" s="0" t="n">
        <s:v>1425</s:v>
      </s:c>
      <s:c r="F393" s="24">
        <s:f>'자료구성'!$B$2+TIME(INT($C$3/10000),INT(MOD($C$3,10000)/100),MOD($C$3,100))+(ROW()-ROW($C$3))/86400</s:f>
        <s:v>46247.370671296296</s:v>
      </s:c>
    </s:row>
    <s:row r="394">
      <s:c r="A394" s="0" t="n">
        <s:v>260813</s:v>
      </s:c>
      <s:c r="B394" s="0" t="inlineStr">
        <s:is>
          <s:t>이종훈</s:t>
        </s:is>
      </s:c>
      <s:c r="C394" s="0" t="n">
        <s:v>84716</s:v>
      </s:c>
      <s:c r="D394" s="0" t="n">
        <s:v>1473</s:v>
      </s:c>
      <s:c r="F394" s="24">
        <s:f>'자료구성'!$B$2+TIME(INT($C$3/10000),INT(MOD($C$3,10000)/100),MOD($C$3,100))+(ROW()-ROW($C$3))/86400</s:f>
        <s:v>46247.37068287037</s:v>
      </s:c>
    </s:row>
    <s:row r="395">
      <s:c r="A395" s="0" t="n">
        <s:v>260813</s:v>
      </s:c>
      <s:c r="B395" s="0" t="inlineStr">
        <s:is>
          <s:t>이종훈</s:t>
        </s:is>
      </s:c>
      <s:c r="C395" s="0" t="n">
        <s:v>84716</s:v>
      </s:c>
      <s:c r="D395" s="0" t="n">
        <s:v>1471</s:v>
      </s:c>
      <s:c r="F395" s="24">
        <s:f>'자료구성'!$B$2+TIME(INT($C$3/10000),INT(MOD($C$3,10000)/100),MOD($C$3,100))+(ROW()-ROW($C$3))/86400</s:f>
        <s:v>46247.37069444444</s:v>
      </s:c>
    </s:row>
    <s:row r="396">
      <s:c r="A396" s="0" t="n">
        <s:v>260813</s:v>
      </s:c>
      <s:c r="B396" s="0" t="inlineStr">
        <s:is>
          <s:t>이종훈</s:t>
        </s:is>
      </s:c>
      <s:c r="C396" s="0" t="n">
        <s:v>84716</s:v>
      </s:c>
      <s:c r="D396" s="0" t="n">
        <s:v>1450</s:v>
      </s:c>
      <s:c r="F396" s="24">
        <s:f>'자료구성'!$B$2+TIME(INT($C$3/10000),INT(MOD($C$3,10000)/100),MOD($C$3,100))+(ROW()-ROW($C$3))/86400</s:f>
        <s:v>46247.37070601852</s:v>
      </s:c>
    </s:row>
    <s:row r="397">
      <s:c r="A397" s="0" t="n">
        <s:v>260813</s:v>
      </s:c>
      <s:c r="B397" s="0" t="inlineStr">
        <s:is>
          <s:t>이종훈</s:t>
        </s:is>
      </s:c>
      <s:c r="C397" s="0" t="n">
        <s:v>84716</s:v>
      </s:c>
      <s:c r="D397" s="0" t="n">
        <s:v>1438</s:v>
      </s:c>
      <s:c r="F397" s="24">
        <s:f>'자료구성'!$B$2+TIME(INT($C$3/10000),INT(MOD($C$3,10000)/100),MOD($C$3,100))+(ROW()-ROW($C$3))/86400</s:f>
        <s:v>46247.370717592596</s:v>
      </s:c>
    </s:row>
    <s:row r="398">
      <s:c r="A398" s="0" t="n">
        <s:v>260813</s:v>
      </s:c>
      <s:c r="B398" s="0" t="inlineStr">
        <s:is>
          <s:t>이종훈</s:t>
        </s:is>
      </s:c>
      <s:c r="C398" s="0" t="n">
        <s:v>84716</s:v>
      </s:c>
      <s:c r="D398" s="0" t="n">
        <s:v>1436</s:v>
      </s:c>
      <s:c r="F398" s="24">
        <s:f>'자료구성'!$B$2+TIME(INT($C$3/10000),INT(MOD($C$3,10000)/100),MOD($C$3,100))+(ROW()-ROW($C$3))/86400</s:f>
        <s:v>46247.370729166665</s:v>
      </s:c>
    </s:row>
    <s:row r="399">
      <s:c r="A399" s="0" t="n">
        <s:v>260813</s:v>
      </s:c>
      <s:c r="B399" s="0" t="inlineStr">
        <s:is>
          <s:t>이종훈</s:t>
        </s:is>
      </s:c>
      <s:c r="C399" s="0" t="n">
        <s:v>84716</s:v>
      </s:c>
      <s:c r="D399" s="0" t="n">
        <s:v>1451</s:v>
      </s:c>
      <s:c r="F399" s="24">
        <s:f>'자료구성'!$B$2+TIME(INT($C$3/10000),INT(MOD($C$3,10000)/100),MOD($C$3,100))+(ROW()-ROW($C$3))/86400</s:f>
        <s:v>46247.37074074074</s:v>
      </s:c>
    </s:row>
    <s:row r="400">
      <s:c r="A400" s="0" t="n">
        <s:v>260813</s:v>
      </s:c>
      <s:c r="B400" s="0" t="inlineStr">
        <s:is>
          <s:t>이종훈</s:t>
        </s:is>
      </s:c>
      <s:c r="C400" s="0" t="n">
        <s:v>84716</s:v>
      </s:c>
      <s:c r="D400" s="0" t="n">
        <s:v>1418</s:v>
      </s:c>
      <s:c r="F400" s="24">
        <s:f>'자료구성'!$B$2+TIME(INT($C$3/10000),INT(MOD($C$3,10000)/100),MOD($C$3,100))+(ROW()-ROW($C$3))/86400</s:f>
        <s:v>46247.37075231481</s:v>
      </s:c>
    </s:row>
    <s:row r="401">
      <s:c r="A401" s="0" t="n">
        <s:v>260813</s:v>
      </s:c>
      <s:c r="B401" s="0" t="inlineStr">
        <s:is>
          <s:t>이종훈</s:t>
        </s:is>
      </s:c>
      <s:c r="C401" s="0" t="n">
        <s:v>84716</s:v>
      </s:c>
      <s:c r="D401" s="0" t="n">
        <s:v>1413</s:v>
      </s:c>
      <s:c r="F401" s="24">
        <s:f>'자료구성'!$B$2+TIME(INT($C$3/10000),INT(MOD($C$3,10000)/100),MOD($C$3,100))+(ROW()-ROW($C$3))/86400</s:f>
        <s:v>46247.37076388889</s:v>
      </s:c>
    </s:row>
    <s:row r="402">
      <s:c r="A402" s="0" t="n">
        <s:v>260813</s:v>
      </s:c>
      <s:c r="B402" s="0" t="inlineStr">
        <s:is>
          <s:t>이종훈</s:t>
        </s:is>
      </s:c>
      <s:c r="C402" s="0" t="n">
        <s:v>84716</s:v>
      </s:c>
      <s:c r="D402" s="0" t="n">
        <s:v>1427</s:v>
      </s:c>
      <s:c r="F402" s="24">
        <s:f>'자료구성'!$B$2+TIME(INT($C$3/10000),INT(MOD($C$3,10000)/100),MOD($C$3,100))+(ROW()-ROW($C$3))/86400</s:f>
        <s:v>46247.370775462965</s:v>
      </s:c>
    </s:row>
    <s:row r="403">
      <s:c r="A403" s="0" t="n">
        <s:v>260813</s:v>
      </s:c>
      <s:c r="B403" s="0" t="inlineStr">
        <s:is>
          <s:t>이종훈</s:t>
        </s:is>
      </s:c>
      <s:c r="C403" s="0" t="n">
        <s:v>84716</s:v>
      </s:c>
      <s:c r="D403" s="0" t="n">
        <s:v>1472</s:v>
      </s:c>
      <s:c r="F403" s="24">
        <s:f>'자료구성'!$B$2+TIME(INT($C$3/10000),INT(MOD($C$3,10000)/100),MOD($C$3,100))+(ROW()-ROW($C$3))/86400</s:f>
        <s:v>46247.370787037034</s:v>
      </s:c>
    </s:row>
    <s:row r="404">
      <s:c r="A404" s="0" t="n">
        <s:v>260813</s:v>
      </s:c>
      <s:c r="B404" s="0" t="inlineStr">
        <s:is>
          <s:t>이종훈</s:t>
        </s:is>
      </s:c>
      <s:c r="C404" s="0" t="n">
        <s:v>84716</s:v>
      </s:c>
      <s:c r="D404" s="0" t="n">
        <s:v>1505</s:v>
      </s:c>
      <s:c r="F404" s="24">
        <s:f>'자료구성'!$B$2+TIME(INT($C$3/10000),INT(MOD($C$3,10000)/100),MOD($C$3,100))+(ROW()-ROW($C$3))/86400</s:f>
        <s:v>46247.37079861111</s:v>
      </s:c>
    </s:row>
    <s:row r="405">
      <s:c r="A405" s="0" t="n">
        <s:v>260813</s:v>
      </s:c>
      <s:c r="B405" s="0" t="inlineStr">
        <s:is>
          <s:t>이종훈</s:t>
        </s:is>
      </s:c>
      <s:c r="C405" s="0" t="n">
        <s:v>84716</s:v>
      </s:c>
      <s:c r="D405" s="0" t="n">
        <s:v>1518</s:v>
      </s:c>
      <s:c r="F405" s="24">
        <s:f>'자료구성'!$B$2+TIME(INT($C$3/10000),INT(MOD($C$3,10000)/100),MOD($C$3,100))+(ROW()-ROW($C$3))/86400</s:f>
        <s:v>46247.37081018519</s:v>
      </s:c>
    </s:row>
    <s:row r="406">
      <s:c r="A406" s="0" t="n">
        <s:v>260813</s:v>
      </s:c>
      <s:c r="B406" s="0" t="inlineStr">
        <s:is>
          <s:t>이종훈</s:t>
        </s:is>
      </s:c>
      <s:c r="C406" s="0" t="n">
        <s:v>84716</s:v>
      </s:c>
      <s:c r="D406" s="0" t="n">
        <s:v>1517</s:v>
      </s:c>
      <s:c r="F406" s="24">
        <s:f>'자료구성'!$B$2+TIME(INT($C$3/10000),INT(MOD($C$3,10000)/100),MOD($C$3,100))+(ROW()-ROW($C$3))/86400</s:f>
        <s:v>46247.37082175926</s:v>
      </s:c>
    </s:row>
    <s:row r="407">
      <s:c r="A407" s="0" t="n">
        <s:v>260813</s:v>
      </s:c>
      <s:c r="B407" s="0" t="inlineStr">
        <s:is>
          <s:t>이종훈</s:t>
        </s:is>
      </s:c>
      <s:c r="C407" s="0" t="n">
        <s:v>84716</s:v>
      </s:c>
      <s:c r="D407" s="0" t="n">
        <s:v>1531</s:v>
      </s:c>
      <s:c r="F407" s="24">
        <s:f>'자료구성'!$B$2+TIME(INT($C$3/10000),INT(MOD($C$3,10000)/100),MOD($C$3,100))+(ROW()-ROW($C$3))/86400</s:f>
        <s:v>46247.370833333334</s:v>
      </s:c>
    </s:row>
    <s:row r="408">
      <s:c r="A408" s="0" t="n">
        <s:v>260813</s:v>
      </s:c>
      <s:c r="B408" s="0" t="inlineStr">
        <s:is>
          <s:t>이종훈</s:t>
        </s:is>
      </s:c>
      <s:c r="C408" s="0" t="n">
        <s:v>84716</s:v>
      </s:c>
      <s:c r="D408" s="0" t="n">
        <s:v>1545</s:v>
      </s:c>
      <s:c r="F408" s="24">
        <s:f>'자료구성'!$B$2+TIME(INT($C$3/10000),INT(MOD($C$3,10000)/100),MOD($C$3,100))+(ROW()-ROW($C$3))/86400</s:f>
        <s:v>46247.370844907404</s:v>
      </s:c>
    </s:row>
    <s:row r="409">
      <s:c r="A409" s="0" t="n">
        <s:v>260813</s:v>
      </s:c>
      <s:c r="B409" s="0" t="inlineStr">
        <s:is>
          <s:t>이종훈</s:t>
        </s:is>
      </s:c>
      <s:c r="C409" s="0" t="n">
        <s:v>84716</s:v>
      </s:c>
      <s:c r="D409" s="0" t="n">
        <s:v>1574</s:v>
      </s:c>
      <s:c r="F409" s="24">
        <s:f>'자료구성'!$B$2+TIME(INT($C$3/10000),INT(MOD($C$3,10000)/100),MOD($C$3,100))+(ROW()-ROW($C$3))/86400</s:f>
        <s:v>46247.37085648148</s:v>
      </s:c>
    </s:row>
    <s:row r="410">
      <s:c r="A410" s="0" t="n">
        <s:v>260813</s:v>
      </s:c>
      <s:c r="B410" s="0" t="inlineStr">
        <s:is>
          <s:t>이종훈</s:t>
        </s:is>
      </s:c>
      <s:c r="C410" s="0" t="n">
        <s:v>84716</s:v>
      </s:c>
      <s:c r="D410" s="0" t="n">
        <s:v>1616</s:v>
      </s:c>
      <s:c r="F410" s="24">
        <s:f>'자료구성'!$B$2+TIME(INT($C$3/10000),INT(MOD($C$3,10000)/100),MOD($C$3,100))+(ROW()-ROW($C$3))/86400</s:f>
        <s:v>46247.37086805556</s:v>
      </s:c>
    </s:row>
    <s:row r="411">
      <s:c r="A411" s="0" t="n">
        <s:v>260813</s:v>
      </s:c>
      <s:c r="B411" s="0" t="inlineStr">
        <s:is>
          <s:t>이종훈</s:t>
        </s:is>
      </s:c>
      <s:c r="C411" s="0" t="n">
        <s:v>84716</s:v>
      </s:c>
      <s:c r="D411" s="0" t="n">
        <s:v>1627</s:v>
      </s:c>
      <s:c r="F411" s="24">
        <s:f>'자료구성'!$B$2+TIME(INT($C$3/10000),INT(MOD($C$3,10000)/100),MOD($C$3,100))+(ROW()-ROW($C$3))/86400</s:f>
        <s:v>46247.37087962963</s:v>
      </s:c>
    </s:row>
    <s:row r="412">
      <s:c r="A412" s="0" t="n">
        <s:v>260813</s:v>
      </s:c>
      <s:c r="B412" s="0" t="inlineStr">
        <s:is>
          <s:t>이종훈</s:t>
        </s:is>
      </s:c>
      <s:c r="C412" s="0" t="n">
        <s:v>84716</s:v>
      </s:c>
      <s:c r="D412" s="0" t="n">
        <s:v>1643</s:v>
      </s:c>
      <s:c r="F412" s="24">
        <s:f>'자료구성'!$B$2+TIME(INT($C$3/10000),INT(MOD($C$3,10000)/100),MOD($C$3,100))+(ROW()-ROW($C$3))/86400</s:f>
        <s:v>46247.370891203704</s:v>
      </s:c>
    </s:row>
    <s:row r="413">
      <s:c r="A413" s="0" t="n">
        <s:v>260813</s:v>
      </s:c>
      <s:c r="B413" s="0" t="inlineStr">
        <s:is>
          <s:t>이종훈</s:t>
        </s:is>
      </s:c>
      <s:c r="C413" s="0" t="n">
        <s:v>84716</s:v>
      </s:c>
      <s:c r="D413" s="0" t="n">
        <s:v>1667</s:v>
      </s:c>
      <s:c r="F413" s="24">
        <s:f>'자료구성'!$B$2+TIME(INT($C$3/10000),INT(MOD($C$3,10000)/100),MOD($C$3,100))+(ROW()-ROW($C$3))/86400</s:f>
        <s:v>46247.37090277778</s:v>
      </s:c>
    </s:row>
    <s:row r="414">
      <s:c r="A414" s="0" t="n">
        <s:v>260813</s:v>
      </s:c>
      <s:c r="B414" s="0" t="inlineStr">
        <s:is>
          <s:t>이종훈</s:t>
        </s:is>
      </s:c>
      <s:c r="C414" s="0" t="n">
        <s:v>84716</s:v>
      </s:c>
      <s:c r="D414" s="0" t="n">
        <s:v>1701</s:v>
      </s:c>
      <s:c r="F414" s="24">
        <s:f>'자료구성'!$B$2+TIME(INT($C$3/10000),INT(MOD($C$3,10000)/100),MOD($C$3,100))+(ROW()-ROW($C$3))/86400</s:f>
        <s:v>46247.37091435185</s:v>
      </s:c>
    </s:row>
    <s:row r="415">
      <s:c r="A415" s="0" t="n">
        <s:v>260813</s:v>
      </s:c>
      <s:c r="B415" s="0" t="inlineStr">
        <s:is>
          <s:t>이종훈</s:t>
        </s:is>
      </s:c>
      <s:c r="C415" s="0" t="n">
        <s:v>84716</s:v>
      </s:c>
      <s:c r="D415" s="0" t="n">
        <s:v>1711</s:v>
      </s:c>
      <s:c r="F415" s="24">
        <s:f>'자료구성'!$B$2+TIME(INT($C$3/10000),INT(MOD($C$3,10000)/100),MOD($C$3,100))+(ROW()-ROW($C$3))/86400</s:f>
        <s:v>46247.37092592593</s:v>
      </s:c>
    </s:row>
    <s:row r="416">
      <s:c r="A416" s="0" t="n">
        <s:v>260813</s:v>
      </s:c>
      <s:c r="B416" s="0" t="inlineStr">
        <s:is>
          <s:t>이종훈</s:t>
        </s:is>
      </s:c>
      <s:c r="C416" s="0" t="n">
        <s:v>84716</s:v>
      </s:c>
      <s:c r="D416" s="0" t="n">
        <s:v>1723</s:v>
      </s:c>
      <s:c r="F416" s="24">
        <s:f>'자료구성'!$B$2+TIME(INT($C$3/10000),INT(MOD($C$3,10000)/100),MOD($C$3,100))+(ROW()-ROW($C$3))/86400</s:f>
        <s:v>46247.3709375</s:v>
      </s:c>
    </s:row>
    <s:row r="417">
      <s:c r="A417" s="0" t="n">
        <s:v>260813</s:v>
      </s:c>
      <s:c r="B417" s="0" t="inlineStr">
        <s:is>
          <s:t>이종훈</s:t>
        </s:is>
      </s:c>
      <s:c r="C417" s="0" t="n">
        <s:v>84716</s:v>
      </s:c>
      <s:c r="D417" s="0" t="n">
        <s:v>1702</s:v>
      </s:c>
      <s:c r="F417" s="24">
        <s:f>'자료구성'!$B$2+TIME(INT($C$3/10000),INT(MOD($C$3,10000)/100),MOD($C$3,100))+(ROW()-ROW($C$3))/86400</s:f>
        <s:v>46247.37094907407</s:v>
      </s:c>
    </s:row>
    <s:row r="418">
      <s:c r="A418" s="0" t="n">
        <s:v>260813</s:v>
      </s:c>
      <s:c r="B418" s="0" t="inlineStr">
        <s:is>
          <s:t>이종훈</s:t>
        </s:is>
      </s:c>
      <s:c r="C418" s="0" t="n">
        <s:v>84716</s:v>
      </s:c>
      <s:c r="D418" s="0" t="n">
        <s:v>1684</s:v>
      </s:c>
      <s:c r="F418" s="24">
        <s:f>'자료구성'!$B$2+TIME(INT($C$3/10000),INT(MOD($C$3,10000)/100),MOD($C$3,100))+(ROW()-ROW($C$3))/86400</s:f>
        <s:v>46247.37096064815</s:v>
      </s:c>
    </s:row>
    <s:row r="419">
      <s:c r="A419" s="0" t="n">
        <s:v>260813</s:v>
      </s:c>
      <s:c r="B419" s="0" t="inlineStr">
        <s:is>
          <s:t>이종훈</s:t>
        </s:is>
      </s:c>
      <s:c r="C419" s="0" t="n">
        <s:v>84716</s:v>
      </s:c>
      <s:c r="D419" s="0" t="n">
        <s:v>1653</s:v>
      </s:c>
      <s:c r="F419" s="24">
        <s:f>'자료구성'!$B$2+TIME(INT($C$3/10000),INT(MOD($C$3,10000)/100),MOD($C$3,100))+(ROW()-ROW($C$3))/86400</s:f>
        <s:v>46247.37097222222</s:v>
      </s:c>
    </s:row>
    <s:row r="420">
      <s:c r="A420" s="0" t="n">
        <s:v>260813</s:v>
      </s:c>
      <s:c r="B420" s="0" t="inlineStr">
        <s:is>
          <s:t>이종훈</s:t>
        </s:is>
      </s:c>
      <s:c r="C420" s="0" t="n">
        <s:v>84716</s:v>
      </s:c>
      <s:c r="D420" s="0" t="n">
        <s:v>1633</s:v>
      </s:c>
      <s:c r="F420" s="24">
        <s:f>'자료구성'!$B$2+TIME(INT($C$3/10000),INT(MOD($C$3,10000)/100),MOD($C$3,100))+(ROW()-ROW($C$3))/86400</s:f>
        <s:v>46247.370983796296</s:v>
      </s:c>
    </s:row>
    <s:row r="421">
      <s:c r="A421" s="0" t="n">
        <s:v>260813</s:v>
      </s:c>
      <s:c r="B421" s="0" t="inlineStr">
        <s:is>
          <s:t>이종훈</s:t>
        </s:is>
      </s:c>
      <s:c r="C421" s="0" t="n">
        <s:v>84716</s:v>
      </s:c>
      <s:c r="D421" s="0" t="n">
        <s:v>1623</s:v>
      </s:c>
      <s:c r="F421" s="24">
        <s:f>'자료구성'!$B$2+TIME(INT($C$3/10000),INT(MOD($C$3,10000)/100),MOD($C$3,100))+(ROW()-ROW($C$3))/86400</s:f>
        <s:v>46247.37099537037</s:v>
      </s:c>
    </s:row>
    <s:row r="422">
      <s:c r="A422" s="0" t="n">
        <s:v>260813</s:v>
      </s:c>
      <s:c r="B422" s="0" t="inlineStr">
        <s:is>
          <s:t>이종훈</s:t>
        </s:is>
      </s:c>
      <s:c r="C422" s="0" t="n">
        <s:v>84716</s:v>
      </s:c>
      <s:c r="D422" s="0" t="n">
        <s:v>1606</s:v>
      </s:c>
      <s:c r="F422" s="24">
        <s:f>'자료구성'!$B$2+TIME(INT($C$3/10000),INT(MOD($C$3,10000)/100),MOD($C$3,100))+(ROW()-ROW($C$3))/86400</s:f>
        <s:v>46247.37100694444</s:v>
      </s:c>
    </s:row>
    <s:row r="423">
      <s:c r="A423" s="0" t="n">
        <s:v>260813</s:v>
      </s:c>
      <s:c r="B423" s="0" t="inlineStr">
        <s:is>
          <s:t>이종훈</s:t>
        </s:is>
      </s:c>
      <s:c r="C423" s="0" t="n">
        <s:v>84716</s:v>
      </s:c>
      <s:c r="D423" s="0" t="n">
        <s:v>1612</s:v>
      </s:c>
      <s:c r="F423" s="24">
        <s:f>'자료구성'!$B$2+TIME(INT($C$3/10000),INT(MOD($C$3,10000)/100),MOD($C$3,100))+(ROW()-ROW($C$3))/86400</s:f>
        <s:v>46247.37101851852</s:v>
      </s:c>
    </s:row>
    <s:row r="424">
      <s:c r="A424" s="0" t="n">
        <s:v>260813</s:v>
      </s:c>
      <s:c r="B424" s="0" t="inlineStr">
        <s:is>
          <s:t>이종훈</s:t>
        </s:is>
      </s:c>
      <s:c r="C424" s="0" t="n">
        <s:v>84716</s:v>
      </s:c>
      <s:c r="D424" s="0" t="n">
        <s:v>1614</s:v>
      </s:c>
      <s:c r="F424" s="24">
        <s:f>'자료구성'!$B$2+TIME(INT($C$3/10000),INT(MOD($C$3,10000)/100),MOD($C$3,100))+(ROW()-ROW($C$3))/86400</s:f>
        <s:v>46247.371030092596</s:v>
      </s:c>
    </s:row>
    <s:row r="425">
      <s:c r="A425" s="0" t="n">
        <s:v>260813</s:v>
      </s:c>
      <s:c r="B425" s="0" t="inlineStr">
        <s:is>
          <s:t>이종훈</s:t>
        </s:is>
      </s:c>
      <s:c r="C425" s="0" t="n">
        <s:v>84716</s:v>
      </s:c>
      <s:c r="D425" s="0" t="n">
        <s:v>1615</s:v>
      </s:c>
      <s:c r="F425" s="24">
        <s:f>'자료구성'!$B$2+TIME(INT($C$3/10000),INT(MOD($C$3,10000)/100),MOD($C$3,100))+(ROW()-ROW($C$3))/86400</s:f>
        <s:v>46247.371041666665</s:v>
      </s:c>
    </s:row>
    <s:row r="426">
      <s:c r="A426" s="0" t="n">
        <s:v>260813</s:v>
      </s:c>
      <s:c r="B426" s="0" t="inlineStr">
        <s:is>
          <s:t>이종훈</s:t>
        </s:is>
      </s:c>
      <s:c r="C426" s="0" t="n">
        <s:v>84716</s:v>
      </s:c>
      <s:c r="D426" s="0" t="n">
        <s:v>1604</s:v>
      </s:c>
      <s:c r="F426" s="24">
        <s:f>'자료구성'!$B$2+TIME(INT($C$3/10000),INT(MOD($C$3,10000)/100),MOD($C$3,100))+(ROW()-ROW($C$3))/86400</s:f>
        <s:v>46247.37105324074</s:v>
      </s:c>
    </s:row>
    <s:row r="427">
      <s:c r="A427" s="0" t="n">
        <s:v>260813</s:v>
      </s:c>
      <s:c r="B427" s="0" t="inlineStr">
        <s:is>
          <s:t>이종훈</s:t>
        </s:is>
      </s:c>
      <s:c r="C427" s="0" t="n">
        <s:v>84716</s:v>
      </s:c>
      <s:c r="D427" s="0" t="n">
        <s:v>1584</s:v>
      </s:c>
      <s:c r="F427" s="24">
        <s:f>'자료구성'!$B$2+TIME(INT($C$3/10000),INT(MOD($C$3,10000)/100),MOD($C$3,100))+(ROW()-ROW($C$3))/86400</s:f>
        <s:v>46247.37106481481</s:v>
      </s:c>
    </s:row>
    <s:row r="428">
      <s:c r="A428" s="0" t="n">
        <s:v>260813</s:v>
      </s:c>
      <s:c r="B428" s="0" t="inlineStr">
        <s:is>
          <s:t>이종훈</s:t>
        </s:is>
      </s:c>
      <s:c r="C428" s="0" t="n">
        <s:v>84716</s:v>
      </s:c>
      <s:c r="D428" s="0" t="n">
        <s:v>1582</s:v>
      </s:c>
      <s:c r="F428" s="24">
        <s:f>'자료구성'!$B$2+TIME(INT($C$3/10000),INT(MOD($C$3,10000)/100),MOD($C$3,100))+(ROW()-ROW($C$3))/86400</s:f>
        <s:v>46247.37107638889</s:v>
      </s:c>
    </s:row>
    <s:row r="429">
      <s:c r="A429" s="0" t="n">
        <s:v>260813</s:v>
      </s:c>
      <s:c r="B429" s="0" t="inlineStr">
        <s:is>
          <s:t>이종훈</s:t>
        </s:is>
      </s:c>
      <s:c r="C429" s="0" t="n">
        <s:v>84716</s:v>
      </s:c>
      <s:c r="D429" s="0" t="n">
        <s:v>1579</s:v>
      </s:c>
      <s:c r="F429" s="24">
        <s:f>'자료구성'!$B$2+TIME(INT($C$3/10000),INT(MOD($C$3,10000)/100),MOD($C$3,100))+(ROW()-ROW($C$3))/86400</s:f>
        <s:v>46247.371087962965</s:v>
      </s:c>
    </s:row>
    <s:row r="430">
      <s:c r="A430" s="0" t="n">
        <s:v>260813</s:v>
      </s:c>
      <s:c r="B430" s="0" t="inlineStr">
        <s:is>
          <s:t>이종훈</s:t>
        </s:is>
      </s:c>
      <s:c r="C430" s="0" t="n">
        <s:v>84716</s:v>
      </s:c>
      <s:c r="D430" s="0" t="n">
        <s:v>1588</s:v>
      </s:c>
      <s:c r="F430" s="24">
        <s:f>'자료구성'!$B$2+TIME(INT($C$3/10000),INT(MOD($C$3,10000)/100),MOD($C$3,100))+(ROW()-ROW($C$3))/86400</s:f>
        <s:v>46247.371099537035</s:v>
      </s:c>
    </s:row>
    <s:row r="431">
      <s:c r="A431" s="0" t="n">
        <s:v>260813</s:v>
      </s:c>
      <s:c r="B431" s="0" t="inlineStr">
        <s:is>
          <s:t>이종훈</s:t>
        </s:is>
      </s:c>
      <s:c r="C431" s="0" t="n">
        <s:v>84716</s:v>
      </s:c>
      <s:c r="D431" s="0" t="n">
        <s:v>1586</s:v>
      </s:c>
      <s:c r="F431" s="24">
        <s:f>'자료구성'!$B$2+TIME(INT($C$3/10000),INT(MOD($C$3,10000)/100),MOD($C$3,100))+(ROW()-ROW($C$3))/86400</s:f>
        <s:v>46247.37111111111</s:v>
      </s:c>
    </s:row>
    <s:row r="432">
      <s:c r="A432" s="0" t="n">
        <s:v>260813</s:v>
      </s:c>
      <s:c r="B432" s="0" t="inlineStr">
        <s:is>
          <s:t>이종훈</s:t>
        </s:is>
      </s:c>
      <s:c r="C432" s="0" t="n">
        <s:v>84716</s:v>
      </s:c>
      <s:c r="D432" s="0" t="n">
        <s:v>1588</s:v>
      </s:c>
      <s:c r="F432" s="24">
        <s:f>'자료구성'!$B$2+TIME(INT($C$3/10000),INT(MOD($C$3,10000)/100),MOD($C$3,100))+(ROW()-ROW($C$3))/86400</s:f>
        <s:v>46247.37112268519</s:v>
      </s:c>
    </s:row>
    <s:row r="433">
      <s:c r="A433" s="0" t="n">
        <s:v>260813</s:v>
      </s:c>
      <s:c r="B433" s="0" t="inlineStr">
        <s:is>
          <s:t>이종훈</s:t>
        </s:is>
      </s:c>
      <s:c r="C433" s="0" t="n">
        <s:v>84716</s:v>
      </s:c>
      <s:c r="D433" s="0" t="n">
        <s:v>1590</s:v>
      </s:c>
      <s:c r="F433" s="24">
        <s:f>'자료구성'!$B$2+TIME(INT($C$3/10000),INT(MOD($C$3,10000)/100),MOD($C$3,100))+(ROW()-ROW($C$3))/86400</s:f>
        <s:v>46247.37113425926</s:v>
      </s:c>
    </s:row>
    <s:row r="434">
      <s:c r="A434" s="0" t="n">
        <s:v>260813</s:v>
      </s:c>
      <s:c r="B434" s="0" t="inlineStr">
        <s:is>
          <s:t>이종훈</s:t>
        </s:is>
      </s:c>
      <s:c r="C434" s="0" t="n">
        <s:v>84716</s:v>
      </s:c>
      <s:c r="D434" s="0" t="n">
        <s:v>1586</s:v>
      </s:c>
      <s:c r="F434" s="24">
        <s:f>'자료구성'!$B$2+TIME(INT($C$3/10000),INT(MOD($C$3,10000)/100),MOD($C$3,100))+(ROW()-ROW($C$3))/86400</s:f>
        <s:v>46247.371145833335</s:v>
      </s:c>
    </s:row>
    <s:row r="435">
      <s:c r="A435" s="0" t="n">
        <s:v>260813</s:v>
      </s:c>
      <s:c r="B435" s="0" t="inlineStr">
        <s:is>
          <s:t>이종훈</s:t>
        </s:is>
      </s:c>
      <s:c r="C435" s="0" t="n">
        <s:v>84716</s:v>
      </s:c>
      <s:c r="D435" s="0" t="n">
        <s:v>1615</s:v>
      </s:c>
      <s:c r="F435" s="24">
        <s:f>'자료구성'!$B$2+TIME(INT($C$3/10000),INT(MOD($C$3,10000)/100),MOD($C$3,100))+(ROW()-ROW($C$3))/86400</s:f>
        <s:v>46247.371157407404</s:v>
      </s:c>
    </s:row>
    <s:row r="436">
      <s:c r="A436" s="0" t="n">
        <s:v>260813</s:v>
      </s:c>
      <s:c r="B436" s="0" t="inlineStr">
        <s:is>
          <s:t>이종훈</s:t>
        </s:is>
      </s:c>
      <s:c r="C436" s="0" t="n">
        <s:v>84716</s:v>
      </s:c>
      <s:c r="D436" s="0" t="n">
        <s:v>1618</s:v>
      </s:c>
      <s:c r="F436" s="24">
        <s:f>'자료구성'!$B$2+TIME(INT($C$3/10000),INT(MOD($C$3,10000)/100),MOD($C$3,100))+(ROW()-ROW($C$3))/86400</s:f>
        <s:v>46247.37116898148</s:v>
      </s:c>
    </s:row>
    <s:row r="437">
      <s:c r="A437" s="0" t="n">
        <s:v>260813</s:v>
      </s:c>
      <s:c r="B437" s="0" t="inlineStr">
        <s:is>
          <s:t>이종훈</s:t>
        </s:is>
      </s:c>
      <s:c r="C437" s="0" t="n">
        <s:v>84716</s:v>
      </s:c>
      <s:c r="D437" s="0" t="n">
        <s:v>1637</s:v>
      </s:c>
      <s:c r="F437" s="24">
        <s:f>'자료구성'!$B$2+TIME(INT($C$3/10000),INT(MOD($C$3,10000)/100),MOD($C$3,100))+(ROW()-ROW($C$3))/86400</s:f>
        <s:v>46247.37118055556</s:v>
      </s:c>
    </s:row>
    <s:row r="438">
      <s:c r="A438" s="0" t="n">
        <s:v>260813</s:v>
      </s:c>
      <s:c r="B438" s="0" t="inlineStr">
        <s:is>
          <s:t>이종훈</s:t>
        </s:is>
      </s:c>
      <s:c r="C438" s="0" t="n">
        <s:v>84716</s:v>
      </s:c>
      <s:c r="D438" s="0" t="n">
        <s:v>1671</s:v>
      </s:c>
      <s:c r="F438" s="24">
        <s:f>'자료구성'!$B$2+TIME(INT($C$3/10000),INT(MOD($C$3,10000)/100),MOD($C$3,100))+(ROW()-ROW($C$3))/86400</s:f>
        <s:v>46247.37119212963</s:v>
      </s:c>
    </s:row>
    <s:row r="439">
      <s:c r="A439" s="0" t="n">
        <s:v>260813</s:v>
      </s:c>
      <s:c r="B439" s="0" t="inlineStr">
        <s:is>
          <s:t>이종훈</s:t>
        </s:is>
      </s:c>
      <s:c r="C439" s="0" t="n">
        <s:v>84716</s:v>
      </s:c>
      <s:c r="D439" s="0" t="n">
        <s:v>1700</s:v>
      </s:c>
      <s:c r="F439" s="24">
        <s:f>'자료구성'!$B$2+TIME(INT($C$3/10000),INT(MOD($C$3,10000)/100),MOD($C$3,100))+(ROW()-ROW($C$3))/86400</s:f>
        <s:v>46247.371203703704</s:v>
      </s:c>
    </s:row>
    <s:row r="440">
      <s:c r="A440" s="0" t="n">
        <s:v>260813</s:v>
      </s:c>
      <s:c r="B440" s="0" t="inlineStr">
        <s:is>
          <s:t>이종훈</s:t>
        </s:is>
      </s:c>
      <s:c r="C440" s="0" t="n">
        <s:v>84716</s:v>
      </s:c>
      <s:c r="D440" s="0" t="n">
        <s:v>1709</s:v>
      </s:c>
      <s:c r="F440" s="24">
        <s:f>'자료구성'!$B$2+TIME(INT($C$3/10000),INT(MOD($C$3,10000)/100),MOD($C$3,100))+(ROW()-ROW($C$3))/86400</s:f>
        <s:v>46247.37121527778</s:v>
      </s:c>
    </s:row>
    <s:row r="441">
      <s:c r="A441" s="0" t="n">
        <s:v>260813</s:v>
      </s:c>
      <s:c r="B441" s="0" t="inlineStr">
        <s:is>
          <s:t>이종훈</s:t>
        </s:is>
      </s:c>
      <s:c r="C441" s="0" t="n">
        <s:v>84716</s:v>
      </s:c>
      <s:c r="D441" s="0" t="n">
        <s:v>1706</s:v>
      </s:c>
      <s:c r="F441" s="24">
        <s:f>'자료구성'!$B$2+TIME(INT($C$3/10000),INT(MOD($C$3,10000)/100),MOD($C$3,100))+(ROW()-ROW($C$3))/86400</s:f>
        <s:v>46247.37122685185</s:v>
      </s:c>
    </s:row>
    <s:row r="442">
      <s:c r="A442" s="0" t="n">
        <s:v>260813</s:v>
      </s:c>
      <s:c r="B442" s="0" t="inlineStr">
        <s:is>
          <s:t>이종훈</s:t>
        </s:is>
      </s:c>
      <s:c r="C442" s="0" t="n">
        <s:v>84716</s:v>
      </s:c>
      <s:c r="D442" s="0" t="n">
        <s:v>1708</s:v>
      </s:c>
      <s:c r="F442" s="24">
        <s:f>'자료구성'!$B$2+TIME(INT($C$3/10000),INT(MOD($C$3,10000)/100),MOD($C$3,100))+(ROW()-ROW($C$3))/86400</s:f>
        <s:v>46247.37123842593</s:v>
      </s:c>
    </s:row>
    <s:row r="443">
      <s:c r="A443" s="0" t="n">
        <s:v>260813</s:v>
      </s:c>
      <s:c r="B443" s="0" t="inlineStr">
        <s:is>
          <s:t>이종훈</s:t>
        </s:is>
      </s:c>
      <s:c r="C443" s="0" t="n">
        <s:v>84716</s:v>
      </s:c>
      <s:c r="D443" s="0" t="n">
        <s:v>1705</s:v>
      </s:c>
      <s:c r="F443" s="24">
        <s:f>'자료구성'!$B$2+TIME(INT($C$3/10000),INT(MOD($C$3,10000)/100),MOD($C$3,100))+(ROW()-ROW($C$3))/86400</s:f>
        <s:v>46247.37125</s:v>
      </s:c>
    </s:row>
    <s:row r="444">
      <s:c r="A444" s="0" t="n">
        <s:v>260813</s:v>
      </s:c>
      <s:c r="B444" s="0" t="inlineStr">
        <s:is>
          <s:t>이종훈</s:t>
        </s:is>
      </s:c>
      <s:c r="C444" s="0" t="n">
        <s:v>84716</s:v>
      </s:c>
      <s:c r="D444" s="0" t="n">
        <s:v>1694</s:v>
      </s:c>
      <s:c r="F444" s="24">
        <s:f>'자료구성'!$B$2+TIME(INT($C$3/10000),INT(MOD($C$3,10000)/100),MOD($C$3,100))+(ROW()-ROW($C$3))/86400</s:f>
        <s:v>46247.37126157407</s:v>
      </s:c>
    </s:row>
    <s:row r="445">
      <s:c r="A445" s="0" t="n">
        <s:v>260813</s:v>
      </s:c>
      <s:c r="B445" s="0" t="inlineStr">
        <s:is>
          <s:t>이종훈</s:t>
        </s:is>
      </s:c>
      <s:c r="C445" s="0" t="n">
        <s:v>84716</s:v>
      </s:c>
      <s:c r="D445" s="0" t="n">
        <s:v>1679</s:v>
      </s:c>
      <s:c r="F445" s="24">
        <s:f>'자료구성'!$B$2+TIME(INT($C$3/10000),INT(MOD($C$3,10000)/100),MOD($C$3,100))+(ROW()-ROW($C$3))/86400</s:f>
        <s:v>46247.37127314815</s:v>
      </s:c>
    </s:row>
    <s:row r="446">
      <s:c r="A446" s="0" t="n">
        <s:v>260813</s:v>
      </s:c>
      <s:c r="B446" s="0" t="inlineStr">
        <s:is>
          <s:t>이종훈</s:t>
        </s:is>
      </s:c>
      <s:c r="C446" s="0" t="n">
        <s:v>84716</s:v>
      </s:c>
      <s:c r="D446" s="0" t="n">
        <s:v>1674</s:v>
      </s:c>
      <s:c r="F446" s="24">
        <s:f>'자료구성'!$B$2+TIME(INT($C$3/10000),INT(MOD($C$3,10000)/100),MOD($C$3,100))+(ROW()-ROW($C$3))/86400</s:f>
        <s:v>46247.37128472222</s:v>
      </s:c>
    </s:row>
    <s:row r="447">
      <s:c r="A447" s="0" t="n">
        <s:v>260813</s:v>
      </s:c>
      <s:c r="B447" s="0" t="inlineStr">
        <s:is>
          <s:t>이종훈</s:t>
        </s:is>
      </s:c>
      <s:c r="C447" s="0" t="n">
        <s:v>84716</s:v>
      </s:c>
      <s:c r="D447" s="0" t="n">
        <s:v>1671</s:v>
      </s:c>
      <s:c r="F447" s="24">
        <s:f>'자료구성'!$B$2+TIME(INT($C$3/10000),INT(MOD($C$3,10000)/100),MOD($C$3,100))+(ROW()-ROW($C$3))/86400</s:f>
        <s:v>46247.371296296296</s:v>
      </s:c>
    </s:row>
    <s:row r="448">
      <s:c r="A448" s="0" t="n">
        <s:v>260813</s:v>
      </s:c>
      <s:c r="B448" s="0" t="inlineStr">
        <s:is>
          <s:t>이종훈</s:t>
        </s:is>
      </s:c>
      <s:c r="C448" s="0" t="n">
        <s:v>84716</s:v>
      </s:c>
      <s:c r="D448" s="0" t="n">
        <s:v>1665</s:v>
      </s:c>
      <s:c r="F448" s="24">
        <s:f>'자료구성'!$B$2+TIME(INT($C$3/10000),INT(MOD($C$3,10000)/100),MOD($C$3,100))+(ROW()-ROW($C$3))/86400</s:f>
        <s:v>46247.37130787037</s:v>
      </s:c>
    </s:row>
    <s:row r="449">
      <s:c r="A449" s="0" t="n">
        <s:v>260813</s:v>
      </s:c>
      <s:c r="B449" s="0" t="inlineStr">
        <s:is>
          <s:t>이종훈</s:t>
        </s:is>
      </s:c>
      <s:c r="C449" s="0" t="n">
        <s:v>84716</s:v>
      </s:c>
      <s:c r="D449" s="0" t="n">
        <s:v>1651</s:v>
      </s:c>
      <s:c r="F449" s="24">
        <s:f>'자료구성'!$B$2+TIME(INT($C$3/10000),INT(MOD($C$3,10000)/100),MOD($C$3,100))+(ROW()-ROW($C$3))/86400</s:f>
        <s:v>46247.37131944444</s:v>
      </s:c>
    </s:row>
    <s:row r="450">
      <s:c r="A450" s="0" t="n">
        <s:v>260813</s:v>
      </s:c>
      <s:c r="B450" s="0" t="inlineStr">
        <s:is>
          <s:t>이종훈</s:t>
        </s:is>
      </s:c>
      <s:c r="C450" s="0" t="n">
        <s:v>84716</s:v>
      </s:c>
      <s:c r="D450" s="0" t="n">
        <s:v>1655</s:v>
      </s:c>
      <s:c r="F450" s="24">
        <s:f>'자료구성'!$B$2+TIME(INT($C$3/10000),INT(MOD($C$3,10000)/100),MOD($C$3,100))+(ROW()-ROW($C$3))/86400</s:f>
        <s:v>46247.37133101852</s:v>
      </s:c>
    </s:row>
    <s:row r="451">
      <s:c r="A451" s="0" t="n">
        <s:v>260813</s:v>
      </s:c>
      <s:c r="B451" s="0" t="inlineStr">
        <s:is>
          <s:t>이종훈</s:t>
        </s:is>
      </s:c>
      <s:c r="C451" s="0" t="n">
        <s:v>84716</s:v>
      </s:c>
      <s:c r="D451" s="0" t="n">
        <s:v>1681</s:v>
      </s:c>
      <s:c r="F451" s="24">
        <s:f>'자료구성'!$B$2+TIME(INT($C$3/10000),INT(MOD($C$3,10000)/100),MOD($C$3,100))+(ROW()-ROW($C$3))/86400</s:f>
        <s:v>46247.371342592596</s:v>
      </s:c>
    </s:row>
    <s:row r="452">
      <s:c r="A452" s="0" t="n">
        <s:v>260813</s:v>
      </s:c>
      <s:c r="B452" s="0" t="inlineStr">
        <s:is>
          <s:t>이종훈</s:t>
        </s:is>
      </s:c>
      <s:c r="C452" s="0" t="n">
        <s:v>84716</s:v>
      </s:c>
      <s:c r="D452" s="0" t="n">
        <s:v>1677</s:v>
      </s:c>
      <s:c r="F452" s="24">
        <s:f>'자료구성'!$B$2+TIME(INT($C$3/10000),INT(MOD($C$3,10000)/100),MOD($C$3,100))+(ROW()-ROW($C$3))/86400</s:f>
        <s:v>46247.371354166666</s:v>
      </s:c>
    </s:row>
    <s:row r="453">
      <s:c r="A453" s="0" t="n">
        <s:v>260813</s:v>
      </s:c>
      <s:c r="B453" s="0" t="inlineStr">
        <s:is>
          <s:t>이종훈</s:t>
        </s:is>
      </s:c>
      <s:c r="C453" s="0" t="n">
        <s:v>84716</s:v>
      </s:c>
      <s:c r="D453" s="0" t="n">
        <s:v>1672</s:v>
      </s:c>
      <s:c r="F453" s="24">
        <s:f>'자료구성'!$B$2+TIME(INT($C$3/10000),INT(MOD($C$3,10000)/100),MOD($C$3,100))+(ROW()-ROW($C$3))/86400</s:f>
        <s:v>46247.37136574074</s:v>
      </s:c>
    </s:row>
    <s:row r="454">
      <s:c r="A454" s="0" t="n">
        <s:v>260813</s:v>
      </s:c>
      <s:c r="B454" s="0" t="inlineStr">
        <s:is>
          <s:t>이종훈</s:t>
        </s:is>
      </s:c>
      <s:c r="C454" s="0" t="n">
        <s:v>84716</s:v>
      </s:c>
      <s:c r="D454" s="0" t="n">
        <s:v>1681</s:v>
      </s:c>
      <s:c r="F454" s="24">
        <s:f>'자료구성'!$B$2+TIME(INT($C$3/10000),INT(MOD($C$3,10000)/100),MOD($C$3,100))+(ROW()-ROW($C$3))/86400</s:f>
        <s:v>46247.37137731481</s:v>
      </s:c>
    </s:row>
    <s:row r="455">
      <s:c r="A455" s="0" t="n">
        <s:v>260813</s:v>
      </s:c>
      <s:c r="B455" s="0" t="inlineStr">
        <s:is>
          <s:t>이종훈</s:t>
        </s:is>
      </s:c>
      <s:c r="C455" s="0" t="n">
        <s:v>84716</s:v>
      </s:c>
      <s:c r="D455" s="0" t="n">
        <s:v>1695</s:v>
      </s:c>
      <s:c r="F455" s="24">
        <s:f>'자료구성'!$B$2+TIME(INT($C$3/10000),INT(MOD($C$3,10000)/100),MOD($C$3,100))+(ROW()-ROW($C$3))/86400</s:f>
        <s:v>46247.37138888889</s:v>
      </s:c>
    </s:row>
    <s:row r="456">
      <s:c r="A456" s="0" t="n">
        <s:v>260813</s:v>
      </s:c>
      <s:c r="B456" s="0" t="inlineStr">
        <s:is>
          <s:t>이종훈</s:t>
        </s:is>
      </s:c>
      <s:c r="C456" s="0" t="n">
        <s:v>84716</s:v>
      </s:c>
      <s:c r="D456" s="0" t="n">
        <s:v>1701</s:v>
      </s:c>
      <s:c r="F456" s="24">
        <s:f>'자료구성'!$B$2+TIME(INT($C$3/10000),INT(MOD($C$3,10000)/100),MOD($C$3,100))+(ROW()-ROW($C$3))/86400</s:f>
        <s:v>46247.371400462966</s:v>
      </s:c>
    </s:row>
    <s:row r="457">
      <s:c r="A457" s="0" t="n">
        <s:v>260813</s:v>
      </s:c>
      <s:c r="B457" s="0" t="inlineStr">
        <s:is>
          <s:t>이종훈</s:t>
        </s:is>
      </s:c>
      <s:c r="C457" s="0" t="n">
        <s:v>84716</s:v>
      </s:c>
      <s:c r="D457" s="0" t="n">
        <s:v>1728</s:v>
      </s:c>
      <s:c r="F457" s="24">
        <s:f>'자료구성'!$B$2+TIME(INT($C$3/10000),INT(MOD($C$3,10000)/100),MOD($C$3,100))+(ROW()-ROW($C$3))/86400</s:f>
        <s:v>46247.371412037035</s:v>
      </s:c>
    </s:row>
    <s:row r="458">
      <s:c r="A458" s="0" t="n">
        <s:v>260813</s:v>
      </s:c>
      <s:c r="B458" s="0" t="inlineStr">
        <s:is>
          <s:t>이종훈</s:t>
        </s:is>
      </s:c>
      <s:c r="C458" s="0" t="n">
        <s:v>84716</s:v>
      </s:c>
      <s:c r="D458" s="0" t="n">
        <s:v>1779</s:v>
      </s:c>
      <s:c r="F458" s="24">
        <s:f>'자료구성'!$B$2+TIME(INT($C$3/10000),INT(MOD($C$3,10000)/100),MOD($C$3,100))+(ROW()-ROW($C$3))/86400</s:f>
        <s:v>46247.37142361111</s:v>
      </s:c>
    </s:row>
    <s:row r="459">
      <s:c r="A459" s="0" t="n">
        <s:v>260813</s:v>
      </s:c>
      <s:c r="B459" s="0" t="inlineStr">
        <s:is>
          <s:t>이종훈</s:t>
        </s:is>
      </s:c>
      <s:c r="C459" s="0" t="n">
        <s:v>84716</s:v>
      </s:c>
      <s:c r="D459" s="0" t="n">
        <s:v>1844</s:v>
      </s:c>
      <s:c r="F459" s="24">
        <s:f>'자료구성'!$B$2+TIME(INT($C$3/10000),INT(MOD($C$3,10000)/100),MOD($C$3,100))+(ROW()-ROW($C$3))/86400</s:f>
        <s:v>46247.37143518519</s:v>
      </s:c>
    </s:row>
    <s:row r="460">
      <s:c r="A460" s="0" t="n">
        <s:v>260813</s:v>
      </s:c>
      <s:c r="B460" s="0" t="inlineStr">
        <s:is>
          <s:t>이종훈</s:t>
        </s:is>
      </s:c>
      <s:c r="C460" s="0" t="n">
        <s:v>84716</s:v>
      </s:c>
      <s:c r="D460" s="0" t="n">
        <s:v>1912</s:v>
      </s:c>
      <s:c r="F460" s="24">
        <s:f>'자료구성'!$B$2+TIME(INT($C$3/10000),INT(MOD($C$3,10000)/100),MOD($C$3,100))+(ROW()-ROW($C$3))/86400</s:f>
        <s:v>46247.37144675926</s:v>
      </s:c>
    </s:row>
    <s:row r="461">
      <s:c r="A461" s="0" t="n">
        <s:v>260813</s:v>
      </s:c>
      <s:c r="B461" s="0" t="inlineStr">
        <s:is>
          <s:t>이종훈</s:t>
        </s:is>
      </s:c>
      <s:c r="C461" s="0" t="n">
        <s:v>84716</s:v>
      </s:c>
      <s:c r="D461" s="0" t="n">
        <s:v>1991</s:v>
      </s:c>
      <s:c r="F461" s="24">
        <s:f>'자료구성'!$B$2+TIME(INT($C$3/10000),INT(MOD($C$3,10000)/100),MOD($C$3,100))+(ROW()-ROW($C$3))/86400</s:f>
        <s:v>46247.371458333335</s:v>
      </s:c>
    </s:row>
    <s:row r="462">
      <s:c r="A462" s="0" t="n">
        <s:v>260813</s:v>
      </s:c>
      <s:c r="B462" s="0" t="inlineStr">
        <s:is>
          <s:t>이종훈</s:t>
        </s:is>
      </s:c>
      <s:c r="C462" s="0" t="n">
        <s:v>84716</s:v>
      </s:c>
      <s:c r="D462" s="0" t="n">
        <s:v>2060</s:v>
      </s:c>
      <s:c r="F462" s="24">
        <s:f>'자료구성'!$B$2+TIME(INT($C$3/10000),INT(MOD($C$3,10000)/100),MOD($C$3,100))+(ROW()-ROW($C$3))/86400</s:f>
        <s:v>46247.371469907404</s:v>
      </s:c>
    </s:row>
    <s:row r="463">
      <s:c r="A463" s="0" t="n">
        <s:v>260813</s:v>
      </s:c>
      <s:c r="B463" s="0" t="inlineStr">
        <s:is>
          <s:t>이종훈</s:t>
        </s:is>
      </s:c>
      <s:c r="C463" s="0" t="n">
        <s:v>84716</s:v>
      </s:c>
      <s:c r="D463" s="0" t="n">
        <s:v>2077</s:v>
      </s:c>
      <s:c r="F463" s="24">
        <s:f>'자료구성'!$B$2+TIME(INT($C$3/10000),INT(MOD($C$3,10000)/100),MOD($C$3,100))+(ROW()-ROW($C$3))/86400</s:f>
        <s:v>46247.37148148148</s:v>
      </s:c>
    </s:row>
    <s:row r="464">
      <s:c r="A464" s="0" t="n">
        <s:v>260813</s:v>
      </s:c>
      <s:c r="B464" s="0" t="inlineStr">
        <s:is>
          <s:t>이종훈</s:t>
        </s:is>
      </s:c>
      <s:c r="C464" s="0" t="n">
        <s:v>84716</s:v>
      </s:c>
      <s:c r="D464" s="0" t="n">
        <s:v>2105</s:v>
      </s:c>
      <s:c r="F464" s="24">
        <s:f>'자료구성'!$B$2+TIME(INT($C$3/10000),INT(MOD($C$3,10000)/100),MOD($C$3,100))+(ROW()-ROW($C$3))/86400</s:f>
        <s:v>46247.37149305556</s:v>
      </s:c>
    </s:row>
    <s:row r="465">
      <s:c r="A465" s="0" t="n">
        <s:v>260813</s:v>
      </s:c>
      <s:c r="B465" s="0" t="inlineStr">
        <s:is>
          <s:t>이종훈</s:t>
        </s:is>
      </s:c>
      <s:c r="C465" s="0" t="n">
        <s:v>84716</s:v>
      </s:c>
      <s:c r="D465" s="0" t="n">
        <s:v>2151</s:v>
      </s:c>
      <s:c r="F465" s="24">
        <s:f>'자료구성'!$B$2+TIME(INT($C$3/10000),INT(MOD($C$3,10000)/100),MOD($C$3,100))+(ROW()-ROW($C$3))/86400</s:f>
        <s:v>46247.37150462963</s:v>
      </s:c>
    </s:row>
    <s:row r="466">
      <s:c r="A466" s="0" t="n">
        <s:v>260813</s:v>
      </s:c>
      <s:c r="B466" s="0" t="inlineStr">
        <s:is>
          <s:t>이종훈</s:t>
        </s:is>
      </s:c>
      <s:c r="C466" s="0" t="n">
        <s:v>84716</s:v>
      </s:c>
      <s:c r="D466" s="0" t="n">
        <s:v>2190</s:v>
      </s:c>
      <s:c r="F466" s="24">
        <s:f>'자료구성'!$B$2+TIME(INT($C$3/10000),INT(MOD($C$3,10000)/100),MOD($C$3,100))+(ROW()-ROW($C$3))/86400</s:f>
        <s:v>46247.371516203704</s:v>
      </s:c>
    </s:row>
    <s:row r="467">
      <s:c r="A467" s="0" t="n">
        <s:v>260813</s:v>
      </s:c>
      <s:c r="B467" s="0" t="inlineStr">
        <s:is>
          <s:t>이종훈</s:t>
        </s:is>
      </s:c>
      <s:c r="C467" s="0" t="n">
        <s:v>84716</s:v>
      </s:c>
      <s:c r="D467" s="0" t="n">
        <s:v>2199</s:v>
      </s:c>
      <s:c r="F467" s="24">
        <s:f>'자료구성'!$B$2+TIME(INT($C$3/10000),INT(MOD($C$3,10000)/100),MOD($C$3,100))+(ROW()-ROW($C$3))/86400</s:f>
        <s:v>46247.37152777778</s:v>
      </s:c>
    </s:row>
    <s:row r="468">
      <s:c r="A468" s="0" t="n">
        <s:v>260813</s:v>
      </s:c>
      <s:c r="B468" s="0" t="inlineStr">
        <s:is>
          <s:t>이종훈</s:t>
        </s:is>
      </s:c>
      <s:c r="C468" s="0" t="n">
        <s:v>84716</s:v>
      </s:c>
      <s:c r="D468" s="0" t="n">
        <s:v>2213</s:v>
      </s:c>
      <s:c r="F468" s="24">
        <s:f>'자료구성'!$B$2+TIME(INT($C$3/10000),INT(MOD($C$3,10000)/100),MOD($C$3,100))+(ROW()-ROW($C$3))/86400</s:f>
        <s:v>46247.37153935185</s:v>
      </s:c>
    </s:row>
    <s:row r="469">
      <s:c r="A469" s="0" t="n">
        <s:v>260813</s:v>
      </s:c>
      <s:c r="B469" s="0" t="inlineStr">
        <s:is>
          <s:t>이종훈</s:t>
        </s:is>
      </s:c>
      <s:c r="C469" s="0" t="n">
        <s:v>84716</s:v>
      </s:c>
      <s:c r="D469" s="0" t="n">
        <s:v>2236</s:v>
      </s:c>
      <s:c r="F469" s="24">
        <s:f>'자료구성'!$B$2+TIME(INT($C$3/10000),INT(MOD($C$3,10000)/100),MOD($C$3,100))+(ROW()-ROW($C$3))/86400</s:f>
        <s:v>46247.37155092593</s:v>
      </s:c>
    </s:row>
    <s:row r="470">
      <s:c r="A470" s="0" t="n">
        <s:v>260813</s:v>
      </s:c>
      <s:c r="B470" s="0" t="inlineStr">
        <s:is>
          <s:t>이종훈</s:t>
        </s:is>
      </s:c>
      <s:c r="C470" s="0" t="n">
        <s:v>84716</s:v>
      </s:c>
      <s:c r="D470" s="0" t="n">
        <s:v>2260</s:v>
      </s:c>
      <s:c r="F470" s="24">
        <s:f>'자료구성'!$B$2+TIME(INT($C$3/10000),INT(MOD($C$3,10000)/100),MOD($C$3,100))+(ROW()-ROW($C$3))/86400</s:f>
        <s:v>46247.3715625</s:v>
      </s:c>
    </s:row>
    <s:row r="471">
      <s:c r="A471" s="0" t="n">
        <s:v>260813</s:v>
      </s:c>
      <s:c r="B471" s="0" t="inlineStr">
        <s:is>
          <s:t>이종훈</s:t>
        </s:is>
      </s:c>
      <s:c r="C471" s="0" t="n">
        <s:v>84716</s:v>
      </s:c>
      <s:c r="D471" s="0" t="n">
        <s:v>2281</s:v>
      </s:c>
      <s:c r="F471" s="24">
        <s:f>'자료구성'!$B$2+TIME(INT($C$3/10000),INT(MOD($C$3,10000)/100),MOD($C$3,100))+(ROW()-ROW($C$3))/86400</s:f>
        <s:v>46247.37157407407</s:v>
      </s:c>
    </s:row>
    <s:row r="472">
      <s:c r="A472" s="0" t="n">
        <s:v>260813</s:v>
      </s:c>
      <s:c r="B472" s="0" t="inlineStr">
        <s:is>
          <s:t>이종훈</s:t>
        </s:is>
      </s:c>
      <s:c r="C472" s="0" t="n">
        <s:v>84716</s:v>
      </s:c>
      <s:c r="D472" s="0" t="n">
        <s:v>2342</s:v>
      </s:c>
      <s:c r="F472" s="24">
        <s:f>'자료구성'!$B$2+TIME(INT($C$3/10000),INT(MOD($C$3,10000)/100),MOD($C$3,100))+(ROW()-ROW($C$3))/86400</s:f>
        <s:v>46247.37158564815</s:v>
      </s:c>
    </s:row>
    <s:row r="473">
      <s:c r="A473" s="0" t="n">
        <s:v>260813</s:v>
      </s:c>
      <s:c r="B473" s="0" t="inlineStr">
        <s:is>
          <s:t>이종훈</s:t>
        </s:is>
      </s:c>
      <s:c r="C473" s="0" t="n">
        <s:v>84716</s:v>
      </s:c>
      <s:c r="D473" s="0" t="n">
        <s:v>2367</s:v>
      </s:c>
      <s:c r="F473" s="24">
        <s:f>'자료구성'!$B$2+TIME(INT($C$3/10000),INT(MOD($C$3,10000)/100),MOD($C$3,100))+(ROW()-ROW($C$3))/86400</s:f>
        <s:v>46247.37159722222</s:v>
      </s:c>
    </s:row>
    <s:row r="474">
      <s:c r="A474" s="0" t="n">
        <s:v>260813</s:v>
      </s:c>
      <s:c r="B474" s="0" t="inlineStr">
        <s:is>
          <s:t>이종훈</s:t>
        </s:is>
      </s:c>
      <s:c r="C474" s="0" t="n">
        <s:v>84716</s:v>
      </s:c>
      <s:c r="D474" s="0" t="n">
        <s:v>2391</s:v>
      </s:c>
      <s:c r="F474" s="24">
        <s:f>'자료구성'!$B$2+TIME(INT($C$3/10000),INT(MOD($C$3,10000)/100),MOD($C$3,100))+(ROW()-ROW($C$3))/86400</s:f>
        <s:v>46247.3716087963</s:v>
      </s:c>
    </s:row>
    <s:row r="475">
      <s:c r="A475" s="0" t="n">
        <s:v>260813</s:v>
      </s:c>
      <s:c r="B475" s="0" t="inlineStr">
        <s:is>
          <s:t>이종훈</s:t>
        </s:is>
      </s:c>
      <s:c r="C475" s="0" t="n">
        <s:v>84716</s:v>
      </s:c>
      <s:c r="D475" s="0" t="n">
        <s:v>2391</s:v>
      </s:c>
      <s:c r="F475" s="24">
        <s:f>'자료구성'!$B$2+TIME(INT($C$3/10000),INT(MOD($C$3,10000)/100),MOD($C$3,100))+(ROW()-ROW($C$3))/86400</s:f>
        <s:v>46247.37162037037</s:v>
      </s:c>
    </s:row>
    <s:row r="476">
      <s:c r="A476" s="0" t="n">
        <s:v>260813</s:v>
      </s:c>
      <s:c r="B476" s="0" t="inlineStr">
        <s:is>
          <s:t>이종훈</s:t>
        </s:is>
      </s:c>
      <s:c r="C476" s="0" t="n">
        <s:v>84716</s:v>
      </s:c>
      <s:c r="D476" s="0" t="n">
        <s:v>2397</s:v>
      </s:c>
      <s:c r="F476" s="24">
        <s:f>'자료구성'!$B$2+TIME(INT($C$3/10000),INT(MOD($C$3,10000)/100),MOD($C$3,100))+(ROW()-ROW($C$3))/86400</s:f>
        <s:v>46247.37163194444</s:v>
      </s:c>
    </s:row>
    <s:row r="477">
      <s:c r="A477" s="0" t="n">
        <s:v>260813</s:v>
      </s:c>
      <s:c r="B477" s="0" t="inlineStr">
        <s:is>
          <s:t>이종훈</s:t>
        </s:is>
      </s:c>
      <s:c r="C477" s="0" t="n">
        <s:v>84716</s:v>
      </s:c>
      <s:c r="D477" s="0" t="n">
        <s:v>2399</s:v>
      </s:c>
      <s:c r="F477" s="24">
        <s:f>'자료구성'!$B$2+TIME(INT($C$3/10000),INT(MOD($C$3,10000)/100),MOD($C$3,100))+(ROW()-ROW($C$3))/86400</s:f>
        <s:v>46247.37164351852</s:v>
      </s:c>
    </s:row>
    <s:row r="478">
      <s:c r="A478" s="0" t="n">
        <s:v>260813</s:v>
      </s:c>
      <s:c r="B478" s="0" t="inlineStr">
        <s:is>
          <s:t>이종훈</s:t>
        </s:is>
      </s:c>
      <s:c r="C478" s="0" t="n">
        <s:v>84716</s:v>
      </s:c>
      <s:c r="D478" s="0" t="n">
        <s:v>2417</s:v>
      </s:c>
      <s:c r="F478" s="24">
        <s:f>'자료구성'!$B$2+TIME(INT($C$3/10000),INT(MOD($C$3,10000)/100),MOD($C$3,100))+(ROW()-ROW($C$3))/86400</s:f>
        <s:v>46247.37165509259</s:v>
      </s:c>
    </s:row>
    <s:row r="479">
      <s:c r="A479" s="0" t="n">
        <s:v>260813</s:v>
      </s:c>
      <s:c r="B479" s="0" t="inlineStr">
        <s:is>
          <s:t>이종훈</s:t>
        </s:is>
      </s:c>
      <s:c r="C479" s="0" t="n">
        <s:v>84716</s:v>
      </s:c>
      <s:c r="D479" s="0" t="n">
        <s:v>2456</s:v>
      </s:c>
      <s:c r="F479" s="24">
        <s:f>'자료구성'!$B$2+TIME(INT($C$3/10000),INT(MOD($C$3,10000)/100),MOD($C$3,100))+(ROW()-ROW($C$3))/86400</s:f>
        <s:v>46247.371666666666</s:v>
      </s:c>
    </s:row>
    <s:row r="480">
      <s:c r="A480" s="0" t="n">
        <s:v>260813</s:v>
      </s:c>
      <s:c r="B480" s="0" t="inlineStr">
        <s:is>
          <s:t>이종훈</s:t>
        </s:is>
      </s:c>
      <s:c r="C480" s="0" t="n">
        <s:v>84716</s:v>
      </s:c>
      <s:c r="D480" s="0" t="n">
        <s:v>2483</s:v>
      </s:c>
      <s:c r="F480" s="24">
        <s:f>'자료구성'!$B$2+TIME(INT($C$3/10000),INT(MOD($C$3,10000)/100),MOD($C$3,100))+(ROW()-ROW($C$3))/86400</s:f>
        <s:v>46247.37167824074</s:v>
      </s:c>
    </s:row>
    <s:row r="481">
      <s:c r="A481" s="0" t="n">
        <s:v>260813</s:v>
      </s:c>
      <s:c r="B481" s="0" t="inlineStr">
        <s:is>
          <s:t>이종훈</s:t>
        </s:is>
      </s:c>
      <s:c r="C481" s="0" t="n">
        <s:v>84716</s:v>
      </s:c>
      <s:c r="D481" s="0" t="n">
        <s:v>2501</s:v>
      </s:c>
      <s:c r="F481" s="24">
        <s:f>'자료구성'!$B$2+TIME(INT($C$3/10000),INT(MOD($C$3,10000)/100),MOD($C$3,100))+(ROW()-ROW($C$3))/86400</s:f>
        <s:v>46247.37168981481</s:v>
      </s:c>
    </s:row>
    <s:row r="482">
      <s:c r="A482" s="0" t="n">
        <s:v>260813</s:v>
      </s:c>
      <s:c r="B482" s="0" t="inlineStr">
        <s:is>
          <s:t>이종훈</s:t>
        </s:is>
      </s:c>
      <s:c r="C482" s="0" t="n">
        <s:v>84716</s:v>
      </s:c>
      <s:c r="D482" s="0" t="n">
        <s:v>2561</s:v>
      </s:c>
      <s:c r="F482" s="24">
        <s:f>'자료구성'!$B$2+TIME(INT($C$3/10000),INT(MOD($C$3,10000)/100),MOD($C$3,100))+(ROW()-ROW($C$3))/86400</s:f>
        <s:v>46247.37170138889</s:v>
      </s:c>
    </s:row>
    <s:row r="483">
      <s:c r="A483" s="0" t="n">
        <s:v>260813</s:v>
      </s:c>
      <s:c r="B483" s="0" t="inlineStr">
        <s:is>
          <s:t>이종훈</s:t>
        </s:is>
      </s:c>
      <s:c r="C483" s="0" t="n">
        <s:v>84716</s:v>
      </s:c>
      <s:c r="D483" s="0" t="n">
        <s:v>2563</s:v>
      </s:c>
      <s:c r="F483" s="24">
        <s:f>'자료구성'!$B$2+TIME(INT($C$3/10000),INT(MOD($C$3,10000)/100),MOD($C$3,100))+(ROW()-ROW($C$3))/86400</s:f>
        <s:v>46247.371712962966</s:v>
      </s:c>
    </s:row>
    <s:row r="484">
      <s:c r="A484" s="0" t="n">
        <s:v>260813</s:v>
      </s:c>
      <s:c r="B484" s="0" t="inlineStr">
        <s:is>
          <s:t>이종훈</s:t>
        </s:is>
      </s:c>
      <s:c r="C484" s="0" t="n">
        <s:v>84716</s:v>
      </s:c>
      <s:c r="D484" s="0" t="n">
        <s:v>2606</s:v>
      </s:c>
      <s:c r="F484" s="24">
        <s:f>'자료구성'!$B$2+TIME(INT($C$3/10000),INT(MOD($C$3,10000)/100),MOD($C$3,100))+(ROW()-ROW($C$3))/86400</s:f>
        <s:v>46247.371724537035</s:v>
      </s:c>
    </s:row>
    <s:row r="485">
      <s:c r="A485" s="0" t="n">
        <s:v>260813</s:v>
      </s:c>
      <s:c r="B485" s="0" t="inlineStr">
        <s:is>
          <s:t>이종훈</s:t>
        </s:is>
      </s:c>
      <s:c r="C485" s="0" t="n">
        <s:v>84716</s:v>
      </s:c>
      <s:c r="D485" s="0" t="n">
        <s:v>2618</s:v>
      </s:c>
      <s:c r="F485" s="24">
        <s:f>'자료구성'!$B$2+TIME(INT($C$3/10000),INT(MOD($C$3,10000)/100),MOD($C$3,100))+(ROW()-ROW($C$3))/86400</s:f>
        <s:v>46247.37173611111</s:v>
      </s:c>
    </s:row>
    <s:row r="486">
      <s:c r="A486" s="0" t="n">
        <s:v>260813</s:v>
      </s:c>
      <s:c r="B486" s="0" t="inlineStr">
        <s:is>
          <s:t>이종훈</s:t>
        </s:is>
      </s:c>
      <s:c r="C486" s="0" t="n">
        <s:v>84716</s:v>
      </s:c>
      <s:c r="D486" s="0" t="n">
        <s:v>2637</s:v>
      </s:c>
      <s:c r="F486" s="24">
        <s:f>'자료구성'!$B$2+TIME(INT($C$3/10000),INT(MOD($C$3,10000)/100),MOD($C$3,100))+(ROW()-ROW($C$3))/86400</s:f>
        <s:v>46247.37174768518</s:v>
      </s:c>
    </s:row>
    <s:row r="487">
      <s:c r="A487" s="0" t="n">
        <s:v>260813</s:v>
      </s:c>
      <s:c r="B487" s="0" t="inlineStr">
        <s:is>
          <s:t>이종훈</s:t>
        </s:is>
      </s:c>
      <s:c r="C487" s="0" t="n">
        <s:v>84716</s:v>
      </s:c>
      <s:c r="D487" s="0" t="n">
        <s:v>2688</s:v>
      </s:c>
      <s:c r="F487" s="24">
        <s:f>'자료구성'!$B$2+TIME(INT($C$3/10000),INT(MOD($C$3,10000)/100),MOD($C$3,100))+(ROW()-ROW($C$3))/86400</s:f>
        <s:v>46247.37175925926</s:v>
      </s:c>
    </s:row>
    <s:row r="488">
      <s:c r="A488" s="0" t="n">
        <s:v>260813</s:v>
      </s:c>
      <s:c r="B488" s="0" t="inlineStr">
        <s:is>
          <s:t>이종훈</s:t>
        </s:is>
      </s:c>
      <s:c r="C488" s="0" t="n">
        <s:v>84716</s:v>
      </s:c>
      <s:c r="D488" s="0" t="n">
        <s:v>2712</s:v>
      </s:c>
      <s:c r="F488" s="24">
        <s:f>'자료구성'!$B$2+TIME(INT($C$3/10000),INT(MOD($C$3,10000)/100),MOD($C$3,100))+(ROW()-ROW($C$3))/86400</s:f>
        <s:v>46247.371770833335</s:v>
      </s:c>
    </s:row>
    <s:row r="489">
      <s:c r="A489" s="0" t="n">
        <s:v>260813</s:v>
      </s:c>
      <s:c r="B489" s="0" t="inlineStr">
        <s:is>
          <s:t>이종훈</s:t>
        </s:is>
      </s:c>
      <s:c r="C489" s="0" t="n">
        <s:v>84716</s:v>
      </s:c>
      <s:c r="D489" s="0" t="n">
        <s:v>2728</s:v>
      </s:c>
      <s:c r="F489" s="24">
        <s:f>'자료구성'!$B$2+TIME(INT($C$3/10000),INT(MOD($C$3,10000)/100),MOD($C$3,100))+(ROW()-ROW($C$3))/86400</s:f>
        <s:v>46247.371782407405</s:v>
      </s:c>
    </s:row>
    <s:row r="490">
      <s:c r="A490" s="0" t="n">
        <s:v>260813</s:v>
      </s:c>
      <s:c r="B490" s="0" t="inlineStr">
        <s:is>
          <s:t>이종훈</s:t>
        </s:is>
      </s:c>
      <s:c r="C490" s="0" t="n">
        <s:v>84716</s:v>
      </s:c>
      <s:c r="D490" s="0" t="n">
        <s:v>2725</s:v>
      </s:c>
      <s:c r="F490" s="24">
        <s:f>'자료구성'!$B$2+TIME(INT($C$3/10000),INT(MOD($C$3,10000)/100),MOD($C$3,100))+(ROW()-ROW($C$3))/86400</s:f>
        <s:v>46247.37179398148</s:v>
      </s:c>
    </s:row>
    <s:row r="491">
      <s:c r="A491" s="0" t="n">
        <s:v>260813</s:v>
      </s:c>
      <s:c r="B491" s="0" t="inlineStr">
        <s:is>
          <s:t>이종훈</s:t>
        </s:is>
      </s:c>
      <s:c r="C491" s="0" t="n">
        <s:v>84716</s:v>
      </s:c>
      <s:c r="D491" s="0" t="n">
        <s:v>2704</s:v>
      </s:c>
      <s:c r="F491" s="24">
        <s:f>'자료구성'!$B$2+TIME(INT($C$3/10000),INT(MOD($C$3,10000)/100),MOD($C$3,100))+(ROW()-ROW($C$3))/86400</s:f>
        <s:v>46247.37180555556</s:v>
      </s:c>
    </s:row>
    <s:row r="492">
      <s:c r="A492" s="0" t="n">
        <s:v>260813</s:v>
      </s:c>
      <s:c r="B492" s="0" t="inlineStr">
        <s:is>
          <s:t>이종훈</s:t>
        </s:is>
      </s:c>
      <s:c r="C492" s="0" t="n">
        <s:v>84716</s:v>
      </s:c>
      <s:c r="D492" s="0" t="n">
        <s:v>2687</s:v>
      </s:c>
      <s:c r="F492" s="24">
        <s:f>'자료구성'!$B$2+TIME(INT($C$3/10000),INT(MOD($C$3,10000)/100),MOD($C$3,100))+(ROW()-ROW($C$3))/86400</s:f>
        <s:v>46247.37181712963</s:v>
      </s:c>
    </s:row>
    <s:row r="493">
      <s:c r="A493" s="0" t="n">
        <s:v>260813</s:v>
      </s:c>
      <s:c r="B493" s="0" t="inlineStr">
        <s:is>
          <s:t>이종훈</s:t>
        </s:is>
      </s:c>
      <s:c r="C493" s="0" t="n">
        <s:v>84716</s:v>
      </s:c>
      <s:c r="D493" s="0" t="n">
        <s:v>2654</s:v>
      </s:c>
      <s:c r="F493" s="24">
        <s:f>'자료구성'!$B$2+TIME(INT($C$3/10000),INT(MOD($C$3,10000)/100),MOD($C$3,100))+(ROW()-ROW($C$3))/86400</s:f>
        <s:v>46247.371828703705</s:v>
      </s:c>
    </s:row>
    <s:row r="494">
      <s:c r="A494" s="0" t="n">
        <s:v>260813</s:v>
      </s:c>
      <s:c r="B494" s="0" t="inlineStr">
        <s:is>
          <s:t>이종훈</s:t>
        </s:is>
      </s:c>
      <s:c r="C494" s="0" t="n">
        <s:v>84716</s:v>
      </s:c>
      <s:c r="D494" s="0" t="n">
        <s:v>2595</s:v>
      </s:c>
      <s:c r="F494" s="24">
        <s:f>'자료구성'!$B$2+TIME(INT($C$3/10000),INT(MOD($C$3,10000)/100),MOD($C$3,100))+(ROW()-ROW($C$3))/86400</s:f>
        <s:v>46247.37184027778</s:v>
      </s:c>
    </s:row>
    <s:row r="495">
      <s:c r="A495" s="0" t="n">
        <s:v>260813</s:v>
      </s:c>
      <s:c r="B495" s="0" t="inlineStr">
        <s:is>
          <s:t>이종훈</s:t>
        </s:is>
      </s:c>
      <s:c r="C495" s="0" t="n">
        <s:v>84716</s:v>
      </s:c>
      <s:c r="D495" s="0" t="n">
        <s:v>2561</s:v>
      </s:c>
      <s:c r="F495" s="24">
        <s:f>'자료구성'!$B$2+TIME(INT($C$3/10000),INT(MOD($C$3,10000)/100),MOD($C$3,100))+(ROW()-ROW($C$3))/86400</s:f>
        <s:v>46247.37185185185</s:v>
      </s:c>
    </s:row>
    <s:row r="496">
      <s:c r="A496" s="0" t="n">
        <s:v>260813</s:v>
      </s:c>
      <s:c r="B496" s="0" t="inlineStr">
        <s:is>
          <s:t>이종훈</s:t>
        </s:is>
      </s:c>
      <s:c r="C496" s="0" t="n">
        <s:v>84716</s:v>
      </s:c>
      <s:c r="D496" s="0" t="n">
        <s:v>2532</s:v>
      </s:c>
      <s:c r="F496" s="24">
        <s:f>'자료구성'!$B$2+TIME(INT($C$3/10000),INT(MOD($C$3,10000)/100),MOD($C$3,100))+(ROW()-ROW($C$3))/86400</s:f>
        <s:v>46247.37186342593</s:v>
      </s:c>
    </s:row>
    <s:row r="497">
      <s:c r="A497" s="0" t="n">
        <s:v>260813</s:v>
      </s:c>
      <s:c r="B497" s="0" t="inlineStr">
        <s:is>
          <s:t>이종훈</s:t>
        </s:is>
      </s:c>
      <s:c r="C497" s="0" t="n">
        <s:v>84716</s:v>
      </s:c>
      <s:c r="D497" s="0" t="n">
        <s:v>2529</s:v>
      </s:c>
      <s:c r="F497" s="24">
        <s:f>'자료구성'!$B$2+TIME(INT($C$3/10000),INT(MOD($C$3,10000)/100),MOD($C$3,100))+(ROW()-ROW($C$3))/86400</s:f>
        <s:v>46247.371875</s:v>
      </s:c>
    </s:row>
    <s:row r="498">
      <s:c r="A498" s="0" t="n">
        <s:v>260813</s:v>
      </s:c>
      <s:c r="B498" s="0" t="inlineStr">
        <s:is>
          <s:t>이종훈</s:t>
        </s:is>
      </s:c>
      <s:c r="C498" s="0" t="n">
        <s:v>84716</s:v>
      </s:c>
      <s:c r="D498" s="0" t="n">
        <s:v>2529</s:v>
      </s:c>
      <s:c r="F498" s="24">
        <s:f>'자료구성'!$B$2+TIME(INT($C$3/10000),INT(MOD($C$3,10000)/100),MOD($C$3,100))+(ROW()-ROW($C$3))/86400</s:f>
        <s:v>46247.371886574074</s:v>
      </s:c>
    </s:row>
    <s:row r="499">
      <s:c r="A499" s="0" t="n">
        <s:v>260813</s:v>
      </s:c>
      <s:c r="B499" s="0" t="inlineStr">
        <s:is>
          <s:t>이종훈</s:t>
        </s:is>
      </s:c>
      <s:c r="C499" s="0" t="n">
        <s:v>84716</s:v>
      </s:c>
      <s:c r="D499" s="0" t="n">
        <s:v>2499</s:v>
      </s:c>
      <s:c r="F499" s="24">
        <s:f>'자료구성'!$B$2+TIME(INT($C$3/10000),INT(MOD($C$3,10000)/100),MOD($C$3,100))+(ROW()-ROW($C$3))/86400</s:f>
        <s:v>46247.37189814815</s:v>
      </s:c>
    </s:row>
    <s:row r="500">
      <s:c r="A500" s="0" t="n">
        <s:v>260813</s:v>
      </s:c>
      <s:c r="B500" s="0" t="inlineStr">
        <s:is>
          <s:t>이종훈</s:t>
        </s:is>
      </s:c>
      <s:c r="C500" s="0" t="n">
        <s:v>84716</s:v>
      </s:c>
      <s:c r="D500" s="0" t="n">
        <s:v>2491</s:v>
      </s:c>
      <s:c r="F500" s="24">
        <s:f>'자료구성'!$B$2+TIME(INT($C$3/10000),INT(MOD($C$3,10000)/100),MOD($C$3,100))+(ROW()-ROW($C$3))/86400</s:f>
        <s:v>46247.37190972222</s:v>
      </s:c>
    </s:row>
    <s:row r="501">
      <s:c r="A501" s="0" t="n">
        <s:v>260813</s:v>
      </s:c>
      <s:c r="B501" s="0" t="inlineStr">
        <s:is>
          <s:t>이종훈</s:t>
        </s:is>
      </s:c>
      <s:c r="C501" s="0" t="n">
        <s:v>84716</s:v>
      </s:c>
      <s:c r="D501" s="0" t="n">
        <s:v>2474</s:v>
      </s:c>
      <s:c r="F501" s="24">
        <s:f>'자료구성'!$B$2+TIME(INT($C$3/10000),INT(MOD($C$3,10000)/100),MOD($C$3,100))+(ROW()-ROW($C$3))/86400</s:f>
        <s:v>46247.3719212963</s:v>
      </s:c>
    </s:row>
    <s:row r="502">
      <s:c r="A502" s="0" t="n">
        <s:v>260813</s:v>
      </s:c>
      <s:c r="B502" s="0" t="inlineStr">
        <s:is>
          <s:t>이종훈</s:t>
        </s:is>
      </s:c>
      <s:c r="C502" s="0" t="n">
        <s:v>84716</s:v>
      </s:c>
      <s:c r="D502" s="0" t="n">
        <s:v>2464</s:v>
      </s:c>
      <s:c r="F502" s="24">
        <s:f>'자료구성'!$B$2+TIME(INT($C$3/10000),INT(MOD($C$3,10000)/100),MOD($C$3,100))+(ROW()-ROW($C$3))/86400</s:f>
        <s:v>46247.371932870374</s:v>
      </s:c>
    </s:row>
    <s:row r="503">
      <s:c r="A503" s="0" t="n">
        <s:v>260813</s:v>
      </s:c>
      <s:c r="B503" s="0" t="inlineStr">
        <s:is>
          <s:t>이종훈</s:t>
        </s:is>
      </s:c>
      <s:c r="C503" s="0" t="n">
        <s:v>84716</s:v>
      </s:c>
      <s:c r="D503" s="0" t="n">
        <s:v>2408</s:v>
      </s:c>
      <s:c r="F503" s="24">
        <s:f>'자료구성'!$B$2+TIME(INT($C$3/10000),INT(MOD($C$3,10000)/100),MOD($C$3,100))+(ROW()-ROW($C$3))/86400</s:f>
        <s:v>46247.37194444444</s:v>
      </s:c>
    </s:row>
    <s:row r="504">
      <s:c r="A504" s="0" t="n">
        <s:v>260813</s:v>
      </s:c>
      <s:c r="B504" s="0" t="inlineStr">
        <s:is>
          <s:t>이종훈</s:t>
        </s:is>
      </s:c>
      <s:c r="C504" s="0" t="n">
        <s:v>84716</s:v>
      </s:c>
      <s:c r="D504" s="0" t="n">
        <s:v>2321</s:v>
      </s:c>
      <s:c r="F504" s="24">
        <s:f>'자료구성'!$B$2+TIME(INT($C$3/10000),INT(MOD($C$3,10000)/100),MOD($C$3,100))+(ROW()-ROW($C$3))/86400</s:f>
        <s:v>46247.37195601852</s:v>
      </s:c>
    </s:row>
    <s:row r="505">
      <s:c r="A505" s="0" t="n">
        <s:v>260813</s:v>
      </s:c>
      <s:c r="B505" s="0" t="inlineStr">
        <s:is>
          <s:t>이종훈</s:t>
        </s:is>
      </s:c>
      <s:c r="C505" s="0" t="n">
        <s:v>84716</s:v>
      </s:c>
      <s:c r="D505" s="0" t="n">
        <s:v>2184</s:v>
      </s:c>
      <s:c r="F505" s="24">
        <s:f>'자료구성'!$B$2+TIME(INT($C$3/10000),INT(MOD($C$3,10000)/100),MOD($C$3,100))+(ROW()-ROW($C$3))/86400</s:f>
        <s:v>46247.37196759259</s:v>
      </s:c>
    </s:row>
    <s:row r="506">
      <s:c r="A506" s="0" t="n">
        <s:v>260813</s:v>
      </s:c>
      <s:c r="B506" s="0" t="inlineStr">
        <s:is>
          <s:t>이종훈</s:t>
        </s:is>
      </s:c>
      <s:c r="C506" s="0" t="n">
        <s:v>84716</s:v>
      </s:c>
      <s:c r="D506" s="0" t="n">
        <s:v>2156</s:v>
      </s:c>
      <s:c r="F506" s="24">
        <s:f>'자료구성'!$B$2+TIME(INT($C$3/10000),INT(MOD($C$3,10000)/100),MOD($C$3,100))+(ROW()-ROW($C$3))/86400</s:f>
        <s:v>46247.371979166666</s:v>
      </s:c>
    </s:row>
    <s:row r="507">
      <s:c r="A507" s="0" t="n">
        <s:v>260813</s:v>
      </s:c>
      <s:c r="B507" s="0" t="inlineStr">
        <s:is>
          <s:t>이종훈</s:t>
        </s:is>
      </s:c>
      <s:c r="C507" s="0" t="n">
        <s:v>84716</s:v>
      </s:c>
      <s:c r="D507" s="0" t="n">
        <s:v>2131</s:v>
      </s:c>
      <s:c r="F507" s="24">
        <s:f>'자료구성'!$B$2+TIME(INT($C$3/10000),INT(MOD($C$3,10000)/100),MOD($C$3,100))+(ROW()-ROW($C$3))/86400</s:f>
        <s:v>46247.37199074074</s:v>
      </s:c>
    </s:row>
    <s:row r="508">
      <s:c r="A508" s="0" t="n">
        <s:v>260813</s:v>
      </s:c>
      <s:c r="B508" s="0" t="inlineStr">
        <s:is>
          <s:t>이종훈</s:t>
        </s:is>
      </s:c>
      <s:c r="C508" s="0" t="n">
        <s:v>84716</s:v>
      </s:c>
      <s:c r="D508" s="0" t="n">
        <s:v>2116</s:v>
      </s:c>
      <s:c r="F508" s="24">
        <s:f>'자료구성'!$B$2+TIME(INT($C$3/10000),INT(MOD($C$3,10000)/100),MOD($C$3,100))+(ROW()-ROW($C$3))/86400</s:f>
        <s:v>46247.37200231481</s:v>
      </s:c>
    </s:row>
    <s:row r="509">
      <s:c r="A509" s="0" t="n">
        <s:v>260813</s:v>
      </s:c>
      <s:c r="B509" s="0" t="inlineStr">
        <s:is>
          <s:t>이종훈</s:t>
        </s:is>
      </s:c>
      <s:c r="C509" s="0" t="n">
        <s:v>84716</s:v>
      </s:c>
      <s:c r="D509" s="0" t="n">
        <s:v>2126</s:v>
      </s:c>
      <s:c r="F509" s="24">
        <s:f>'자료구성'!$B$2+TIME(INT($C$3/10000),INT(MOD($C$3,10000)/100),MOD($C$3,100))+(ROW()-ROW($C$3))/86400</s:f>
        <s:v>46247.37201388889</s:v>
      </s:c>
    </s:row>
    <s:row r="510">
      <s:c r="A510" s="0" t="n">
        <s:v>260813</s:v>
      </s:c>
      <s:c r="B510" s="0" t="inlineStr">
        <s:is>
          <s:t>이종훈</s:t>
        </s:is>
      </s:c>
      <s:c r="C510" s="0" t="n">
        <s:v>84716</s:v>
      </s:c>
      <s:c r="D510" s="0" t="n">
        <s:v>2168</s:v>
      </s:c>
      <s:c r="F510" s="24">
        <s:f>'자료구성'!$B$2+TIME(INT($C$3/10000),INT(MOD($C$3,10000)/100),MOD($C$3,100))+(ROW()-ROW($C$3))/86400</s:f>
        <s:v>46247.372025462966</s:v>
      </s:c>
    </s:row>
    <s:row r="511">
      <s:c r="A511" s="0" t="n">
        <s:v>260813</s:v>
      </s:c>
      <s:c r="B511" s="0" t="inlineStr">
        <s:is>
          <s:t>이종훈</s:t>
        </s:is>
      </s:c>
      <s:c r="C511" s="0" t="n">
        <s:v>84716</s:v>
      </s:c>
      <s:c r="D511" s="0" t="n">
        <s:v>2174</s:v>
      </s:c>
      <s:c r="F511" s="24">
        <s:f>'자료구성'!$B$2+TIME(INT($C$3/10000),INT(MOD($C$3,10000)/100),MOD($C$3,100))+(ROW()-ROW($C$3))/86400</s:f>
        <s:v>46247.372037037036</s:v>
      </s:c>
    </s:row>
    <s:row r="512">
      <s:c r="A512" s="0" t="n">
        <s:v>260813</s:v>
      </s:c>
      <s:c r="B512" s="0" t="inlineStr">
        <s:is>
          <s:t>이종훈</s:t>
        </s:is>
      </s:c>
      <s:c r="C512" s="0" t="n">
        <s:v>84716</s:v>
      </s:c>
      <s:c r="D512" s="0" t="n">
        <s:v>2193</s:v>
      </s:c>
      <s:c r="F512" s="24">
        <s:f>'자료구성'!$B$2+TIME(INT($C$3/10000),INT(MOD($C$3,10000)/100),MOD($C$3,100))+(ROW()-ROW($C$3))/86400</s:f>
        <s:v>46247.37204861111</s:v>
      </s:c>
    </s:row>
    <s:row r="513">
      <s:c r="A513" s="0" t="n">
        <s:v>260813</s:v>
      </s:c>
      <s:c r="B513" s="0" t="inlineStr">
        <s:is>
          <s:t>이종훈</s:t>
        </s:is>
      </s:c>
      <s:c r="C513" s="0" t="n">
        <s:v>84716</s:v>
      </s:c>
      <s:c r="D513" s="0" t="n">
        <s:v>2163</s:v>
      </s:c>
      <s:c r="F513" s="24">
        <s:f>'자료구성'!$B$2+TIME(INT($C$3/10000),INT(MOD($C$3,10000)/100),MOD($C$3,100))+(ROW()-ROW($C$3))/86400</s:f>
        <s:v>46247.37206018518</s:v>
      </s:c>
    </s:row>
    <s:row r="514">
      <s:c r="A514" s="0" t="n">
        <s:v>260813</s:v>
      </s:c>
      <s:c r="B514" s="0" t="inlineStr">
        <s:is>
          <s:t>이종훈</s:t>
        </s:is>
      </s:c>
      <s:c r="C514" s="0" t="n">
        <s:v>84716</s:v>
      </s:c>
      <s:c r="D514" s="0" t="n">
        <s:v>2155</s:v>
      </s:c>
      <s:c r="F514" s="24">
        <s:f>'자료구성'!$B$2+TIME(INT($C$3/10000),INT(MOD($C$3,10000)/100),MOD($C$3,100))+(ROW()-ROW($C$3))/86400</s:f>
        <s:v>46247.37207175926</s:v>
      </s:c>
    </s:row>
    <s:row r="515">
      <s:c r="A515" s="0" t="n">
        <s:v>260813</s:v>
      </s:c>
      <s:c r="B515" s="0" t="inlineStr">
        <s:is>
          <s:t>이종훈</s:t>
        </s:is>
      </s:c>
      <s:c r="C515" s="0" t="n">
        <s:v>84716</s:v>
      </s:c>
      <s:c r="D515" s="0" t="n">
        <s:v>2119</s:v>
      </s:c>
      <s:c r="F515" s="24">
        <s:f>'자료구성'!$B$2+TIME(INT($C$3/10000),INT(MOD($C$3,10000)/100),MOD($C$3,100))+(ROW()-ROW($C$3))/86400</s:f>
        <s:v>46247.372083333335</s:v>
      </s:c>
    </s:row>
    <s:row r="516">
      <s:c r="A516" s="0" t="n">
        <s:v>260813</s:v>
      </s:c>
      <s:c r="B516" s="0" t="inlineStr">
        <s:is>
          <s:t>이종훈</s:t>
        </s:is>
      </s:c>
      <s:c r="C516" s="0" t="n">
        <s:v>84716</s:v>
      </s:c>
      <s:c r="D516" s="0" t="n">
        <s:v>2070</s:v>
      </s:c>
      <s:c r="F516" s="24">
        <s:f>'자료구성'!$B$2+TIME(INT($C$3/10000),INT(MOD($C$3,10000)/100),MOD($C$3,100))+(ROW()-ROW($C$3))/86400</s:f>
        <s:v>46247.372094907405</s:v>
      </s:c>
    </s:row>
    <s:row r="517">
      <s:c r="A517" s="0" t="n">
        <s:v>260813</s:v>
      </s:c>
      <s:c r="B517" s="0" t="inlineStr">
        <s:is>
          <s:t>이종훈</s:t>
        </s:is>
      </s:c>
      <s:c r="C517" s="0" t="n">
        <s:v>84716</s:v>
      </s:c>
      <s:c r="D517" s="0" t="n">
        <s:v>2036</s:v>
      </s:c>
      <s:c r="F517" s="24">
        <s:f>'자료구성'!$B$2+TIME(INT($C$3/10000),INT(MOD($C$3,10000)/100),MOD($C$3,100))+(ROW()-ROW($C$3))/86400</s:f>
        <s:v>46247.37210648148</s:v>
      </s:c>
    </s:row>
    <s:row r="518">
      <s:c r="A518" s="0" t="n">
        <s:v>260813</s:v>
      </s:c>
      <s:c r="B518" s="0" t="inlineStr">
        <s:is>
          <s:t>이종훈</s:t>
        </s:is>
      </s:c>
      <s:c r="C518" s="0" t="n">
        <s:v>84716</s:v>
      </s:c>
      <s:c r="D518" s="0" t="n">
        <s:v>2005</s:v>
      </s:c>
      <s:c r="F518" s="24">
        <s:f>'자료구성'!$B$2+TIME(INT($C$3/10000),INT(MOD($C$3,10000)/100),MOD($C$3,100))+(ROW()-ROW($C$3))/86400</s:f>
        <s:v>46247.37211805556</s:v>
      </s:c>
    </s:row>
    <s:row r="519">
      <s:c r="A519" s="0" t="n">
        <s:v>260813</s:v>
      </s:c>
      <s:c r="B519" s="0" t="inlineStr">
        <s:is>
          <s:t>이종훈</s:t>
        </s:is>
      </s:c>
      <s:c r="C519" s="0" t="n">
        <s:v>84716</s:v>
      </s:c>
      <s:c r="D519" s="0" t="n">
        <s:v>1996</s:v>
      </s:c>
      <s:c r="F519" s="24">
        <s:f>'자료구성'!$B$2+TIME(INT($C$3/10000),INT(MOD($C$3,10000)/100),MOD($C$3,100))+(ROW()-ROW($C$3))/86400</s:f>
        <s:v>46247.37212962963</s:v>
      </s:c>
    </s:row>
    <s:row r="520">
      <s:c r="A520" s="0" t="n">
        <s:v>260813</s:v>
      </s:c>
      <s:c r="B520" s="0" t="inlineStr">
        <s:is>
          <s:t>이종훈</s:t>
        </s:is>
      </s:c>
      <s:c r="C520" s="0" t="n">
        <s:v>84716</s:v>
      </s:c>
      <s:c r="D520" s="0" t="n">
        <s:v>1975</s:v>
      </s:c>
      <s:c r="F520" s="24">
        <s:f>'자료구성'!$B$2+TIME(INT($C$3/10000),INT(MOD($C$3,10000)/100),MOD($C$3,100))+(ROW()-ROW($C$3))/86400</s:f>
        <s:v>46247.372141203705</s:v>
      </s:c>
    </s:row>
    <s:row r="521">
      <s:c r="A521" s="0" t="n">
        <s:v>260813</s:v>
      </s:c>
      <s:c r="B521" s="0" t="inlineStr">
        <s:is>
          <s:t>이종훈</s:t>
        </s:is>
      </s:c>
      <s:c r="C521" s="0" t="n">
        <s:v>84716</s:v>
      </s:c>
      <s:c r="D521" s="0" t="n">
        <s:v>1969</s:v>
      </s:c>
      <s:c r="F521" s="24">
        <s:f>'자료구성'!$B$2+TIME(INT($C$3/10000),INT(MOD($C$3,10000)/100),MOD($C$3,100))+(ROW()-ROW($C$3))/86400</s:f>
        <s:v>46247.372152777774</s:v>
      </s:c>
    </s:row>
    <s:row r="522">
      <s:c r="A522" s="0" t="n">
        <s:v>260813</s:v>
      </s:c>
      <s:c r="B522" s="0" t="inlineStr">
        <s:is>
          <s:t>이종훈</s:t>
        </s:is>
      </s:c>
      <s:c r="C522" s="0" t="n">
        <s:v>84716</s:v>
      </s:c>
      <s:c r="D522" s="0" t="n">
        <s:v>1947</s:v>
      </s:c>
      <s:c r="F522" s="24">
        <s:f>'자료구성'!$B$2+TIME(INT($C$3/10000),INT(MOD($C$3,10000)/100),MOD($C$3,100))+(ROW()-ROW($C$3))/86400</s:f>
        <s:v>46247.37216435185</s:v>
      </s:c>
    </s:row>
    <s:row r="523">
      <s:c r="A523" s="0" t="n">
        <s:v>260813</s:v>
      </s:c>
      <s:c r="B523" s="0" t="inlineStr">
        <s:is>
          <s:t>이종훈</s:t>
        </s:is>
      </s:c>
      <s:c r="C523" s="0" t="n">
        <s:v>84716</s:v>
      </s:c>
      <s:c r="D523" s="0" t="n">
        <s:v>1918</s:v>
      </s:c>
      <s:c r="F523" s="24">
        <s:f>'자료구성'!$B$2+TIME(INT($C$3/10000),INT(MOD($C$3,10000)/100),MOD($C$3,100))+(ROW()-ROW($C$3))/86400</s:f>
        <s:v>46247.37217592593</s:v>
      </s:c>
    </s:row>
    <s:row r="524">
      <s:c r="A524" s="0" t="n">
        <s:v>260813</s:v>
      </s:c>
      <s:c r="B524" s="0" t="inlineStr">
        <s:is>
          <s:t>이종훈</s:t>
        </s:is>
      </s:c>
      <s:c r="C524" s="0" t="n">
        <s:v>84716</s:v>
      </s:c>
      <s:c r="D524" s="0" t="n">
        <s:v>1931</s:v>
      </s:c>
      <s:c r="F524" s="24">
        <s:f>'자료구성'!$B$2+TIME(INT($C$3/10000),INT(MOD($C$3,10000)/100),MOD($C$3,100))+(ROW()-ROW($C$3))/86400</s:f>
        <s:v>46247.3721875</s:v>
      </s:c>
    </s:row>
    <s:row r="525">
      <s:c r="A525" s="0" t="n">
        <s:v>260813</s:v>
      </s:c>
      <s:c r="B525" s="0" t="inlineStr">
        <s:is>
          <s:t>이종훈</s:t>
        </s:is>
      </s:c>
      <s:c r="C525" s="0" t="n">
        <s:v>84716</s:v>
      </s:c>
      <s:c r="D525" s="0" t="n">
        <s:v>1925</s:v>
      </s:c>
      <s:c r="F525" s="24">
        <s:f>'자료구성'!$B$2+TIME(INT($C$3/10000),INT(MOD($C$3,10000)/100),MOD($C$3,100))+(ROW()-ROW($C$3))/86400</s:f>
        <s:v>46247.372199074074</s:v>
      </s:c>
    </s:row>
    <s:row r="526">
      <s:c r="A526" s="0" t="n">
        <s:v>260813</s:v>
      </s:c>
      <s:c r="B526" s="0" t="inlineStr">
        <s:is>
          <s:t>이종훈</s:t>
        </s:is>
      </s:c>
      <s:c r="C526" s="0" t="n">
        <s:v>84716</s:v>
      </s:c>
      <s:c r="D526" s="0" t="n">
        <s:v>1909</s:v>
      </s:c>
      <s:c r="F526" s="24">
        <s:f>'자료구성'!$B$2+TIME(INT($C$3/10000),INT(MOD($C$3,10000)/100),MOD($C$3,100))+(ROW()-ROW($C$3))/86400</s:f>
        <s:v>46247.37221064815</s:v>
      </s:c>
    </s:row>
    <s:row r="527">
      <s:c r="A527" s="0" t="n">
        <s:v>260813</s:v>
      </s:c>
      <s:c r="B527" s="0" t="inlineStr">
        <s:is>
          <s:t>이종훈</s:t>
        </s:is>
      </s:c>
      <s:c r="C527" s="0" t="n">
        <s:v>84716</s:v>
      </s:c>
      <s:c r="D527" s="0" t="n">
        <s:v>1910</s:v>
      </s:c>
      <s:c r="F527" s="24">
        <s:f>'자료구성'!$B$2+TIME(INT($C$3/10000),INT(MOD($C$3,10000)/100),MOD($C$3,100))+(ROW()-ROW($C$3))/86400</s:f>
        <s:v>46247.37222222222</s:v>
      </s:c>
    </s:row>
    <s:row r="528">
      <s:c r="A528" s="0" t="n">
        <s:v>260813</s:v>
      </s:c>
      <s:c r="B528" s="0" t="inlineStr">
        <s:is>
          <s:t>이종훈</s:t>
        </s:is>
      </s:c>
      <s:c r="C528" s="0" t="n">
        <s:v>84716</s:v>
      </s:c>
      <s:c r="D528" s="0" t="n">
        <s:v>1913</s:v>
      </s:c>
      <s:c r="F528" s="24">
        <s:f>'자료구성'!$B$2+TIME(INT($C$3/10000),INT(MOD($C$3,10000)/100),MOD($C$3,100))+(ROW()-ROW($C$3))/86400</s:f>
        <s:v>46247.3722337963</s:v>
      </s:c>
    </s:row>
    <s:row r="529">
      <s:c r="A529" s="0" t="n">
        <s:v>260813</s:v>
      </s:c>
      <s:c r="B529" s="0" t="inlineStr">
        <s:is>
          <s:t>이종훈</s:t>
        </s:is>
      </s:c>
      <s:c r="C529" s="0" t="n">
        <s:v>84716</s:v>
      </s:c>
      <s:c r="D529" s="0" t="n">
        <s:v>1948</s:v>
      </s:c>
      <s:c r="F529" s="24">
        <s:f>'자료구성'!$B$2+TIME(INT($C$3/10000),INT(MOD($C$3,10000)/100),MOD($C$3,100))+(ROW()-ROW($C$3))/86400</s:f>
        <s:v>46247.372245370374</s:v>
      </s:c>
    </s:row>
    <s:row r="530">
      <s:c r="A530" s="0" t="n">
        <s:v>260813</s:v>
      </s:c>
      <s:c r="B530" s="0" t="inlineStr">
        <s:is>
          <s:t>이종훈</s:t>
        </s:is>
      </s:c>
      <s:c r="C530" s="0" t="n">
        <s:v>84716</s:v>
      </s:c>
      <s:c r="D530" s="0" t="n">
        <s:v>1998</s:v>
      </s:c>
      <s:c r="F530" s="24">
        <s:f>'자료구성'!$B$2+TIME(INT($C$3/10000),INT(MOD($C$3,10000)/100),MOD($C$3,100))+(ROW()-ROW($C$3))/86400</s:f>
        <s:v>46247.37225694444</s:v>
      </s:c>
    </s:row>
    <s:row r="531">
      <s:c r="A531" s="0" t="n">
        <s:v>260813</s:v>
      </s:c>
      <s:c r="B531" s="0" t="inlineStr">
        <s:is>
          <s:t>이종훈</s:t>
        </s:is>
      </s:c>
      <s:c r="C531" s="0" t="n">
        <s:v>84716</s:v>
      </s:c>
      <s:c r="D531" s="0" t="n">
        <s:v>1997</s:v>
      </s:c>
      <s:c r="F531" s="24">
        <s:f>'자료구성'!$B$2+TIME(INT($C$3/10000),INT(MOD($C$3,10000)/100),MOD($C$3,100))+(ROW()-ROW($C$3))/86400</s:f>
        <s:v>46247.37226851852</s:v>
      </s:c>
    </s:row>
    <s:row r="532">
      <s:c r="A532" s="0" t="n">
        <s:v>260813</s:v>
      </s:c>
      <s:c r="B532" s="0" t="inlineStr">
        <s:is>
          <s:t>이종훈</s:t>
        </s:is>
      </s:c>
      <s:c r="C532" s="0" t="n">
        <s:v>84716</s:v>
      </s:c>
      <s:c r="D532" s="0" t="n">
        <s:v>2010</s:v>
      </s:c>
      <s:c r="F532" s="24">
        <s:f>'자료구성'!$B$2+TIME(INT($C$3/10000),INT(MOD($C$3,10000)/100),MOD($C$3,100))+(ROW()-ROW($C$3))/86400</s:f>
        <s:v>46247.37228009259</s:v>
      </s:c>
    </s:row>
    <s:row r="533">
      <s:c r="A533" s="0" t="n">
        <s:v>260813</s:v>
      </s:c>
      <s:c r="B533" s="0" t="inlineStr">
        <s:is>
          <s:t>이종훈</s:t>
        </s:is>
      </s:c>
      <s:c r="C533" s="0" t="n">
        <s:v>84716</s:v>
      </s:c>
      <s:c r="D533" s="0" t="n">
        <s:v>2003</s:v>
      </s:c>
      <s:c r="F533" s="24">
        <s:f>'자료구성'!$B$2+TIME(INT($C$3/10000),INT(MOD($C$3,10000)/100),MOD($C$3,100))+(ROW()-ROW($C$3))/86400</s:f>
        <s:v>46247.37229166667</s:v>
      </s:c>
    </s:row>
    <s:row r="534">
      <s:c r="A534" s="0" t="n">
        <s:v>260813</s:v>
      </s:c>
      <s:c r="B534" s="0" t="inlineStr">
        <s:is>
          <s:t>이종훈</s:t>
        </s:is>
      </s:c>
      <s:c r="C534" s="0" t="n">
        <s:v>84716</s:v>
      </s:c>
      <s:c r="D534" s="0" t="n">
        <s:v>1985</s:v>
      </s:c>
      <s:c r="F534" s="24">
        <s:f>'자료구성'!$B$2+TIME(INT($C$3/10000),INT(MOD($C$3,10000)/100),MOD($C$3,100))+(ROW()-ROW($C$3))/86400</s:f>
        <s:v>46247.37230324074</s:v>
      </s:c>
    </s:row>
    <s:row r="535">
      <s:c r="A535" s="0" t="n">
        <s:v>260813</s:v>
      </s:c>
      <s:c r="B535" s="0" t="inlineStr">
        <s:is>
          <s:t>이종훈</s:t>
        </s:is>
      </s:c>
      <s:c r="C535" s="0" t="n">
        <s:v>84716</s:v>
      </s:c>
      <s:c r="D535" s="0" t="n">
        <s:v>1971</s:v>
      </s:c>
      <s:c r="F535" s="24">
        <s:f>'자료구성'!$B$2+TIME(INT($C$3/10000),INT(MOD($C$3,10000)/100),MOD($C$3,100))+(ROW()-ROW($C$3))/86400</s:f>
        <s:v>46247.37231481481</s:v>
      </s:c>
    </s:row>
    <s:row r="536">
      <s:c r="A536" s="0" t="n">
        <s:v>260813</s:v>
      </s:c>
      <s:c r="B536" s="0" t="inlineStr">
        <s:is>
          <s:t>이종훈</s:t>
        </s:is>
      </s:c>
      <s:c r="C536" s="0" t="n">
        <s:v>84716</s:v>
      </s:c>
      <s:c r="D536" s="0" t="n">
        <s:v>1993</s:v>
      </s:c>
      <s:c r="F536" s="24">
        <s:f>'자료구성'!$B$2+TIME(INT($C$3/10000),INT(MOD($C$3,10000)/100),MOD($C$3,100))+(ROW()-ROW($C$3))/86400</s:f>
        <s:v>46247.37232638889</s:v>
      </s:c>
    </s:row>
    <s:row r="537">
      <s:c r="A537" s="0" t="n">
        <s:v>260813</s:v>
      </s:c>
      <s:c r="B537" s="0" t="inlineStr">
        <s:is>
          <s:t>이종훈</s:t>
        </s:is>
      </s:c>
      <s:c r="C537" s="0" t="n">
        <s:v>84716</s:v>
      </s:c>
      <s:c r="D537" s="0" t="n">
        <s:v>1993</s:v>
      </s:c>
      <s:c r="F537" s="24">
        <s:f>'자료구성'!$B$2+TIME(INT($C$3/10000),INT(MOD($C$3,10000)/100),MOD($C$3,100))+(ROW()-ROW($C$3))/86400</s:f>
        <s:v>46247.37233796297</s:v>
      </s:c>
    </s:row>
    <s:row r="538">
      <s:c r="A538" s="0" t="n">
        <s:v>260813</s:v>
      </s:c>
      <s:c r="B538" s="0" t="inlineStr">
        <s:is>
          <s:t>이종훈</s:t>
        </s:is>
      </s:c>
      <s:c r="C538" s="0" t="n">
        <s:v>84716</s:v>
      </s:c>
      <s:c r="D538" s="0" t="n">
        <s:v>1967</s:v>
      </s:c>
      <s:c r="F538" s="24">
        <s:f>'자료구성'!$B$2+TIME(INT($C$3/10000),INT(MOD($C$3,10000)/100),MOD($C$3,100))+(ROW()-ROW($C$3))/86400</s:f>
        <s:v>46247.372349537036</s:v>
      </s:c>
    </s:row>
    <s:row r="539">
      <s:c r="A539" s="0" t="n">
        <s:v>260813</s:v>
      </s:c>
      <s:c r="B539" s="0" t="inlineStr">
        <s:is>
          <s:t>이종훈</s:t>
        </s:is>
      </s:c>
      <s:c r="C539" s="0" t="n">
        <s:v>84716</s:v>
      </s:c>
      <s:c r="D539" s="0" t="n">
        <s:v>2011</s:v>
      </s:c>
      <s:c r="F539" s="24">
        <s:f>'자료구성'!$B$2+TIME(INT($C$3/10000),INT(MOD($C$3,10000)/100),MOD($C$3,100))+(ROW()-ROW($C$3))/86400</s:f>
        <s:v>46247.37236111111</s:v>
      </s:c>
    </s:row>
    <s:row r="540">
      <s:c r="A540" s="0" t="n">
        <s:v>260813</s:v>
      </s:c>
      <s:c r="B540" s="0" t="inlineStr">
        <s:is>
          <s:t>이종훈</s:t>
        </s:is>
      </s:c>
      <s:c r="C540" s="0" t="n">
        <s:v>84716</s:v>
      </s:c>
      <s:c r="D540" s="0" t="n">
        <s:v>2022</s:v>
      </s:c>
      <s:c r="F540" s="24">
        <s:f>'자료구성'!$B$2+TIME(INT($C$3/10000),INT(MOD($C$3,10000)/100),MOD($C$3,100))+(ROW()-ROW($C$3))/86400</s:f>
        <s:v>46247.37237268518</s:v>
      </s:c>
    </s:row>
    <s:row r="541">
      <s:c r="A541" s="0" t="n">
        <s:v>260813</s:v>
      </s:c>
      <s:c r="B541" s="0" t="inlineStr">
        <s:is>
          <s:t>이종훈</s:t>
        </s:is>
      </s:c>
      <s:c r="C541" s="0" t="n">
        <s:v>84716</s:v>
      </s:c>
      <s:c r="D541" s="0" t="n">
        <s:v>2064</s:v>
      </s:c>
      <s:c r="F541" s="24">
        <s:f>'자료구성'!$B$2+TIME(INT($C$3/10000),INT(MOD($C$3,10000)/100),MOD($C$3,100))+(ROW()-ROW($C$3))/86400</s:f>
        <s:v>46247.37238425926</s:v>
      </s:c>
    </s:row>
    <s:row r="542">
      <s:c r="A542" s="0" t="n">
        <s:v>260813</s:v>
      </s:c>
      <s:c r="B542" s="0" t="inlineStr">
        <s:is>
          <s:t>이종훈</s:t>
        </s:is>
      </s:c>
      <s:c r="C542" s="0" t="n">
        <s:v>84716</s:v>
      </s:c>
      <s:c r="D542" s="0" t="n">
        <s:v>2090</s:v>
      </s:c>
      <s:c r="F542" s="24">
        <s:f>'자료구성'!$B$2+TIME(INT($C$3/10000),INT(MOD($C$3,10000)/100),MOD($C$3,100))+(ROW()-ROW($C$3))/86400</s:f>
        <s:v>46247.372395833336</s:v>
      </s:c>
    </s:row>
    <s:row r="543">
      <s:c r="A543" s="0" t="n">
        <s:v>260813</s:v>
      </s:c>
      <s:c r="B543" s="0" t="inlineStr">
        <s:is>
          <s:t>이종훈</s:t>
        </s:is>
      </s:c>
      <s:c r="C543" s="0" t="n">
        <s:v>84716</s:v>
      </s:c>
      <s:c r="D543" s="0" t="n">
        <s:v>2126</s:v>
      </s:c>
      <s:c r="F543" s="24">
        <s:f>'자료구성'!$B$2+TIME(INT($C$3/10000),INT(MOD($C$3,10000)/100),MOD($C$3,100))+(ROW()-ROW($C$3))/86400</s:f>
        <s:v>46247.372407407405</s:v>
      </s:c>
    </s:row>
    <s:row r="544">
      <s:c r="A544" s="0" t="n">
        <s:v>260813</s:v>
      </s:c>
      <s:c r="B544" s="0" t="inlineStr">
        <s:is>
          <s:t>이종훈</s:t>
        </s:is>
      </s:c>
      <s:c r="C544" s="0" t="n">
        <s:v>84716</s:v>
      </s:c>
      <s:c r="D544" s="0" t="n">
        <s:v>2134</s:v>
      </s:c>
      <s:c r="F544" s="24">
        <s:f>'자료구성'!$B$2+TIME(INT($C$3/10000),INT(MOD($C$3,10000)/100),MOD($C$3,100))+(ROW()-ROW($C$3))/86400</s:f>
        <s:v>46247.37241898148</s:v>
      </s:c>
    </s:row>
    <s:row r="545">
      <s:c r="A545" s="0" t="n">
        <s:v>260813</s:v>
      </s:c>
      <s:c r="B545" s="0" t="inlineStr">
        <s:is>
          <s:t>이종훈</s:t>
        </s:is>
      </s:c>
      <s:c r="C545" s="0" t="n">
        <s:v>84716</s:v>
      </s:c>
      <s:c r="D545" s="0" t="n">
        <s:v>2180</s:v>
      </s:c>
      <s:c r="F545" s="24">
        <s:f>'자료구성'!$B$2+TIME(INT($C$3/10000),INT(MOD($C$3,10000)/100),MOD($C$3,100))+(ROW()-ROW($C$3))/86400</s:f>
        <s:v>46247.37243055556</s:v>
      </s:c>
    </s:row>
    <s:row r="546">
      <s:c r="A546" s="0" t="n">
        <s:v>260813</s:v>
      </s:c>
      <s:c r="B546" s="0" t="inlineStr">
        <s:is>
          <s:t>이종훈</s:t>
        </s:is>
      </s:c>
      <s:c r="C546" s="0" t="n">
        <s:v>84716</s:v>
      </s:c>
      <s:c r="D546" s="0" t="n">
        <s:v>2188</s:v>
      </s:c>
      <s:c r="F546" s="24">
        <s:f>'자료구성'!$B$2+TIME(INT($C$3/10000),INT(MOD($C$3,10000)/100),MOD($C$3,100))+(ROW()-ROW($C$3))/86400</s:f>
        <s:v>46247.37244212963</s:v>
      </s:c>
    </s:row>
    <s:row r="547">
      <s:c r="A547" s="0" t="n">
        <s:v>260813</s:v>
      </s:c>
      <s:c r="B547" s="0" t="inlineStr">
        <s:is>
          <s:t>이종훈</s:t>
        </s:is>
      </s:c>
      <s:c r="C547" s="0" t="n">
        <s:v>84716</s:v>
      </s:c>
      <s:c r="D547" s="0" t="n">
        <s:v>2201</s:v>
      </s:c>
      <s:c r="F547" s="24">
        <s:f>'자료구성'!$B$2+TIME(INT($C$3/10000),INT(MOD($C$3,10000)/100),MOD($C$3,100))+(ROW()-ROW($C$3))/86400</s:f>
        <s:v>46247.372453703705</s:v>
      </s:c>
    </s:row>
    <s:row r="548">
      <s:c r="A548" s="0" t="n">
        <s:v>260813</s:v>
      </s:c>
      <s:c r="B548" s="0" t="inlineStr">
        <s:is>
          <s:t>이종훈</s:t>
        </s:is>
      </s:c>
      <s:c r="C548" s="0" t="n">
        <s:v>84716</s:v>
      </s:c>
      <s:c r="D548" s="0" t="n">
        <s:v>2201</s:v>
      </s:c>
      <s:c r="F548" s="24">
        <s:f>'자료구성'!$B$2+TIME(INT($C$3/10000),INT(MOD($C$3,10000)/100),MOD($C$3,100))+(ROW()-ROW($C$3))/86400</s:f>
        <s:v>46247.372465277775</s:v>
      </s:c>
    </s:row>
    <s:row r="549">
      <s:c r="A549" s="0" t="n">
        <s:v>260813</s:v>
      </s:c>
      <s:c r="B549" s="0" t="inlineStr">
        <s:is>
          <s:t>이종훈</s:t>
        </s:is>
      </s:c>
      <s:c r="C549" s="0" t="n">
        <s:v>84716</s:v>
      </s:c>
      <s:c r="D549" s="0" t="n">
        <s:v>2193</s:v>
      </s:c>
      <s:c r="F549" s="24">
        <s:f>'자료구성'!$B$2+TIME(INT($C$3/10000),INT(MOD($C$3,10000)/100),MOD($C$3,100))+(ROW()-ROW($C$3))/86400</s:f>
        <s:v>46247.37247685185</s:v>
      </s:c>
    </s:row>
    <s:row r="550">
      <s:c r="A550" s="0" t="n">
        <s:v>260813</s:v>
      </s:c>
      <s:c r="B550" s="0" t="inlineStr">
        <s:is>
          <s:t>이종훈</s:t>
        </s:is>
      </s:c>
      <s:c r="C550" s="0" t="n">
        <s:v>84716</s:v>
      </s:c>
      <s:c r="D550" s="0" t="n">
        <s:v>2209</s:v>
      </s:c>
      <s:c r="F550" s="24">
        <s:f>'자료구성'!$B$2+TIME(INT($C$3/10000),INT(MOD($C$3,10000)/100),MOD($C$3,100))+(ROW()-ROW($C$3))/86400</s:f>
        <s:v>46247.37248842593</s:v>
      </s:c>
    </s:row>
    <s:row r="551">
      <s:c r="A551" s="0" t="n">
        <s:v>260813</s:v>
      </s:c>
      <s:c r="B551" s="0" t="inlineStr">
        <s:is>
          <s:t>이종훈</s:t>
        </s:is>
      </s:c>
      <s:c r="C551" s="0" t="n">
        <s:v>84716</s:v>
      </s:c>
      <s:c r="D551" s="0" t="n">
        <s:v>2223</s:v>
      </s:c>
      <s:c r="F551" s="24">
        <s:f>'자료구성'!$B$2+TIME(INT($C$3/10000),INT(MOD($C$3,10000)/100),MOD($C$3,100))+(ROW()-ROW($C$3))/86400</s:f>
        <s:v>46247.3725</s:v>
      </s:c>
    </s:row>
    <s:row r="552">
      <s:c r="A552" s="0" t="n">
        <s:v>260813</s:v>
      </s:c>
      <s:c r="B552" s="0" t="inlineStr">
        <s:is>
          <s:t>이종훈</s:t>
        </s:is>
      </s:c>
      <s:c r="C552" s="0" t="n">
        <s:v>84716</s:v>
      </s:c>
      <s:c r="D552" s="0" t="n">
        <s:v>2247</s:v>
      </s:c>
      <s:c r="F552" s="24">
        <s:f>'자료구성'!$B$2+TIME(INT($C$3/10000),INT(MOD($C$3,10000)/100),MOD($C$3,100))+(ROW()-ROW($C$3))/86400</s:f>
        <s:v>46247.372511574074</s:v>
      </s:c>
    </s:row>
    <s:row r="553">
      <s:c r="A553" s="0" t="n">
        <s:v>260813</s:v>
      </s:c>
      <s:c r="B553" s="0" t="inlineStr">
        <s:is>
          <s:t>이종훈</s:t>
        </s:is>
      </s:c>
      <s:c r="C553" s="0" t="n">
        <s:v>84716</s:v>
      </s:c>
      <s:c r="D553" s="0" t="n">
        <s:v>2242</s:v>
      </s:c>
      <s:c r="F553" s="24">
        <s:f>'자료구성'!$B$2+TIME(INT($C$3/10000),INT(MOD($C$3,10000)/100),MOD($C$3,100))+(ROW()-ROW($C$3))/86400</s:f>
        <s:v>46247.37252314815</s:v>
      </s:c>
    </s:row>
    <s:row r="554">
      <s:c r="A554" s="0" t="n">
        <s:v>260813</s:v>
      </s:c>
      <s:c r="B554" s="0" t="inlineStr">
        <s:is>
          <s:t>이종훈</s:t>
        </s:is>
      </s:c>
      <s:c r="C554" s="0" t="n">
        <s:v>84716</s:v>
      </s:c>
      <s:c r="D554" s="0" t="n">
        <s:v>2245</s:v>
      </s:c>
      <s:c r="F554" s="24">
        <s:f>'자료구성'!$B$2+TIME(INT($C$3/10000),INT(MOD($C$3,10000)/100),MOD($C$3,100))+(ROW()-ROW($C$3))/86400</s:f>
        <s:v>46247.37253472222</s:v>
      </s:c>
    </s:row>
    <s:row r="555">
      <s:c r="A555" s="0" t="n">
        <s:v>260813</s:v>
      </s:c>
      <s:c r="B555" s="0" t="inlineStr">
        <s:is>
          <s:t>이종훈</s:t>
        </s:is>
      </s:c>
      <s:c r="C555" s="0" t="n">
        <s:v>84716</s:v>
      </s:c>
      <s:c r="D555" s="0" t="n">
        <s:v>2241</s:v>
      </s:c>
      <s:c r="F555" s="24">
        <s:f>'자료구성'!$B$2+TIME(INT($C$3/10000),INT(MOD($C$3,10000)/100),MOD($C$3,100))+(ROW()-ROW($C$3))/86400</s:f>
        <s:v>46247.3725462963</s:v>
      </s:c>
    </s:row>
    <s:row r="556">
      <s:c r="A556" s="0" t="n">
        <s:v>260813</s:v>
      </s:c>
      <s:c r="B556" s="0" t="inlineStr">
        <s:is>
          <s:t>이종훈</s:t>
        </s:is>
      </s:c>
      <s:c r="C556" s="0" t="n">
        <s:v>84716</s:v>
      </s:c>
      <s:c r="D556" s="0" t="n">
        <s:v>2260</s:v>
      </s:c>
      <s:c r="F556" s="24">
        <s:f>'자료구성'!$B$2+TIME(INT($C$3/10000),INT(MOD($C$3,10000)/100),MOD($C$3,100))+(ROW()-ROW($C$3))/86400</s:f>
        <s:v>46247.37255787037</s:v>
      </s:c>
    </s:row>
    <s:row r="557">
      <s:c r="A557" s="0" t="n">
        <s:v>260813</s:v>
      </s:c>
      <s:c r="B557" s="0" t="inlineStr">
        <s:is>
          <s:t>이종훈</s:t>
        </s:is>
      </s:c>
      <s:c r="C557" s="0" t="n">
        <s:v>84716</s:v>
      </s:c>
      <s:c r="D557" s="0" t="n">
        <s:v>2252</s:v>
      </s:c>
      <s:c r="F557" s="24">
        <s:f>'자료구성'!$B$2+TIME(INT($C$3/10000),INT(MOD($C$3,10000)/100),MOD($C$3,100))+(ROW()-ROW($C$3))/86400</s:f>
        <s:v>46247.372569444444</s:v>
      </s:c>
    </s:row>
    <s:row r="558">
      <s:c r="A558" s="0" t="n">
        <s:v>260813</s:v>
      </s:c>
      <s:c r="B558" s="0" t="inlineStr">
        <s:is>
          <s:t>이종훈</s:t>
        </s:is>
      </s:c>
      <s:c r="C558" s="0" t="n">
        <s:v>84716</s:v>
      </s:c>
      <s:c r="D558" s="0" t="n">
        <s:v>2244</s:v>
      </s:c>
      <s:c r="F558" s="24">
        <s:f>'자료구성'!$B$2+TIME(INT($C$3/10000),INT(MOD($C$3,10000)/100),MOD($C$3,100))+(ROW()-ROW($C$3))/86400</s:f>
        <s:v>46247.37258101852</s:v>
      </s:c>
    </s:row>
    <s:row r="559">
      <s:c r="A559" s="0" t="n">
        <s:v>260813</s:v>
      </s:c>
      <s:c r="B559" s="0" t="inlineStr">
        <s:is>
          <s:t>이종훈</s:t>
        </s:is>
      </s:c>
      <s:c r="C559" s="0" t="n">
        <s:v>84716</s:v>
      </s:c>
      <s:c r="D559" s="0" t="n">
        <s:v>2215</s:v>
      </s:c>
      <s:c r="F559" s="24">
        <s:f>'자료구성'!$B$2+TIME(INT($C$3/10000),INT(MOD($C$3,10000)/100),MOD($C$3,100))+(ROW()-ROW($C$3))/86400</s:f>
        <s:v>46247.37259259259</s:v>
      </s:c>
    </s:row>
    <s:row r="560">
      <s:c r="A560" s="0" t="n">
        <s:v>260813</s:v>
      </s:c>
      <s:c r="B560" s="0" t="inlineStr">
        <s:is>
          <s:t>이종훈</s:t>
        </s:is>
      </s:c>
      <s:c r="C560" s="0" t="n">
        <s:v>84716</s:v>
      </s:c>
      <s:c r="D560" s="0" t="n">
        <s:v>2203</s:v>
      </s:c>
      <s:c r="F560" s="24">
        <s:f>'자료구성'!$B$2+TIME(INT($C$3/10000),INT(MOD($C$3,10000)/100),MOD($C$3,100))+(ROW()-ROW($C$3))/86400</s:f>
        <s:v>46247.37260416667</s:v>
      </s:c>
    </s:row>
    <s:row r="561">
      <s:c r="A561" s="0" t="n">
        <s:v>260813</s:v>
      </s:c>
      <s:c r="B561" s="0" t="inlineStr">
        <s:is>
          <s:t>이종훈</s:t>
        </s:is>
      </s:c>
      <s:c r="C561" s="0" t="n">
        <s:v>84716</s:v>
      </s:c>
      <s:c r="D561" s="0" t="n">
        <s:v>2210</s:v>
      </s:c>
      <s:c r="F561" s="24">
        <s:f>'자료구성'!$B$2+TIME(INT($C$3/10000),INT(MOD($C$3,10000)/100),MOD($C$3,100))+(ROW()-ROW($C$3))/86400</s:f>
        <s:v>46247.372615740744</s:v>
      </s:c>
    </s:row>
    <s:row r="562">
      <s:c r="A562" s="0" t="n">
        <s:v>260813</s:v>
      </s:c>
      <s:c r="B562" s="0" t="inlineStr">
        <s:is>
          <s:t>이종훈</s:t>
        </s:is>
      </s:c>
      <s:c r="C562" s="0" t="n">
        <s:v>84716</s:v>
      </s:c>
      <s:c r="D562" s="0" t="n">
        <s:v>2201</s:v>
      </s:c>
      <s:c r="F562" s="24">
        <s:f>'자료구성'!$B$2+TIME(INT($C$3/10000),INT(MOD($C$3,10000)/100),MOD($C$3,100))+(ROW()-ROW($C$3))/86400</s:f>
        <s:v>46247.37262731481</s:v>
      </s:c>
    </s:row>
    <s:row r="563">
      <s:c r="A563" s="0" t="n">
        <s:v>260813</s:v>
      </s:c>
      <s:c r="B563" s="0" t="inlineStr">
        <s:is>
          <s:t>이종훈</s:t>
        </s:is>
      </s:c>
      <s:c r="C563" s="0" t="n">
        <s:v>84716</s:v>
      </s:c>
      <s:c r="D563" s="0" t="n">
        <s:v>2179</s:v>
      </s:c>
      <s:c r="F563" s="24">
        <s:f>'자료구성'!$B$2+TIME(INT($C$3/10000),INT(MOD($C$3,10000)/100),MOD($C$3,100))+(ROW()-ROW($C$3))/86400</s:f>
        <s:v>46247.37263888889</s:v>
      </s:c>
    </s:row>
    <s:row r="564">
      <s:c r="A564" s="0" t="n">
        <s:v>260813</s:v>
      </s:c>
      <s:c r="B564" s="0" t="inlineStr">
        <s:is>
          <s:t>이종훈</s:t>
        </s:is>
      </s:c>
      <s:c r="C564" s="0" t="n">
        <s:v>84716</s:v>
      </s:c>
      <s:c r="D564" s="0" t="n">
        <s:v>2155</s:v>
      </s:c>
      <s:c r="F564" s="24">
        <s:f>'자료구성'!$B$2+TIME(INT($C$3/10000),INT(MOD($C$3,10000)/100),MOD($C$3,100))+(ROW()-ROW($C$3))/86400</s:f>
        <s:v>46247.37265046296</s:v>
      </s:c>
    </s:row>
    <s:row r="565">
      <s:c r="A565" s="0" t="n">
        <s:v>260813</s:v>
      </s:c>
      <s:c r="B565" s="0" t="inlineStr">
        <s:is>
          <s:t>이종훈</s:t>
        </s:is>
      </s:c>
      <s:c r="C565" s="0" t="n">
        <s:v>84716</s:v>
      </s:c>
      <s:c r="D565" s="0" t="n">
        <s:v>2132</s:v>
      </s:c>
      <s:c r="F565" s="24">
        <s:f>'자료구성'!$B$2+TIME(INT($C$3/10000),INT(MOD($C$3,10000)/100),MOD($C$3,100))+(ROW()-ROW($C$3))/86400</s:f>
        <s:v>46247.372662037036</s:v>
      </s:c>
    </s:row>
    <s:row r="566">
      <s:c r="A566" s="0" t="n">
        <s:v>260813</s:v>
      </s:c>
      <s:c r="B566" s="0" t="inlineStr">
        <s:is>
          <s:t>이종훈</s:t>
        </s:is>
      </s:c>
      <s:c r="C566" s="0" t="n">
        <s:v>84716</s:v>
      </s:c>
      <s:c r="D566" s="0" t="n">
        <s:v>2100</s:v>
      </s:c>
      <s:c r="F566" s="24">
        <s:f>'자료구성'!$B$2+TIME(INT($C$3/10000),INT(MOD($C$3,10000)/100),MOD($C$3,100))+(ROW()-ROW($C$3))/86400</s:f>
        <s:v>46247.37267361111</s:v>
      </s:c>
    </s:row>
    <s:row r="567">
      <s:c r="A567" s="0" t="n">
        <s:v>260813</s:v>
      </s:c>
      <s:c r="B567" s="0" t="inlineStr">
        <s:is>
          <s:t>이종훈</s:t>
        </s:is>
      </s:c>
      <s:c r="C567" s="0" t="n">
        <s:v>84716</s:v>
      </s:c>
      <s:c r="D567" s="0" t="n">
        <s:v>2073</s:v>
      </s:c>
      <s:c r="F567" s="24">
        <s:f>'자료구성'!$B$2+TIME(INT($C$3/10000),INT(MOD($C$3,10000)/100),MOD($C$3,100))+(ROW()-ROW($C$3))/86400</s:f>
        <s:v>46247.37268518518</s:v>
      </s:c>
    </s:row>
    <s:row r="568">
      <s:c r="A568" s="0" t="n">
        <s:v>260813</s:v>
      </s:c>
      <s:c r="B568" s="0" t="inlineStr">
        <s:is>
          <s:t>이종훈</s:t>
        </s:is>
      </s:c>
      <s:c r="C568" s="0" t="n">
        <s:v>84716</s:v>
      </s:c>
      <s:c r="D568" s="0" t="n">
        <s:v>2036</s:v>
      </s:c>
      <s:c r="F568" s="24">
        <s:f>'자료구성'!$B$2+TIME(INT($C$3/10000),INT(MOD($C$3,10000)/100),MOD($C$3,100))+(ROW()-ROW($C$3))/86400</s:f>
        <s:v>46247.37269675926</s:v>
      </s:c>
    </s:row>
    <s:row r="569">
      <s:c r="A569" s="0" t="n">
        <s:v>260813</s:v>
      </s:c>
      <s:c r="B569" s="0" t="inlineStr">
        <s:is>
          <s:t>이종훈</s:t>
        </s:is>
      </s:c>
      <s:c r="C569" s="0" t="n">
        <s:v>84716</s:v>
      </s:c>
      <s:c r="D569" s="0" t="n">
        <s:v>2018</s:v>
      </s:c>
      <s:c r="F569" s="24">
        <s:f>'자료구성'!$B$2+TIME(INT($C$3/10000),INT(MOD($C$3,10000)/100),MOD($C$3,100))+(ROW()-ROW($C$3))/86400</s:f>
        <s:v>46247.372708333336</s:v>
      </s:c>
    </s:row>
    <s:row r="570">
      <s:c r="A570" s="0" t="n">
        <s:v>260813</s:v>
      </s:c>
      <s:c r="B570" s="0" t="inlineStr">
        <s:is>
          <s:t>이종훈</s:t>
        </s:is>
      </s:c>
      <s:c r="C570" s="0" t="n">
        <s:v>84716</s:v>
      </s:c>
      <s:c r="D570" s="0" t="n">
        <s:v>1994</s:v>
      </s:c>
      <s:c r="F570" s="24">
        <s:f>'자료구성'!$B$2+TIME(INT($C$3/10000),INT(MOD($C$3,10000)/100),MOD($C$3,100))+(ROW()-ROW($C$3))/86400</s:f>
        <s:v>46247.372719907406</s:v>
      </s:c>
    </s:row>
    <s:row r="571">
      <s:c r="A571" s="0" t="n">
        <s:v>260813</s:v>
      </s:c>
      <s:c r="B571" s="0" t="inlineStr">
        <s:is>
          <s:t>이종훈</s:t>
        </s:is>
      </s:c>
      <s:c r="C571" s="0" t="n">
        <s:v>84716</s:v>
      </s:c>
      <s:c r="D571" s="0" t="n">
        <s:v>1958</s:v>
      </s:c>
      <s:c r="F571" s="24">
        <s:f>'자료구성'!$B$2+TIME(INT($C$3/10000),INT(MOD($C$3,10000)/100),MOD($C$3,100))+(ROW()-ROW($C$3))/86400</s:f>
        <s:v>46247.37273148148</s:v>
      </s:c>
    </s:row>
    <s:row r="572">
      <s:c r="A572" s="0" t="n">
        <s:v>260813</s:v>
      </s:c>
      <s:c r="B572" s="0" t="inlineStr">
        <s:is>
          <s:t>이종훈</s:t>
        </s:is>
      </s:c>
      <s:c r="C572" s="0" t="n">
        <s:v>84716</s:v>
      </s:c>
      <s:c r="D572" s="0" t="n">
        <s:v>1946</s:v>
      </s:c>
      <s:c r="F572" s="24">
        <s:f>'자료구성'!$B$2+TIME(INT($C$3/10000),INT(MOD($C$3,10000)/100),MOD($C$3,100))+(ROW()-ROW($C$3))/86400</s:f>
        <s:v>46247.37274305556</s:v>
      </s:c>
    </s:row>
    <s:row r="573">
      <s:c r="A573" s="0" t="n">
        <s:v>260813</s:v>
      </s:c>
      <s:c r="B573" s="0" t="inlineStr">
        <s:is>
          <s:t>이종훈</s:t>
        </s:is>
      </s:c>
      <s:c r="C573" s="0" t="n">
        <s:v>84716</s:v>
      </s:c>
      <s:c r="D573" s="0" t="n">
        <s:v>1920</s:v>
      </s:c>
      <s:c r="F573" s="24">
        <s:f>'자료구성'!$B$2+TIME(INT($C$3/10000),INT(MOD($C$3,10000)/100),MOD($C$3,100))+(ROW()-ROW($C$3))/86400</s:f>
        <s:v>46247.37275462963</s:v>
      </s:c>
    </s:row>
    <s:row r="574">
      <s:c r="A574" s="0" t="n">
        <s:v>260813</s:v>
      </s:c>
      <s:c r="B574" s="0" t="inlineStr">
        <s:is>
          <s:t>이종훈</s:t>
        </s:is>
      </s:c>
      <s:c r="C574" s="0" t="n">
        <s:v>84716</s:v>
      </s:c>
      <s:c r="D574" s="0" t="n">
        <s:v>1885</s:v>
      </s:c>
      <s:c r="F574" s="24">
        <s:f>'자료구성'!$B$2+TIME(INT($C$3/10000),INT(MOD($C$3,10000)/100),MOD($C$3,100))+(ROW()-ROW($C$3))/86400</s:f>
        <s:v>46247.372766203705</s:v>
      </s:c>
    </s:row>
    <s:row r="575">
      <s:c r="A575" s="0" t="n">
        <s:v>260813</s:v>
      </s:c>
      <s:c r="B575" s="0" t="inlineStr">
        <s:is>
          <s:t>이종훈</s:t>
        </s:is>
      </s:c>
      <s:c r="C575" s="0" t="n">
        <s:v>84716</s:v>
      </s:c>
      <s:c r="D575" s="0" t="n">
        <s:v>1864</s:v>
      </s:c>
      <s:c r="F575" s="24">
        <s:f>'자료구성'!$B$2+TIME(INT($C$3/10000),INT(MOD($C$3,10000)/100),MOD($C$3,100))+(ROW()-ROW($C$3))/86400</s:f>
        <s:v>46247.372777777775</s:v>
      </s:c>
    </s:row>
    <s:row r="576">
      <s:c r="A576" s="0" t="n">
        <s:v>260813</s:v>
      </s:c>
      <s:c r="B576" s="0" t="inlineStr">
        <s:is>
          <s:t>이종훈</s:t>
        </s:is>
      </s:c>
      <s:c r="C576" s="0" t="n">
        <s:v>84716</s:v>
      </s:c>
      <s:c r="D576" s="0" t="n">
        <s:v>1849</s:v>
      </s:c>
      <s:c r="F576" s="24">
        <s:f>'자료구성'!$B$2+TIME(INT($C$3/10000),INT(MOD($C$3,10000)/100),MOD($C$3,100))+(ROW()-ROW($C$3))/86400</s:f>
        <s:v>46247.37278935185</s:v>
      </s:c>
    </s:row>
    <s:row r="577">
      <s:c r="A577" s="0" t="n">
        <s:v>260813</s:v>
      </s:c>
      <s:c r="B577" s="0" t="inlineStr">
        <s:is>
          <s:t>이종훈</s:t>
        </s:is>
      </s:c>
      <s:c r="C577" s="0" t="n">
        <s:v>84716</s:v>
      </s:c>
      <s:c r="D577" s="0" t="n">
        <s:v>1850</s:v>
      </s:c>
      <s:c r="F577" s="24">
        <s:f>'자료구성'!$B$2+TIME(INT($C$3/10000),INT(MOD($C$3,10000)/100),MOD($C$3,100))+(ROW()-ROW($C$3))/86400</s:f>
        <s:v>46247.37280092593</s:v>
      </s:c>
    </s:row>
    <s:row r="578">
      <s:c r="A578" s="0" t="n">
        <s:v>260813</s:v>
      </s:c>
      <s:c r="B578" s="0" t="inlineStr">
        <s:is>
          <s:t>이종훈</s:t>
        </s:is>
      </s:c>
      <s:c r="C578" s="0" t="n">
        <s:v>84716</s:v>
      </s:c>
      <s:c r="D578" s="0" t="n">
        <s:v>1850</s:v>
      </s:c>
      <s:c r="F578" s="24">
        <s:f>'자료구성'!$B$2+TIME(INT($C$3/10000),INT(MOD($C$3,10000)/100),MOD($C$3,100))+(ROW()-ROW($C$3))/86400</s:f>
        <s:v>46247.3728125</s:v>
      </s:c>
    </s:row>
    <s:row r="579">
      <s:c r="A579" s="0" t="n">
        <s:v>260813</s:v>
      </s:c>
      <s:c r="B579" s="0" t="inlineStr">
        <s:is>
          <s:t>이종훈</s:t>
        </s:is>
      </s:c>
      <s:c r="C579" s="0" t="n">
        <s:v>84716</s:v>
      </s:c>
      <s:c r="D579" s="0" t="n">
        <s:v>1837</s:v>
      </s:c>
      <s:c r="F579" s="24">
        <s:f>'자료구성'!$B$2+TIME(INT($C$3/10000),INT(MOD($C$3,10000)/100),MOD($C$3,100))+(ROW()-ROW($C$3))/86400</s:f>
        <s:v>46247.372824074075</s:v>
      </s:c>
    </s:row>
    <s:row r="580">
      <s:c r="A580" s="0" t="n">
        <s:v>260813</s:v>
      </s:c>
      <s:c r="B580" s="0" t="inlineStr">
        <s:is>
          <s:t>이종훈</s:t>
        </s:is>
      </s:c>
      <s:c r="C580" s="0" t="n">
        <s:v>84716</s:v>
      </s:c>
      <s:c r="D580" s="0" t="n">
        <s:v>1827</s:v>
      </s:c>
      <s:c r="F580" s="24">
        <s:f>'자료구성'!$B$2+TIME(INT($C$3/10000),INT(MOD($C$3,10000)/100),MOD($C$3,100))+(ROW()-ROW($C$3))/86400</s:f>
        <s:v>46247.37283564815</s:v>
      </s:c>
    </s:row>
    <s:row r="581">
      <s:c r="A581" s="0" t="n">
        <s:v>260813</s:v>
      </s:c>
      <s:c r="B581" s="0" t="inlineStr">
        <s:is>
          <s:t>이종훈</s:t>
        </s:is>
      </s:c>
      <s:c r="C581" s="0" t="n">
        <s:v>84716</s:v>
      </s:c>
      <s:c r="D581" s="0" t="n">
        <s:v>1859</s:v>
      </s:c>
      <s:c r="F581" s="24">
        <s:f>'자료구성'!$B$2+TIME(INT($C$3/10000),INT(MOD($C$3,10000)/100),MOD($C$3,100))+(ROW()-ROW($C$3))/86400</s:f>
        <s:v>46247.37284722222</s:v>
      </s:c>
    </s:row>
    <s:row r="582">
      <s:c r="A582" s="0" t="n">
        <s:v>260813</s:v>
      </s:c>
      <s:c r="B582" s="0" t="inlineStr">
        <s:is>
          <s:t>이종훈</s:t>
        </s:is>
      </s:c>
      <s:c r="C582" s="0" t="n">
        <s:v>84716</s:v>
      </s:c>
      <s:c r="D582" s="0" t="n">
        <s:v>1854</s:v>
      </s:c>
      <s:c r="F582" s="24">
        <s:f>'자료구성'!$B$2+TIME(INT($C$3/10000),INT(MOD($C$3,10000)/100),MOD($C$3,100))+(ROW()-ROW($C$3))/86400</s:f>
        <s:v>46247.3728587963</s:v>
      </s:c>
    </s:row>
    <s:row r="583">
      <s:c r="A583" s="0" t="n">
        <s:v>260813</s:v>
      </s:c>
      <s:c r="B583" s="0" t="inlineStr">
        <s:is>
          <s:t>이종훈</s:t>
        </s:is>
      </s:c>
      <s:c r="C583" s="0" t="n">
        <s:v>84716</s:v>
      </s:c>
      <s:c r="D583" s="0" t="n">
        <s:v>1853</s:v>
      </s:c>
      <s:c r="F583" s="24">
        <s:f>'자료구성'!$B$2+TIME(INT($C$3/10000),INT(MOD($C$3,10000)/100),MOD($C$3,100))+(ROW()-ROW($C$3))/86400</s:f>
        <s:v>46247.37287037037</s:v>
      </s:c>
    </s:row>
    <s:row r="584">
      <s:c r="A584" s="0" t="n">
        <s:v>260813</s:v>
      </s:c>
      <s:c r="B584" s="0" t="inlineStr">
        <s:is>
          <s:t>이종훈</s:t>
        </s:is>
      </s:c>
      <s:c r="C584" s="0" t="n">
        <s:v>84716</s:v>
      </s:c>
      <s:c r="D584" s="0" t="n">
        <s:v>1860</s:v>
      </s:c>
      <s:c r="F584" s="24">
        <s:f>'자료구성'!$B$2+TIME(INT($C$3/10000),INT(MOD($C$3,10000)/100),MOD($C$3,100))+(ROW()-ROW($C$3))/86400</s:f>
        <s:v>46247.372881944444</s:v>
      </s:c>
    </s:row>
    <s:row r="585">
      <s:c r="A585" s="0" t="n">
        <s:v>260813</s:v>
      </s:c>
      <s:c r="B585" s="0" t="inlineStr">
        <s:is>
          <s:t>이종훈</s:t>
        </s:is>
      </s:c>
      <s:c r="C585" s="0" t="n">
        <s:v>84716</s:v>
      </s:c>
      <s:c r="D585" s="0" t="n">
        <s:v>1854</s:v>
      </s:c>
      <s:c r="F585" s="24">
        <s:f>'자료구성'!$B$2+TIME(INT($C$3/10000),INT(MOD($C$3,10000)/100),MOD($C$3,100))+(ROW()-ROW($C$3))/86400</s:f>
        <s:v>46247.37289351852</s:v>
      </s:c>
    </s:row>
    <s:row r="586">
      <s:c r="A586" s="0" t="n">
        <s:v>260813</s:v>
      </s:c>
      <s:c r="B586" s="0" t="inlineStr">
        <s:is>
          <s:t>이종훈</s:t>
        </s:is>
      </s:c>
      <s:c r="C586" s="0" t="n">
        <s:v>84716</s:v>
      </s:c>
      <s:c r="D586" s="0" t="n">
        <s:v>1851</s:v>
      </s:c>
      <s:c r="F586" s="24">
        <s:f>'자료구성'!$B$2+TIME(INT($C$3/10000),INT(MOD($C$3,10000)/100),MOD($C$3,100))+(ROW()-ROW($C$3))/86400</s:f>
        <s:v>46247.37290509259</s:v>
      </s:c>
    </s:row>
    <s:row r="587">
      <s:c r="A587" s="0" t="n">
        <s:v>260813</s:v>
      </s:c>
      <s:c r="B587" s="0" t="inlineStr">
        <s:is>
          <s:t>이종훈</s:t>
        </s:is>
      </s:c>
      <s:c r="C587" s="0" t="n">
        <s:v>84716</s:v>
      </s:c>
      <s:c r="D587" s="0" t="n">
        <s:v>1864</s:v>
      </s:c>
      <s:c r="F587" s="24">
        <s:f>'자료구성'!$B$2+TIME(INT($C$3/10000),INT(MOD($C$3,10000)/100),MOD($C$3,100))+(ROW()-ROW($C$3))/86400</s:f>
        <s:v>46247.37291666667</s:v>
      </s:c>
    </s:row>
    <s:row r="588">
      <s:c r="A588" s="0" t="n">
        <s:v>260813</s:v>
      </s:c>
      <s:c r="B588" s="0" t="inlineStr">
        <s:is>
          <s:t>이종훈</s:t>
        </s:is>
      </s:c>
      <s:c r="C588" s="0" t="n">
        <s:v>84716</s:v>
      </s:c>
      <s:c r="D588" s="0" t="n">
        <s:v>1879</s:v>
      </s:c>
      <s:c r="F588" s="24">
        <s:f>'자료구성'!$B$2+TIME(INT($C$3/10000),INT(MOD($C$3,10000)/100),MOD($C$3,100))+(ROW()-ROW($C$3))/86400</s:f>
        <s:v>46247.372928240744</s:v>
      </s:c>
    </s:row>
    <s:row r="589">
      <s:c r="A589" s="0" t="n">
        <s:v>260813</s:v>
      </s:c>
      <s:c r="B589" s="0" t="inlineStr">
        <s:is>
          <s:t>이종훈</s:t>
        </s:is>
      </s:c>
      <s:c r="C589" s="0" t="n">
        <s:v>84716</s:v>
      </s:c>
      <s:c r="D589" s="0" t="n">
        <s:v>1890</s:v>
      </s:c>
      <s:c r="F589" s="24">
        <s:f>'자료구성'!$B$2+TIME(INT($C$3/10000),INT(MOD($C$3,10000)/100),MOD($C$3,100))+(ROW()-ROW($C$3))/86400</s:f>
        <s:v>46247.37293981481</s:v>
      </s:c>
    </s:row>
    <s:row r="590">
      <s:c r="A590" s="0" t="n">
        <s:v>260813</s:v>
      </s:c>
      <s:c r="B590" s="0" t="inlineStr">
        <s:is>
          <s:t>이종훈</s:t>
        </s:is>
      </s:c>
      <s:c r="C590" s="0" t="n">
        <s:v>84716</s:v>
      </s:c>
      <s:c r="D590" s="0" t="n">
        <s:v>1886</s:v>
      </s:c>
      <s:c r="F590" s="24">
        <s:f>'자료구성'!$B$2+TIME(INT($C$3/10000),INT(MOD($C$3,10000)/100),MOD($C$3,100))+(ROW()-ROW($C$3))/86400</s:f>
        <s:v>46247.37295138889</s:v>
      </s:c>
    </s:row>
    <s:row r="591">
      <s:c r="A591" s="0" t="n">
        <s:v>260813</s:v>
      </s:c>
      <s:c r="B591" s="0" t="inlineStr">
        <s:is>
          <s:t>이종훈</s:t>
        </s:is>
      </s:c>
      <s:c r="C591" s="0" t="n">
        <s:v>84716</s:v>
      </s:c>
      <s:c r="D591" s="0" t="n">
        <s:v>1876</s:v>
      </s:c>
      <s:c r="F591" s="24">
        <s:f>'자료구성'!$B$2+TIME(INT($C$3/10000),INT(MOD($C$3,10000)/100),MOD($C$3,100))+(ROW()-ROW($C$3))/86400</s:f>
        <s:v>46247.37296296296</s:v>
      </s:c>
    </s:row>
    <s:row r="592">
      <s:c r="A592" s="0" t="n">
        <s:v>260813</s:v>
      </s:c>
      <s:c r="B592" s="0" t="inlineStr">
        <s:is>
          <s:t>이종훈</s:t>
        </s:is>
      </s:c>
      <s:c r="C592" s="0" t="n">
        <s:v>84716</s:v>
      </s:c>
      <s:c r="D592" s="0" t="n">
        <s:v>1858</s:v>
      </s:c>
      <s:c r="F592" s="24">
        <s:f>'자료구성'!$B$2+TIME(INT($C$3/10000),INT(MOD($C$3,10000)/100),MOD($C$3,100))+(ROW()-ROW($C$3))/86400</s:f>
        <s:v>46247.37297453704</s:v>
      </s:c>
    </s:row>
    <s:row r="593">
      <s:c r="A593" s="0" t="n">
        <s:v>260813</s:v>
      </s:c>
      <s:c r="B593" s="0" t="inlineStr">
        <s:is>
          <s:t>이종훈</s:t>
        </s:is>
      </s:c>
      <s:c r="C593" s="0" t="n">
        <s:v>84716</s:v>
      </s:c>
      <s:c r="D593" s="0" t="n">
        <s:v>1855</s:v>
      </s:c>
      <s:c r="F593" s="24">
        <s:f>'자료구성'!$B$2+TIME(INT($C$3/10000),INT(MOD($C$3,10000)/100),MOD($C$3,100))+(ROW()-ROW($C$3))/86400</s:f>
        <s:v>46247.37298611111</s:v>
      </s:c>
    </s:row>
    <s:row r="594">
      <s:c r="A594" s="0" t="n">
        <s:v>260813</s:v>
      </s:c>
      <s:c r="B594" s="0" t="inlineStr">
        <s:is>
          <s:t>이종훈</s:t>
        </s:is>
      </s:c>
      <s:c r="C594" s="0" t="n">
        <s:v>84716</s:v>
      </s:c>
      <s:c r="D594" s="0" t="n">
        <s:v>1838</s:v>
      </s:c>
      <s:c r="F594" s="24">
        <s:f>'자료구성'!$B$2+TIME(INT($C$3/10000),INT(MOD($C$3,10000)/100),MOD($C$3,100))+(ROW()-ROW($C$3))/86400</s:f>
        <s:v>46247.37299768518</s:v>
      </s:c>
    </s:row>
    <s:row r="595">
      <s:c r="A595" s="0" t="n">
        <s:v>260813</s:v>
      </s:c>
      <s:c r="B595" s="0" t="inlineStr">
        <s:is>
          <s:t>이종훈</s:t>
        </s:is>
      </s:c>
      <s:c r="C595" s="0" t="n">
        <s:v>84716</s:v>
      </s:c>
      <s:c r="D595" s="0" t="n">
        <s:v>1844</s:v>
      </s:c>
      <s:c r="F595" s="24">
        <s:f>'자료구성'!$B$2+TIME(INT($C$3/10000),INT(MOD($C$3,10000)/100),MOD($C$3,100))+(ROW()-ROW($C$3))/86400</s:f>
        <s:v>46247.37300925926</s:v>
      </s:c>
    </s:row>
    <s:row r="596">
      <s:c r="A596" s="0" t="n">
        <s:v>260813</s:v>
      </s:c>
      <s:c r="B596" s="0" t="inlineStr">
        <s:is>
          <s:t>이종훈</s:t>
        </s:is>
      </s:c>
      <s:c r="C596" s="0" t="n">
        <s:v>84716</s:v>
      </s:c>
      <s:c r="D596" s="0" t="n">
        <s:v>1855</s:v>
      </s:c>
      <s:c r="F596" s="24">
        <s:f>'자료구성'!$B$2+TIME(INT($C$3/10000),INT(MOD($C$3,10000)/100),MOD($C$3,100))+(ROW()-ROW($C$3))/86400</s:f>
        <s:v>46247.373020833336</s:v>
      </s:c>
    </s:row>
    <s:row r="597">
      <s:c r="A597" s="0" t="n">
        <s:v>260813</s:v>
      </s:c>
      <s:c r="B597" s="0" t="inlineStr">
        <s:is>
          <s:t>이종훈</s:t>
        </s:is>
      </s:c>
      <s:c r="C597" s="0" t="n">
        <s:v>84716</s:v>
      </s:c>
      <s:c r="D597" s="0" t="n">
        <s:v>1860</s:v>
      </s:c>
      <s:c r="F597" s="24">
        <s:f>'자료구성'!$B$2+TIME(INT($C$3/10000),INT(MOD($C$3,10000)/100),MOD($C$3,100))+(ROW()-ROW($C$3))/86400</s:f>
        <s:v>46247.373032407406</s:v>
      </s:c>
    </s:row>
    <s:row r="598">
      <s:c r="A598" s="0" t="n">
        <s:v>260813</s:v>
      </s:c>
      <s:c r="B598" s="0" t="inlineStr">
        <s:is>
          <s:t>이종훈</s:t>
        </s:is>
      </s:c>
      <s:c r="C598" s="0" t="n">
        <s:v>84716</s:v>
      </s:c>
      <s:c r="D598" s="0" t="n">
        <s:v>1872</s:v>
      </s:c>
      <s:c r="F598" s="24">
        <s:f>'자료구성'!$B$2+TIME(INT($C$3/10000),INT(MOD($C$3,10000)/100),MOD($C$3,100))+(ROW()-ROW($C$3))/86400</s:f>
        <s:v>46247.37304398148</s:v>
      </s:c>
    </s:row>
    <s:row r="599">
      <s:c r="A599" s="0" t="n">
        <s:v>260813</s:v>
      </s:c>
      <s:c r="B599" s="0" t="inlineStr">
        <s:is>
          <s:t>이종훈</s:t>
        </s:is>
      </s:c>
      <s:c r="C599" s="0" t="n">
        <s:v>84716</s:v>
      </s:c>
      <s:c r="D599" s="0" t="n">
        <s:v>1899</s:v>
      </s:c>
      <s:c r="F599" s="24">
        <s:f>'자료구성'!$B$2+TIME(INT($C$3/10000),INT(MOD($C$3,10000)/100),MOD($C$3,100))+(ROW()-ROW($C$3))/86400</s:f>
        <s:v>46247.37305555555</s:v>
      </s:c>
    </s:row>
    <s:row r="600">
      <s:c r="A600" s="0" t="n">
        <s:v>260813</s:v>
      </s:c>
      <s:c r="B600" s="0" t="inlineStr">
        <s:is>
          <s:t>이종훈</s:t>
        </s:is>
      </s:c>
      <s:c r="C600" s="0" t="n">
        <s:v>84716</s:v>
      </s:c>
      <s:c r="D600" s="0" t="n">
        <s:v>1902</s:v>
      </s:c>
      <s:c r="F600" s="24">
        <s:f>'자료구성'!$B$2+TIME(INT($C$3/10000),INT(MOD($C$3,10000)/100),MOD($C$3,100))+(ROW()-ROW($C$3))/86400</s:f>
        <s:v>46247.37306712963</s:v>
      </s:c>
    </s:row>
    <s:row r="601">
      <s:c r="A601" s="0" t="n">
        <s:v>260813</s:v>
      </s:c>
      <s:c r="B601" s="0" t="inlineStr">
        <s:is>
          <s:t>이종훈</s:t>
        </s:is>
      </s:c>
      <s:c r="C601" s="0" t="n">
        <s:v>84716</s:v>
      </s:c>
      <s:c r="D601" s="0" t="n">
        <s:v>1902</s:v>
      </s:c>
      <s:c r="F601" s="24">
        <s:f>'자료구성'!$B$2+TIME(INT($C$3/10000),INT(MOD($C$3,10000)/100),MOD($C$3,100))+(ROW()-ROW($C$3))/86400</s:f>
        <s:v>46247.373078703706</s:v>
      </s:c>
    </s:row>
    <s:row r="602">
      <s:c r="A602" s="0" t="n">
        <s:v>260813</s:v>
      </s:c>
      <s:c r="B602" s="0" t="inlineStr">
        <s:is>
          <s:t>이종훈</s:t>
        </s:is>
      </s:c>
      <s:c r="C602" s="0" t="n">
        <s:v>84716</s:v>
      </s:c>
      <s:c r="D602" s="0" t="n">
        <s:v>1910</s:v>
      </s:c>
      <s:c r="F602" s="24">
        <s:f>'자료구성'!$B$2+TIME(INT($C$3/10000),INT(MOD($C$3,10000)/100),MOD($C$3,100))+(ROW()-ROW($C$3))/86400</s:f>
        <s:v>46247.373090277775</s:v>
      </s:c>
    </s:row>
    <s:row r="603">
      <s:c r="A603" s="0" t="n">
        <s:v>260813</s:v>
      </s:c>
      <s:c r="B603" s="0" t="inlineStr">
        <s:is>
          <s:t>이종훈</s:t>
        </s:is>
      </s:c>
      <s:c r="C603" s="0" t="n">
        <s:v>84716</s:v>
      </s:c>
      <s:c r="D603" s="0" t="n">
        <s:v>1925</s:v>
      </s:c>
      <s:c r="F603" s="24">
        <s:f>'자료구성'!$B$2+TIME(INT($C$3/10000),INT(MOD($C$3,10000)/100),MOD($C$3,100))+(ROW()-ROW($C$3))/86400</s:f>
        <s:v>46247.37310185185</s:v>
      </s:c>
    </s:row>
    <s:row r="604">
      <s:c r="A604" s="0" t="n">
        <s:v>260813</s:v>
      </s:c>
      <s:c r="B604" s="0" t="inlineStr">
        <s:is>
          <s:t>이종훈</s:t>
        </s:is>
      </s:c>
      <s:c r="C604" s="0" t="n">
        <s:v>84716</s:v>
      </s:c>
      <s:c r="D604" s="0" t="n">
        <s:v>1937</s:v>
      </s:c>
      <s:c r="F604" s="24">
        <s:f>'자료구성'!$B$2+TIME(INT($C$3/10000),INT(MOD($C$3,10000)/100),MOD($C$3,100))+(ROW()-ROW($C$3))/86400</s:f>
        <s:v>46247.37311342593</s:v>
      </s:c>
    </s:row>
    <s:row r="605">
      <s:c r="A605" s="0" t="n">
        <s:v>260813</s:v>
      </s:c>
      <s:c r="B605" s="0" t="inlineStr">
        <s:is>
          <s:t>이종훈</s:t>
        </s:is>
      </s:c>
      <s:c r="C605" s="0" t="n">
        <s:v>84716</s:v>
      </s:c>
      <s:c r="D605" s="0" t="n">
        <s:v>1991</s:v>
      </s:c>
      <s:c r="F605" s="24">
        <s:f>'자료구성'!$B$2+TIME(INT($C$3/10000),INT(MOD($C$3,10000)/100),MOD($C$3,100))+(ROW()-ROW($C$3))/86400</s:f>
        <s:v>46247.373125</s:v>
      </s:c>
    </s:row>
    <s:row r="606">
      <s:c r="A606" s="0" t="n">
        <s:v>260813</s:v>
      </s:c>
      <s:c r="B606" s="0" t="inlineStr">
        <s:is>
          <s:t>이종훈</s:t>
        </s:is>
      </s:c>
      <s:c r="C606" s="0" t="n">
        <s:v>84716</s:v>
      </s:c>
      <s:c r="D606" s="0" t="n">
        <s:v>2011</s:v>
      </s:c>
      <s:c r="F606" s="24">
        <s:f>'자료구성'!$B$2+TIME(INT($C$3/10000),INT(MOD($C$3,10000)/100),MOD($C$3,100))+(ROW()-ROW($C$3))/86400</s:f>
        <s:v>46247.373136574075</s:v>
      </s:c>
    </s:row>
    <s:row r="607">
      <s:c r="A607" s="0" t="n">
        <s:v>260813</s:v>
      </s:c>
      <s:c r="B607" s="0" t="inlineStr">
        <s:is>
          <s:t>이종훈</s:t>
        </s:is>
      </s:c>
      <s:c r="C607" s="0" t="n">
        <s:v>84716</s:v>
      </s:c>
      <s:c r="D607" s="0" t="n">
        <s:v>2007</s:v>
      </s:c>
      <s:c r="F607" s="24">
        <s:f>'자료구성'!$B$2+TIME(INT($C$3/10000),INT(MOD($C$3,10000)/100),MOD($C$3,100))+(ROW()-ROW($C$3))/86400</s:f>
        <s:v>46247.373148148145</s:v>
      </s:c>
    </s:row>
    <s:row r="608">
      <s:c r="A608" s="0" t="n">
        <s:v>260813</s:v>
      </s:c>
      <s:c r="B608" s="0" t="inlineStr">
        <s:is>
          <s:t>이종훈</s:t>
        </s:is>
      </s:c>
      <s:c r="C608" s="0" t="n">
        <s:v>84716</s:v>
      </s:c>
      <s:c r="D608" s="0" t="n">
        <s:v>1990</s:v>
      </s:c>
      <s:c r="F608" s="24">
        <s:f>'자료구성'!$B$2+TIME(INT($C$3/10000),INT(MOD($C$3,10000)/100),MOD($C$3,100))+(ROW()-ROW($C$3))/86400</s:f>
        <s:v>46247.37315972222</s:v>
      </s:c>
    </s:row>
    <s:row r="609">
      <s:c r="A609" s="0" t="n">
        <s:v>260813</s:v>
      </s:c>
      <s:c r="B609" s="0" t="inlineStr">
        <s:is>
          <s:t>이종훈</s:t>
        </s:is>
      </s:c>
      <s:c r="C609" s="0" t="n">
        <s:v>84716</s:v>
      </s:c>
      <s:c r="D609" s="0" t="n">
        <s:v>1997</s:v>
      </s:c>
      <s:c r="F609" s="24">
        <s:f>'자료구성'!$B$2+TIME(INT($C$3/10000),INT(MOD($C$3,10000)/100),MOD($C$3,100))+(ROW()-ROW($C$3))/86400</s:f>
        <s:v>46247.3731712963</s:v>
      </s:c>
    </s:row>
    <s:row r="610">
      <s:c r="A610" s="0" t="n">
        <s:v>260813</s:v>
      </s:c>
      <s:c r="B610" s="0" t="inlineStr">
        <s:is>
          <s:t>이종훈</s:t>
        </s:is>
      </s:c>
      <s:c r="C610" s="0" t="n">
        <s:v>84716</s:v>
      </s:c>
      <s:c r="D610" s="0" t="n">
        <s:v>1984</s:v>
      </s:c>
      <s:c r="F610" s="24">
        <s:f>'자료구성'!$B$2+TIME(INT($C$3/10000),INT(MOD($C$3,10000)/100),MOD($C$3,100))+(ROW()-ROW($C$3))/86400</s:f>
        <s:v>46247.37318287037</s:v>
      </s:c>
    </s:row>
    <s:row r="611">
      <s:c r="A611" s="0" t="n">
        <s:v>260813</s:v>
      </s:c>
      <s:c r="B611" s="0" t="inlineStr">
        <s:is>
          <s:t>이종훈</s:t>
        </s:is>
      </s:c>
      <s:c r="C611" s="0" t="n">
        <s:v>84716</s:v>
      </s:c>
      <s:c r="D611" s="0" t="n">
        <s:v>1966</s:v>
      </s:c>
      <s:c r="F611" s="24">
        <s:f>'자료구성'!$B$2+TIME(INT($C$3/10000),INT(MOD($C$3,10000)/100),MOD($C$3,100))+(ROW()-ROW($C$3))/86400</s:f>
        <s:v>46247.373194444444</s:v>
      </s:c>
    </s:row>
    <s:row r="612">
      <s:c r="A612" s="0" t="n">
        <s:v>260813</s:v>
      </s:c>
      <s:c r="B612" s="0" t="inlineStr">
        <s:is>
          <s:t>이종훈</s:t>
        </s:is>
      </s:c>
      <s:c r="C612" s="0" t="n">
        <s:v>84716</s:v>
      </s:c>
      <s:c r="D612" s="0" t="n">
        <s:v>1952</s:v>
      </s:c>
      <s:c r="F612" s="24">
        <s:f>'자료구성'!$B$2+TIME(INT($C$3/10000),INT(MOD($C$3,10000)/100),MOD($C$3,100))+(ROW()-ROW($C$3))/86400</s:f>
        <s:v>46247.37320601852</s:v>
      </s:c>
    </s:row>
    <s:row r="613">
      <s:c r="A613" s="0" t="n">
        <s:v>260813</s:v>
      </s:c>
      <s:c r="B613" s="0" t="inlineStr">
        <s:is>
          <s:t>이종훈</s:t>
        </s:is>
      </s:c>
      <s:c r="C613" s="0" t="n">
        <s:v>84716</s:v>
      </s:c>
      <s:c r="D613" s="0" t="n">
        <s:v>1961</s:v>
      </s:c>
      <s:c r="F613" s="24">
        <s:f>'자료구성'!$B$2+TIME(INT($C$3/10000),INT(MOD($C$3,10000)/100),MOD($C$3,100))+(ROW()-ROW($C$3))/86400</s:f>
        <s:v>46247.37321759259</s:v>
      </s:c>
    </s:row>
    <s:row r="614">
      <s:c r="A614" s="0" t="n">
        <s:v>260813</s:v>
      </s:c>
      <s:c r="B614" s="0" t="inlineStr">
        <s:is>
          <s:t>이종훈</s:t>
        </s:is>
      </s:c>
      <s:c r="C614" s="0" t="n">
        <s:v>84716</s:v>
      </s:c>
      <s:c r="D614" s="0" t="n">
        <s:v>1968</s:v>
      </s:c>
      <s:c r="F614" s="24">
        <s:f>'자료구성'!$B$2+TIME(INT($C$3/10000),INT(MOD($C$3,10000)/100),MOD($C$3,100))+(ROW()-ROW($C$3))/86400</s:f>
        <s:v>46247.37322916667</s:v>
      </s:c>
    </s:row>
    <s:row r="615">
      <s:c r="A615" s="0" t="n">
        <s:v>260813</s:v>
      </s:c>
      <s:c r="B615" s="0" t="inlineStr">
        <s:is>
          <s:t>이종훈</s:t>
        </s:is>
      </s:c>
      <s:c r="C615" s="0" t="n">
        <s:v>84716</s:v>
      </s:c>
      <s:c r="D615" s="0" t="n">
        <s:v>2082</s:v>
      </s:c>
      <s:c r="F615" s="24">
        <s:f>'자료구성'!$B$2+TIME(INT($C$3/10000),INT(MOD($C$3,10000)/100),MOD($C$3,100))+(ROW()-ROW($C$3))/86400</s:f>
        <s:v>46247.373240740744</s:v>
      </s:c>
    </s:row>
    <s:row r="616">
      <s:c r="A616" s="0" t="n">
        <s:v>260813</s:v>
      </s:c>
      <s:c r="B616" s="0" t="inlineStr">
        <s:is>
          <s:t>이종훈</s:t>
        </s:is>
      </s:c>
      <s:c r="C616" s="0" t="n">
        <s:v>84716</s:v>
      </s:c>
      <s:c r="D616" s="0" t="n">
        <s:v>2138</s:v>
      </s:c>
      <s:c r="F616" s="24">
        <s:f>'자료구성'!$B$2+TIME(INT($C$3/10000),INT(MOD($C$3,10000)/100),MOD($C$3,100))+(ROW()-ROW($C$3))/86400</s:f>
        <s:v>46247.373252314814</s:v>
      </s:c>
    </s:row>
    <s:row r="617">
      <s:c r="A617" s="0" t="n">
        <s:v>260813</s:v>
      </s:c>
      <s:c r="B617" s="0" t="inlineStr">
        <s:is>
          <s:t>이종훈</s:t>
        </s:is>
      </s:c>
      <s:c r="C617" s="0" t="n">
        <s:v>84716</s:v>
      </s:c>
      <s:c r="D617" s="0" t="n">
        <s:v>2210</s:v>
      </s:c>
      <s:c r="F617" s="24">
        <s:f>'자료구성'!$B$2+TIME(INT($C$3/10000),INT(MOD($C$3,10000)/100),MOD($C$3,100))+(ROW()-ROW($C$3))/86400</s:f>
        <s:v>46247.37326388889</s:v>
      </s:c>
    </s:row>
    <s:row r="618">
      <s:c r="A618" s="0" t="n">
        <s:v>260813</s:v>
      </s:c>
      <s:c r="B618" s="0" t="inlineStr">
        <s:is>
          <s:t>이종훈</s:t>
        </s:is>
      </s:c>
      <s:c r="C618" s="0" t="n">
        <s:v>84716</s:v>
      </s:c>
      <s:c r="D618" s="0" t="n">
        <s:v>2345</s:v>
      </s:c>
      <s:c r="F618" s="24">
        <s:f>'자료구성'!$B$2+TIME(INT($C$3/10000),INT(MOD($C$3,10000)/100),MOD($C$3,100))+(ROW()-ROW($C$3))/86400</s:f>
        <s:v>46247.37327546296</s:v>
      </s:c>
    </s:row>
    <s:row r="619">
      <s:c r="A619" s="0" t="n">
        <s:v>260813</s:v>
      </s:c>
      <s:c r="B619" s="0" t="inlineStr">
        <s:is>
          <s:t>이종훈</s:t>
        </s:is>
      </s:c>
      <s:c r="C619" s="0" t="n">
        <s:v>84716</s:v>
      </s:c>
      <s:c r="D619" s="0" t="n">
        <s:v>2445</s:v>
      </s:c>
      <s:c r="F619" s="24">
        <s:f>'자료구성'!$B$2+TIME(INT($C$3/10000),INT(MOD($C$3,10000)/100),MOD($C$3,100))+(ROW()-ROW($C$3))/86400</s:f>
        <s:v>46247.37328703704</s:v>
      </s:c>
    </s:row>
    <s:row r="620">
      <s:c r="A620" s="0" t="n">
        <s:v>260813</s:v>
      </s:c>
      <s:c r="B620" s="0" t="inlineStr">
        <s:is>
          <s:t>이종훈</s:t>
        </s:is>
      </s:c>
      <s:c r="C620" s="0" t="n">
        <s:v>84716</s:v>
      </s:c>
      <s:c r="D620" s="0" t="n">
        <s:v>2563</s:v>
      </s:c>
      <s:c r="F620" s="24">
        <s:f>'자료구성'!$B$2+TIME(INT($C$3/10000),INT(MOD($C$3,10000)/100),MOD($C$3,100))+(ROW()-ROW($C$3))/86400</s:f>
        <s:v>46247.37329861111</s:v>
      </s:c>
    </s:row>
    <s:row r="621">
      <s:c r="A621" s="0" t="n">
        <s:v>260813</s:v>
      </s:c>
      <s:c r="B621" s="0" t="inlineStr">
        <s:is>
          <s:t>이종훈</s:t>
        </s:is>
      </s:c>
      <s:c r="C621" s="0" t="n">
        <s:v>84716</s:v>
      </s:c>
      <s:c r="D621" s="0" t="n">
        <s:v>2598</s:v>
      </s:c>
      <s:c r="F621" s="24">
        <s:f>'자료구성'!$B$2+TIME(INT($C$3/10000),INT(MOD($C$3,10000)/100),MOD($C$3,100))+(ROW()-ROW($C$3))/86400</s:f>
        <s:v>46247.37331018518</s:v>
      </s:c>
    </s:row>
    <s:row r="622">
      <s:c r="A622" s="0" t="n">
        <s:v>260813</s:v>
      </s:c>
      <s:c r="B622" s="0" t="inlineStr">
        <s:is>
          <s:t>이종훈</s:t>
        </s:is>
      </s:c>
      <s:c r="C622" s="0" t="n">
        <s:v>84716</s:v>
      </s:c>
      <s:c r="D622" s="0" t="n">
        <s:v>2627</s:v>
      </s:c>
      <s:c r="F622" s="24">
        <s:f>'자료구성'!$B$2+TIME(INT($C$3/10000),INT(MOD($C$3,10000)/100),MOD($C$3,100))+(ROW()-ROW($C$3))/86400</s:f>
        <s:v>46247.37332175926</s:v>
      </s:c>
    </s:row>
    <s:row r="623">
      <s:c r="A623" s="0" t="n">
        <s:v>260813</s:v>
      </s:c>
      <s:c r="B623" s="0" t="inlineStr">
        <s:is>
          <s:t>이종훈</s:t>
        </s:is>
      </s:c>
      <s:c r="C623" s="0" t="n">
        <s:v>84716</s:v>
      </s:c>
      <s:c r="D623" s="0" t="n">
        <s:v>2666</s:v>
      </s:c>
      <s:c r="F623" s="24">
        <s:f>'자료구성'!$B$2+TIME(INT($C$3/10000),INT(MOD($C$3,10000)/100),MOD($C$3,100))+(ROW()-ROW($C$3))/86400</s:f>
        <s:v>46247.37333333334</s:v>
      </s:c>
    </s:row>
    <s:row r="624">
      <s:c r="A624" s="0" t="n">
        <s:v>260813</s:v>
      </s:c>
      <s:c r="B624" s="0" t="inlineStr">
        <s:is>
          <s:t>이종훈</s:t>
        </s:is>
      </s:c>
      <s:c r="C624" s="0" t="n">
        <s:v>84716</s:v>
      </s:c>
      <s:c r="D624" s="0" t="n">
        <s:v>2707</s:v>
      </s:c>
      <s:c r="F624" s="24">
        <s:f>'자료구성'!$B$2+TIME(INT($C$3/10000),INT(MOD($C$3,10000)/100),MOD($C$3,100))+(ROW()-ROW($C$3))/86400</s:f>
        <s:v>46247.373344907406</s:v>
      </s:c>
    </s:row>
    <s:row r="625">
      <s:c r="A625" s="0" t="n">
        <s:v>260813</s:v>
      </s:c>
      <s:c r="B625" s="0" t="inlineStr">
        <s:is>
          <s:t>이종훈</s:t>
        </s:is>
      </s:c>
      <s:c r="C625" s="0" t="n">
        <s:v>84716</s:v>
      </s:c>
      <s:c r="D625" s="0" t="n">
        <s:v>2729</s:v>
      </s:c>
      <s:c r="F625" s="24">
        <s:f>'자료구성'!$B$2+TIME(INT($C$3/10000),INT(MOD($C$3,10000)/100),MOD($C$3,100))+(ROW()-ROW($C$3))/86400</s:f>
        <s:v>46247.37335648148</s:v>
      </s:c>
    </s:row>
    <s:row r="626">
      <s:c r="A626" s="0" t="n">
        <s:v>260813</s:v>
      </s:c>
      <s:c r="B626" s="0" t="inlineStr">
        <s:is>
          <s:t>이종훈</s:t>
        </s:is>
      </s:c>
      <s:c r="C626" s="0" t="n">
        <s:v>84716</s:v>
      </s:c>
      <s:c r="D626" s="0" t="n">
        <s:v>2713</s:v>
      </s:c>
      <s:c r="F626" s="24">
        <s:f>'자료구성'!$B$2+TIME(INT($C$3/10000),INT(MOD($C$3,10000)/100),MOD($C$3,100))+(ROW()-ROW($C$3))/86400</s:f>
        <s:v>46247.37336805555</s:v>
      </s:c>
    </s:row>
    <s:row r="627">
      <s:c r="A627" s="0" t="n">
        <s:v>260813</s:v>
      </s:c>
      <s:c r="B627" s="0" t="inlineStr">
        <s:is>
          <s:t>이종훈</s:t>
        </s:is>
      </s:c>
      <s:c r="C627" s="0" t="n">
        <s:v>84716</s:v>
      </s:c>
      <s:c r="D627" s="0" t="n">
        <s:v>2700</s:v>
      </s:c>
      <s:c r="F627" s="24">
        <s:f>'자료구성'!$B$2+TIME(INT($C$3/10000),INT(MOD($C$3,10000)/100),MOD($C$3,100))+(ROW()-ROW($C$3))/86400</s:f>
        <s:v>46247.37337962963</s:v>
      </s:c>
    </s:row>
    <s:row r="628">
      <s:c r="A628" s="0" t="n">
        <s:v>260813</s:v>
      </s:c>
      <s:c r="B628" s="0" t="inlineStr">
        <s:is>
          <s:t>이종훈</s:t>
        </s:is>
      </s:c>
      <s:c r="C628" s="0" t="n">
        <s:v>84716</s:v>
      </s:c>
      <s:c r="D628" s="0" t="n">
        <s:v>2681</s:v>
      </s:c>
      <s:c r="F628" s="24">
        <s:f>'자료구성'!$B$2+TIME(INT($C$3/10000),INT(MOD($C$3,10000)/100),MOD($C$3,100))+(ROW()-ROW($C$3))/86400</s:f>
        <s:v>46247.373391203706</s:v>
      </s:c>
    </s:row>
    <s:row r="629">
      <s:c r="A629" s="0" t="n">
        <s:v>260813</s:v>
      </s:c>
      <s:c r="B629" s="0" t="inlineStr">
        <s:is>
          <s:t>이종훈</s:t>
        </s:is>
      </s:c>
      <s:c r="C629" s="0" t="n">
        <s:v>84716</s:v>
      </s:c>
      <s:c r="D629" s="0" t="n">
        <s:v>2643</s:v>
      </s:c>
      <s:c r="F629" s="24">
        <s:f>'자료구성'!$B$2+TIME(INT($C$3/10000),INT(MOD($C$3,10000)/100),MOD($C$3,100))+(ROW()-ROW($C$3))/86400</s:f>
        <s:v>46247.373402777775</s:v>
      </s:c>
    </s:row>
    <s:row r="630">
      <s:c r="A630" s="0" t="n">
        <s:v>260813</s:v>
      </s:c>
      <s:c r="B630" s="0" t="inlineStr">
        <s:is>
          <s:t>이종훈</s:t>
        </s:is>
      </s:c>
      <s:c r="C630" s="0" t="n">
        <s:v>84716</s:v>
      </s:c>
      <s:c r="D630" s="0" t="n">
        <s:v>2613</s:v>
      </s:c>
      <s:c r="F630" s="24">
        <s:f>'자료구성'!$B$2+TIME(INT($C$3/10000),INT(MOD($C$3,10000)/100),MOD($C$3,100))+(ROW()-ROW($C$3))/86400</s:f>
        <s:v>46247.37341435185</s:v>
      </s:c>
    </s:row>
    <s:row r="631">
      <s:c r="A631" s="0" t="n">
        <s:v>260813</s:v>
      </s:c>
      <s:c r="B631" s="0" t="inlineStr">
        <s:is>
          <s:t>이종훈</s:t>
        </s:is>
      </s:c>
      <s:c r="C631" s="0" t="n">
        <s:v>84716</s:v>
      </s:c>
      <s:c r="D631" s="0" t="n">
        <s:v>2594</s:v>
      </s:c>
      <s:c r="F631" s="24">
        <s:f>'자료구성'!$B$2+TIME(INT($C$3/10000),INT(MOD($C$3,10000)/100),MOD($C$3,100))+(ROW()-ROW($C$3))/86400</s:f>
        <s:v>46247.37342592593</s:v>
      </s:c>
    </s:row>
    <s:row r="632">
      <s:c r="A632" s="0" t="n">
        <s:v>260813</s:v>
      </s:c>
      <s:c r="B632" s="0" t="inlineStr">
        <s:is>
          <s:t>이종훈</s:t>
        </s:is>
      </s:c>
      <s:c r="C632" s="0" t="n">
        <s:v>84716</s:v>
      </s:c>
      <s:c r="D632" s="0" t="n">
        <s:v>2566</s:v>
      </s:c>
      <s:c r="F632" s="24">
        <s:f>'자료구성'!$B$2+TIME(INT($C$3/10000),INT(MOD($C$3,10000)/100),MOD($C$3,100))+(ROW()-ROW($C$3))/86400</s:f>
        <s:v>46247.3734375</s:v>
      </s:c>
    </s:row>
    <s:row r="633">
      <s:c r="A633" s="0" t="n">
        <s:v>260813</s:v>
      </s:c>
      <s:c r="B633" s="0" t="inlineStr">
        <s:is>
          <s:t>이종훈</s:t>
        </s:is>
      </s:c>
      <s:c r="C633" s="0" t="n">
        <s:v>84716</s:v>
      </s:c>
      <s:c r="D633" s="0" t="n">
        <s:v>2545</s:v>
      </s:c>
      <s:c r="F633" s="24">
        <s:f>'자료구성'!$B$2+TIME(INT($C$3/10000),INT(MOD($C$3,10000)/100),MOD($C$3,100))+(ROW()-ROW($C$3))/86400</s:f>
        <s:v>46247.373449074075</s:v>
      </s:c>
    </s:row>
    <s:row r="634">
      <s:c r="A634" s="0" t="n">
        <s:v>260813</s:v>
      </s:c>
      <s:c r="B634" s="0" t="inlineStr">
        <s:is>
          <s:t>이종훈</s:t>
        </s:is>
      </s:c>
      <s:c r="C634" s="0" t="n">
        <s:v>84716</s:v>
      </s:c>
      <s:c r="D634" s="0" t="n">
        <s:v>2539</s:v>
      </s:c>
      <s:c r="F634" s="24">
        <s:f>'자료구성'!$B$2+TIME(INT($C$3/10000),INT(MOD($C$3,10000)/100),MOD($C$3,100))+(ROW()-ROW($C$3))/86400</s:f>
        <s:v>46247.373460648145</s:v>
      </s:c>
    </s:row>
    <s:row r="635">
      <s:c r="A635" s="0" t="n">
        <s:v>260813</s:v>
      </s:c>
      <s:c r="B635" s="0" t="inlineStr">
        <s:is>
          <s:t>이종훈</s:t>
        </s:is>
      </s:c>
      <s:c r="C635" s="0" t="n">
        <s:v>84716</s:v>
      </s:c>
      <s:c r="D635" s="0" t="n">
        <s:v>2531</s:v>
      </s:c>
      <s:c r="F635" s="24">
        <s:f>'자료구성'!$B$2+TIME(INT($C$3/10000),INT(MOD($C$3,10000)/100),MOD($C$3,100))+(ROW()-ROW($C$3))/86400</s:f>
        <s:v>46247.37347222222</s:v>
      </s:c>
    </s:row>
    <s:row r="636">
      <s:c r="A636" s="0" t="n">
        <s:v>260813</s:v>
      </s:c>
      <s:c r="B636" s="0" t="inlineStr">
        <s:is>
          <s:t>이종훈</s:t>
        </s:is>
      </s:c>
      <s:c r="C636" s="0" t="n">
        <s:v>84716</s:v>
      </s:c>
      <s:c r="D636" s="0" t="n">
        <s:v>2484</s:v>
      </s:c>
      <s:c r="F636" s="24">
        <s:f>'자료구성'!$B$2+TIME(INT($C$3/10000),INT(MOD($C$3,10000)/100),MOD($C$3,100))+(ROW()-ROW($C$3))/86400</s:f>
        <s:v>46247.3734837963</s:v>
      </s:c>
    </s:row>
    <s:row r="637">
      <s:c r="A637" s="0" t="n">
        <s:v>260813</s:v>
      </s:c>
      <s:c r="B637" s="0" t="inlineStr">
        <s:is>
          <s:t>이종훈</s:t>
        </s:is>
      </s:c>
      <s:c r="C637" s="0" t="n">
        <s:v>84716</s:v>
      </s:c>
      <s:c r="D637" s="0" t="n">
        <s:v>2437</s:v>
      </s:c>
      <s:c r="F637" s="24">
        <s:f>'자료구성'!$B$2+TIME(INT($C$3/10000),INT(MOD($C$3,10000)/100),MOD($C$3,100))+(ROW()-ROW($C$3))/86400</s:f>
        <s:v>46247.37349537037</s:v>
      </s:c>
    </s:row>
    <s:row r="638">
      <s:c r="A638" s="0" t="n">
        <s:v>260813</s:v>
      </s:c>
      <s:c r="B638" s="0" t="inlineStr">
        <s:is>
          <s:t>이종훈</s:t>
        </s:is>
      </s:c>
      <s:c r="C638" s="0" t="n">
        <s:v>84716</s:v>
      </s:c>
      <s:c r="D638" s="0" t="n">
        <s:v>2432</s:v>
      </s:c>
      <s:c r="F638" s="24">
        <s:f>'자료구성'!$B$2+TIME(INT($C$3/10000),INT(MOD($C$3,10000)/100),MOD($C$3,100))+(ROW()-ROW($C$3))/86400</s:f>
        <s:v>46247.373506944445</s:v>
      </s:c>
    </s:row>
    <s:row r="639">
      <s:c r="A639" s="0" t="n">
        <s:v>260813</s:v>
      </s:c>
      <s:c r="B639" s="0" t="inlineStr">
        <s:is>
          <s:t>이종훈</s:t>
        </s:is>
      </s:c>
      <s:c r="C639" s="0" t="n">
        <s:v>84716</s:v>
      </s:c>
      <s:c r="D639" s="0" t="n">
        <s:v>2425</s:v>
      </s:c>
      <s:c r="F639" s="24">
        <s:f>'자료구성'!$B$2+TIME(INT($C$3/10000),INT(MOD($C$3,10000)/100),MOD($C$3,100))+(ROW()-ROW($C$3))/86400</s:f>
        <s:v>46247.37351851852</s:v>
      </s:c>
    </s:row>
    <s:row r="640">
      <s:c r="A640" s="0" t="n">
        <s:v>260813</s:v>
      </s:c>
      <s:c r="B640" s="0" t="inlineStr">
        <s:is>
          <s:t>이종훈</s:t>
        </s:is>
      </s:c>
      <s:c r="C640" s="0" t="n">
        <s:v>84716</s:v>
      </s:c>
      <s:c r="D640" s="0" t="n">
        <s:v>2407</s:v>
      </s:c>
      <s:c r="F640" s="24">
        <s:f>'자료구성'!$B$2+TIME(INT($C$3/10000),INT(MOD($C$3,10000)/100),MOD($C$3,100))+(ROW()-ROW($C$3))/86400</s:f>
        <s:v>46247.37353009259</s:v>
      </s:c>
    </s:row>
    <s:row r="641">
      <s:c r="A641" s="0" t="n">
        <s:v>260813</s:v>
      </s:c>
      <s:c r="B641" s="0" t="inlineStr">
        <s:is>
          <s:t>이종훈</s:t>
        </s:is>
      </s:c>
      <s:c r="C641" s="0" t="n">
        <s:v>84716</s:v>
      </s:c>
      <s:c r="D641" s="0" t="n">
        <s:v>2365</s:v>
      </s:c>
      <s:c r="F641" s="24">
        <s:f>'자료구성'!$B$2+TIME(INT($C$3/10000),INT(MOD($C$3,10000)/100),MOD($C$3,100))+(ROW()-ROW($C$3))/86400</s:f>
        <s:v>46247.37354166667</s:v>
      </s:c>
    </s:row>
    <s:row r="642">
      <s:c r="A642" s="0" t="n">
        <s:v>260813</s:v>
      </s:c>
      <s:c r="B642" s="0" t="inlineStr">
        <s:is>
          <s:t>이종훈</s:t>
        </s:is>
      </s:c>
      <s:c r="C642" s="0" t="n">
        <s:v>84716</s:v>
      </s:c>
      <s:c r="D642" s="0" t="n">
        <s:v>2365</s:v>
      </s:c>
      <s:c r="F642" s="24">
        <s:f>'자료구성'!$B$2+TIME(INT($C$3/10000),INT(MOD($C$3,10000)/100),MOD($C$3,100))+(ROW()-ROW($C$3))/86400</s:f>
        <s:v>46247.37355324074</s:v>
      </s:c>
    </s:row>
    <s:row r="643">
      <s:c r="A643" s="0" t="n">
        <s:v>260813</s:v>
      </s:c>
      <s:c r="B643" s="0" t="inlineStr">
        <s:is>
          <s:t>이종훈</s:t>
        </s:is>
      </s:c>
      <s:c r="C643" s="0" t="n">
        <s:v>84716</s:v>
      </s:c>
      <s:c r="D643" s="0" t="n">
        <s:v>2355</s:v>
      </s:c>
      <s:c r="F643" s="24">
        <s:f>'자료구성'!$B$2+TIME(INT($C$3/10000),INT(MOD($C$3,10000)/100),MOD($C$3,100))+(ROW()-ROW($C$3))/86400</s:f>
        <s:v>46247.373564814814</s:v>
      </s:c>
    </s:row>
    <s:row r="644">
      <s:c r="A644" s="0" t="n">
        <s:v>260813</s:v>
      </s:c>
      <s:c r="B644" s="0" t="inlineStr">
        <s:is>
          <s:t>이종훈</s:t>
        </s:is>
      </s:c>
      <s:c r="C644" s="0" t="n">
        <s:v>84716</s:v>
      </s:c>
      <s:c r="D644" s="0" t="n">
        <s:v>2403</s:v>
      </s:c>
      <s:c r="F644" s="24">
        <s:f>'자료구성'!$B$2+TIME(INT($C$3/10000),INT(MOD($C$3,10000)/100),MOD($C$3,100))+(ROW()-ROW($C$3))/86400</s:f>
        <s:v>46247.37357638889</s:v>
      </s:c>
    </s:row>
    <s:row r="645">
      <s:c r="A645" s="0" t="n">
        <s:v>260813</s:v>
      </s:c>
      <s:c r="B645" s="0" t="inlineStr">
        <s:is>
          <s:t>이종훈</s:t>
        </s:is>
      </s:c>
      <s:c r="C645" s="0" t="n">
        <s:v>84716</s:v>
      </s:c>
      <s:c r="D645" s="0" t="n">
        <s:v>2480</s:v>
      </s:c>
      <s:c r="F645" s="24">
        <s:f>'자료구성'!$B$2+TIME(INT($C$3/10000),INT(MOD($C$3,10000)/100),MOD($C$3,100))+(ROW()-ROW($C$3))/86400</s:f>
        <s:v>46247.37358796296</s:v>
      </s:c>
    </s:row>
    <s:row r="646">
      <s:c r="A646" s="0" t="n">
        <s:v>260813</s:v>
      </s:c>
      <s:c r="B646" s="0" t="inlineStr">
        <s:is>
          <s:t>이종훈</s:t>
        </s:is>
      </s:c>
      <s:c r="C646" s="0" t="n">
        <s:v>84716</s:v>
      </s:c>
      <s:c r="D646" s="0" t="n">
        <s:v>2513</s:v>
      </s:c>
      <s:c r="F646" s="24">
        <s:f>'자료구성'!$B$2+TIME(INT($C$3/10000),INT(MOD($C$3,10000)/100),MOD($C$3,100))+(ROW()-ROW($C$3))/86400</s:f>
        <s:v>46247.37359953704</s:v>
      </s:c>
    </s:row>
    <s:row r="647">
      <s:c r="A647" s="0" t="n">
        <s:v>260813</s:v>
      </s:c>
      <s:c r="B647" s="0" t="inlineStr">
        <s:is>
          <s:t>이종훈</s:t>
        </s:is>
      </s:c>
      <s:c r="C647" s="0" t="n">
        <s:v>84716</s:v>
      </s:c>
      <s:c r="D647" s="0" t="n">
        <s:v>2604</s:v>
      </s:c>
      <s:c r="F647" s="24">
        <s:f>'자료구성'!$B$2+TIME(INT($C$3/10000),INT(MOD($C$3,10000)/100),MOD($C$3,100))+(ROW()-ROW($C$3))/86400</s:f>
        <s:v>46247.373611111114</s:v>
      </s:c>
    </s:row>
    <s:row r="648">
      <s:c r="A648" s="0" t="n">
        <s:v>260813</s:v>
      </s:c>
      <s:c r="B648" s="0" t="inlineStr">
        <s:is>
          <s:t>이종훈</s:t>
        </s:is>
      </s:c>
      <s:c r="C648" s="0" t="n">
        <s:v>84716</s:v>
      </s:c>
      <s:c r="D648" s="0" t="n">
        <s:v>2699</s:v>
      </s:c>
      <s:c r="F648" s="24">
        <s:f>'자료구성'!$B$2+TIME(INT($C$3/10000),INT(MOD($C$3,10000)/100),MOD($C$3,100))+(ROW()-ROW($C$3))/86400</s:f>
        <s:v>46247.37362268518</s:v>
      </s:c>
    </s:row>
    <s:row r="649">
      <s:c r="A649" s="0" t="n">
        <s:v>260813</s:v>
      </s:c>
      <s:c r="B649" s="0" t="inlineStr">
        <s:is>
          <s:t>이종훈</s:t>
        </s:is>
      </s:c>
      <s:c r="C649" s="0" t="n">
        <s:v>84716</s:v>
      </s:c>
      <s:c r="D649" s="0" t="n">
        <s:v>2831</s:v>
      </s:c>
      <s:c r="F649" s="24">
        <s:f>'자료구성'!$B$2+TIME(INT($C$3/10000),INT(MOD($C$3,10000)/100),MOD($C$3,100))+(ROW()-ROW($C$3))/86400</s:f>
        <s:v>46247.37363425926</s:v>
      </s:c>
    </s:row>
    <s:row r="650">
      <s:c r="A650" s="0" t="n">
        <s:v>260813</s:v>
      </s:c>
      <s:c r="B650" s="0" t="inlineStr">
        <s:is>
          <s:t>이종훈</s:t>
        </s:is>
      </s:c>
      <s:c r="C650" s="0" t="n">
        <s:v>84716</s:v>
      </s:c>
      <s:c r="D650" s="0" t="n">
        <s:v>2865</s:v>
      </s:c>
      <s:c r="F650" s="24">
        <s:f>'자료구성'!$B$2+TIME(INT($C$3/10000),INT(MOD($C$3,10000)/100),MOD($C$3,100))+(ROW()-ROW($C$3))/86400</s:f>
        <s:v>46247.37364583334</s:v>
      </s:c>
    </s:row>
    <s:row r="651">
      <s:c r="A651" s="0" t="n">
        <s:v>260813</s:v>
      </s:c>
      <s:c r="B651" s="0" t="inlineStr">
        <s:is>
          <s:t>이종훈</s:t>
        </s:is>
      </s:c>
      <s:c r="C651" s="0" t="n">
        <s:v>84716</s:v>
      </s:c>
      <s:c r="D651" s="0" t="n">
        <s:v>2894</s:v>
      </s:c>
      <s:c r="F651" s="24">
        <s:f>'자료구성'!$B$2+TIME(INT($C$3/10000),INT(MOD($C$3,10000)/100),MOD($C$3,100))+(ROW()-ROW($C$3))/86400</s:f>
        <s:v>46247.37365740741</s:v>
      </s:c>
    </s:row>
    <s:row r="652">
      <s:c r="A652" s="0" t="n">
        <s:v>260813</s:v>
      </s:c>
      <s:c r="B652" s="0" t="inlineStr">
        <s:is>
          <s:t>이종훈</s:t>
        </s:is>
      </s:c>
      <s:c r="C652" s="0" t="n">
        <s:v>84716</s:v>
      </s:c>
      <s:c r="D652" s="0" t="n">
        <s:v>2895</s:v>
      </s:c>
      <s:c r="F652" s="24">
        <s:f>'자료구성'!$B$2+TIME(INT($C$3/10000),INT(MOD($C$3,10000)/100),MOD($C$3,100))+(ROW()-ROW($C$3))/86400</s:f>
        <s:v>46247.37366898148</s:v>
      </s:c>
    </s:row>
    <s:row r="653">
      <s:c r="A653" s="0" t="n">
        <s:v>260813</s:v>
      </s:c>
      <s:c r="B653" s="0" t="inlineStr">
        <s:is>
          <s:t>이종훈</s:t>
        </s:is>
      </s:c>
      <s:c r="C653" s="0" t="n">
        <s:v>84716</s:v>
      </s:c>
      <s:c r="D653" s="0" t="n">
        <s:v>2867</s:v>
      </s:c>
      <s:c r="F653" s="24">
        <s:f>'자료구성'!$B$2+TIME(INT($C$3/10000),INT(MOD($C$3,10000)/100),MOD($C$3,100))+(ROW()-ROW($C$3))/86400</s:f>
        <s:v>46247.37368055555</s:v>
      </s:c>
    </s:row>
    <s:row r="654">
      <s:c r="A654" s="0" t="n">
        <s:v>260813</s:v>
      </s:c>
      <s:c r="B654" s="0" t="inlineStr">
        <s:is>
          <s:t>이종훈</s:t>
        </s:is>
      </s:c>
      <s:c r="C654" s="0" t="n">
        <s:v>84716</s:v>
      </s:c>
      <s:c r="D654" s="0" t="n">
        <s:v>2812</s:v>
      </s:c>
      <s:c r="F654" s="24">
        <s:f>'자료구성'!$B$2+TIME(INT($C$3/10000),INT(MOD($C$3,10000)/100),MOD($C$3,100))+(ROW()-ROW($C$3))/86400</s:f>
        <s:v>46247.37369212963</s:v>
      </s:c>
    </s:row>
    <s:row r="655">
      <s:c r="A655" s="0" t="n">
        <s:v>260813</s:v>
      </s:c>
      <s:c r="B655" s="0" t="inlineStr">
        <s:is>
          <s:t>이종훈</s:t>
        </s:is>
      </s:c>
      <s:c r="C655" s="0" t="n">
        <s:v>84716</s:v>
      </s:c>
      <s:c r="D655" s="0" t="n">
        <s:v>2840</s:v>
      </s:c>
      <s:c r="F655" s="24">
        <s:f>'자료구성'!$B$2+TIME(INT($C$3/10000),INT(MOD($C$3,10000)/100),MOD($C$3,100))+(ROW()-ROW($C$3))/86400</s:f>
        <s:v>46247.373703703706</s:v>
      </s:c>
    </s:row>
    <s:row r="656">
      <s:c r="A656" s="0" t="n">
        <s:v>260813</s:v>
      </s:c>
      <s:c r="B656" s="0" t="inlineStr">
        <s:is>
          <s:t>이종훈</s:t>
        </s:is>
      </s:c>
      <s:c r="C656" s="0" t="n">
        <s:v>84716</s:v>
      </s:c>
      <s:c r="D656" s="0" t="n">
        <s:v>2864</s:v>
      </s:c>
      <s:c r="F656" s="24">
        <s:f>'자료구성'!$B$2+TIME(INT($C$3/10000),INT(MOD($C$3,10000)/100),MOD($C$3,100))+(ROW()-ROW($C$3))/86400</s:f>
        <s:v>46247.373715277776</s:v>
      </s:c>
    </s:row>
    <s:row r="657">
      <s:c r="A657" s="0" t="n">
        <s:v>260813</s:v>
      </s:c>
      <s:c r="B657" s="0" t="inlineStr">
        <s:is>
          <s:t>이종훈</s:t>
        </s:is>
      </s:c>
      <s:c r="C657" s="0" t="n">
        <s:v>84716</s:v>
      </s:c>
      <s:c r="D657" s="0" t="n">
        <s:v>2829</s:v>
      </s:c>
      <s:c r="F657" s="24">
        <s:f>'자료구성'!$B$2+TIME(INT($C$3/10000),INT(MOD($C$3,10000)/100),MOD($C$3,100))+(ROW()-ROW($C$3))/86400</s:f>
        <s:v>46247.37372685185</s:v>
      </s:c>
    </s:row>
    <s:row r="658">
      <s:c r="A658" s="0" t="n">
        <s:v>260813</s:v>
      </s:c>
      <s:c r="B658" s="0" t="inlineStr">
        <s:is>
          <s:t>이종훈</s:t>
        </s:is>
      </s:c>
      <s:c r="C658" s="0" t="n">
        <s:v>84716</s:v>
      </s:c>
      <s:c r="D658" s="0" t="n">
        <s:v>2844</s:v>
      </s:c>
      <s:c r="F658" s="24">
        <s:f>'자료구성'!$B$2+TIME(INT($C$3/10000),INT(MOD($C$3,10000)/100),MOD($C$3,100))+(ROW()-ROW($C$3))/86400</s:f>
        <s:v>46247.37373842593</s:v>
      </s:c>
    </s:row>
    <s:row r="659">
      <s:c r="A659" s="0" t="n">
        <s:v>260813</s:v>
      </s:c>
      <s:c r="B659" s="0" t="inlineStr">
        <s:is>
          <s:t>이종훈</s:t>
        </s:is>
      </s:c>
      <s:c r="C659" s="0" t="n">
        <s:v>84716</s:v>
      </s:c>
      <s:c r="D659" s="0" t="n">
        <s:v>2816</s:v>
      </s:c>
      <s:c r="F659" s="24">
        <s:f>'자료구성'!$B$2+TIME(INT($C$3/10000),INT(MOD($C$3,10000)/100),MOD($C$3,100))+(ROW()-ROW($C$3))/86400</s:f>
        <s:v>46247.37375</s:v>
      </s:c>
    </s:row>
    <s:row r="660">
      <s:c r="A660" s="0" t="n">
        <s:v>260813</s:v>
      </s:c>
      <s:c r="B660" s="0" t="inlineStr">
        <s:is>
          <s:t>이종훈</s:t>
        </s:is>
      </s:c>
      <s:c r="C660" s="0" t="n">
        <s:v>84716</s:v>
      </s:c>
      <s:c r="D660" s="0" t="n">
        <s:v>2753</s:v>
      </s:c>
      <s:c r="F660" s="24">
        <s:f>'자료구성'!$B$2+TIME(INT($C$3/10000),INT(MOD($C$3,10000)/100),MOD($C$3,100))+(ROW()-ROW($C$3))/86400</s:f>
        <s:v>46247.373761574076</s:v>
      </s:c>
    </s:row>
    <s:row r="661">
      <s:c r="A661" s="0" t="n">
        <s:v>260813</s:v>
      </s:c>
      <s:c r="B661" s="0" t="inlineStr">
        <s:is>
          <s:t>이종훈</s:t>
        </s:is>
      </s:c>
      <s:c r="C661" s="0" t="n">
        <s:v>84716</s:v>
      </s:c>
      <s:c r="D661" s="0" t="n">
        <s:v>2679</s:v>
      </s:c>
      <s:c r="F661" s="24">
        <s:f>'자료구성'!$B$2+TIME(INT($C$3/10000),INT(MOD($C$3,10000)/100),MOD($C$3,100))+(ROW()-ROW($C$3))/86400</s:f>
        <s:v>46247.373773148145</s:v>
      </s:c>
    </s:row>
    <s:row r="662">
      <s:c r="A662" s="0" t="n">
        <s:v>260813</s:v>
      </s:c>
      <s:c r="B662" s="0" t="inlineStr">
        <s:is>
          <s:t>이종훈</s:t>
        </s:is>
      </s:c>
      <s:c r="C662" s="0" t="n">
        <s:v>84716</s:v>
      </s:c>
      <s:c r="D662" s="0" t="n">
        <s:v>2640</s:v>
      </s:c>
      <s:c r="F662" s="24">
        <s:f>'자료구성'!$B$2+TIME(INT($C$3/10000),INT(MOD($C$3,10000)/100),MOD($C$3,100))+(ROW()-ROW($C$3))/86400</s:f>
        <s:v>46247.37378472222</s:v>
      </s:c>
    </s:row>
    <s:row r="663">
      <s:c r="A663" s="0" t="n">
        <s:v>260813</s:v>
      </s:c>
      <s:c r="B663" s="0" t="inlineStr">
        <s:is>
          <s:t>이종훈</s:t>
        </s:is>
      </s:c>
      <s:c r="C663" s="0" t="n">
        <s:v>84716</s:v>
      </s:c>
      <s:c r="D663" s="0" t="n">
        <s:v>2628</s:v>
      </s:c>
      <s:c r="F663" s="24">
        <s:f>'자료구성'!$B$2+TIME(INT($C$3/10000),INT(MOD($C$3,10000)/100),MOD($C$3,100))+(ROW()-ROW($C$3))/86400</s:f>
        <s:v>46247.3737962963</s:v>
      </s:c>
    </s:row>
    <s:row r="664">
      <s:c r="A664" s="0" t="n">
        <s:v>260813</s:v>
      </s:c>
      <s:c r="B664" s="0" t="inlineStr">
        <s:is>
          <s:t>이종훈</s:t>
        </s:is>
      </s:c>
      <s:c r="C664" s="0" t="n">
        <s:v>84716</s:v>
      </s:c>
      <s:c r="D664" s="0" t="n">
        <s:v>2588</s:v>
      </s:c>
      <s:c r="F664" s="24">
        <s:f>'자료구성'!$B$2+TIME(INT($C$3/10000),INT(MOD($C$3,10000)/100),MOD($C$3,100))+(ROW()-ROW($C$3))/86400</s:f>
        <s:v>46247.37380787037</s:v>
      </s:c>
    </s:row>
    <s:row r="665">
      <s:c r="A665" s="0" t="n">
        <s:v>260813</s:v>
      </s:c>
      <s:c r="B665" s="0" t="inlineStr">
        <s:is>
          <s:t>이종훈</s:t>
        </s:is>
      </s:c>
      <s:c r="C665" s="0" t="n">
        <s:v>84716</s:v>
      </s:c>
      <s:c r="D665" s="0" t="n">
        <s:v>2548</s:v>
      </s:c>
      <s:c r="F665" s="24">
        <s:f>'자료구성'!$B$2+TIME(INT($C$3/10000),INT(MOD($C$3,10000)/100),MOD($C$3,100))+(ROW()-ROW($C$3))/86400</s:f>
        <s:v>46247.373819444445</s:v>
      </s:c>
    </s:row>
    <s:row r="666">
      <s:c r="A666" s="0" t="n">
        <s:v>260813</s:v>
      </s:c>
      <s:c r="B666" s="0" t="inlineStr">
        <s:is>
          <s:t>이종훈</s:t>
        </s:is>
      </s:c>
      <s:c r="C666" s="0" t="n">
        <s:v>84716</s:v>
      </s:c>
      <s:c r="D666" s="0" t="n">
        <s:v>2452</s:v>
      </s:c>
      <s:c r="F666" s="24">
        <s:f>'자료구성'!$B$2+TIME(INT($C$3/10000),INT(MOD($C$3,10000)/100),MOD($C$3,100))+(ROW()-ROW($C$3))/86400</s:f>
        <s:v>46247.37383101852</s:v>
      </s:c>
    </s:row>
    <s:row r="667">
      <s:c r="A667" s="0" t="n">
        <s:v>260813</s:v>
      </s:c>
      <s:c r="B667" s="0" t="inlineStr">
        <s:is>
          <s:t>이종훈</s:t>
        </s:is>
      </s:c>
      <s:c r="C667" s="0" t="n">
        <s:v>84716</s:v>
      </s:c>
      <s:c r="D667" s="0" t="n">
        <s:v>2380</s:v>
      </s:c>
      <s:c r="F667" s="24">
        <s:f>'자료구성'!$B$2+TIME(INT($C$3/10000),INT(MOD($C$3,10000)/100),MOD($C$3,100))+(ROW()-ROW($C$3))/86400</s:f>
        <s:v>46247.37384259259</s:v>
      </s:c>
    </s:row>
    <s:row r="668">
      <s:c r="A668" s="0" t="n">
        <s:v>260813</s:v>
      </s:c>
      <s:c r="B668" s="0" t="inlineStr">
        <s:is>
          <s:t>이종훈</s:t>
        </s:is>
      </s:c>
      <s:c r="C668" s="0" t="n">
        <s:v>84716</s:v>
      </s:c>
      <s:c r="D668" s="0" t="n">
        <s:v>2343</s:v>
      </s:c>
      <s:c r="F668" s="24">
        <s:f>'자료구성'!$B$2+TIME(INT($C$3/10000),INT(MOD($C$3,10000)/100),MOD($C$3,100))+(ROW()-ROW($C$3))/86400</s:f>
        <s:v>46247.37385416667</s:v>
      </s:c>
    </s:row>
    <s:row r="669">
      <s:c r="A669" s="0" t="n">
        <s:v>260813</s:v>
      </s:c>
      <s:c r="B669" s="0" t="inlineStr">
        <s:is>
          <s:t>이종훈</s:t>
        </s:is>
      </s:c>
      <s:c r="C669" s="0" t="n">
        <s:v>84716</s:v>
      </s:c>
      <s:c r="D669" s="0" t="n">
        <s:v>2315</s:v>
      </s:c>
      <s:c r="F669" s="24">
        <s:f>'자료구성'!$B$2+TIME(INT($C$3/10000),INT(MOD($C$3,10000)/100),MOD($C$3,100))+(ROW()-ROW($C$3))/86400</s:f>
        <s:v>46247.37386574074</s:v>
      </s:c>
    </s:row>
    <s:row r="670">
      <s:c r="A670" s="0" t="n">
        <s:v>260813</s:v>
      </s:c>
      <s:c r="B670" s="0" t="inlineStr">
        <s:is>
          <s:t>이종훈</s:t>
        </s:is>
      </s:c>
      <s:c r="C670" s="0" t="n">
        <s:v>84716</s:v>
      </s:c>
      <s:c r="D670" s="0" t="n">
        <s:v>2306</s:v>
      </s:c>
      <s:c r="F670" s="24">
        <s:f>'자료구성'!$B$2+TIME(INT($C$3/10000),INT(MOD($C$3,10000)/100),MOD($C$3,100))+(ROW()-ROW($C$3))/86400</s:f>
        <s:v>46247.373877314814</s:v>
      </s:c>
    </s:row>
    <s:row r="671">
      <s:c r="A671" s="0" t="n">
        <s:v>260813</s:v>
      </s:c>
      <s:c r="B671" s="0" t="inlineStr">
        <s:is>
          <s:t>이종훈</s:t>
        </s:is>
      </s:c>
      <s:c r="C671" s="0" t="n">
        <s:v>84716</s:v>
      </s:c>
      <s:c r="D671" s="0" t="n">
        <s:v>2300</s:v>
      </s:c>
      <s:c r="F671" s="24">
        <s:f>'자료구성'!$B$2+TIME(INT($C$3/10000),INT(MOD($C$3,10000)/100),MOD($C$3,100))+(ROW()-ROW($C$3))/86400</s:f>
        <s:v>46247.37388888889</s:v>
      </s:c>
    </s:row>
    <s:row r="672">
      <s:c r="A672" s="0" t="n">
        <s:v>260813</s:v>
      </s:c>
      <s:c r="B672" s="0" t="inlineStr">
        <s:is>
          <s:t>이종훈</s:t>
        </s:is>
      </s:c>
      <s:c r="C672" s="0" t="n">
        <s:v>84716</s:v>
      </s:c>
      <s:c r="D672" s="0" t="n">
        <s:v>2269</s:v>
      </s:c>
      <s:c r="F672" s="24">
        <s:f>'자료구성'!$B$2+TIME(INT($C$3/10000),INT(MOD($C$3,10000)/100),MOD($C$3,100))+(ROW()-ROW($C$3))/86400</s:f>
        <s:v>46247.37390046296</s:v>
      </s:c>
    </s:row>
    <s:row r="673">
      <s:c r="A673" s="0" t="n">
        <s:v>260813</s:v>
      </s:c>
      <s:c r="B673" s="0" t="inlineStr">
        <s:is>
          <s:t>이종훈</s:t>
        </s:is>
      </s:c>
      <s:c r="C673" s="0" t="n">
        <s:v>84716</s:v>
      </s:c>
      <s:c r="D673" s="0" t="n">
        <s:v>2275</s:v>
      </s:c>
      <s:c r="F673" s="24">
        <s:f>'자료구성'!$B$2+TIME(INT($C$3/10000),INT(MOD($C$3,10000)/100),MOD($C$3,100))+(ROW()-ROW($C$3))/86400</s:f>
        <s:v>46247.37391203704</s:v>
      </s:c>
    </s:row>
    <s:row r="674">
      <s:c r="A674" s="0" t="n">
        <s:v>260813</s:v>
      </s:c>
      <s:c r="B674" s="0" t="inlineStr">
        <s:is>
          <s:t>이종훈</s:t>
        </s:is>
      </s:c>
      <s:c r="C674" s="0" t="n">
        <s:v>84716</s:v>
      </s:c>
      <s:c r="D674" s="0" t="n">
        <s:v>2356</s:v>
      </s:c>
      <s:c r="F674" s="24">
        <s:f>'자료구성'!$B$2+TIME(INT($C$3/10000),INT(MOD($C$3,10000)/100),MOD($C$3,100))+(ROW()-ROW($C$3))/86400</s:f>
        <s:v>46247.373923611114</s:v>
      </s:c>
    </s:row>
    <s:row r="675">
      <s:c r="A675" s="0" t="n">
        <s:v>260813</s:v>
      </s:c>
      <s:c r="B675" s="0" t="inlineStr">
        <s:is>
          <s:t>이종훈</s:t>
        </s:is>
      </s:c>
      <s:c r="C675" s="0" t="n">
        <s:v>84716</s:v>
      </s:c>
      <s:c r="D675" s="0" t="n">
        <s:v>2473</s:v>
      </s:c>
      <s:c r="F675" s="24">
        <s:f>'자료구성'!$B$2+TIME(INT($C$3/10000),INT(MOD($C$3,10000)/100),MOD($C$3,100))+(ROW()-ROW($C$3))/86400</s:f>
        <s:v>46247.373935185184</s:v>
      </s:c>
    </s:row>
    <s:row r="676">
      <s:c r="A676" s="0" t="n">
        <s:v>260813</s:v>
      </s:c>
      <s:c r="B676" s="0" t="inlineStr">
        <s:is>
          <s:t>이종훈</s:t>
        </s:is>
      </s:c>
      <s:c r="C676" s="0" t="n">
        <s:v>84716</s:v>
      </s:c>
      <s:c r="D676" s="0" t="n">
        <s:v>2537</s:v>
      </s:c>
      <s:c r="F676" s="24">
        <s:f>'자료구성'!$B$2+TIME(INT($C$3/10000),INT(MOD($C$3,10000)/100),MOD($C$3,100))+(ROW()-ROW($C$3))/86400</s:f>
        <s:v>46247.37394675926</s:v>
      </s:c>
    </s:row>
    <s:row r="677">
      <s:c r="A677" s="0" t="n">
        <s:v>260813</s:v>
      </s:c>
      <s:c r="B677" s="0" t="inlineStr">
        <s:is>
          <s:t>이종훈</s:t>
        </s:is>
      </s:c>
      <s:c r="C677" s="0" t="n">
        <s:v>84716</s:v>
      </s:c>
      <s:c r="D677" s="0" t="n">
        <s:v>2551</s:v>
      </s:c>
      <s:c r="F677" s="24">
        <s:f>'자료구성'!$B$2+TIME(INT($C$3/10000),INT(MOD($C$3,10000)/100),MOD($C$3,100))+(ROW()-ROW($C$3))/86400</s:f>
        <s:v>46247.37395833333</s:v>
      </s:c>
    </s:row>
    <s:row r="678">
      <s:c r="A678" s="0" t="n">
        <s:v>260813</s:v>
      </s:c>
      <s:c r="B678" s="0" t="inlineStr">
        <s:is>
          <s:t>이종훈</s:t>
        </s:is>
      </s:c>
      <s:c r="C678" s="0" t="n">
        <s:v>84716</s:v>
      </s:c>
      <s:c r="D678" s="0" t="n">
        <s:v>2572</s:v>
      </s:c>
      <s:c r="F678" s="24">
        <s:f>'자료구성'!$B$2+TIME(INT($C$3/10000),INT(MOD($C$3,10000)/100),MOD($C$3,100))+(ROW()-ROW($C$3))/86400</s:f>
        <s:v>46247.37396990741</s:v>
      </s:c>
    </s:row>
    <s:row r="679">
      <s:c r="A679" s="0" t="n">
        <s:v>260813</s:v>
      </s:c>
      <s:c r="B679" s="0" t="inlineStr">
        <s:is>
          <s:t>이종훈</s:t>
        </s:is>
      </s:c>
      <s:c r="C679" s="0" t="n">
        <s:v>84716</s:v>
      </s:c>
      <s:c r="D679" s="0" t="n">
        <s:v>2603</s:v>
      </s:c>
      <s:c r="F679" s="24">
        <s:f>'자료구성'!$B$2+TIME(INT($C$3/10000),INT(MOD($C$3,10000)/100),MOD($C$3,100))+(ROW()-ROW($C$3))/86400</s:f>
        <s:v>46247.37398148148</s:v>
      </s:c>
    </s:row>
    <s:row r="680">
      <s:c r="A680" s="0" t="n">
        <s:v>260813</s:v>
      </s:c>
      <s:c r="B680" s="0" t="inlineStr">
        <s:is>
          <s:t>이종훈</s:t>
        </s:is>
      </s:c>
      <s:c r="C680" s="0" t="n">
        <s:v>84716</s:v>
      </s:c>
      <s:c r="D680" s="0" t="n">
        <s:v>2615</s:v>
      </s:c>
      <s:c r="F680" s="24">
        <s:f>'자료구성'!$B$2+TIME(INT($C$3/10000),INT(MOD($C$3,10000)/100),MOD($C$3,100))+(ROW()-ROW($C$3))/86400</s:f>
        <s:v>46247.37399305555</s:v>
      </s:c>
    </s:row>
    <s:row r="681">
      <s:c r="A681" s="0" t="n">
        <s:v>260813</s:v>
      </s:c>
      <s:c r="B681" s="0" t="inlineStr">
        <s:is>
          <s:t>이종훈</s:t>
        </s:is>
      </s:c>
      <s:c r="C681" s="0" t="n">
        <s:v>84716</s:v>
      </s:c>
      <s:c r="D681" s="0" t="n">
        <s:v>2662</s:v>
      </s:c>
      <s:c r="F681" s="24">
        <s:f>'자료구성'!$B$2+TIME(INT($C$3/10000),INT(MOD($C$3,10000)/100),MOD($C$3,100))+(ROW()-ROW($C$3))/86400</s:f>
        <s:v>46247.37400462963</s:v>
      </s:c>
    </s:row>
    <s:row r="682">
      <s:c r="A682" s="0" t="n">
        <s:v>260813</s:v>
      </s:c>
      <s:c r="B682" s="0" t="inlineStr">
        <s:is>
          <s:t>이종훈</s:t>
        </s:is>
      </s:c>
      <s:c r="C682" s="0" t="n">
        <s:v>84716</s:v>
      </s:c>
      <s:c r="D682" s="0" t="n">
        <s:v>2682</s:v>
      </s:c>
      <s:c r="F682" s="24">
        <s:f>'자료구성'!$B$2+TIME(INT($C$3/10000),INT(MOD($C$3,10000)/100),MOD($C$3,100))+(ROW()-ROW($C$3))/86400</s:f>
        <s:v>46247.37401620371</s:v>
      </s:c>
    </s:row>
    <s:row r="683">
      <s:c r="A683" s="0" t="n">
        <s:v>260813</s:v>
      </s:c>
      <s:c r="B683" s="0" t="inlineStr">
        <s:is>
          <s:t>이종훈</s:t>
        </s:is>
      </s:c>
      <s:c r="C683" s="0" t="n">
        <s:v>84716</s:v>
      </s:c>
      <s:c r="D683" s="0" t="n">
        <s:v>2653</s:v>
      </s:c>
      <s:c r="F683" s="24">
        <s:f>'자료구성'!$B$2+TIME(INT($C$3/10000),INT(MOD($C$3,10000)/100),MOD($C$3,100))+(ROW()-ROW($C$3))/86400</s:f>
        <s:v>46247.374027777776</s:v>
      </s:c>
    </s:row>
    <s:row r="684">
      <s:c r="A684" s="0" t="n">
        <s:v>260813</s:v>
      </s:c>
      <s:c r="B684" s="0" t="inlineStr">
        <s:is>
          <s:t>이종훈</s:t>
        </s:is>
      </s:c>
      <s:c r="C684" s="0" t="n">
        <s:v>84716</s:v>
      </s:c>
      <s:c r="D684" s="0" t="n">
        <s:v>2622</s:v>
      </s:c>
      <s:c r="F684" s="24">
        <s:f>'자료구성'!$B$2+TIME(INT($C$3/10000),INT(MOD($C$3,10000)/100),MOD($C$3,100))+(ROW()-ROW($C$3))/86400</s:f>
        <s:v>46247.37403935185</s:v>
      </s:c>
    </s:row>
    <s:row r="685">
      <s:c r="A685" s="0" t="n">
        <s:v>260813</s:v>
      </s:c>
      <s:c r="B685" s="0" t="inlineStr">
        <s:is>
          <s:t>이종훈</s:t>
        </s:is>
      </s:c>
      <s:c r="C685" s="0" t="n">
        <s:v>84716</s:v>
      </s:c>
      <s:c r="D685" s="0" t="n">
        <s:v>2625</s:v>
      </s:c>
      <s:c r="F685" s="24">
        <s:f>'자료구성'!$B$2+TIME(INT($C$3/10000),INT(MOD($C$3,10000)/100),MOD($C$3,100))+(ROW()-ROW($C$3))/86400</s:f>
        <s:v>46247.37405092592</s:v>
      </s:c>
    </s:row>
    <s:row r="686">
      <s:c r="A686" s="0" t="n">
        <s:v>260813</s:v>
      </s:c>
      <s:c r="B686" s="0" t="inlineStr">
        <s:is>
          <s:t>이종훈</s:t>
        </s:is>
      </s:c>
      <s:c r="C686" s="0" t="n">
        <s:v>84716</s:v>
      </s:c>
      <s:c r="D686" s="0" t="n">
        <s:v>2624</s:v>
      </s:c>
      <s:c r="F686" s="24">
        <s:f>'자료구성'!$B$2+TIME(INT($C$3/10000),INT(MOD($C$3,10000)/100),MOD($C$3,100))+(ROW()-ROW($C$3))/86400</s:f>
        <s:v>46247.3740625</s:v>
      </s:c>
    </s:row>
    <s:row r="687">
      <s:c r="A687" s="0" t="n">
        <s:v>260813</s:v>
      </s:c>
      <s:c r="B687" s="0" t="inlineStr">
        <s:is>
          <s:t>이종훈</s:t>
        </s:is>
      </s:c>
      <s:c r="C687" s="0" t="n">
        <s:v>84716</s:v>
      </s:c>
      <s:c r="D687" s="0" t="n">
        <s:v>2614</s:v>
      </s:c>
      <s:c r="F687" s="24">
        <s:f>'자료구성'!$B$2+TIME(INT($C$3/10000),INT(MOD($C$3,10000)/100),MOD($C$3,100))+(ROW()-ROW($C$3))/86400</s:f>
        <s:v>46247.374074074076</s:v>
      </s:c>
    </s:row>
    <s:row r="688">
      <s:c r="A688" s="0" t="n">
        <s:v>260813</s:v>
      </s:c>
      <s:c r="B688" s="0" t="inlineStr">
        <s:is>
          <s:t>이종훈</s:t>
        </s:is>
      </s:c>
      <s:c r="C688" s="0" t="n">
        <s:v>84716</s:v>
      </s:c>
      <s:c r="D688" s="0" t="n">
        <s:v>2589</s:v>
      </s:c>
      <s:c r="F688" s="24">
        <s:f>'자료구성'!$B$2+TIME(INT($C$3/10000),INT(MOD($C$3,10000)/100),MOD($C$3,100))+(ROW()-ROW($C$3))/86400</s:f>
        <s:v>46247.374085648145</s:v>
      </s:c>
    </s:row>
    <s:row r="689">
      <s:c r="A689" s="0" t="n">
        <s:v>260813</s:v>
      </s:c>
      <s:c r="B689" s="0" t="inlineStr">
        <s:is>
          <s:t>이종훈</s:t>
        </s:is>
      </s:c>
      <s:c r="C689" s="0" t="n">
        <s:v>84716</s:v>
      </s:c>
      <s:c r="D689" s="0" t="n">
        <s:v>2554</s:v>
      </s:c>
      <s:c r="F689" s="24">
        <s:f>'자료구성'!$B$2+TIME(INT($C$3/10000),INT(MOD($C$3,10000)/100),MOD($C$3,100))+(ROW()-ROW($C$3))/86400</s:f>
        <s:v>46247.37409722222</s:v>
      </s:c>
    </s:row>
    <s:row r="690">
      <s:c r="A690" s="0" t="n">
        <s:v>260813</s:v>
      </s:c>
      <s:c r="B690" s="0" t="inlineStr">
        <s:is>
          <s:t>이종훈</s:t>
        </s:is>
      </s:c>
      <s:c r="C690" s="0" t="n">
        <s:v>84716</s:v>
      </s:c>
      <s:c r="D690" s="0" t="n">
        <s:v>2485</s:v>
      </s:c>
      <s:c r="F690" s="24">
        <s:f>'자료구성'!$B$2+TIME(INT($C$3/10000),INT(MOD($C$3,10000)/100),MOD($C$3,100))+(ROW()-ROW($C$3))/86400</s:f>
        <s:v>46247.3741087963</s:v>
      </s:c>
    </s:row>
    <s:row r="691">
      <s:c r="A691" s="0" t="n">
        <s:v>260813</s:v>
      </s:c>
      <s:c r="B691" s="0" t="inlineStr">
        <s:is>
          <s:t>이종훈</s:t>
        </s:is>
      </s:c>
      <s:c r="C691" s="0" t="n">
        <s:v>84716</s:v>
      </s:c>
      <s:c r="D691" s="0" t="n">
        <s:v>2421</s:v>
      </s:c>
      <s:c r="F691" s="24">
        <s:f>'자료구성'!$B$2+TIME(INT($C$3/10000),INT(MOD($C$3,10000)/100),MOD($C$3,100))+(ROW()-ROW($C$3))/86400</s:f>
        <s:v>46247.37412037037</s:v>
      </s:c>
    </s:row>
    <s:row r="692">
      <s:c r="A692" s="0" t="n">
        <s:v>260813</s:v>
      </s:c>
      <s:c r="B692" s="0" t="inlineStr">
        <s:is>
          <s:t>이종훈</s:t>
        </s:is>
      </s:c>
      <s:c r="C692" s="0" t="n">
        <s:v>84716</s:v>
      </s:c>
      <s:c r="D692" s="0" t="n">
        <s:v>2338</s:v>
      </s:c>
      <s:c r="F692" s="24">
        <s:f>'자료구성'!$B$2+TIME(INT($C$3/10000),INT(MOD($C$3,10000)/100),MOD($C$3,100))+(ROW()-ROW($C$3))/86400</s:f>
        <s:v>46247.374131944445</s:v>
      </s:c>
    </s:row>
    <s:row r="693">
      <s:c r="A693" s="0" t="n">
        <s:v>260813</s:v>
      </s:c>
      <s:c r="B693" s="0" t="inlineStr">
        <s:is>
          <s:t>이종훈</s:t>
        </s:is>
      </s:c>
      <s:c r="C693" s="0" t="n">
        <s:v>84716</s:v>
      </s:c>
      <s:c r="D693" s="0" t="n">
        <s:v>2302</s:v>
      </s:c>
      <s:c r="F693" s="24">
        <s:f>'자료구성'!$B$2+TIME(INT($C$3/10000),INT(MOD($C$3,10000)/100),MOD($C$3,100))+(ROW()-ROW($C$3))/86400</s:f>
        <s:v>46247.37414351852</s:v>
      </s:c>
    </s:row>
    <s:row r="694">
      <s:c r="A694" s="0" t="n">
        <s:v>260813</s:v>
      </s:c>
      <s:c r="B694" s="0" t="inlineStr">
        <s:is>
          <s:t>이종훈</s:t>
        </s:is>
      </s:c>
      <s:c r="C694" s="0" t="n">
        <s:v>84716</s:v>
      </s:c>
      <s:c r="D694" s="0" t="n">
        <s:v>2231</s:v>
      </s:c>
      <s:c r="F694" s="24">
        <s:f>'자료구성'!$B$2+TIME(INT($C$3/10000),INT(MOD($C$3,10000)/100),MOD($C$3,100))+(ROW()-ROW($C$3))/86400</s:f>
        <s:v>46247.37415509259</s:v>
      </s:c>
    </s:row>
    <s:row r="695">
      <s:c r="A695" s="0" t="n">
        <s:v>260813</s:v>
      </s:c>
      <s:c r="B695" s="0" t="inlineStr">
        <s:is>
          <s:t>이종훈</s:t>
        </s:is>
      </s:c>
      <s:c r="C695" s="0" t="n">
        <s:v>84716</s:v>
      </s:c>
      <s:c r="D695" s="0" t="n">
        <s:v>2219</s:v>
      </s:c>
      <s:c r="F695" s="24">
        <s:f>'자료구성'!$B$2+TIME(INT($C$3/10000),INT(MOD($C$3,10000)/100),MOD($C$3,100))+(ROW()-ROW($C$3))/86400</s:f>
        <s:v>46247.37416666667</s:v>
      </s:c>
    </s:row>
    <s:row r="696">
      <s:c r="A696" s="0" t="n">
        <s:v>260813</s:v>
      </s:c>
      <s:c r="B696" s="0" t="inlineStr">
        <s:is>
          <s:t>이종훈</s:t>
        </s:is>
      </s:c>
      <s:c r="C696" s="0" t="n">
        <s:v>84716</s:v>
      </s:c>
      <s:c r="D696" s="0" t="n">
        <s:v>2249</s:v>
      </s:c>
      <s:c r="F696" s="24">
        <s:f>'자료구성'!$B$2+TIME(INT($C$3/10000),INT(MOD($C$3,10000)/100),MOD($C$3,100))+(ROW()-ROW($C$3))/86400</s:f>
        <s:v>46247.37417824074</s:v>
      </s:c>
    </s:row>
    <s:row r="697">
      <s:c r="A697" s="0" t="n">
        <s:v>260813</s:v>
      </s:c>
      <s:c r="B697" s="0" t="inlineStr">
        <s:is>
          <s:t>이종훈</s:t>
        </s:is>
      </s:c>
      <s:c r="C697" s="0" t="n">
        <s:v>84716</s:v>
      </s:c>
      <s:c r="D697" s="0" t="n">
        <s:v>2330</s:v>
      </s:c>
      <s:c r="F697" s="24">
        <s:f>'자료구성'!$B$2+TIME(INT($C$3/10000),INT(MOD($C$3,10000)/100),MOD($C$3,100))+(ROW()-ROW($C$3))/86400</s:f>
        <s:v>46247.374189814815</s:v>
      </s:c>
    </s:row>
    <s:row r="698">
      <s:c r="A698" s="0" t="n">
        <s:v>260813</s:v>
      </s:c>
      <s:c r="B698" s="0" t="inlineStr">
        <s:is>
          <s:t>이종훈</s:t>
        </s:is>
      </s:c>
      <s:c r="C698" s="0" t="n">
        <s:v>84716</s:v>
      </s:c>
      <s:c r="D698" s="0" t="n">
        <s:v>2424</s:v>
      </s:c>
      <s:c r="F698" s="24">
        <s:f>'자료구성'!$B$2+TIME(INT($C$3/10000),INT(MOD($C$3,10000)/100),MOD($C$3,100))+(ROW()-ROW($C$3))/86400</s:f>
        <s:v>46247.37420138889</s:v>
      </s:c>
    </s:row>
    <s:row r="699">
      <s:c r="A699" s="0" t="n">
        <s:v>260813</s:v>
      </s:c>
      <s:c r="B699" s="0" t="inlineStr">
        <s:is>
          <s:t>이종훈</s:t>
        </s:is>
      </s:c>
      <s:c r="C699" s="0" t="n">
        <s:v>84716</s:v>
      </s:c>
      <s:c r="D699" s="0" t="n">
        <s:v>2535</s:v>
      </s:c>
      <s:c r="F699" s="24">
        <s:f>'자료구성'!$B$2+TIME(INT($C$3/10000),INT(MOD($C$3,10000)/100),MOD($C$3,100))+(ROW()-ROW($C$3))/86400</s:f>
        <s:v>46247.37421296296</s:v>
      </s:c>
    </s:row>
    <s:row r="700">
      <s:c r="A700" s="0" t="n">
        <s:v>260813</s:v>
      </s:c>
      <s:c r="B700" s="0" t="inlineStr">
        <s:is>
          <s:t>이종훈</s:t>
        </s:is>
      </s:c>
      <s:c r="C700" s="0" t="n">
        <s:v>84716</s:v>
      </s:c>
      <s:c r="D700" s="0" t="n">
        <s:v>2587</s:v>
      </s:c>
      <s:c r="F700" s="24">
        <s:f>'자료구성'!$B$2+TIME(INT($C$3/10000),INT(MOD($C$3,10000)/100),MOD($C$3,100))+(ROW()-ROW($C$3))/86400</s:f>
        <s:v>46247.37422453704</s:v>
      </s:c>
    </s:row>
    <s:row r="701">
      <s:c r="A701" s="0" t="n">
        <s:v>260813</s:v>
      </s:c>
      <s:c r="B701" s="0" t="inlineStr">
        <s:is>
          <s:t>이종훈</s:t>
        </s:is>
      </s:c>
      <s:c r="C701" s="0" t="n">
        <s:v>84716</s:v>
      </s:c>
      <s:c r="D701" s="0" t="n">
        <s:v>2560</s:v>
      </s:c>
      <s:c r="F701" s="24">
        <s:f>'자료구성'!$B$2+TIME(INT($C$3/10000),INT(MOD($C$3,10000)/100),MOD($C$3,100))+(ROW()-ROW($C$3))/86400</s:f>
        <s:v>46247.374236111114</s:v>
      </s:c>
    </s:row>
    <s:row r="702">
      <s:c r="A702" s="0" t="n">
        <s:v>260813</s:v>
      </s:c>
      <s:c r="B702" s="0" t="inlineStr">
        <s:is>
          <s:t>이종훈</s:t>
        </s:is>
      </s:c>
      <s:c r="C702" s="0" t="n">
        <s:v>84716</s:v>
      </s:c>
      <s:c r="D702" s="0" t="n">
        <s:v>2567</s:v>
      </s:c>
      <s:c r="F702" s="24">
        <s:f>'자료구성'!$B$2+TIME(INT($C$3/10000),INT(MOD($C$3,10000)/100),MOD($C$3,100))+(ROW()-ROW($C$3))/86400</s:f>
        <s:v>46247.374247685184</s:v>
      </s:c>
    </s:row>
    <s:row r="703">
      <s:c r="A703" s="0" t="n">
        <s:v>260813</s:v>
      </s:c>
      <s:c r="B703" s="0" t="inlineStr">
        <s:is>
          <s:t>이종훈</s:t>
        </s:is>
      </s:c>
      <s:c r="C703" s="0" t="n">
        <s:v>84716</s:v>
      </s:c>
      <s:c r="D703" s="0" t="n">
        <s:v>2599</s:v>
      </s:c>
      <s:c r="F703" s="24">
        <s:f>'자료구성'!$B$2+TIME(INT($C$3/10000),INT(MOD($C$3,10000)/100),MOD($C$3,100))+(ROW()-ROW($C$3))/86400</s:f>
        <s:v>46247.37425925926</s:v>
      </s:c>
    </s:row>
    <s:row r="704">
      <s:c r="A704" s="0" t="n">
        <s:v>260813</s:v>
      </s:c>
      <s:c r="B704" s="0" t="inlineStr">
        <s:is>
          <s:t>이종훈</s:t>
        </s:is>
      </s:c>
      <s:c r="C704" s="0" t="n">
        <s:v>84716</s:v>
      </s:c>
      <s:c r="D704" s="0" t="n">
        <s:v>2614</s:v>
      </s:c>
      <s:c r="F704" s="24">
        <s:f>'자료구성'!$B$2+TIME(INT($C$3/10000),INT(MOD($C$3,10000)/100),MOD($C$3,100))+(ROW()-ROW($C$3))/86400</s:f>
        <s:v>46247.37427083333</s:v>
      </s:c>
    </s:row>
    <s:row r="705">
      <s:c r="A705" s="0" t="n">
        <s:v>260813</s:v>
      </s:c>
      <s:c r="B705" s="0" t="inlineStr">
        <s:is>
          <s:t>이종훈</s:t>
        </s:is>
      </s:c>
      <s:c r="C705" s="0" t="n">
        <s:v>84716</s:v>
      </s:c>
      <s:c r="D705" s="0" t="n">
        <s:v>2674</s:v>
      </s:c>
      <s:c r="F705" s="24">
        <s:f>'자료구성'!$B$2+TIME(INT($C$3/10000),INT(MOD($C$3,10000)/100),MOD($C$3,100))+(ROW()-ROW($C$3))/86400</s:f>
        <s:v>46247.37428240741</s:v>
      </s:c>
    </s:row>
    <s:row r="706">
      <s:c r="A706" s="0" t="n">
        <s:v>260813</s:v>
      </s:c>
      <s:c r="B706" s="0" t="inlineStr">
        <s:is>
          <s:t>이종훈</s:t>
        </s:is>
      </s:c>
      <s:c r="C706" s="0" t="n">
        <s:v>84716</s:v>
      </s:c>
      <s:c r="D706" s="0" t="n">
        <s:v>2729</s:v>
      </s:c>
      <s:c r="F706" s="24">
        <s:f>'자료구성'!$B$2+TIME(INT($C$3/10000),INT(MOD($C$3,10000)/100),MOD($C$3,100))+(ROW()-ROW($C$3))/86400</s:f>
        <s:v>46247.374293981484</s:v>
      </s:c>
    </s:row>
    <s:row r="707">
      <s:c r="A707" s="0" t="n">
        <s:v>260813</s:v>
      </s:c>
      <s:c r="B707" s="0" t="inlineStr">
        <s:is>
          <s:t>이종훈</s:t>
        </s:is>
      </s:c>
      <s:c r="C707" s="0" t="n">
        <s:v>84716</s:v>
      </s:c>
      <s:c r="D707" s="0" t="n">
        <s:v>2763</s:v>
      </s:c>
      <s:c r="F707" s="24">
        <s:f>'자료구성'!$B$2+TIME(INT($C$3/10000),INT(MOD($C$3,10000)/100),MOD($C$3,100))+(ROW()-ROW($C$3))/86400</s:f>
        <s:v>46247.37430555555</s:v>
      </s:c>
    </s:row>
    <s:row r="708">
      <s:c r="A708" s="0" t="n">
        <s:v>260813</s:v>
      </s:c>
      <s:c r="B708" s="0" t="inlineStr">
        <s:is>
          <s:t>이종훈</s:t>
        </s:is>
      </s:c>
      <s:c r="C708" s="0" t="n">
        <s:v>84716</s:v>
      </s:c>
      <s:c r="D708" s="0" t="n">
        <s:v>2780</s:v>
      </s:c>
      <s:c r="F708" s="24">
        <s:f>'자료구성'!$B$2+TIME(INT($C$3/10000),INT(MOD($C$3,10000)/100),MOD($C$3,100))+(ROW()-ROW($C$3))/86400</s:f>
        <s:v>46247.37431712963</s:v>
      </s:c>
    </s:row>
    <s:row r="709">
      <s:c r="A709" s="0" t="n">
        <s:v>260813</s:v>
      </s:c>
      <s:c r="B709" s="0" t="inlineStr">
        <s:is>
          <s:t>이종훈</s:t>
        </s:is>
      </s:c>
      <s:c r="C709" s="0" t="n">
        <s:v>84716</s:v>
      </s:c>
      <s:c r="D709" s="0" t="n">
        <s:v>2778</s:v>
      </s:c>
      <s:c r="F709" s="24">
        <s:f>'자료구성'!$B$2+TIME(INT($C$3/10000),INT(MOD($C$3,10000)/100),MOD($C$3,100))+(ROW()-ROW($C$3))/86400</s:f>
        <s:v>46247.37432870371</s:v>
      </s:c>
    </s:row>
    <s:row r="710">
      <s:c r="A710" s="0" t="n">
        <s:v>260813</s:v>
      </s:c>
      <s:c r="B710" s="0" t="inlineStr">
        <s:is>
          <s:t>이종훈</s:t>
        </s:is>
      </s:c>
      <s:c r="C710" s="0" t="n">
        <s:v>84716</s:v>
      </s:c>
      <s:c r="D710" s="0" t="n">
        <s:v>2768</s:v>
      </s:c>
      <s:c r="F710" s="24">
        <s:f>'자료구성'!$B$2+TIME(INT($C$3/10000),INT(MOD($C$3,10000)/100),MOD($C$3,100))+(ROW()-ROW($C$3))/86400</s:f>
        <s:v>46247.374340277776</s:v>
      </s:c>
    </s:row>
    <s:row r="711">
      <s:c r="A711" s="0" t="n">
        <s:v>260813</s:v>
      </s:c>
      <s:c r="B711" s="0" t="inlineStr">
        <s:is>
          <s:t>이종훈</s:t>
        </s:is>
      </s:c>
      <s:c r="C711" s="0" t="n">
        <s:v>84716</s:v>
      </s:c>
      <s:c r="D711" s="0" t="n">
        <s:v>2855</s:v>
      </s:c>
      <s:c r="F711" s="24">
        <s:f>'자료구성'!$B$2+TIME(INT($C$3/10000),INT(MOD($C$3,10000)/100),MOD($C$3,100))+(ROW()-ROW($C$3))/86400</s:f>
        <s:v>46247.37435185185</s:v>
      </s:c>
    </s:row>
    <s:row r="712">
      <s:c r="A712" s="0" t="n">
        <s:v>260813</s:v>
      </s:c>
      <s:c r="B712" s="0" t="inlineStr">
        <s:is>
          <s:t>이종훈</s:t>
        </s:is>
      </s:c>
      <s:c r="C712" s="0" t="n">
        <s:v>84716</s:v>
      </s:c>
      <s:c r="D712" s="0" t="n">
        <s:v>2927</s:v>
      </s:c>
      <s:c r="F712" s="24">
        <s:f>'자료구성'!$B$2+TIME(INT($C$3/10000),INT(MOD($C$3,10000)/100),MOD($C$3,100))+(ROW()-ROW($C$3))/86400</s:f>
        <s:v>46247.37436342592</s:v>
      </s:c>
    </s:row>
    <s:row r="713">
      <s:c r="A713" s="0" t="n">
        <s:v>260813</s:v>
      </s:c>
      <s:c r="B713" s="0" t="inlineStr">
        <s:is>
          <s:t>이종훈</s:t>
        </s:is>
      </s:c>
      <s:c r="C713" s="0" t="n">
        <s:v>84716</s:v>
      </s:c>
      <s:c r="D713" s="0" t="n">
        <s:v>2997</s:v>
      </s:c>
      <s:c r="F713" s="24">
        <s:f>'자료구성'!$B$2+TIME(INT($C$3/10000),INT(MOD($C$3,10000)/100),MOD($C$3,100))+(ROW()-ROW($C$3))/86400</s:f>
        <s:v>46247.374375</s:v>
      </s:c>
    </s:row>
    <s:row r="714">
      <s:c r="A714" s="0" t="n">
        <s:v>260813</s:v>
      </s:c>
      <s:c r="B714" s="0" t="inlineStr">
        <s:is>
          <s:t>이종훈</s:t>
        </s:is>
      </s:c>
      <s:c r="C714" s="0" t="n">
        <s:v>84716</s:v>
      </s:c>
      <s:c r="D714" s="0" t="n">
        <s:v>3003</s:v>
      </s:c>
      <s:c r="F714" s="24">
        <s:f>'자료구성'!$B$2+TIME(INT($C$3/10000),INT(MOD($C$3,10000)/100),MOD($C$3,100))+(ROW()-ROW($C$3))/86400</s:f>
        <s:v>46247.374386574076</s:v>
      </s:c>
    </s:row>
    <s:row r="715">
      <s:c r="A715" s="0" t="n">
        <s:v>260813</s:v>
      </s:c>
      <s:c r="B715" s="0" t="inlineStr">
        <s:is>
          <s:t>이종훈</s:t>
        </s:is>
      </s:c>
      <s:c r="C715" s="0" t="n">
        <s:v>84716</s:v>
      </s:c>
      <s:c r="D715" s="0" t="n">
        <s:v>3017</s:v>
      </s:c>
      <s:c r="F715" s="24">
        <s:f>'자료구성'!$B$2+TIME(INT($C$3/10000),INT(MOD($C$3,10000)/100),MOD($C$3,100))+(ROW()-ROW($C$3))/86400</s:f>
        <s:v>46247.374398148146</s:v>
      </s:c>
    </s:row>
    <s:row r="716">
      <s:c r="A716" s="0" t="n">
        <s:v>260813</s:v>
      </s:c>
      <s:c r="B716" s="0" t="inlineStr">
        <s:is>
          <s:t>이종훈</s:t>
        </s:is>
      </s:c>
      <s:c r="C716" s="0" t="n">
        <s:v>84716</s:v>
      </s:c>
      <s:c r="D716" s="0" t="n">
        <s:v>3076</s:v>
      </s:c>
      <s:c r="F716" s="24">
        <s:f>'자료구성'!$B$2+TIME(INT($C$3/10000),INT(MOD($C$3,10000)/100),MOD($C$3,100))+(ROW()-ROW($C$3))/86400</s:f>
        <s:v>46247.37440972222</s:v>
      </s:c>
    </s:row>
    <s:row r="717">
      <s:c r="A717" s="0" t="n">
        <s:v>260813</s:v>
      </s:c>
      <s:c r="B717" s="0" t="inlineStr">
        <s:is>
          <s:t>이종훈</s:t>
        </s:is>
      </s:c>
      <s:c r="C717" s="0" t="n">
        <s:v>84716</s:v>
      </s:c>
      <s:c r="D717" s="0" t="n">
        <s:v>3129</s:v>
      </s:c>
      <s:c r="F717" s="24">
        <s:f>'자료구성'!$B$2+TIME(INT($C$3/10000),INT(MOD($C$3,10000)/100),MOD($C$3,100))+(ROW()-ROW($C$3))/86400</s:f>
        <s:v>46247.3744212963</s:v>
      </s:c>
    </s:row>
    <s:row r="718">
      <s:c r="A718" s="0" t="n">
        <s:v>260813</s:v>
      </s:c>
      <s:c r="B718" s="0" t="inlineStr">
        <s:is>
          <s:t>이종훈</s:t>
        </s:is>
      </s:c>
      <s:c r="C718" s="0" t="n">
        <s:v>84716</s:v>
      </s:c>
      <s:c r="D718" s="0" t="n">
        <s:v>3205</s:v>
      </s:c>
      <s:c r="F718" s="24">
        <s:f>'자료구성'!$B$2+TIME(INT($C$3/10000),INT(MOD($C$3,10000)/100),MOD($C$3,100))+(ROW()-ROW($C$3))/86400</s:f>
        <s:v>46247.37443287037</s:v>
      </s:c>
    </s:row>
    <s:row r="719">
      <s:c r="A719" s="0" t="n">
        <s:v>260813</s:v>
      </s:c>
      <s:c r="B719" s="0" t="inlineStr">
        <s:is>
          <s:t>이종훈</s:t>
        </s:is>
      </s:c>
      <s:c r="C719" s="0" t="n">
        <s:v>84716</s:v>
      </s:c>
      <s:c r="D719" s="0" t="n">
        <s:v>3228</s:v>
      </s:c>
      <s:c r="F719" s="24">
        <s:f>'자료구성'!$B$2+TIME(INT($C$3/10000),INT(MOD($C$3,10000)/100),MOD($C$3,100))+(ROW()-ROW($C$3))/86400</s:f>
        <s:v>46247.374444444446</s:v>
      </s:c>
    </s:row>
    <s:row r="720">
      <s:c r="A720" s="0" t="n">
        <s:v>260813</s:v>
      </s:c>
      <s:c r="B720" s="0" t="inlineStr">
        <s:is>
          <s:t>이종훈</s:t>
        </s:is>
      </s:c>
      <s:c r="C720" s="0" t="n">
        <s:v>84716</s:v>
      </s:c>
      <s:c r="D720" s="0" t="n">
        <s:v>3224</s:v>
      </s:c>
      <s:c r="F720" s="24">
        <s:f>'자료구성'!$B$2+TIME(INT($C$3/10000),INT(MOD($C$3,10000)/100),MOD($C$3,100))+(ROW()-ROW($C$3))/86400</s:f>
        <s:v>46247.374456018515</s:v>
      </s:c>
    </s:row>
    <s:row r="721">
      <s:c r="A721" s="0" t="n">
        <s:v>260813</s:v>
      </s:c>
      <s:c r="B721" s="0" t="inlineStr">
        <s:is>
          <s:t>이종훈</s:t>
        </s:is>
      </s:c>
      <s:c r="C721" s="0" t="n">
        <s:v>84716</s:v>
      </s:c>
      <s:c r="D721" s="0" t="n">
        <s:v>3134</s:v>
      </s:c>
      <s:c r="F721" s="24">
        <s:f>'자료구성'!$B$2+TIME(INT($C$3/10000),INT(MOD($C$3,10000)/100),MOD($C$3,100))+(ROW()-ROW($C$3))/86400</s:f>
        <s:v>46247.37446759259</s:v>
      </s:c>
    </s:row>
    <s:row r="722">
      <s:c r="A722" s="0" t="n">
        <s:v>260813</s:v>
      </s:c>
      <s:c r="B722" s="0" t="inlineStr">
        <s:is>
          <s:t>이종훈</s:t>
        </s:is>
      </s:c>
      <s:c r="C722" s="0" t="n">
        <s:v>84716</s:v>
      </s:c>
      <s:c r="D722" s="0" t="n">
        <s:v>3026</s:v>
      </s:c>
      <s:c r="F722" s="24">
        <s:f>'자료구성'!$B$2+TIME(INT($C$3/10000),INT(MOD($C$3,10000)/100),MOD($C$3,100))+(ROW()-ROW($C$3))/86400</s:f>
        <s:v>46247.37447916667</s:v>
      </s:c>
    </s:row>
    <s:row r="723">
      <s:c r="A723" s="0" t="n">
        <s:v>260813</s:v>
      </s:c>
      <s:c r="B723" s="0" t="inlineStr">
        <s:is>
          <s:t>이종훈</s:t>
        </s:is>
      </s:c>
      <s:c r="C723" s="0" t="n">
        <s:v>84716</s:v>
      </s:c>
      <s:c r="D723" s="0" t="n">
        <s:v>2970</s:v>
      </s:c>
      <s:c r="F723" s="24">
        <s:f>'자료구성'!$B$2+TIME(INT($C$3/10000),INT(MOD($C$3,10000)/100),MOD($C$3,100))+(ROW()-ROW($C$3))/86400</s:f>
        <s:v>46247.37449074074</s:v>
      </s:c>
    </s:row>
    <s:row r="724">
      <s:c r="A724" s="0" t="n">
        <s:v>260813</s:v>
      </s:c>
      <s:c r="B724" s="0" t="inlineStr">
        <s:is>
          <s:t>이종훈</s:t>
        </s:is>
      </s:c>
      <s:c r="C724" s="0" t="n">
        <s:v>84716</s:v>
      </s:c>
      <s:c r="D724" s="0" t="n">
        <s:v>2898</s:v>
      </s:c>
      <s:c r="F724" s="24">
        <s:f>'자료구성'!$B$2+TIME(INT($C$3/10000),INT(MOD($C$3,10000)/100),MOD($C$3,100))+(ROW()-ROW($C$3))/86400</s:f>
        <s:v>46247.374502314815</s:v>
      </s:c>
    </s:row>
    <s:row r="725">
      <s:c r="A725" s="0" t="n">
        <s:v>260813</s:v>
      </s:c>
      <s:c r="B725" s="0" t="inlineStr">
        <s:is>
          <s:t>이종훈</s:t>
        </s:is>
      </s:c>
      <s:c r="C725" s="0" t="n">
        <s:v>84716</s:v>
      </s:c>
      <s:c r="D725" s="0" t="n">
        <s:v>2813</s:v>
      </s:c>
      <s:c r="F725" s="24">
        <s:f>'자료구성'!$B$2+TIME(INT($C$3/10000),INT(MOD($C$3,10000)/100),MOD($C$3,100))+(ROW()-ROW($C$3))/86400</s:f>
        <s:v>46247.37451388889</s:v>
      </s:c>
    </s:row>
    <s:row r="726">
      <s:c r="A726" s="0" t="n">
        <s:v>260813</s:v>
      </s:c>
      <s:c r="B726" s="0" t="inlineStr">
        <s:is>
          <s:t>이종훈</s:t>
        </s:is>
      </s:c>
      <s:c r="C726" s="0" t="n">
        <s:v>84716</s:v>
      </s:c>
      <s:c r="D726" s="0" t="n">
        <s:v>2721</s:v>
      </s:c>
      <s:c r="F726" s="24">
        <s:f>'자료구성'!$B$2+TIME(INT($C$3/10000),INT(MOD($C$3,10000)/100),MOD($C$3,100))+(ROW()-ROW($C$3))/86400</s:f>
        <s:v>46247.37452546296</s:v>
      </s:c>
    </s:row>
    <s:row r="727">
      <s:c r="A727" s="0" t="n">
        <s:v>260813</s:v>
      </s:c>
      <s:c r="B727" s="0" t="inlineStr">
        <s:is>
          <s:t>이종훈</s:t>
        </s:is>
      </s:c>
      <s:c r="C727" s="0" t="n">
        <s:v>84716</s:v>
      </s:c>
      <s:c r="D727" s="0" t="n">
        <s:v>2695</s:v>
      </s:c>
      <s:c r="F727" s="24">
        <s:f>'자료구성'!$B$2+TIME(INT($C$3/10000),INT(MOD($C$3,10000)/100),MOD($C$3,100))+(ROW()-ROW($C$3))/86400</s:f>
        <s:v>46247.37453703704</s:v>
      </s:c>
    </s:row>
    <s:row r="728">
      <s:c r="A728" s="0" t="n">
        <s:v>260813</s:v>
      </s:c>
      <s:c r="B728" s="0" t="inlineStr">
        <s:is>
          <s:t>이종훈</s:t>
        </s:is>
      </s:c>
      <s:c r="C728" s="0" t="n">
        <s:v>84716</s:v>
      </s:c>
      <s:c r="D728" s="0" t="n">
        <s:v>2634</s:v>
      </s:c>
      <s:c r="F728" s="24">
        <s:f>'자료구성'!$B$2+TIME(INT($C$3/10000),INT(MOD($C$3,10000)/100),MOD($C$3,100))+(ROW()-ROW($C$3))/86400</s:f>
        <s:v>46247.374548611115</s:v>
      </s:c>
    </s:row>
    <s:row r="729">
      <s:c r="A729" s="0" t="n">
        <s:v>260813</s:v>
      </s:c>
      <s:c r="B729" s="0" t="inlineStr">
        <s:is>
          <s:t>이종훈</s:t>
        </s:is>
      </s:c>
      <s:c r="C729" s="0" t="n">
        <s:v>84716</s:v>
      </s:c>
      <s:c r="D729" s="0" t="n">
        <s:v>2566</s:v>
      </s:c>
      <s:c r="F729" s="24">
        <s:f>'자료구성'!$B$2+TIME(INT($C$3/10000),INT(MOD($C$3,10000)/100),MOD($C$3,100))+(ROW()-ROW($C$3))/86400</s:f>
        <s:v>46247.374560185184</s:v>
      </s:c>
    </s:row>
    <s:row r="730">
      <s:c r="A730" s="0" t="n">
        <s:v>260813</s:v>
      </s:c>
      <s:c r="B730" s="0" t="inlineStr">
        <s:is>
          <s:t>이종훈</s:t>
        </s:is>
      </s:c>
      <s:c r="C730" s="0" t="n">
        <s:v>84716</s:v>
      </s:c>
      <s:c r="D730" s="0" t="n">
        <s:v>2513</s:v>
      </s:c>
      <s:c r="F730" s="24">
        <s:f>'자료구성'!$B$2+TIME(INT($C$3/10000),INT(MOD($C$3,10000)/100),MOD($C$3,100))+(ROW()-ROW($C$3))/86400</s:f>
        <s:v>46247.37457175926</s:v>
      </s:c>
    </s:row>
    <s:row r="731">
      <s:c r="A731" s="0" t="n">
        <s:v>260813</s:v>
      </s:c>
      <s:c r="B731" s="0" t="inlineStr">
        <s:is>
          <s:t>이종훈</s:t>
        </s:is>
      </s:c>
      <s:c r="C731" s="0" t="n">
        <s:v>84716</s:v>
      </s:c>
      <s:c r="D731" s="0" t="n">
        <s:v>2495</s:v>
      </s:c>
      <s:c r="F731" s="24">
        <s:f>'자료구성'!$B$2+TIME(INT($C$3/10000),INT(MOD($C$3,10000)/100),MOD($C$3,100))+(ROW()-ROW($C$3))/86400</s:f>
        <s:v>46247.37458333333</s:v>
      </s:c>
    </s:row>
    <s:row r="732">
      <s:c r="A732" s="0" t="n">
        <s:v>260813</s:v>
      </s:c>
      <s:c r="B732" s="0" t="inlineStr">
        <s:is>
          <s:t>이종훈</s:t>
        </s:is>
      </s:c>
      <s:c r="C732" s="0" t="n">
        <s:v>84716</s:v>
      </s:c>
      <s:c r="D732" s="0" t="n">
        <s:v>2468</s:v>
      </s:c>
      <s:c r="F732" s="24">
        <s:f>'자료구성'!$B$2+TIME(INT($C$3/10000),INT(MOD($C$3,10000)/100),MOD($C$3,100))+(ROW()-ROW($C$3))/86400</s:f>
        <s:v>46247.37459490741</s:v>
      </s:c>
    </s:row>
    <s:row r="733">
      <s:c r="A733" s="0" t="n">
        <s:v>260813</s:v>
      </s:c>
      <s:c r="B733" s="0" t="inlineStr">
        <s:is>
          <s:t>이종훈</s:t>
        </s:is>
      </s:c>
      <s:c r="C733" s="0" t="n">
        <s:v>84716</s:v>
      </s:c>
      <s:c r="D733" s="0" t="n">
        <s:v>2435</s:v>
      </s:c>
      <s:c r="F733" s="24">
        <s:f>'자료구성'!$B$2+TIME(INT($C$3/10000),INT(MOD($C$3,10000)/100),MOD($C$3,100))+(ROW()-ROW($C$3))/86400</s:f>
        <s:v>46247.374606481484</s:v>
      </s:c>
    </s:row>
    <s:row r="734">
      <s:c r="A734" s="0" t="n">
        <s:v>260813</s:v>
      </s:c>
      <s:c r="B734" s="0" t="inlineStr">
        <s:is>
          <s:t>이종훈</s:t>
        </s:is>
      </s:c>
      <s:c r="C734" s="0" t="n">
        <s:v>84716</s:v>
      </s:c>
      <s:c r="D734" s="0" t="n">
        <s:v>2404</s:v>
      </s:c>
      <s:c r="F734" s="24">
        <s:f>'자료구성'!$B$2+TIME(INT($C$3/10000),INT(MOD($C$3,10000)/100),MOD($C$3,100))+(ROW()-ROW($C$3))/86400</s:f>
        <s:v>46247.37461805555</s:v>
      </s:c>
    </s:row>
    <s:row r="735">
      <s:c r="A735" s="0" t="n">
        <s:v>260813</s:v>
      </s:c>
      <s:c r="B735" s="0" t="inlineStr">
        <s:is>
          <s:t>이종훈</s:t>
        </s:is>
      </s:c>
      <s:c r="C735" s="0" t="n">
        <s:v>84716</s:v>
      </s:c>
      <s:c r="D735" s="0" t="n">
        <s:v>2370</s:v>
      </s:c>
      <s:c r="F735" s="24">
        <s:f>'자료구성'!$B$2+TIME(INT($C$3/10000),INT(MOD($C$3,10000)/100),MOD($C$3,100))+(ROW()-ROW($C$3))/86400</s:f>
        <s:v>46247.37462962963</s:v>
      </s:c>
    </s:row>
    <s:row r="736">
      <s:c r="A736" s="0" t="n">
        <s:v>260813</s:v>
      </s:c>
      <s:c r="B736" s="0" t="inlineStr">
        <s:is>
          <s:t>이종훈</s:t>
        </s:is>
      </s:c>
      <s:c r="C736" s="0" t="n">
        <s:v>84716</s:v>
      </s:c>
      <s:c r="D736" s="0" t="n">
        <s:v>2360</s:v>
      </s:c>
      <s:c r="F736" s="24">
        <s:f>'자료구성'!$B$2+TIME(INT($C$3/10000),INT(MOD($C$3,10000)/100),MOD($C$3,100))+(ROW()-ROW($C$3))/86400</s:f>
        <s:v>46247.37464120371</s:v>
      </s:c>
    </s:row>
    <s:row r="737">
      <s:c r="A737" s="0" t="n">
        <s:v>260813</s:v>
      </s:c>
      <s:c r="B737" s="0" t="inlineStr">
        <s:is>
          <s:t>이종훈</s:t>
        </s:is>
      </s:c>
      <s:c r="C737" s="0" t="n">
        <s:v>84716</s:v>
      </s:c>
      <s:c r="D737" s="0" t="n">
        <s:v>2351</s:v>
      </s:c>
      <s:c r="F737" s="24">
        <s:f>'자료구성'!$B$2+TIME(INT($C$3/10000),INT(MOD($C$3,10000)/100),MOD($C$3,100))+(ROW()-ROW($C$3))/86400</s:f>
        <s:v>46247.37465277778</s:v>
      </s:c>
    </s:row>
    <s:row r="738">
      <s:c r="A738" s="0" t="n">
        <s:v>260813</s:v>
      </s:c>
      <s:c r="B738" s="0" t="inlineStr">
        <s:is>
          <s:t>이종훈</s:t>
        </s:is>
      </s:c>
      <s:c r="C738" s="0" t="n">
        <s:v>84716</s:v>
      </s:c>
      <s:c r="D738" s="0" t="n">
        <s:v>2334</s:v>
      </s:c>
      <s:c r="F738" s="24">
        <s:f>'자료구성'!$B$2+TIME(INT($C$3/10000),INT(MOD($C$3,10000)/100),MOD($C$3,100))+(ROW()-ROW($C$3))/86400</s:f>
        <s:v>46247.37466435185</s:v>
      </s:c>
    </s:row>
    <s:row r="739">
      <s:c r="A739" s="0" t="n">
        <s:v>260813</s:v>
      </s:c>
      <s:c r="B739" s="0" t="inlineStr">
        <s:is>
          <s:t>이종훈</s:t>
        </s:is>
      </s:c>
      <s:c r="C739" s="0" t="n">
        <s:v>84716</s:v>
      </s:c>
      <s:c r="D739" s="0" t="n">
        <s:v>2296</s:v>
      </s:c>
      <s:c r="F739" s="24">
        <s:f>'자료구성'!$B$2+TIME(INT($C$3/10000),INT(MOD($C$3,10000)/100),MOD($C$3,100))+(ROW()-ROW($C$3))/86400</s:f>
        <s:v>46247.37467592592</s:v>
      </s:c>
    </s:row>
    <s:row r="740">
      <s:c r="A740" s="0" t="n">
        <s:v>260813</s:v>
      </s:c>
      <s:c r="B740" s="0" t="inlineStr">
        <s:is>
          <s:t>이종훈</s:t>
        </s:is>
      </s:c>
      <s:c r="C740" s="0" t="n">
        <s:v>84716</s:v>
      </s:c>
      <s:c r="D740" s="0" t="n">
        <s:v>2302</s:v>
      </s:c>
      <s:c r="F740" s="24">
        <s:f>'자료구성'!$B$2+TIME(INT($C$3/10000),INT(MOD($C$3,10000)/100),MOD($C$3,100))+(ROW()-ROW($C$3))/86400</s:f>
        <s:v>46247.3746875</s:v>
      </s:c>
    </s:row>
    <s:row r="741">
      <s:c r="A741" s="0" t="n">
        <s:v>260813</s:v>
      </s:c>
      <s:c r="B741" s="0" t="inlineStr">
        <s:is>
          <s:t>이종훈</s:t>
        </s:is>
      </s:c>
      <s:c r="C741" s="0" t="n">
        <s:v>84716</s:v>
      </s:c>
      <s:c r="D741" s="0" t="n">
        <s:v>2309</s:v>
      </s:c>
      <s:c r="F741" s="24">
        <s:f>'자료구성'!$B$2+TIME(INT($C$3/10000),INT(MOD($C$3,10000)/100),MOD($C$3,100))+(ROW()-ROW($C$3))/86400</s:f>
        <s:v>46247.37469907408</s:v>
      </s:c>
    </s:row>
    <s:row r="742">
      <s:c r="A742" s="0" t="n">
        <s:v>260813</s:v>
      </s:c>
      <s:c r="B742" s="0" t="inlineStr">
        <s:is>
          <s:t>이종훈</s:t>
        </s:is>
      </s:c>
      <s:c r="C742" s="0" t="n">
        <s:v>84716</s:v>
      </s:c>
      <s:c r="D742" s="0" t="n">
        <s:v>2333</s:v>
      </s:c>
      <s:c r="F742" s="24">
        <s:f>'자료구성'!$B$2+TIME(INT($C$3/10000),INT(MOD($C$3,10000)/100),MOD($C$3,100))+(ROW()-ROW($C$3))/86400</s:f>
        <s:v>46247.374710648146</s:v>
      </s:c>
    </s:row>
    <s:row r="743">
      <s:c r="A743" s="0" t="n">
        <s:v>260813</s:v>
      </s:c>
      <s:c r="B743" s="0" t="inlineStr">
        <s:is>
          <s:t>이종훈</s:t>
        </s:is>
      </s:c>
      <s:c r="C743" s="0" t="n">
        <s:v>84716</s:v>
      </s:c>
      <s:c r="D743" s="0" t="n">
        <s:v>2328</s:v>
      </s:c>
      <s:c r="F743" s="24">
        <s:f>'자료구성'!$B$2+TIME(INT($C$3/10000),INT(MOD($C$3,10000)/100),MOD($C$3,100))+(ROW()-ROW($C$3))/86400</s:f>
        <s:v>46247.37472222222</s:v>
      </s:c>
    </s:row>
    <s:row r="744">
      <s:c r="A744" s="0" t="n">
        <s:v>260813</s:v>
      </s:c>
      <s:c r="B744" s="0" t="inlineStr">
        <s:is>
          <s:t>이종훈</s:t>
        </s:is>
      </s:c>
      <s:c r="C744" s="0" t="n">
        <s:v>84716</s:v>
      </s:c>
      <s:c r="D744" s="0" t="n">
        <s:v>2305</s:v>
      </s:c>
      <s:c r="F744" s="24">
        <s:f>'자료구성'!$B$2+TIME(INT($C$3/10000),INT(MOD($C$3,10000)/100),MOD($C$3,100))+(ROW()-ROW($C$3))/86400</s:f>
        <s:v>46247.3747337963</s:v>
      </s:c>
    </s:row>
    <s:row r="745">
      <s:c r="A745" s="0" t="n">
        <s:v>260813</s:v>
      </s:c>
      <s:c r="B745" s="0" t="inlineStr">
        <s:is>
          <s:t>이종훈</s:t>
        </s:is>
      </s:c>
      <s:c r="C745" s="0" t="n">
        <s:v>84716</s:v>
      </s:c>
      <s:c r="D745" s="0" t="n">
        <s:v>2241</s:v>
      </s:c>
      <s:c r="F745" s="24">
        <s:f>'자료구성'!$B$2+TIME(INT($C$3/10000),INT(MOD($C$3,10000)/100),MOD($C$3,100))+(ROW()-ROW($C$3))/86400</s:f>
        <s:v>46247.37474537037</s:v>
      </s:c>
    </s:row>
    <s:row r="746">
      <s:c r="A746" s="0" t="n">
        <s:v>260813</s:v>
      </s:c>
      <s:c r="B746" s="0" t="inlineStr">
        <s:is>
          <s:t>이종훈</s:t>
        </s:is>
      </s:c>
      <s:c r="C746" s="0" t="n">
        <s:v>84716</s:v>
      </s:c>
      <s:c r="D746" s="0" t="n">
        <s:v>2210</s:v>
      </s:c>
      <s:c r="F746" s="24">
        <s:f>'자료구성'!$B$2+TIME(INT($C$3/10000),INT(MOD($C$3,10000)/100),MOD($C$3,100))+(ROW()-ROW($C$3))/86400</s:f>
        <s:v>46247.374756944446</s:v>
      </s:c>
    </s:row>
    <s:row r="747">
      <s:c r="A747" s="0" t="n">
        <s:v>260813</s:v>
      </s:c>
      <s:c r="B747" s="0" t="inlineStr">
        <s:is>
          <s:t>이종훈</s:t>
        </s:is>
      </s:c>
      <s:c r="C747" s="0" t="n">
        <s:v>84716</s:v>
      </s:c>
      <s:c r="D747" s="0" t="n">
        <s:v>2232</s:v>
      </s:c>
      <s:c r="F747" s="24">
        <s:f>'자료구성'!$B$2+TIME(INT($C$3/10000),INT(MOD($C$3,10000)/100),MOD($C$3,100))+(ROW()-ROW($C$3))/86400</s:f>
        <s:v>46247.374768518515</s:v>
      </s:c>
    </s:row>
    <s:row r="748">
      <s:c r="A748" s="0" t="n">
        <s:v>260813</s:v>
      </s:c>
      <s:c r="B748" s="0" t="inlineStr">
        <s:is>
          <s:t>이종훈</s:t>
        </s:is>
      </s:c>
      <s:c r="C748" s="0" t="n">
        <s:v>84716</s:v>
      </s:c>
      <s:c r="D748" s="0" t="n">
        <s:v>2225</s:v>
      </s:c>
      <s:c r="F748" s="24">
        <s:f>'자료구성'!$B$2+TIME(INT($C$3/10000),INT(MOD($C$3,10000)/100),MOD($C$3,100))+(ROW()-ROW($C$3))/86400</s:f>
        <s:v>46247.37478009259</s:v>
      </s:c>
    </s:row>
    <s:row r="749">
      <s:c r="A749" s="0" t="n">
        <s:v>260813</s:v>
      </s:c>
      <s:c r="B749" s="0" t="inlineStr">
        <s:is>
          <s:t>이종훈</s:t>
        </s:is>
      </s:c>
      <s:c r="C749" s="0" t="n">
        <s:v>84716</s:v>
      </s:c>
      <s:c r="D749" s="0" t="n">
        <s:v>2217</s:v>
      </s:c>
      <s:c r="F749" s="24">
        <s:f>'자료구성'!$B$2+TIME(INT($C$3/10000),INT(MOD($C$3,10000)/100),MOD($C$3,100))+(ROW()-ROW($C$3))/86400</s:f>
        <s:v>46247.37479166667</s:v>
      </s:c>
    </s:row>
    <s:row r="750">
      <s:c r="A750" s="0" t="n">
        <s:v>260813</s:v>
      </s:c>
      <s:c r="B750" s="0" t="inlineStr">
        <s:is>
          <s:t>이종훈</s:t>
        </s:is>
      </s:c>
      <s:c r="C750" s="0" t="n">
        <s:v>84716</s:v>
      </s:c>
      <s:c r="D750" s="0" t="n">
        <s:v>2184</s:v>
      </s:c>
      <s:c r="F750" s="24">
        <s:f>'자료구성'!$B$2+TIME(INT($C$3/10000),INT(MOD($C$3,10000)/100),MOD($C$3,100))+(ROW()-ROW($C$3))/86400</s:f>
        <s:v>46247.37480324074</s:v>
      </s:c>
    </s:row>
    <s:row r="751">
      <s:c r="A751" s="0" t="n">
        <s:v>260813</s:v>
      </s:c>
      <s:c r="B751" s="0" t="inlineStr">
        <s:is>
          <s:t>이종훈</s:t>
        </s:is>
      </s:c>
      <s:c r="C751" s="0" t="n">
        <s:v>84716</s:v>
      </s:c>
      <s:c r="D751" s="0" t="n">
        <s:v>2147</s:v>
      </s:c>
      <s:c r="F751" s="24">
        <s:f>'자료구성'!$B$2+TIME(INT($C$3/10000),INT(MOD($C$3,10000)/100),MOD($C$3,100))+(ROW()-ROW($C$3))/86400</s:f>
        <s:v>46247.374814814815</s:v>
      </s:c>
    </s:row>
    <s:row r="752">
      <s:c r="A752" s="0" t="n">
        <s:v>260813</s:v>
      </s:c>
      <s:c r="B752" s="0" t="inlineStr">
        <s:is>
          <s:t>이종훈</s:t>
        </s:is>
      </s:c>
      <s:c r="C752" s="0" t="n">
        <s:v>84716</s:v>
      </s:c>
      <s:c r="D752" s="0" t="n">
        <s:v>2143</s:v>
      </s:c>
      <s:c r="F752" s="24">
        <s:f>'자료구성'!$B$2+TIME(INT($C$3/10000),INT(MOD($C$3,10000)/100),MOD($C$3,100))+(ROW()-ROW($C$3))/86400</s:f>
        <s:v>46247.37482638889</s:v>
      </s:c>
    </s:row>
    <s:row r="753">
      <s:c r="A753" s="0" t="n">
        <s:v>260813</s:v>
      </s:c>
      <s:c r="B753" s="0" t="inlineStr">
        <s:is>
          <s:t>이종훈</s:t>
        </s:is>
      </s:c>
      <s:c r="C753" s="0" t="n">
        <s:v>84716</s:v>
      </s:c>
      <s:c r="D753" s="0" t="n">
        <s:v>2208</s:v>
      </s:c>
      <s:c r="F753" s="24">
        <s:f>'자료구성'!$B$2+TIME(INT($C$3/10000),INT(MOD($C$3,10000)/100),MOD($C$3,100))+(ROW()-ROW($C$3))/86400</s:f>
        <s:v>46247.37483796296</s:v>
      </s:c>
    </s:row>
    <s:row r="754">
      <s:c r="A754" s="0" t="n">
        <s:v>260813</s:v>
      </s:c>
      <s:c r="B754" s="0" t="inlineStr">
        <s:is>
          <s:t>이종훈</s:t>
        </s:is>
      </s:c>
      <s:c r="C754" s="0" t="n">
        <s:v>84716</s:v>
      </s:c>
      <s:c r="D754" s="0" t="n">
        <s:v>2241</s:v>
      </s:c>
      <s:c r="F754" s="24">
        <s:f>'자료구성'!$B$2+TIME(INT($C$3/10000),INT(MOD($C$3,10000)/100),MOD($C$3,100))+(ROW()-ROW($C$3))/86400</s:f>
        <s:v>46247.37484953704</s:v>
      </s:c>
    </s:row>
    <s:row r="755">
      <s:c r="A755" s="0" t="n">
        <s:v>260813</s:v>
      </s:c>
      <s:c r="B755" s="0" t="inlineStr">
        <s:is>
          <s:t>이종훈</s:t>
        </s:is>
      </s:c>
      <s:c r="C755" s="0" t="n">
        <s:v>84716</s:v>
      </s:c>
      <s:c r="D755" s="0" t="n">
        <s:v>2288</s:v>
      </s:c>
      <s:c r="F755" s="24">
        <s:f>'자료구성'!$B$2+TIME(INT($C$3/10000),INT(MOD($C$3,10000)/100),MOD($C$3,100))+(ROW()-ROW($C$3))/86400</s:f>
        <s:v>46247.37486111111</s:v>
      </s:c>
    </s:row>
    <s:row r="756">
      <s:c r="A756" s="0" t="n">
        <s:v>260813</s:v>
      </s:c>
      <s:c r="B756" s="0" t="inlineStr">
        <s:is>
          <s:t>이종훈</s:t>
        </s:is>
      </s:c>
      <s:c r="C756" s="0" t="n">
        <s:v>84716</s:v>
      </s:c>
      <s:c r="D756" s="0" t="n">
        <s:v>2324</s:v>
      </s:c>
      <s:c r="F756" s="24">
        <s:f>'자료구성'!$B$2+TIME(INT($C$3/10000),INT(MOD($C$3,10000)/100),MOD($C$3,100))+(ROW()-ROW($C$3))/86400</s:f>
        <s:v>46247.374872685185</s:v>
      </s:c>
    </s:row>
    <s:row r="757">
      <s:c r="A757" s="0" t="n">
        <s:v>260813</s:v>
      </s:c>
      <s:c r="B757" s="0" t="inlineStr">
        <s:is>
          <s:t>이종훈</s:t>
        </s:is>
      </s:c>
      <s:c r="C757" s="0" t="n">
        <s:v>84716</s:v>
      </s:c>
      <s:c r="D757" s="0" t="n">
        <s:v>2400</s:v>
      </s:c>
      <s:c r="F757" s="24">
        <s:f>'자료구성'!$B$2+TIME(INT($C$3/10000),INT(MOD($C$3,10000)/100),MOD($C$3,100))+(ROW()-ROW($C$3))/86400</s:f>
        <s:v>46247.37488425926</s:v>
      </s:c>
    </s:row>
    <s:row r="758">
      <s:c r="A758" s="0" t="n">
        <s:v>260813</s:v>
      </s:c>
      <s:c r="B758" s="0" t="inlineStr">
        <s:is>
          <s:t>이종훈</s:t>
        </s:is>
      </s:c>
      <s:c r="C758" s="0" t="n">
        <s:v>84716</s:v>
      </s:c>
      <s:c r="D758" s="0" t="n">
        <s:v>2468</s:v>
      </s:c>
      <s:c r="F758" s="24">
        <s:f>'자료구성'!$B$2+TIME(INT($C$3/10000),INT(MOD($C$3,10000)/100),MOD($C$3,100))+(ROW()-ROW($C$3))/86400</s:f>
        <s:v>46247.37489583333</s:v>
      </s:c>
    </s:row>
    <s:row r="759">
      <s:c r="A759" s="0" t="n">
        <s:v>260813</s:v>
      </s:c>
      <s:c r="B759" s="0" t="inlineStr">
        <s:is>
          <s:t>이종훈</s:t>
        </s:is>
      </s:c>
      <s:c r="C759" s="0" t="n">
        <s:v>84716</s:v>
      </s:c>
      <s:c r="D759" s="0" t="n">
        <s:v>2481</s:v>
      </s:c>
      <s:c r="F759" s="24">
        <s:f>'자료구성'!$B$2+TIME(INT($C$3/10000),INT(MOD($C$3,10000)/100),MOD($C$3,100))+(ROW()-ROW($C$3))/86400</s:f>
        <s:v>46247.37490740741</s:v>
      </s:c>
    </s:row>
    <s:row r="760">
      <s:c r="A760" s="0" t="n">
        <s:v>260813</s:v>
      </s:c>
      <s:c r="B760" s="0" t="inlineStr">
        <s:is>
          <s:t>이종훈</s:t>
        </s:is>
      </s:c>
      <s:c r="C760" s="0" t="n">
        <s:v>84716</s:v>
      </s:c>
      <s:c r="D760" s="0" t="n">
        <s:v>2481</s:v>
      </s:c>
      <s:c r="F760" s="24">
        <s:f>'자료구성'!$B$2+TIME(INT($C$3/10000),INT(MOD($C$3,10000)/100),MOD($C$3,100))+(ROW()-ROW($C$3))/86400</s:f>
        <s:v>46247.374918981484</s:v>
      </s:c>
    </s:row>
    <s:row r="761">
      <s:c r="A761" s="0" t="n">
        <s:v>260813</s:v>
      </s:c>
      <s:c r="B761" s="0" t="inlineStr">
        <s:is>
          <s:t>이종훈</s:t>
        </s:is>
      </s:c>
      <s:c r="C761" s="0" t="n">
        <s:v>84716</s:v>
      </s:c>
      <s:c r="D761" s="0" t="n">
        <s:v>2495</s:v>
      </s:c>
      <s:c r="F761" s="24">
        <s:f>'자료구성'!$B$2+TIME(INT($C$3/10000),INT(MOD($C$3,10000)/100),MOD($C$3,100))+(ROW()-ROW($C$3))/86400</s:f>
        <s:v>46247.374930555554</s:v>
      </s:c>
    </s:row>
    <s:row r="762">
      <s:c r="A762" s="0" t="n">
        <s:v>260813</s:v>
      </s:c>
      <s:c r="B762" s="0" t="inlineStr">
        <s:is>
          <s:t>이종훈</s:t>
        </s:is>
      </s:c>
      <s:c r="C762" s="0" t="n">
        <s:v>84716</s:v>
      </s:c>
      <s:c r="D762" s="0" t="n">
        <s:v>2526</s:v>
      </s:c>
      <s:c r="F762" s="24">
        <s:f>'자료구성'!$B$2+TIME(INT($C$3/10000),INT(MOD($C$3,10000)/100),MOD($C$3,100))+(ROW()-ROW($C$3))/86400</s:f>
        <s:v>46247.37494212963</s:v>
      </s:c>
    </s:row>
    <s:row r="763">
      <s:c r="A763" s="0" t="n">
        <s:v>260813</s:v>
      </s:c>
      <s:c r="B763" s="0" t="inlineStr">
        <s:is>
          <s:t>이종훈</s:t>
        </s:is>
      </s:c>
      <s:c r="C763" s="0" t="n">
        <s:v>84716</s:v>
      </s:c>
      <s:c r="D763" s="0" t="n">
        <s:v>2518</s:v>
      </s:c>
      <s:c r="F763" s="24">
        <s:f>'자료구성'!$B$2+TIME(INT($C$3/10000),INT(MOD($C$3,10000)/100),MOD($C$3,100))+(ROW()-ROW($C$3))/86400</s:f>
        <s:v>46247.3749537037</s:v>
      </s:c>
    </s:row>
    <s:row r="764">
      <s:c r="A764" s="0" t="n">
        <s:v>260813</s:v>
      </s:c>
      <s:c r="B764" s="0" t="inlineStr">
        <s:is>
          <s:t>이종훈</s:t>
        </s:is>
      </s:c>
      <s:c r="C764" s="0" t="n">
        <s:v>84716</s:v>
      </s:c>
      <s:c r="D764" s="0" t="n">
        <s:v>2526</s:v>
      </s:c>
      <s:c r="F764" s="24">
        <s:f>'자료구성'!$B$2+TIME(INT($C$3/10000),INT(MOD($C$3,10000)/100),MOD($C$3,100))+(ROW()-ROW($C$3))/86400</s:f>
        <s:v>46247.37496527778</s:v>
      </s:c>
    </s:row>
    <s:row r="765">
      <s:c r="A765" s="0" t="n">
        <s:v>260813</s:v>
      </s:c>
      <s:c r="B765" s="0" t="inlineStr">
        <s:is>
          <s:t>이종훈</s:t>
        </s:is>
      </s:c>
      <s:c r="C765" s="0" t="n">
        <s:v>84716</s:v>
      </s:c>
      <s:c r="D765" s="0" t="n">
        <s:v>2525</s:v>
      </s:c>
      <s:c r="F765" s="24">
        <s:f>'자료구성'!$B$2+TIME(INT($C$3/10000),INT(MOD($C$3,10000)/100),MOD($C$3,100))+(ROW()-ROW($C$3))/86400</s:f>
        <s:v>46247.374976851854</s:v>
      </s:c>
    </s:row>
    <s:row r="766">
      <s:c r="A766" s="0" t="n">
        <s:v>260813</s:v>
      </s:c>
      <s:c r="B766" s="0" t="inlineStr">
        <s:is>
          <s:t>이종훈</s:t>
        </s:is>
      </s:c>
      <s:c r="C766" s="0" t="n">
        <s:v>84716</s:v>
      </s:c>
      <s:c r="D766" s="0" t="n">
        <s:v>2541</s:v>
      </s:c>
      <s:c r="F766" s="24">
        <s:f>'자료구성'!$B$2+TIME(INT($C$3/10000),INT(MOD($C$3,10000)/100),MOD($C$3,100))+(ROW()-ROW($C$3))/86400</s:f>
        <s:v>46247.37498842592</s:v>
      </s:c>
    </s:row>
    <s:row r="767">
      <s:c r="A767" s="0" t="n">
        <s:v>260813</s:v>
      </s:c>
      <s:c r="B767" s="0" t="inlineStr">
        <s:is>
          <s:t>이종훈</s:t>
        </s:is>
      </s:c>
      <s:c r="C767" s="0" t="n">
        <s:v>84716</s:v>
      </s:c>
      <s:c r="D767" s="0" t="n">
        <s:v>2605</s:v>
      </s:c>
      <s:c r="F767" s="24">
        <s:f>'자료구성'!$B$2+TIME(INT($C$3/10000),INT(MOD($C$3,10000)/100),MOD($C$3,100))+(ROW()-ROW($C$3))/86400</s:f>
        <s:v>46247.375</s:v>
      </s:c>
    </s:row>
    <s:row r="768">
      <s:c r="A768" s="0" t="n">
        <s:v>260813</s:v>
      </s:c>
      <s:c r="B768" s="0" t="inlineStr">
        <s:is>
          <s:t>이종훈</s:t>
        </s:is>
      </s:c>
      <s:c r="C768" s="0" t="n">
        <s:v>84716</s:v>
      </s:c>
      <s:c r="D768" s="0" t="n">
        <s:v>2605</s:v>
      </s:c>
      <s:c r="F768" s="24">
        <s:f>'자료구성'!$B$2+TIME(INT($C$3/10000),INT(MOD($C$3,10000)/100),MOD($C$3,100))+(ROW()-ROW($C$3))/86400</s:f>
        <s:v>46247.37501157408</s:v>
      </s:c>
    </s:row>
    <s:row r="769">
      <s:c r="A769" s="0" t="n">
        <s:v>260813</s:v>
      </s:c>
      <s:c r="B769" s="0" t="inlineStr">
        <s:is>
          <s:t>이종훈</s:t>
        </s:is>
      </s:c>
      <s:c r="C769" s="0" t="n">
        <s:v>84716</s:v>
      </s:c>
      <s:c r="D769" s="0" t="n">
        <s:v>2649</s:v>
      </s:c>
      <s:c r="F769" s="24">
        <s:f>'자료구성'!$B$2+TIME(INT($C$3/10000),INT(MOD($C$3,10000)/100),MOD($C$3,100))+(ROW()-ROW($C$3))/86400</s:f>
        <s:v>46247.375023148146</s:v>
      </s:c>
    </s:row>
    <s:row r="770">
      <s:c r="A770" s="0" t="n">
        <s:v>260813</s:v>
      </s:c>
      <s:c r="B770" s="0" t="inlineStr">
        <s:is>
          <s:t>이종훈</s:t>
        </s:is>
      </s:c>
      <s:c r="C770" s="0" t="n">
        <s:v>84716</s:v>
      </s:c>
      <s:c r="D770" s="0" t="n">
        <s:v>2617</s:v>
      </s:c>
      <s:c r="F770" s="24">
        <s:f>'자료구성'!$B$2+TIME(INT($C$3/10000),INT(MOD($C$3,10000)/100),MOD($C$3,100))+(ROW()-ROW($C$3))/86400</s:f>
        <s:v>46247.37503472222</s:v>
      </s:c>
    </s:row>
    <s:row r="771">
      <s:c r="A771" s="0" t="n">
        <s:v>260813</s:v>
      </s:c>
      <s:c r="B771" s="0" t="inlineStr">
        <s:is>
          <s:t>이종훈</s:t>
        </s:is>
      </s:c>
      <s:c r="C771" s="0" t="n">
        <s:v>84716</s:v>
      </s:c>
      <s:c r="D771" s="0" t="n">
        <s:v>2593</s:v>
      </s:c>
      <s:c r="F771" s="24">
        <s:f>'자료구성'!$B$2+TIME(INT($C$3/10000),INT(MOD($C$3,10000)/100),MOD($C$3,100))+(ROW()-ROW($C$3))/86400</s:f>
        <s:v>46247.3750462963</s:v>
      </s:c>
    </s:row>
    <s:row r="772">
      <s:c r="A772" s="0" t="n">
        <s:v>260813</s:v>
      </s:c>
      <s:c r="B772" s="0" t="inlineStr">
        <s:is>
          <s:t>이종훈</s:t>
        </s:is>
      </s:c>
      <s:c r="C772" s="0" t="n">
        <s:v>84716</s:v>
      </s:c>
      <s:c r="D772" s="0" t="n">
        <s:v>2608</s:v>
      </s:c>
      <s:c r="F772" s="24">
        <s:f>'자료구성'!$B$2+TIME(INT($C$3/10000),INT(MOD($C$3,10000)/100),MOD($C$3,100))+(ROW()-ROW($C$3))/86400</s:f>
        <s:v>46247.37505787037</s:v>
      </s:c>
    </s:row>
    <s:row r="773">
      <s:c r="A773" s="0" t="n">
        <s:v>260813</s:v>
      </s:c>
      <s:c r="B773" s="0" t="inlineStr">
        <s:is>
          <s:t>이종훈</s:t>
        </s:is>
      </s:c>
      <s:c r="C773" s="0" t="n">
        <s:v>84716</s:v>
      </s:c>
      <s:c r="D773" s="0" t="n">
        <s:v>2644</s:v>
      </s:c>
      <s:c r="F773" s="24">
        <s:f>'자료구성'!$B$2+TIME(INT($C$3/10000),INT(MOD($C$3,10000)/100),MOD($C$3,100))+(ROW()-ROW($C$3))/86400</s:f>
        <s:v>46247.375069444446</s:v>
      </s:c>
    </s:row>
    <s:row r="774">
      <s:c r="A774" s="0" t="n">
        <s:v>260813</s:v>
      </s:c>
      <s:c r="B774" s="0" t="inlineStr">
        <s:is>
          <s:t>이종훈</s:t>
        </s:is>
      </s:c>
      <s:c r="C774" s="0" t="n">
        <s:v>84716</s:v>
      </s:c>
      <s:c r="D774" s="0" t="n">
        <s:v>2707</s:v>
      </s:c>
      <s:c r="F774" s="24">
        <s:f>'자료구성'!$B$2+TIME(INT($C$3/10000),INT(MOD($C$3,10000)/100),MOD($C$3,100))+(ROW()-ROW($C$3))/86400</s:f>
        <s:v>46247.375081018516</s:v>
      </s:c>
    </s:row>
    <s:row r="775">
      <s:c r="A775" s="0" t="n">
        <s:v>260813</s:v>
      </s:c>
      <s:c r="B775" s="0" t="inlineStr">
        <s:is>
          <s:t>이종훈</s:t>
        </s:is>
      </s:c>
      <s:c r="C775" s="0" t="n">
        <s:v>84716</s:v>
      </s:c>
      <s:c r="D775" s="0" t="n">
        <s:v>2731</s:v>
      </s:c>
      <s:c r="F775" s="24">
        <s:f>'자료구성'!$B$2+TIME(INT($C$3/10000),INT(MOD($C$3,10000)/100),MOD($C$3,100))+(ROW()-ROW($C$3))/86400</s:f>
        <s:v>46247.37509259259</s:v>
      </s:c>
    </s:row>
    <s:row r="776">
      <s:c r="A776" s="0" t="n">
        <s:v>260813</s:v>
      </s:c>
      <s:c r="B776" s="0" t="inlineStr">
        <s:is>
          <s:t>이종훈</s:t>
        </s:is>
      </s:c>
      <s:c r="C776" s="0" t="n">
        <s:v>84716</s:v>
      </s:c>
      <s:c r="D776" s="0" t="n">
        <s:v>2734</s:v>
      </s:c>
      <s:c r="F776" s="24">
        <s:f>'자료구성'!$B$2+TIME(INT($C$3/10000),INT(MOD($C$3,10000)/100),MOD($C$3,100))+(ROW()-ROW($C$3))/86400</s:f>
        <s:v>46247.37510416667</s:v>
      </s:c>
    </s:row>
    <s:row r="777">
      <s:c r="A777" s="0" t="n">
        <s:v>260813</s:v>
      </s:c>
      <s:c r="B777" s="0" t="inlineStr">
        <s:is>
          <s:t>이종훈</s:t>
        </s:is>
      </s:c>
      <s:c r="C777" s="0" t="n">
        <s:v>84716</s:v>
      </s:c>
      <s:c r="D777" s="0" t="n">
        <s:v>2748</s:v>
      </s:c>
      <s:c r="F777" s="24">
        <s:f>'자료구성'!$B$2+TIME(INT($C$3/10000),INT(MOD($C$3,10000)/100),MOD($C$3,100))+(ROW()-ROW($C$3))/86400</s:f>
        <s:v>46247.37511574074</s:v>
      </s:c>
    </s:row>
    <s:row r="778">
      <s:c r="A778" s="0" t="n">
        <s:v>260813</s:v>
      </s:c>
      <s:c r="B778" s="0" t="inlineStr">
        <s:is>
          <s:t>이종훈</s:t>
        </s:is>
      </s:c>
      <s:c r="C778" s="0" t="n">
        <s:v>84716</s:v>
      </s:c>
      <s:c r="D778" s="0" t="n">
        <s:v>2738</s:v>
      </s:c>
      <s:c r="F778" s="24">
        <s:f>'자료구성'!$B$2+TIME(INT($C$3/10000),INT(MOD($C$3,10000)/100),MOD($C$3,100))+(ROW()-ROW($C$3))/86400</s:f>
        <s:v>46247.375127314815</s:v>
      </s:c>
    </s:row>
    <s:row r="779">
      <s:c r="A779" s="0" t="n">
        <s:v>260813</s:v>
      </s:c>
      <s:c r="B779" s="0" t="inlineStr">
        <s:is>
          <s:t>이종훈</s:t>
        </s:is>
      </s:c>
      <s:c r="C779" s="0" t="n">
        <s:v>84716</s:v>
      </s:c>
      <s:c r="D779" s="0" t="n">
        <s:v>2742</s:v>
      </s:c>
      <s:c r="F779" s="24">
        <s:f>'자료구성'!$B$2+TIME(INT($C$3/10000),INT(MOD($C$3,10000)/100),MOD($C$3,100))+(ROW()-ROW($C$3))/86400</s:f>
        <s:v>46247.37513888889</s:v>
      </s:c>
    </s:row>
    <s:row r="780">
      <s:c r="A780" s="0" t="n">
        <s:v>260813</s:v>
      </s:c>
      <s:c r="B780" s="0" t="inlineStr">
        <s:is>
          <s:t>이종훈</s:t>
        </s:is>
      </s:c>
      <s:c r="C780" s="0" t="n">
        <s:v>84716</s:v>
      </s:c>
      <s:c r="D780" s="0" t="n">
        <s:v>2744</s:v>
      </s:c>
      <s:c r="F780" s="24">
        <s:f>'자료구성'!$B$2+TIME(INT($C$3/10000),INT(MOD($C$3,10000)/100),MOD($C$3,100))+(ROW()-ROW($C$3))/86400</s:f>
        <s:v>46247.37515046296</s:v>
      </s:c>
    </s:row>
    <s:row r="781">
      <s:c r="A781" s="0" t="n">
        <s:v>260813</s:v>
      </s:c>
      <s:c r="B781" s="0" t="inlineStr">
        <s:is>
          <s:t>이종훈</s:t>
        </s:is>
      </s:c>
      <s:c r="C781" s="0" t="n">
        <s:v>84716</s:v>
      </s:c>
      <s:c r="D781" s="0" t="n">
        <s:v>2750</s:v>
      </s:c>
      <s:c r="F781" s="24">
        <s:f>'자료구성'!$B$2+TIME(INT($C$3/10000),INT(MOD($C$3,10000)/100),MOD($C$3,100))+(ROW()-ROW($C$3))/86400</s:f>
        <s:v>46247.37516203704</s:v>
      </s:c>
    </s:row>
    <s:row r="782">
      <s:c r="A782" s="0" t="n">
        <s:v>260813</s:v>
      </s:c>
      <s:c r="B782" s="0" t="inlineStr">
        <s:is>
          <s:t>이종훈</s:t>
        </s:is>
      </s:c>
      <s:c r="C782" s="0" t="n">
        <s:v>84716</s:v>
      </s:c>
      <s:c r="D782" s="0" t="n">
        <s:v>2703</s:v>
      </s:c>
      <s:c r="F782" s="24">
        <s:f>'자료구성'!$B$2+TIME(INT($C$3/10000),INT(MOD($C$3,10000)/100),MOD($C$3,100))+(ROW()-ROW($C$3))/86400</s:f>
        <s:v>46247.37517361111</s:v>
      </s:c>
    </s:row>
    <s:row r="783">
      <s:c r="A783" s="0" t="n">
        <s:v>260813</s:v>
      </s:c>
      <s:c r="B783" s="0" t="inlineStr">
        <s:is>
          <s:t>이종훈</s:t>
        </s:is>
      </s:c>
      <s:c r="C783" s="0" t="n">
        <s:v>84716</s:v>
      </s:c>
      <s:c r="D783" s="0" t="n">
        <s:v>2647</s:v>
      </s:c>
      <s:c r="F783" s="24">
        <s:f>'자료구성'!$B$2+TIME(INT($C$3/10000),INT(MOD($C$3,10000)/100),MOD($C$3,100))+(ROW()-ROW($C$3))/86400</s:f>
        <s:v>46247.375185185185</s:v>
      </s:c>
    </s:row>
    <s:row r="784">
      <s:c r="A784" s="0" t="n">
        <s:v>260813</s:v>
      </s:c>
      <s:c r="B784" s="0" t="inlineStr">
        <s:is>
          <s:t>이종훈</s:t>
        </s:is>
      </s:c>
      <s:c r="C784" s="0" t="n">
        <s:v>84716</s:v>
      </s:c>
      <s:c r="D784" s="0" t="n">
        <s:v>2658</s:v>
      </s:c>
      <s:c r="F784" s="24">
        <s:f>'자료구성'!$B$2+TIME(INT($C$3/10000),INT(MOD($C$3,10000)/100),MOD($C$3,100))+(ROW()-ROW($C$3))/86400</s:f>
        <s:v>46247.37519675926</s:v>
      </s:c>
    </s:row>
    <s:row r="785">
      <s:c r="A785" s="0" t="n">
        <s:v>260813</s:v>
      </s:c>
      <s:c r="B785" s="0" t="inlineStr">
        <s:is>
          <s:t>이종훈</s:t>
        </s:is>
      </s:c>
      <s:c r="C785" s="0" t="n">
        <s:v>84716</s:v>
      </s:c>
      <s:c r="D785" s="0" t="n">
        <s:v>2682</s:v>
      </s:c>
      <s:c r="F785" s="24">
        <s:f>'자료구성'!$B$2+TIME(INT($C$3/10000),INT(MOD($C$3,10000)/100),MOD($C$3,100))+(ROW()-ROW($C$3))/86400</s:f>
        <s:v>46247.37520833333</s:v>
      </s:c>
    </s:row>
    <s:row r="786">
      <s:c r="A786" s="0" t="n">
        <s:v>260813</s:v>
      </s:c>
      <s:c r="B786" s="0" t="inlineStr">
        <s:is>
          <s:t>이종훈</s:t>
        </s:is>
      </s:c>
      <s:c r="C786" s="0" t="n">
        <s:v>84716</s:v>
      </s:c>
      <s:c r="D786" s="0" t="n">
        <s:v>2770</s:v>
      </s:c>
      <s:c r="F786" s="24">
        <s:f>'자료구성'!$B$2+TIME(INT($C$3/10000),INT(MOD($C$3,10000)/100),MOD($C$3,100))+(ROW()-ROW($C$3))/86400</s:f>
        <s:v>46247.37521990741</s:v>
      </s:c>
    </s:row>
    <s:row r="787">
      <s:c r="A787" s="0" t="n">
        <s:v>260813</s:v>
      </s:c>
      <s:c r="B787" s="0" t="inlineStr">
        <s:is>
          <s:t>이종훈</s:t>
        </s:is>
      </s:c>
      <s:c r="C787" s="0" t="n">
        <s:v>84716</s:v>
      </s:c>
      <s:c r="D787" s="0" t="n">
        <s:v>2711</s:v>
      </s:c>
      <s:c r="F787" s="24">
        <s:f>'자료구성'!$B$2+TIME(INT($C$3/10000),INT(MOD($C$3,10000)/100),MOD($C$3,100))+(ROW()-ROW($C$3))/86400</s:f>
        <s:v>46247.375231481485</s:v>
      </s:c>
    </s:row>
    <s:row r="788">
      <s:c r="A788" s="0" t="n">
        <s:v>260813</s:v>
      </s:c>
      <s:c r="B788" s="0" t="inlineStr">
        <s:is>
          <s:t>이종훈</s:t>
        </s:is>
      </s:c>
      <s:c r="C788" s="0" t="n">
        <s:v>84716</s:v>
      </s:c>
      <s:c r="D788" s="0" t="n">
        <s:v>2619</s:v>
      </s:c>
      <s:c r="F788" s="24">
        <s:f>'자료구성'!$B$2+TIME(INT($C$3/10000),INT(MOD($C$3,10000)/100),MOD($C$3,100))+(ROW()-ROW($C$3))/86400</s:f>
        <s:v>46247.375243055554</s:v>
      </s:c>
    </s:row>
    <s:row r="789">
      <s:c r="A789" s="0" t="n">
        <s:v>260813</s:v>
      </s:c>
      <s:c r="B789" s="0" t="inlineStr">
        <s:is>
          <s:t>이종훈</s:t>
        </s:is>
      </s:c>
      <s:c r="C789" s="0" t="n">
        <s:v>84716</s:v>
      </s:c>
      <s:c r="D789" s="0" t="n">
        <s:v>2551</s:v>
      </s:c>
      <s:c r="F789" s="24">
        <s:f>'자료구성'!$B$2+TIME(INT($C$3/10000),INT(MOD($C$3,10000)/100),MOD($C$3,100))+(ROW()-ROW($C$3))/86400</s:f>
        <s:v>46247.37525462963</s:v>
      </s:c>
    </s:row>
    <s:row r="790">
      <s:c r="A790" s="0" t="n">
        <s:v>260813</s:v>
      </s:c>
      <s:c r="B790" s="0" t="inlineStr">
        <s:is>
          <s:t>이종훈</s:t>
        </s:is>
      </s:c>
      <s:c r="C790" s="0" t="n">
        <s:v>84716</s:v>
      </s:c>
      <s:c r="D790" s="0" t="n">
        <s:v>2441</s:v>
      </s:c>
      <s:c r="F790" s="24">
        <s:f>'자료구성'!$B$2+TIME(INT($C$3/10000),INT(MOD($C$3,10000)/100),MOD($C$3,100))+(ROW()-ROW($C$3))/86400</s:f>
        <s:v>46247.3752662037</s:v>
      </s:c>
    </s:row>
    <s:row r="791">
      <s:c r="A791" s="0" t="n">
        <s:v>260813</s:v>
      </s:c>
      <s:c r="B791" s="0" t="inlineStr">
        <s:is>
          <s:t>이종훈</s:t>
        </s:is>
      </s:c>
      <s:c r="C791" s="0" t="n">
        <s:v>84716</s:v>
      </s:c>
      <s:c r="D791" s="0" t="n">
        <s:v>2341</s:v>
      </s:c>
      <s:c r="F791" s="24">
        <s:f>'자료구성'!$B$2+TIME(INT($C$3/10000),INT(MOD($C$3,10000)/100),MOD($C$3,100))+(ROW()-ROW($C$3))/86400</s:f>
        <s:v>46247.37527777778</s:v>
      </s:c>
    </s:row>
    <s:row r="792">
      <s:c r="A792" s="0" t="n">
        <s:v>260813</s:v>
      </s:c>
      <s:c r="B792" s="0" t="inlineStr">
        <s:is>
          <s:t>이종훈</s:t>
        </s:is>
      </s:c>
      <s:c r="C792" s="0" t="n">
        <s:v>84716</s:v>
      </s:c>
      <s:c r="D792" s="0" t="n">
        <s:v>2214</s:v>
      </s:c>
      <s:c r="F792" s="24">
        <s:f>'자료구성'!$B$2+TIME(INT($C$3/10000),INT(MOD($C$3,10000)/100),MOD($C$3,100))+(ROW()-ROW($C$3))/86400</s:f>
        <s:v>46247.375289351854</s:v>
      </s:c>
    </s:row>
    <s:row r="793">
      <s:c r="A793" s="0" t="n">
        <s:v>260813</s:v>
      </s:c>
      <s:c r="B793" s="0" t="inlineStr">
        <s:is>
          <s:t>이종훈</s:t>
        </s:is>
      </s:c>
      <s:c r="C793" s="0" t="n">
        <s:v>84716</s:v>
      </s:c>
      <s:c r="D793" s="0" t="n">
        <s:v>2090</s:v>
      </s:c>
      <s:c r="F793" s="24">
        <s:f>'자료구성'!$B$2+TIME(INT($C$3/10000),INT(MOD($C$3,10000)/100),MOD($C$3,100))+(ROW()-ROW($C$3))/86400</s:f>
        <s:v>46247.37530092592</s:v>
      </s:c>
    </s:row>
    <s:row r="794">
      <s:c r="A794" s="0" t="n">
        <s:v>260813</s:v>
      </s:c>
      <s:c r="B794" s="0" t="inlineStr">
        <s:is>
          <s:t>이종훈</s:t>
        </s:is>
      </s:c>
      <s:c r="C794" s="0" t="n">
        <s:v>84716</s:v>
      </s:c>
      <s:c r="D794" s="0" t="n">
        <s:v>2014</s:v>
      </s:c>
      <s:c r="F794" s="24">
        <s:f>'자료구성'!$B$2+TIME(INT($C$3/10000),INT(MOD($C$3,10000)/100),MOD($C$3,100))+(ROW()-ROW($C$3))/86400</s:f>
        <s:v>46247.3753125</s:v>
      </s:c>
    </s:row>
    <s:row r="795">
      <s:c r="A795" s="0" t="n">
        <s:v>260813</s:v>
      </s:c>
      <s:c r="B795" s="0" t="inlineStr">
        <s:is>
          <s:t>이종훈</s:t>
        </s:is>
      </s:c>
      <s:c r="C795" s="0" t="n">
        <s:v>84716</s:v>
      </s:c>
      <s:c r="D795" s="0" t="n">
        <s:v>1929</s:v>
      </s:c>
      <s:c r="F795" s="24">
        <s:f>'자료구성'!$B$2+TIME(INT($C$3/10000),INT(MOD($C$3,10000)/100),MOD($C$3,100))+(ROW()-ROW($C$3))/86400</s:f>
        <s:v>46247.37532407408</s:v>
      </s:c>
    </s:row>
    <s:row r="796">
      <s:c r="A796" s="0" t="n">
        <s:v>260813</s:v>
      </s:c>
      <s:c r="B796" s="0" t="inlineStr">
        <s:is>
          <s:t>이종훈</s:t>
        </s:is>
      </s:c>
      <s:c r="C796" s="0" t="n">
        <s:v>84716</s:v>
      </s:c>
      <s:c r="D796" s="0" t="n">
        <s:v>1862</s:v>
      </s:c>
      <s:c r="F796" s="24">
        <s:f>'자료구성'!$B$2+TIME(INT($C$3/10000),INT(MOD($C$3,10000)/100),MOD($C$3,100))+(ROW()-ROW($C$3))/86400</s:f>
        <s:v>46247.37533564815</s:v>
      </s:c>
    </s:row>
    <s:row r="797">
      <s:c r="A797" s="0" t="n">
        <s:v>260813</s:v>
      </s:c>
      <s:c r="B797" s="0" t="inlineStr">
        <s:is>
          <s:t>이종훈</s:t>
        </s:is>
      </s:c>
      <s:c r="C797" s="0" t="n">
        <s:v>84716</s:v>
      </s:c>
      <s:c r="D797" s="0" t="n">
        <s:v>1804</s:v>
      </s:c>
      <s:c r="F797" s="24">
        <s:f>'자료구성'!$B$2+TIME(INT($C$3/10000),INT(MOD($C$3,10000)/100),MOD($C$3,100))+(ROW()-ROW($C$3))/86400</s:f>
        <s:v>46247.37534722222</s:v>
      </s:c>
    </s:row>
    <s:row r="798">
      <s:c r="A798" s="0" t="n">
        <s:v>260813</s:v>
      </s:c>
      <s:c r="B798" s="0" t="inlineStr">
        <s:is>
          <s:t>이종훈</s:t>
        </s:is>
      </s:c>
      <s:c r="C798" s="0" t="n">
        <s:v>84716</s:v>
      </s:c>
      <s:c r="D798" s="0" t="n">
        <s:v>1741</s:v>
      </s:c>
      <s:c r="F798" s="24">
        <s:f>'자료구성'!$B$2+TIME(INT($C$3/10000),INT(MOD($C$3,10000)/100),MOD($C$3,100))+(ROW()-ROW($C$3))/86400</s:f>
        <s:v>46247.37535879629</s:v>
      </s:c>
    </s:row>
    <s:row r="799">
      <s:c r="A799" s="0" t="n">
        <s:v>260813</s:v>
      </s:c>
      <s:c r="B799" s="0" t="inlineStr">
        <s:is>
          <s:t>이종훈</s:t>
        </s:is>
      </s:c>
      <s:c r="C799" s="0" t="n">
        <s:v>84716</s:v>
      </s:c>
      <s:c r="D799" s="0" t="n">
        <s:v>1692</s:v>
      </s:c>
      <s:c r="F799" s="24">
        <s:f>'자료구성'!$B$2+TIME(INT($C$3/10000),INT(MOD($C$3,10000)/100),MOD($C$3,100))+(ROW()-ROW($C$3))/86400</s:f>
        <s:v>46247.37537037037</s:v>
      </s:c>
    </s:row>
    <s:row r="800">
      <s:c r="A800" s="0" t="n">
        <s:v>260813</s:v>
      </s:c>
      <s:c r="B800" s="0" t="inlineStr">
        <s:is>
          <s:t>이종훈</s:t>
        </s:is>
      </s:c>
      <s:c r="C800" s="0" t="n">
        <s:v>84716</s:v>
      </s:c>
      <s:c r="D800" s="0" t="n">
        <s:v>1647</s:v>
      </s:c>
      <s:c r="F800" s="24">
        <s:f>'자료구성'!$B$2+TIME(INT($C$3/10000),INT(MOD($C$3,10000)/100),MOD($C$3,100))+(ROW()-ROW($C$3))/86400</s:f>
        <s:v>46247.37538194445</s:v>
      </s:c>
    </s:row>
    <s:row r="801">
      <s:c r="A801" s="0" t="n">
        <s:v>260813</s:v>
      </s:c>
      <s:c r="B801" s="0" t="inlineStr">
        <s:is>
          <s:t>이종훈</s:t>
        </s:is>
      </s:c>
      <s:c r="C801" s="0" t="n">
        <s:v>84716</s:v>
      </s:c>
      <s:c r="D801" s="0" t="n">
        <s:v>1587</s:v>
      </s:c>
      <s:c r="F801" s="24">
        <s:f>'자료구성'!$B$2+TIME(INT($C$3/10000),INT(MOD($C$3,10000)/100),MOD($C$3,100))+(ROW()-ROW($C$3))/86400</s:f>
        <s:v>46247.375393518516</s:v>
      </s:c>
    </s:row>
    <s:row r="802">
      <s:c r="A802" s="0" t="n">
        <s:v>260813</s:v>
      </s:c>
      <s:c r="B802" s="0" t="inlineStr">
        <s:is>
          <s:t>이종훈</s:t>
        </s:is>
      </s:c>
      <s:c r="C802" s="0" t="n">
        <s:v>84716</s:v>
      </s:c>
      <s:c r="D802" s="0" t="n">
        <s:v>1570</s:v>
      </s:c>
      <s:c r="F802" s="24">
        <s:f>'자료구성'!$B$2+TIME(INT($C$3/10000),INT(MOD($C$3,10000)/100),MOD($C$3,100))+(ROW()-ROW($C$3))/86400</s:f>
        <s:v>46247.37540509259</s:v>
      </s:c>
    </s:row>
    <s:row r="803">
      <s:c r="A803" s="0" t="n">
        <s:v>260813</s:v>
      </s:c>
      <s:c r="B803" s="0" t="inlineStr">
        <s:is>
          <s:t>이종훈</s:t>
        </s:is>
      </s:c>
      <s:c r="C803" s="0" t="n">
        <s:v>84716</s:v>
      </s:c>
      <s:c r="D803" s="0" t="n">
        <s:v>1531</s:v>
      </s:c>
      <s:c r="F803" s="24">
        <s:f>'자료구성'!$B$2+TIME(INT($C$3/10000),INT(MOD($C$3,10000)/100),MOD($C$3,100))+(ROW()-ROW($C$3))/86400</s:f>
        <s:v>46247.37541666667</s:v>
      </s:c>
    </s:row>
    <s:row r="804">
      <s:c r="A804" s="0" t="n">
        <s:v>260813</s:v>
      </s:c>
      <s:c r="B804" s="0" t="inlineStr">
        <s:is>
          <s:t>이종훈</s:t>
        </s:is>
      </s:c>
      <s:c r="C804" s="0" t="n">
        <s:v>84716</s:v>
      </s:c>
      <s:c r="D804" s="0" t="n">
        <s:v>1496</s:v>
      </s:c>
      <s:c r="F804" s="24">
        <s:f>'자료구성'!$B$2+TIME(INT($C$3/10000),INT(MOD($C$3,10000)/100),MOD($C$3,100))+(ROW()-ROW($C$3))/86400</s:f>
        <s:v>46247.37542824074</s:v>
      </s:c>
    </s:row>
    <s:row r="805">
      <s:c r="A805" s="0" t="n">
        <s:v>260813</s:v>
      </s:c>
      <s:c r="B805" s="0" t="inlineStr">
        <s:is>
          <s:t>이종훈</s:t>
        </s:is>
      </s:c>
      <s:c r="C805" s="0" t="n">
        <s:v>84716</s:v>
      </s:c>
      <s:c r="D805" s="0" t="n">
        <s:v>1469</s:v>
      </s:c>
      <s:c r="F805" s="24">
        <s:f>'자료구성'!$B$2+TIME(INT($C$3/10000),INT(MOD($C$3,10000)/100),MOD($C$3,100))+(ROW()-ROW($C$3))/86400</s:f>
        <s:v>46247.375439814816</s:v>
      </s:c>
    </s:row>
    <s:row r="806">
      <s:c r="A806" s="0" t="n">
        <s:v>260813</s:v>
      </s:c>
      <s:c r="B806" s="0" t="inlineStr">
        <s:is>
          <s:t>이종훈</s:t>
        </s:is>
      </s:c>
      <s:c r="C806" s="0" t="n">
        <s:v>84716</s:v>
      </s:c>
      <s:c r="D806" s="0" t="n">
        <s:v>1460</s:v>
      </s:c>
      <s:c r="F806" s="24">
        <s:f>'자료구성'!$B$2+TIME(INT($C$3/10000),INT(MOD($C$3,10000)/100),MOD($C$3,100))+(ROW()-ROW($C$3))/86400</s:f>
        <s:v>46247.375451388885</s:v>
      </s:c>
    </s:row>
    <s:row r="807">
      <s:c r="A807" s="0" t="n">
        <s:v>260813</s:v>
      </s:c>
      <s:c r="B807" s="0" t="inlineStr">
        <s:is>
          <s:t>이종훈</s:t>
        </s:is>
      </s:c>
      <s:c r="C807" s="0" t="n">
        <s:v>84716</s:v>
      </s:c>
      <s:c r="D807" s="0" t="n">
        <s:v>1444</s:v>
      </s:c>
      <s:c r="F807" s="24">
        <s:f>'자료구성'!$B$2+TIME(INT($C$3/10000),INT(MOD($C$3,10000)/100),MOD($C$3,100))+(ROW()-ROW($C$3))/86400</s:f>
        <s:v>46247.37546296296</s:v>
      </s:c>
    </s:row>
    <s:row r="808">
      <s:c r="A808" s="0" t="n">
        <s:v>260813</s:v>
      </s:c>
      <s:c r="B808" s="0" t="inlineStr">
        <s:is>
          <s:t>이종훈</s:t>
        </s:is>
      </s:c>
      <s:c r="C808" s="0" t="n">
        <s:v>84716</s:v>
      </s:c>
      <s:c r="D808" s="0" t="n">
        <s:v>1438</s:v>
      </s:c>
      <s:c r="F808" s="24">
        <s:f>'자료구성'!$B$2+TIME(INT($C$3/10000),INT(MOD($C$3,10000)/100),MOD($C$3,100))+(ROW()-ROW($C$3))/86400</s:f>
        <s:v>46247.37547453704</s:v>
      </s:c>
    </s:row>
    <s:row r="809">
      <s:c r="A809" s="0" t="n">
        <s:v>260813</s:v>
      </s:c>
      <s:c r="B809" s="0" t="inlineStr">
        <s:is>
          <s:t>이종훈</s:t>
        </s:is>
      </s:c>
      <s:c r="C809" s="0" t="n">
        <s:v>84716</s:v>
      </s:c>
      <s:c r="D809" s="0" t="n">
        <s:v>1418</s:v>
      </s:c>
      <s:c r="F809" s="24">
        <s:f>'자료구성'!$B$2+TIME(INT($C$3/10000),INT(MOD($C$3,10000)/100),MOD($C$3,100))+(ROW()-ROW($C$3))/86400</s:f>
        <s:v>46247.37548611111</s:v>
      </s:c>
    </s:row>
    <s:row r="810">
      <s:c r="A810" s="0" t="n">
        <s:v>260813</s:v>
      </s:c>
      <s:c r="B810" s="0" t="inlineStr">
        <s:is>
          <s:t>이종훈</s:t>
        </s:is>
      </s:c>
      <s:c r="C810" s="0" t="n">
        <s:v>84716</s:v>
      </s:c>
      <s:c r="D810" s="0" t="n">
        <s:v>1434</s:v>
      </s:c>
      <s:c r="F810" s="24">
        <s:f>'자료구성'!$B$2+TIME(INT($C$3/10000),INT(MOD($C$3,10000)/100),MOD($C$3,100))+(ROW()-ROW($C$3))/86400</s:f>
        <s:v>46247.375497685185</s:v>
      </s:c>
    </s:row>
    <s:row r="811">
      <s:c r="A811" s="0" t="n">
        <s:v>260813</s:v>
      </s:c>
      <s:c r="B811" s="0" t="inlineStr">
        <s:is>
          <s:t>이종훈</s:t>
        </s:is>
      </s:c>
      <s:c r="C811" s="0" t="n">
        <s:v>84716</s:v>
      </s:c>
      <s:c r="D811" s="0" t="n">
        <s:v>1415</s:v>
      </s:c>
      <s:c r="F811" s="24">
        <s:f>'자료구성'!$B$2+TIME(INT($C$3/10000),INT(MOD($C$3,10000)/100),MOD($C$3,100))+(ROW()-ROW($C$3))/86400</s:f>
        <s:v>46247.37550925926</s:v>
      </s:c>
    </s:row>
    <s:row r="812">
      <s:c r="A812" s="0" t="n">
        <s:v>260813</s:v>
      </s:c>
      <s:c r="B812" s="0" t="inlineStr">
        <s:is>
          <s:t>이종훈</s:t>
        </s:is>
      </s:c>
      <s:c r="C812" s="0" t="n">
        <s:v>84716</s:v>
      </s:c>
      <s:c r="D812" s="0" t="n">
        <s:v>1409</s:v>
      </s:c>
      <s:c r="F812" s="24">
        <s:f>'자료구성'!$B$2+TIME(INT($C$3/10000),INT(MOD($C$3,10000)/100),MOD($C$3,100))+(ROW()-ROW($C$3))/86400</s:f>
        <s:v>46247.37552083333</s:v>
      </s:c>
    </s:row>
    <s:row r="813">
      <s:c r="A813" s="0" t="n">
        <s:v>260813</s:v>
      </s:c>
      <s:c r="B813" s="0" t="inlineStr">
        <s:is>
          <s:t>이종훈</s:t>
        </s:is>
      </s:c>
      <s:c r="C813" s="0" t="n">
        <s:v>84716</s:v>
      </s:c>
      <s:c r="D813" s="0" t="n">
        <s:v>1390</s:v>
      </s:c>
      <s:c r="F813" s="24">
        <s:f>'자료구성'!$B$2+TIME(INT($C$3/10000),INT(MOD($C$3,10000)/100),MOD($C$3,100))+(ROW()-ROW($C$3))/86400</s:f>
        <s:v>46247.37553240741</s:v>
      </s:c>
    </s:row>
    <s:row r="814">
      <s:c r="A814" s="0" t="n">
        <s:v>260813</s:v>
      </s:c>
      <s:c r="B814" s="0" t="inlineStr">
        <s:is>
          <s:t>이종훈</s:t>
        </s:is>
      </s:c>
      <s:c r="C814" s="0" t="n">
        <s:v>84716</s:v>
      </s:c>
      <s:c r="D814" s="0" t="n">
        <s:v>1389</s:v>
      </s:c>
      <s:c r="F814" s="24">
        <s:f>'자료구성'!$B$2+TIME(INT($C$3/10000),INT(MOD($C$3,10000)/100),MOD($C$3,100))+(ROW()-ROW($C$3))/86400</s:f>
        <s:v>46247.375543981485</s:v>
      </s:c>
    </s:row>
    <s:row r="815">
      <s:c r="A815" s="0" t="n">
        <s:v>260813</s:v>
      </s:c>
      <s:c r="B815" s="0" t="inlineStr">
        <s:is>
          <s:t>이종훈</s:t>
        </s:is>
      </s:c>
      <s:c r="C815" s="0" t="n">
        <s:v>84716</s:v>
      </s:c>
      <s:c r="D815" s="0" t="n">
        <s:v>1394</s:v>
      </s:c>
      <s:c r="F815" s="24">
        <s:f>'자료구성'!$B$2+TIME(INT($C$3/10000),INT(MOD($C$3,10000)/100),MOD($C$3,100))+(ROW()-ROW($C$3))/86400</s:f>
        <s:v>46247.375555555554</s:v>
      </s:c>
    </s:row>
    <s:row r="816">
      <s:c r="A816" s="0" t="n">
        <s:v>260813</s:v>
      </s:c>
      <s:c r="B816" s="0" t="inlineStr">
        <s:is>
          <s:t>이종훈</s:t>
        </s:is>
      </s:c>
      <s:c r="C816" s="0" t="n">
        <s:v>84716</s:v>
      </s:c>
      <s:c r="D816" s="0" t="n">
        <s:v>1391</s:v>
      </s:c>
      <s:c r="F816" s="24">
        <s:f>'자료구성'!$B$2+TIME(INT($C$3/10000),INT(MOD($C$3,10000)/100),MOD($C$3,100))+(ROW()-ROW($C$3))/86400</s:f>
        <s:v>46247.37556712963</s:v>
      </s:c>
    </s:row>
    <s:row r="817">
      <s:c r="A817" s="0" t="n">
        <s:v>260813</s:v>
      </s:c>
      <s:c r="B817" s="0" t="inlineStr">
        <s:is>
          <s:t>이종훈</s:t>
        </s:is>
      </s:c>
      <s:c r="C817" s="0" t="n">
        <s:v>84716</s:v>
      </s:c>
      <s:c r="D817" s="0" t="n">
        <s:v>1394</s:v>
      </s:c>
      <s:c r="F817" s="24">
        <s:f>'자료구성'!$B$2+TIME(INT($C$3/10000),INT(MOD($C$3,10000)/100),MOD($C$3,100))+(ROW()-ROW($C$3))/86400</s:f>
        <s:v>46247.3755787037</s:v>
      </s:c>
    </s:row>
    <s:row r="818">
      <s:c r="A818" s="0" t="n">
        <s:v>260813</s:v>
      </s:c>
      <s:c r="B818" s="0" t="inlineStr">
        <s:is>
          <s:t>이종훈</s:t>
        </s:is>
      </s:c>
      <s:c r="C818" s="0" t="n">
        <s:v>84716</s:v>
      </s:c>
      <s:c r="D818" s="0" t="n">
        <s:v>1377</s:v>
      </s:c>
      <s:c r="F818" s="24">
        <s:f>'자료구성'!$B$2+TIME(INT($C$3/10000),INT(MOD($C$3,10000)/100),MOD($C$3,100))+(ROW()-ROW($C$3))/86400</s:f>
        <s:v>46247.37559027778</s:v>
      </s:c>
    </s:row>
    <s:row r="819">
      <s:c r="A819" s="0" t="n">
        <s:v>260813</s:v>
      </s:c>
      <s:c r="B819" s="0" t="inlineStr">
        <s:is>
          <s:t>이종훈</s:t>
        </s:is>
      </s:c>
      <s:c r="C819" s="0" t="n">
        <s:v>84716</s:v>
      </s:c>
      <s:c r="D819" s="0" t="n">
        <s:v>1379</s:v>
      </s:c>
      <s:c r="F819" s="24">
        <s:f>'자료구성'!$B$2+TIME(INT($C$3/10000),INT(MOD($C$3,10000)/100),MOD($C$3,100))+(ROW()-ROW($C$3))/86400</s:f>
        <s:v>46247.375601851854</s:v>
      </s:c>
    </s:row>
    <s:row r="820">
      <s:c r="A820" s="0" t="n">
        <s:v>260813</s:v>
      </s:c>
      <s:c r="B820" s="0" t="inlineStr">
        <s:is>
          <s:t>이종훈</s:t>
        </s:is>
      </s:c>
      <s:c r="C820" s="0" t="n">
        <s:v>84716</s:v>
      </s:c>
      <s:c r="D820" s="0" t="n">
        <s:v>1380</s:v>
      </s:c>
      <s:c r="F820" s="24">
        <s:f>'자료구성'!$B$2+TIME(INT($C$3/10000),INT(MOD($C$3,10000)/100),MOD($C$3,100))+(ROW()-ROW($C$3))/86400</s:f>
        <s:v>46247.375613425924</s:v>
      </s:c>
    </s:row>
    <s:row r="821">
      <s:c r="A821" s="0" t="n">
        <s:v>260813</s:v>
      </s:c>
      <s:c r="B821" s="0" t="inlineStr">
        <s:is>
          <s:t>이종훈</s:t>
        </s:is>
      </s:c>
      <s:c r="C821" s="0" t="n">
        <s:v>84716</s:v>
      </s:c>
      <s:c r="D821" s="0" t="n">
        <s:v>1357</s:v>
      </s:c>
      <s:c r="F821" s="24">
        <s:f>'자료구성'!$B$2+TIME(INT($C$3/10000),INT(MOD($C$3,10000)/100),MOD($C$3,100))+(ROW()-ROW($C$3))/86400</s:f>
        <s:v>46247.375625</s:v>
      </s:c>
    </s:row>
    <s:row r="822">
      <s:c r="A822" s="0" t="n">
        <s:v>260813</s:v>
      </s:c>
      <s:c r="B822" s="0" t="inlineStr">
        <s:is>
          <s:t>이종훈</s:t>
        </s:is>
      </s:c>
      <s:c r="C822" s="0" t="n">
        <s:v>84716</s:v>
      </s:c>
      <s:c r="D822" s="0" t="n">
        <s:v>1322</s:v>
      </s:c>
      <s:c r="F822" s="24">
        <s:f>'자료구성'!$B$2+TIME(INT($C$3/10000),INT(MOD($C$3,10000)/100),MOD($C$3,100))+(ROW()-ROW($C$3))/86400</s:f>
        <s:v>46247.37563657408</s:v>
      </s:c>
    </s:row>
    <s:row r="823">
      <s:c r="A823" s="0" t="n">
        <s:v>260813</s:v>
      </s:c>
      <s:c r="B823" s="0" t="inlineStr">
        <s:is>
          <s:t>이종훈</s:t>
        </s:is>
      </s:c>
      <s:c r="C823" s="0" t="n">
        <s:v>84716</s:v>
      </s:c>
      <s:c r="D823" s="0" t="n">
        <s:v>1318</s:v>
      </s:c>
      <s:c r="F823" s="24">
        <s:f>'자료구성'!$B$2+TIME(INT($C$3/10000),INT(MOD($C$3,10000)/100),MOD($C$3,100))+(ROW()-ROW($C$3))/86400</s:f>
        <s:v>46247.37564814815</s:v>
      </s:c>
    </s:row>
    <s:row r="824">
      <s:c r="A824" s="0" t="n">
        <s:v>260813</s:v>
      </s:c>
      <s:c r="B824" s="0" t="inlineStr">
        <s:is>
          <s:t>이종훈</s:t>
        </s:is>
      </s:c>
      <s:c r="C824" s="0" t="n">
        <s:v>84716</s:v>
      </s:c>
      <s:c r="D824" s="0" t="n">
        <s:v>1306</s:v>
      </s:c>
      <s:c r="F824" s="24">
        <s:f>'자료구성'!$B$2+TIME(INT($C$3/10000),INT(MOD($C$3,10000)/100),MOD($C$3,100))+(ROW()-ROW($C$3))/86400</s:f>
        <s:v>46247.375659722224</s:v>
      </s:c>
    </s:row>
    <s:row r="825">
      <s:c r="A825" s="0" t="n">
        <s:v>260813</s:v>
      </s:c>
      <s:c r="B825" s="0" t="inlineStr">
        <s:is>
          <s:t>이종훈</s:t>
        </s:is>
      </s:c>
      <s:c r="C825" s="0" t="n">
        <s:v>84716</s:v>
      </s:c>
      <s:c r="D825" s="0" t="n">
        <s:v>1308</s:v>
      </s:c>
      <s:c r="F825" s="24">
        <s:f>'자료구성'!$B$2+TIME(INT($C$3/10000),INT(MOD($C$3,10000)/100),MOD($C$3,100))+(ROW()-ROW($C$3))/86400</s:f>
        <s:v>46247.37567129629</s:v>
      </s:c>
    </s:row>
    <s:row r="826">
      <s:c r="A826" s="0" t="n">
        <s:v>260813</s:v>
      </s:c>
      <s:c r="B826" s="0" t="inlineStr">
        <s:is>
          <s:t>이종훈</s:t>
        </s:is>
      </s:c>
      <s:c r="C826" s="0" t="n">
        <s:v>84716</s:v>
      </s:c>
      <s:c r="D826" s="0" t="n">
        <s:v>1307</s:v>
      </s:c>
      <s:c r="F826" s="24">
        <s:f>'자료구성'!$B$2+TIME(INT($C$3/10000),INT(MOD($C$3,10000)/100),MOD($C$3,100))+(ROW()-ROW($C$3))/86400</s:f>
        <s:v>46247.37568287037</s:v>
      </s:c>
    </s:row>
    <s:row r="827">
      <s:c r="A827" s="0" t="n">
        <s:v>260813</s:v>
      </s:c>
      <s:c r="B827" s="0" t="inlineStr">
        <s:is>
          <s:t>이종훈</s:t>
        </s:is>
      </s:c>
      <s:c r="C827" s="0" t="n">
        <s:v>84716</s:v>
      </s:c>
      <s:c r="D827" s="0" t="n">
        <s:v>1320</s:v>
      </s:c>
      <s:c r="F827" s="24">
        <s:f>'자료구성'!$B$2+TIME(INT($C$3/10000),INT(MOD($C$3,10000)/100),MOD($C$3,100))+(ROW()-ROW($C$3))/86400</s:f>
        <s:v>46247.37569444445</s:v>
      </s:c>
    </s:row>
    <s:row r="828">
      <s:c r="A828" s="0" t="n">
        <s:v>260813</s:v>
      </s:c>
      <s:c r="B828" s="0" t="inlineStr">
        <s:is>
          <s:t>이종훈</s:t>
        </s:is>
      </s:c>
      <s:c r="C828" s="0" t="n">
        <s:v>84716</s:v>
      </s:c>
      <s:c r="D828" s="0" t="n">
        <s:v>1344</s:v>
      </s:c>
      <s:c r="F828" s="24">
        <s:f>'자료구성'!$B$2+TIME(INT($C$3/10000),INT(MOD($C$3,10000)/100),MOD($C$3,100))+(ROW()-ROW($C$3))/86400</s:f>
        <s:v>46247.375706018516</s:v>
      </s:c>
    </s:row>
    <s:row r="829">
      <s:c r="A829" s="0" t="n">
        <s:v>260813</s:v>
      </s:c>
      <s:c r="B829" s="0" t="inlineStr">
        <s:is>
          <s:t>이종훈</s:t>
        </s:is>
      </s:c>
      <s:c r="C829" s="0" t="n">
        <s:v>84716</s:v>
      </s:c>
      <s:c r="D829" s="0" t="n">
        <s:v>1355</s:v>
      </s:c>
      <s:c r="F829" s="24">
        <s:f>'자료구성'!$B$2+TIME(INT($C$3/10000),INT(MOD($C$3,10000)/100),MOD($C$3,100))+(ROW()-ROW($C$3))/86400</s:f>
        <s:v>46247.37571759259</s:v>
      </s:c>
    </s:row>
    <s:row r="830">
      <s:c r="A830" s="0" t="n">
        <s:v>260813</s:v>
      </s:c>
      <s:c r="B830" s="0" t="inlineStr">
        <s:is>
          <s:t>이종훈</s:t>
        </s:is>
      </s:c>
      <s:c r="C830" s="0" t="n">
        <s:v>84716</s:v>
      </s:c>
      <s:c r="D830" s="0" t="n">
        <s:v>1372</s:v>
      </s:c>
      <s:c r="F830" s="24">
        <s:f>'자료구성'!$B$2+TIME(INT($C$3/10000),INT(MOD($C$3,10000)/100),MOD($C$3,100))+(ROW()-ROW($C$3))/86400</s:f>
        <s:v>46247.37572916667</s:v>
      </s:c>
    </s:row>
    <s:row r="831">
      <s:c r="A831" s="0" t="n">
        <s:v>260813</s:v>
      </s:c>
      <s:c r="B831" s="0" t="inlineStr">
        <s:is>
          <s:t>이종훈</s:t>
        </s:is>
      </s:c>
      <s:c r="C831" s="0" t="n">
        <s:v>84716</s:v>
      </s:c>
      <s:c r="D831" s="0" t="n">
        <s:v>1364</s:v>
      </s:c>
      <s:c r="F831" s="24">
        <s:f>'자료구성'!$B$2+TIME(INT($C$3/10000),INT(MOD($C$3,10000)/100),MOD($C$3,100))+(ROW()-ROW($C$3))/86400</s:f>
        <s:v>46247.37574074074</s:v>
      </s:c>
    </s:row>
    <s:row r="832">
      <s:c r="A832" s="0" t="n">
        <s:v>260813</s:v>
      </s:c>
      <s:c r="B832" s="0" t="inlineStr">
        <s:is>
          <s:t>이종훈</s:t>
        </s:is>
      </s:c>
      <s:c r="C832" s="0" t="n">
        <s:v>84716</s:v>
      </s:c>
      <s:c r="D832" s="0" t="n">
        <s:v>1366</s:v>
      </s:c>
      <s:c r="F832" s="24">
        <s:f>'자료구성'!$B$2+TIME(INT($C$3/10000),INT(MOD($C$3,10000)/100),MOD($C$3,100))+(ROW()-ROW($C$3))/86400</s:f>
        <s:v>46247.375752314816</s:v>
      </s:c>
    </s:row>
    <s:row r="833">
      <s:c r="A833" s="0" t="n">
        <s:v>260813</s:v>
      </s:c>
      <s:c r="B833" s="0" t="inlineStr">
        <s:is>
          <s:t>이종훈</s:t>
        </s:is>
      </s:c>
      <s:c r="C833" s="0" t="n">
        <s:v>84716</s:v>
      </s:c>
      <s:c r="D833" s="0" t="n">
        <s:v>1358</s:v>
      </s:c>
      <s:c r="F833" s="24">
        <s:f>'자료구성'!$B$2+TIME(INT($C$3/10000),INT(MOD($C$3,10000)/100),MOD($C$3,100))+(ROW()-ROW($C$3))/86400</s:f>
        <s:v>46247.375763888886</s:v>
      </s:c>
    </s:row>
    <s:row r="834">
      <s:c r="A834" s="0" t="n">
        <s:v>260813</s:v>
      </s:c>
      <s:c r="B834" s="0" t="inlineStr">
        <s:is>
          <s:t>이종훈</s:t>
        </s:is>
      </s:c>
      <s:c r="C834" s="0" t="n">
        <s:v>84716</s:v>
      </s:c>
      <s:c r="D834" s="0" t="n">
        <s:v>1353</s:v>
      </s:c>
      <s:c r="F834" s="24">
        <s:f>'자료구성'!$B$2+TIME(INT($C$3/10000),INT(MOD($C$3,10000)/100),MOD($C$3,100))+(ROW()-ROW($C$3))/86400</s:f>
        <s:v>46247.37577546296</s:v>
      </s:c>
    </s:row>
    <s:row r="835">
      <s:c r="A835" s="0" t="n">
        <s:v>260813</s:v>
      </s:c>
      <s:c r="B835" s="0" t="inlineStr">
        <s:is>
          <s:t>이종훈</s:t>
        </s:is>
      </s:c>
      <s:c r="C835" s="0" t="n">
        <s:v>84716</s:v>
      </s:c>
      <s:c r="D835" s="0" t="n">
        <s:v>1341</s:v>
      </s:c>
      <s:c r="F835" s="24">
        <s:f>'자료구성'!$B$2+TIME(INT($C$3/10000),INT(MOD($C$3,10000)/100),MOD($C$3,100))+(ROW()-ROW($C$3))/86400</s:f>
        <s:v>46247.37578703704</s:v>
      </s:c>
    </s:row>
    <s:row r="836">
      <s:c r="A836" s="0" t="n">
        <s:v>260813</s:v>
      </s:c>
      <s:c r="B836" s="0" t="inlineStr">
        <s:is>
          <s:t>이종훈</s:t>
        </s:is>
      </s:c>
      <s:c r="C836" s="0" t="n">
        <s:v>84716</s:v>
      </s:c>
      <s:c r="D836" s="0" t="n">
        <s:v>1359</s:v>
      </s:c>
      <s:c r="F836" s="24">
        <s:f>'자료구성'!$B$2+TIME(INT($C$3/10000),INT(MOD($C$3,10000)/100),MOD($C$3,100))+(ROW()-ROW($C$3))/86400</s:f>
        <s:v>46247.37579861111</s:v>
      </s:c>
    </s:row>
    <s:row r="837">
      <s:c r="A837" s="0" t="n">
        <s:v>260813</s:v>
      </s:c>
      <s:c r="B837" s="0" t="inlineStr">
        <s:is>
          <s:t>이종훈</s:t>
        </s:is>
      </s:c>
      <s:c r="C837" s="0" t="n">
        <s:v>84716</s:v>
      </s:c>
      <s:c r="D837" s="0" t="n">
        <s:v>1430</s:v>
      </s:c>
      <s:c r="F837" s="24">
        <s:f>'자료구성'!$B$2+TIME(INT($C$3/10000),INT(MOD($C$3,10000)/100),MOD($C$3,100))+(ROW()-ROW($C$3))/86400</s:f>
        <s:v>46247.375810185185</s:v>
      </s:c>
    </s:row>
    <s:row r="838">
      <s:c r="A838" s="0" t="n">
        <s:v>260813</s:v>
      </s:c>
      <s:c r="B838" s="0" t="inlineStr">
        <s:is>
          <s:t>이종훈</s:t>
        </s:is>
      </s:c>
      <s:c r="C838" s="0" t="n">
        <s:v>84716</s:v>
      </s:c>
      <s:c r="D838" s="0" t="n">
        <s:v>1455</s:v>
      </s:c>
      <s:c r="F838" s="24">
        <s:f>'자료구성'!$B$2+TIME(INT($C$3/10000),INT(MOD($C$3,10000)/100),MOD($C$3,100))+(ROW()-ROW($C$3))/86400</s:f>
        <s:v>46247.37582175926</s:v>
      </s:c>
    </s:row>
    <s:row r="839">
      <s:c r="A839" s="0" t="n">
        <s:v>260813</s:v>
      </s:c>
      <s:c r="B839" s="0" t="inlineStr">
        <s:is>
          <s:t>이종훈</s:t>
        </s:is>
      </s:c>
      <s:c r="C839" s="0" t="n">
        <s:v>84716</s:v>
      </s:c>
      <s:c r="D839" s="0" t="n">
        <s:v>1439</s:v>
      </s:c>
      <s:c r="F839" s="24">
        <s:f>'자료구성'!$B$2+TIME(INT($C$3/10000),INT(MOD($C$3,10000)/100),MOD($C$3,100))+(ROW()-ROW($C$3))/86400</s:f>
        <s:v>46247.37583333333</s:v>
      </s:c>
    </s:row>
    <s:row r="840">
      <s:c r="A840" s="0" t="n">
        <s:v>260813</s:v>
      </s:c>
      <s:c r="B840" s="0" t="inlineStr">
        <s:is>
          <s:t>이종훈</s:t>
        </s:is>
      </s:c>
      <s:c r="C840" s="0" t="n">
        <s:v>84716</s:v>
      </s:c>
      <s:c r="D840" s="0" t="n">
        <s:v>1440</s:v>
      </s:c>
      <s:c r="F840" s="24">
        <s:f>'자료구성'!$B$2+TIME(INT($C$3/10000),INT(MOD($C$3,10000)/100),MOD($C$3,100))+(ROW()-ROW($C$3))/86400</s:f>
        <s:v>46247.37584490741</s:v>
      </s:c>
    </s:row>
    <s:row r="841">
      <s:c r="A841" s="0" t="n">
        <s:v>260813</s:v>
      </s:c>
      <s:c r="B841" s="0" t="inlineStr">
        <s:is>
          <s:t>이종훈</s:t>
        </s:is>
      </s:c>
      <s:c r="C841" s="0" t="n">
        <s:v>84716</s:v>
      </s:c>
      <s:c r="D841" s="0" t="n">
        <s:v>1448</s:v>
      </s:c>
      <s:c r="F841" s="24">
        <s:f>'자료구성'!$B$2+TIME(INT($C$3/10000),INT(MOD($C$3,10000)/100),MOD($C$3,100))+(ROW()-ROW($C$3))/86400</s:f>
        <s:v>46247.37585648148</s:v>
      </s:c>
    </s:row>
    <s:row r="842">
      <s:c r="A842" s="0" t="n">
        <s:v>260813</s:v>
      </s:c>
      <s:c r="B842" s="0" t="inlineStr">
        <s:is>
          <s:t>이종훈</s:t>
        </s:is>
      </s:c>
      <s:c r="C842" s="0" t="n">
        <s:v>84716</s:v>
      </s:c>
      <s:c r="D842" s="0" t="n">
        <s:v>1460</s:v>
      </s:c>
      <s:c r="F842" s="24">
        <s:f>'자료구성'!$B$2+TIME(INT($C$3/10000),INT(MOD($C$3,10000)/100),MOD($C$3,100))+(ROW()-ROW($C$3))/86400</s:f>
        <s:v>46247.375868055555</s:v>
      </s:c>
    </s:row>
    <s:row r="843">
      <s:c r="A843" s="0" t="n">
        <s:v>260813</s:v>
      </s:c>
      <s:c r="B843" s="0" t="inlineStr">
        <s:is>
          <s:t>이종훈</s:t>
        </s:is>
      </s:c>
      <s:c r="C843" s="0" t="n">
        <s:v>84716</s:v>
      </s:c>
      <s:c r="D843" s="0" t="n">
        <s:v>1469</s:v>
      </s:c>
      <s:c r="F843" s="24">
        <s:f>'자료구성'!$B$2+TIME(INT($C$3/10000),INT(MOD($C$3,10000)/100),MOD($C$3,100))+(ROW()-ROW($C$3))/86400</s:f>
        <s:v>46247.37587962963</s:v>
      </s:c>
    </s:row>
    <s:row r="844">
      <s:c r="A844" s="0" t="n">
        <s:v>260813</s:v>
      </s:c>
      <s:c r="B844" s="0" t="inlineStr">
        <s:is>
          <s:t>이종훈</s:t>
        </s:is>
      </s:c>
      <s:c r="C844" s="0" t="n">
        <s:v>84716</s:v>
      </s:c>
      <s:c r="D844" s="0" t="n">
        <s:v>1457</s:v>
      </s:c>
      <s:c r="F844" s="24">
        <s:f>'자료구성'!$B$2+TIME(INT($C$3/10000),INT(MOD($C$3,10000)/100),MOD($C$3,100))+(ROW()-ROW($C$3))/86400</s:f>
        <s:v>46247.3758912037</s:v>
      </s:c>
    </s:row>
    <s:row r="845">
      <s:c r="A845" s="0" t="n">
        <s:v>260813</s:v>
      </s:c>
      <s:c r="B845" s="0" t="inlineStr">
        <s:is>
          <s:t>이종훈</s:t>
        </s:is>
      </s:c>
      <s:c r="C845" s="0" t="n">
        <s:v>84716</s:v>
      </s:c>
      <s:c r="D845" s="0" t="n">
        <s:v>1502</s:v>
      </s:c>
      <s:c r="F845" s="24">
        <s:f>'자료구성'!$B$2+TIME(INT($C$3/10000),INT(MOD($C$3,10000)/100),MOD($C$3,100))+(ROW()-ROW($C$3))/86400</s:f>
        <s:v>46247.37590277778</s:v>
      </s:c>
    </s:row>
    <s:row r="846">
      <s:c r="A846" s="0" t="n">
        <s:v>260813</s:v>
      </s:c>
      <s:c r="B846" s="0" t="inlineStr">
        <s:is>
          <s:t>이종훈</s:t>
        </s:is>
      </s:c>
      <s:c r="C846" s="0" t="n">
        <s:v>84716</s:v>
      </s:c>
      <s:c r="D846" s="0" t="n">
        <s:v>1509</s:v>
      </s:c>
      <s:c r="F846" s="24">
        <s:f>'자료구성'!$B$2+TIME(INT($C$3/10000),INT(MOD($C$3,10000)/100),MOD($C$3,100))+(ROW()-ROW($C$3))/86400</s:f>
        <s:v>46247.375914351855</s:v>
      </s:c>
    </s:row>
    <s:row r="847">
      <s:c r="A847" s="0" t="n">
        <s:v>260813</s:v>
      </s:c>
      <s:c r="B847" s="0" t="inlineStr">
        <s:is>
          <s:t>이종훈</s:t>
        </s:is>
      </s:c>
      <s:c r="C847" s="0" t="n">
        <s:v>84716</s:v>
      </s:c>
      <s:c r="D847" s="0" t="n">
        <s:v>1504</s:v>
      </s:c>
      <s:c r="F847" s="24">
        <s:f>'자료구성'!$B$2+TIME(INT($C$3/10000),INT(MOD($C$3,10000)/100),MOD($C$3,100))+(ROW()-ROW($C$3))/86400</s:f>
        <s:v>46247.375925925924</s:v>
      </s:c>
    </s:row>
    <s:row r="848">
      <s:c r="A848" s="0" t="n">
        <s:v>260813</s:v>
      </s:c>
      <s:c r="B848" s="0" t="inlineStr">
        <s:is>
          <s:t>이종훈</s:t>
        </s:is>
      </s:c>
      <s:c r="C848" s="0" t="n">
        <s:v>84716</s:v>
      </s:c>
      <s:c r="D848" s="0" t="n">
        <s:v>1505</s:v>
      </s:c>
      <s:c r="F848" s="24">
        <s:f>'자료구성'!$B$2+TIME(INT($C$3/10000),INT(MOD($C$3,10000)/100),MOD($C$3,100))+(ROW()-ROW($C$3))/86400</s:f>
        <s:v>46247.3759375</s:v>
      </s:c>
    </s:row>
    <s:row r="849">
      <s:c r="A849" s="0" t="n">
        <s:v>260813</s:v>
      </s:c>
      <s:c r="B849" s="0" t="inlineStr">
        <s:is>
          <s:t>이종훈</s:t>
        </s:is>
      </s:c>
      <s:c r="C849" s="0" t="n">
        <s:v>84716</s:v>
      </s:c>
      <s:c r="D849" s="0" t="n">
        <s:v>1499</s:v>
      </s:c>
      <s:c r="F849" s="24">
        <s:f>'자료구성'!$B$2+TIME(INT($C$3/10000),INT(MOD($C$3,10000)/100),MOD($C$3,100))+(ROW()-ROW($C$3))/86400</s:f>
        <s:v>46247.37594907408</s:v>
      </s:c>
    </s:row>
    <s:row r="850">
      <s:c r="A850" s="0" t="n">
        <s:v>260813</s:v>
      </s:c>
      <s:c r="B850" s="0" t="inlineStr">
        <s:is>
          <s:t>이종훈</s:t>
        </s:is>
      </s:c>
      <s:c r="C850" s="0" t="n">
        <s:v>84716</s:v>
      </s:c>
      <s:c r="D850" s="0" t="n">
        <s:v>1503</s:v>
      </s:c>
      <s:c r="F850" s="24">
        <s:f>'자료구성'!$B$2+TIME(INT($C$3/10000),INT(MOD($C$3,10000)/100),MOD($C$3,100))+(ROW()-ROW($C$3))/86400</s:f>
        <s:v>46247.37596064815</s:v>
      </s:c>
    </s:row>
    <s:row r="851">
      <s:c r="A851" s="0" t="n">
        <s:v>260813</s:v>
      </s:c>
      <s:c r="B851" s="0" t="inlineStr">
        <s:is>
          <s:t>이종훈</s:t>
        </s:is>
      </s:c>
      <s:c r="C851" s="0" t="n">
        <s:v>84716</s:v>
      </s:c>
      <s:c r="D851" s="0" t="n">
        <s:v>1539</s:v>
      </s:c>
      <s:c r="F851" s="24">
        <s:f>'자료구성'!$B$2+TIME(INT($C$3/10000),INT(MOD($C$3,10000)/100),MOD($C$3,100))+(ROW()-ROW($C$3))/86400</s:f>
        <s:v>46247.375972222224</s:v>
      </s:c>
    </s:row>
    <s:row r="852">
      <s:c r="A852" s="0" t="n">
        <s:v>260813</s:v>
      </s:c>
      <s:c r="B852" s="0" t="inlineStr">
        <s:is>
          <s:t>이종훈</s:t>
        </s:is>
      </s:c>
      <s:c r="C852" s="0" t="n">
        <s:v>84716</s:v>
      </s:c>
      <s:c r="D852" s="0" t="n">
        <s:v>1533</s:v>
      </s:c>
      <s:c r="F852" s="24">
        <s:f>'자료구성'!$B$2+TIME(INT($C$3/10000),INT(MOD($C$3,10000)/100),MOD($C$3,100))+(ROW()-ROW($C$3))/86400</s:f>
        <s:v>46247.37598379629</s:v>
      </s:c>
    </s:row>
    <s:row r="853">
      <s:c r="A853" s="0" t="n">
        <s:v>260813</s:v>
      </s:c>
      <s:c r="B853" s="0" t="inlineStr">
        <s:is>
          <s:t>이종훈</s:t>
        </s:is>
      </s:c>
      <s:c r="C853" s="0" t="n">
        <s:v>84716</s:v>
      </s:c>
      <s:c r="D853" s="0" t="n">
        <s:v>1525</s:v>
      </s:c>
      <s:c r="F853" s="24">
        <s:f>'자료구성'!$B$2+TIME(INT($C$3/10000),INT(MOD($C$3,10000)/100),MOD($C$3,100))+(ROW()-ROW($C$3))/86400</s:f>
        <s:v>46247.37599537037</s:v>
      </s:c>
    </s:row>
    <s:row r="854">
      <s:c r="A854" s="0" t="n">
        <s:v>260813</s:v>
      </s:c>
      <s:c r="B854" s="0" t="inlineStr">
        <s:is>
          <s:t>이종훈</s:t>
        </s:is>
      </s:c>
      <s:c r="C854" s="0" t="n">
        <s:v>84716</s:v>
      </s:c>
      <s:c r="D854" s="0" t="n">
        <s:v>1525</s:v>
      </s:c>
      <s:c r="F854" s="24">
        <s:f>'자료구성'!$B$2+TIME(INT($C$3/10000),INT(MOD($C$3,10000)/100),MOD($C$3,100))+(ROW()-ROW($C$3))/86400</s:f>
        <s:v>46247.37600694445</s:v>
      </s:c>
    </s:row>
    <s:row r="855">
      <s:c r="A855" s="0" t="n">
        <s:v>260813</s:v>
      </s:c>
      <s:c r="B855" s="0" t="inlineStr">
        <s:is>
          <s:t>이종훈</s:t>
        </s:is>
      </s:c>
      <s:c r="C855" s="0" t="n">
        <s:v>84716</s:v>
      </s:c>
      <s:c r="D855" s="0" t="n">
        <s:v>1552</s:v>
      </s:c>
      <s:c r="F855" s="24">
        <s:f>'자료구성'!$B$2+TIME(INT($C$3/10000),INT(MOD($C$3,10000)/100),MOD($C$3,100))+(ROW()-ROW($C$3))/86400</s:f>
        <s:v>46247.37601851852</s:v>
      </s:c>
    </s:row>
    <s:row r="856">
      <s:c r="A856" s="0" t="n">
        <s:v>260813</s:v>
      </s:c>
      <s:c r="B856" s="0" t="inlineStr">
        <s:is>
          <s:t>이종훈</s:t>
        </s:is>
      </s:c>
      <s:c r="C856" s="0" t="n">
        <s:v>84716</s:v>
      </s:c>
      <s:c r="D856" s="0" t="n">
        <s:v>1551</s:v>
      </s:c>
      <s:c r="F856" s="24">
        <s:f>'자료구성'!$B$2+TIME(INT($C$3/10000),INT(MOD($C$3,10000)/100),MOD($C$3,100))+(ROW()-ROW($C$3))/86400</s:f>
        <s:v>46247.37603009259</s:v>
      </s:c>
    </s:row>
    <s:row r="857">
      <s:c r="A857" s="0" t="n">
        <s:v>260813</s:v>
      </s:c>
      <s:c r="B857" s="0" t="inlineStr">
        <s:is>
          <s:t>이종훈</s:t>
        </s:is>
      </s:c>
      <s:c r="C857" s="0" t="n">
        <s:v>84716</s:v>
      </s:c>
      <s:c r="D857" s="0" t="n">
        <s:v>1535</s:v>
      </s:c>
      <s:c r="F857" s="24">
        <s:f>'자료구성'!$B$2+TIME(INT($C$3/10000),INT(MOD($C$3,10000)/100),MOD($C$3,100))+(ROW()-ROW($C$3))/86400</s:f>
        <s:v>46247.37604166667</s:v>
      </s:c>
    </s:row>
    <s:row r="858">
      <s:c r="A858" s="0" t="n">
        <s:v>260813</s:v>
      </s:c>
      <s:c r="B858" s="0" t="inlineStr">
        <s:is>
          <s:t>이종훈</s:t>
        </s:is>
      </s:c>
      <s:c r="C858" s="0" t="n">
        <s:v>84716</s:v>
      </s:c>
      <s:c r="D858" s="0" t="n">
        <s:v>1532</s:v>
      </s:c>
      <s:c r="F858" s="24">
        <s:f>'자료구성'!$B$2+TIME(INT($C$3/10000),INT(MOD($C$3,10000)/100),MOD($C$3,100))+(ROW()-ROW($C$3))/86400</s:f>
        <s:v>46247.37605324074</s:v>
      </s:c>
    </s:row>
    <s:row r="859">
      <s:c r="A859" s="0" t="n">
        <s:v>260813</s:v>
      </s:c>
      <s:c r="B859" s="0" t="inlineStr">
        <s:is>
          <s:t>이종훈</s:t>
        </s:is>
      </s:c>
      <s:c r="C859" s="0" t="n">
        <s:v>84716</s:v>
      </s:c>
      <s:c r="D859" s="0" t="n">
        <s:v>1531</s:v>
      </s:c>
      <s:c r="F859" s="24">
        <s:f>'자료구성'!$B$2+TIME(INT($C$3/10000),INT(MOD($C$3,10000)/100),MOD($C$3,100))+(ROW()-ROW($C$3))/86400</s:f>
        <s:v>46247.376064814816</s:v>
      </s:c>
    </s:row>
    <s:row r="860">
      <s:c r="A860" s="0" t="n">
        <s:v>260813</s:v>
      </s:c>
      <s:c r="B860" s="0" t="inlineStr">
        <s:is>
          <s:t>이종훈</s:t>
        </s:is>
      </s:c>
      <s:c r="C860" s="0" t="n">
        <s:v>84716</s:v>
      </s:c>
      <s:c r="D860" s="0" t="n">
        <s:v>1530</s:v>
      </s:c>
      <s:c r="F860" s="24">
        <s:f>'자료구성'!$B$2+TIME(INT($C$3/10000),INT(MOD($C$3,10000)/100),MOD($C$3,100))+(ROW()-ROW($C$3))/86400</s:f>
        <s:v>46247.376076388886</s:v>
      </s:c>
    </s:row>
    <s:row r="861">
      <s:c r="A861" s="0" t="n">
        <s:v>260813</s:v>
      </s:c>
      <s:c r="B861" s="0" t="inlineStr">
        <s:is>
          <s:t>이종훈</s:t>
        </s:is>
      </s:c>
      <s:c r="C861" s="0" t="n">
        <s:v>84716</s:v>
      </s:c>
      <s:c r="D861" s="0" t="n">
        <s:v>1545</s:v>
      </s:c>
      <s:c r="F861" s="24">
        <s:f>'자료구성'!$B$2+TIME(INT($C$3/10000),INT(MOD($C$3,10000)/100),MOD($C$3,100))+(ROW()-ROW($C$3))/86400</s:f>
        <s:v>46247.37608796296</s:v>
      </s:c>
    </s:row>
    <s:row r="862">
      <s:c r="A862" s="0" t="n">
        <s:v>260813</s:v>
      </s:c>
      <s:c r="B862" s="0" t="inlineStr">
        <s:is>
          <s:t>이종훈</s:t>
        </s:is>
      </s:c>
      <s:c r="C862" s="0" t="n">
        <s:v>84716</s:v>
      </s:c>
      <s:c r="D862" s="0" t="n">
        <s:v>1585</s:v>
      </s:c>
      <s:c r="F862" s="24">
        <s:f>'자료구성'!$B$2+TIME(INT($C$3/10000),INT(MOD($C$3,10000)/100),MOD($C$3,100))+(ROW()-ROW($C$3))/86400</s:f>
        <s:v>46247.37609953704</s:v>
      </s:c>
    </s:row>
    <s:row r="863">
      <s:c r="A863" s="0" t="n">
        <s:v>260813</s:v>
      </s:c>
      <s:c r="B863" s="0" t="inlineStr">
        <s:is>
          <s:t>이종훈</s:t>
        </s:is>
      </s:c>
      <s:c r="C863" s="0" t="n">
        <s:v>84716</s:v>
      </s:c>
      <s:c r="D863" s="0" t="n">
        <s:v>1592</s:v>
      </s:c>
      <s:c r="F863" s="24">
        <s:f>'자료구성'!$B$2+TIME(INT($C$3/10000),INT(MOD($C$3,10000)/100),MOD($C$3,100))+(ROW()-ROW($C$3))/86400</s:f>
        <s:v>46247.37611111111</s:v>
      </s:c>
    </s:row>
    <s:row r="864">
      <s:c r="A864" s="0" t="n">
        <s:v>260813</s:v>
      </s:c>
      <s:c r="B864" s="0" t="inlineStr">
        <s:is>
          <s:t>이종훈</s:t>
        </s:is>
      </s:c>
      <s:c r="C864" s="0" t="n">
        <s:v>84716</s:v>
      </s:c>
      <s:c r="D864" s="0" t="n">
        <s:v>1608</s:v>
      </s:c>
      <s:c r="F864" s="24">
        <s:f>'자료구성'!$B$2+TIME(INT($C$3/10000),INT(MOD($C$3,10000)/100),MOD($C$3,100))+(ROW()-ROW($C$3))/86400</s:f>
        <s:v>46247.376122685186</s:v>
      </s:c>
    </s:row>
    <s:row r="865">
      <s:c r="A865" s="0" t="n">
        <s:v>260813</s:v>
      </s:c>
      <s:c r="B865" s="0" t="inlineStr">
        <s:is>
          <s:t>이종훈</s:t>
        </s:is>
      </s:c>
      <s:c r="C865" s="0" t="n">
        <s:v>84716</s:v>
      </s:c>
      <s:c r="D865" s="0" t="n">
        <s:v>1613</s:v>
      </s:c>
      <s:c r="F865" s="24">
        <s:f>'자료구성'!$B$2+TIME(INT($C$3/10000),INT(MOD($C$3,10000)/100),MOD($C$3,100))+(ROW()-ROW($C$3))/86400</s:f>
        <s:v>46247.37613425926</s:v>
      </s:c>
    </s:row>
    <s:row r="866">
      <s:c r="A866" s="0" t="n">
        <s:v>260813</s:v>
      </s:c>
      <s:c r="B866" s="0" t="inlineStr">
        <s:is>
          <s:t>이종훈</s:t>
        </s:is>
      </s:c>
      <s:c r="C866" s="0" t="n">
        <s:v>84716</s:v>
      </s:c>
      <s:c r="D866" s="0" t="n">
        <s:v>1597</s:v>
      </s:c>
      <s:c r="F866" s="24">
        <s:f>'자료구성'!$B$2+TIME(INT($C$3/10000),INT(MOD($C$3,10000)/100),MOD($C$3,100))+(ROW()-ROW($C$3))/86400</s:f>
        <s:v>46247.37614583333</s:v>
      </s:c>
    </s:row>
    <s:row r="867">
      <s:c r="A867" s="0" t="n">
        <s:v>260813</s:v>
      </s:c>
      <s:c r="B867" s="0" t="inlineStr">
        <s:is>
          <s:t>이종훈</s:t>
        </s:is>
      </s:c>
      <s:c r="C867" s="0" t="n">
        <s:v>84716</s:v>
      </s:c>
      <s:c r="D867" s="0" t="n">
        <s:v>1586</s:v>
      </s:c>
      <s:c r="F867" s="24">
        <s:f>'자료구성'!$B$2+TIME(INT($C$3/10000),INT(MOD($C$3,10000)/100),MOD($C$3,100))+(ROW()-ROW($C$3))/86400</s:f>
        <s:v>46247.37615740741</s:v>
      </s:c>
    </s:row>
    <s:row r="868">
      <s:c r="A868" s="0" t="n">
        <s:v>260813</s:v>
      </s:c>
      <s:c r="B868" s="0" t="inlineStr">
        <s:is>
          <s:t>이종훈</s:t>
        </s:is>
      </s:c>
      <s:c r="C868" s="0" t="n">
        <s:v>84716</s:v>
      </s:c>
      <s:c r="D868" s="0" t="n">
        <s:v>1589</s:v>
      </s:c>
      <s:c r="F868" s="24">
        <s:f>'자료구성'!$B$2+TIME(INT($C$3/10000),INT(MOD($C$3,10000)/100),MOD($C$3,100))+(ROW()-ROW($C$3))/86400</s:f>
        <s:v>46247.37616898148</s:v>
      </s:c>
    </s:row>
    <s:row r="869">
      <s:c r="A869" s="0" t="n">
        <s:v>260813</s:v>
      </s:c>
      <s:c r="B869" s="0" t="inlineStr">
        <s:is>
          <s:t>이종훈</s:t>
        </s:is>
      </s:c>
      <s:c r="C869" s="0" t="n">
        <s:v>84716</s:v>
      </s:c>
      <s:c r="D869" s="0" t="n">
        <s:v>1618</s:v>
      </s:c>
      <s:c r="F869" s="24">
        <s:f>'자료구성'!$B$2+TIME(INT($C$3/10000),INT(MOD($C$3,10000)/100),MOD($C$3,100))+(ROW()-ROW($C$3))/86400</s:f>
        <s:v>46247.376180555555</s:v>
      </s:c>
    </s:row>
    <s:row r="870">
      <s:c r="A870" s="0" t="n">
        <s:v>260813</s:v>
      </s:c>
      <s:c r="B870" s="0" t="inlineStr">
        <s:is>
          <s:t>이종훈</s:t>
        </s:is>
      </s:c>
      <s:c r="C870" s="0" t="n">
        <s:v>84716</s:v>
      </s:c>
      <s:c r="D870" s="0" t="n">
        <s:v>1650</s:v>
      </s:c>
      <s:c r="F870" s="24">
        <s:f>'자료구성'!$B$2+TIME(INT($C$3/10000),INT(MOD($C$3,10000)/100),MOD($C$3,100))+(ROW()-ROW($C$3))/86400</s:f>
        <s:v>46247.37619212963</s:v>
      </s:c>
    </s:row>
    <s:row r="871">
      <s:c r="A871" s="0" t="n">
        <s:v>260813</s:v>
      </s:c>
      <s:c r="B871" s="0" t="inlineStr">
        <s:is>
          <s:t>이종훈</s:t>
        </s:is>
      </s:c>
      <s:c r="C871" s="0" t="n">
        <s:v>84716</s:v>
      </s:c>
      <s:c r="D871" s="0" t="n">
        <s:v>1658</s:v>
      </s:c>
      <s:c r="F871" s="24">
        <s:f>'자료구성'!$B$2+TIME(INT($C$3/10000),INT(MOD($C$3,10000)/100),MOD($C$3,100))+(ROW()-ROW($C$3))/86400</s:f>
        <s:v>46247.3762037037</s:v>
      </s:c>
    </s:row>
    <s:row r="872">
      <s:c r="A872" s="0" t="n">
        <s:v>260813</s:v>
      </s:c>
      <s:c r="B872" s="0" t="inlineStr">
        <s:is>
          <s:t>이종훈</s:t>
        </s:is>
      </s:c>
      <s:c r="C872" s="0" t="n">
        <s:v>84716</s:v>
      </s:c>
      <s:c r="D872" s="0" t="n">
        <s:v>1665</s:v>
      </s:c>
      <s:c r="F872" s="24">
        <s:f>'자료구성'!$B$2+TIME(INT($C$3/10000),INT(MOD($C$3,10000)/100),MOD($C$3,100))+(ROW()-ROW($C$3))/86400</s:f>
        <s:v>46247.37621527778</s:v>
      </s:c>
    </s:row>
    <s:row r="873">
      <s:c r="A873" s="0" t="n">
        <s:v>260813</s:v>
      </s:c>
      <s:c r="B873" s="0" t="inlineStr">
        <s:is>
          <s:t>이종훈</s:t>
        </s:is>
      </s:c>
      <s:c r="C873" s="0" t="n">
        <s:v>84716</s:v>
      </s:c>
      <s:c r="D873" s="0" t="n">
        <s:v>1663</s:v>
      </s:c>
      <s:c r="F873" s="24">
        <s:f>'자료구성'!$B$2+TIME(INT($C$3/10000),INT(MOD($C$3,10000)/100),MOD($C$3,100))+(ROW()-ROW($C$3))/86400</s:f>
        <s:v>46247.376226851855</s:v>
      </s:c>
    </s:row>
    <s:row r="874">
      <s:c r="A874" s="0" t="n">
        <s:v>260813</s:v>
      </s:c>
      <s:c r="B874" s="0" t="inlineStr">
        <s:is>
          <s:t>이종훈</s:t>
        </s:is>
      </s:c>
      <s:c r="C874" s="0" t="n">
        <s:v>84716</s:v>
      </s:c>
      <s:c r="D874" s="0" t="n">
        <s:v>1658</s:v>
      </s:c>
      <s:c r="F874" s="24">
        <s:f>'자료구성'!$B$2+TIME(INT($C$3/10000),INT(MOD($C$3,10000)/100),MOD($C$3,100))+(ROW()-ROW($C$3))/86400</s:f>
        <s:v>46247.376238425924</s:v>
      </s:c>
    </s:row>
    <s:row r="875">
      <s:c r="A875" s="0" t="n">
        <s:v>260813</s:v>
      </s:c>
      <s:c r="B875" s="0" t="inlineStr">
        <s:is>
          <s:t>이종훈</s:t>
        </s:is>
      </s:c>
      <s:c r="C875" s="0" t="n">
        <s:v>84716</s:v>
      </s:c>
      <s:c r="D875" s="0" t="n">
        <s:v>1641</s:v>
      </s:c>
      <s:c r="F875" s="24">
        <s:f>'자료구성'!$B$2+TIME(INT($C$3/10000),INT(MOD($C$3,10000)/100),MOD($C$3,100))+(ROW()-ROW($C$3))/86400</s:f>
        <s:v>46247.37625</s:v>
      </s:c>
    </s:row>
    <s:row r="876">
      <s:c r="A876" s="0" t="n">
        <s:v>260813</s:v>
      </s:c>
      <s:c r="B876" s="0" t="inlineStr">
        <s:is>
          <s:t>이종훈</s:t>
        </s:is>
      </s:c>
      <s:c r="C876" s="0" t="n">
        <s:v>84716</s:v>
      </s:c>
      <s:c r="D876" s="0" t="n">
        <s:v>1621</s:v>
      </s:c>
      <s:c r="F876" s="24">
        <s:f>'자료구성'!$B$2+TIME(INT($C$3/10000),INT(MOD($C$3,10000)/100),MOD($C$3,100))+(ROW()-ROW($C$3))/86400</s:f>
        <s:v>46247.37626157407</s:v>
      </s:c>
    </s:row>
    <s:row r="877">
      <s:c r="A877" s="0" t="n">
        <s:v>260813</s:v>
      </s:c>
      <s:c r="B877" s="0" t="inlineStr">
        <s:is>
          <s:t>이종훈</s:t>
        </s:is>
      </s:c>
      <s:c r="C877" s="0" t="n">
        <s:v>84716</s:v>
      </s:c>
      <s:c r="D877" s="0" t="n">
        <s:v>1604</s:v>
      </s:c>
      <s:c r="F877" s="24">
        <s:f>'자료구성'!$B$2+TIME(INT($C$3/10000),INT(MOD($C$3,10000)/100),MOD($C$3,100))+(ROW()-ROW($C$3))/86400</s:f>
        <s:v>46247.37627314815</s:v>
      </s:c>
    </s:row>
    <s:row r="878">
      <s:c r="A878" s="0" t="n">
        <s:v>260813</s:v>
      </s:c>
      <s:c r="B878" s="0" t="inlineStr">
        <s:is>
          <s:t>이종훈</s:t>
        </s:is>
      </s:c>
      <s:c r="C878" s="0" t="n">
        <s:v>84716</s:v>
      </s:c>
      <s:c r="D878" s="0" t="n">
        <s:v>1586</s:v>
      </s:c>
      <s:c r="F878" s="24">
        <s:f>'자료구성'!$B$2+TIME(INT($C$3/10000),INT(MOD($C$3,10000)/100),MOD($C$3,100))+(ROW()-ROW($C$3))/86400</s:f>
        <s:v>46247.376284722224</s:v>
      </s:c>
    </s:row>
    <s:row r="879">
      <s:c r="A879" s="0" t="n">
        <s:v>260813</s:v>
      </s:c>
      <s:c r="B879" s="0" t="inlineStr">
        <s:is>
          <s:t>이종훈</s:t>
        </s:is>
      </s:c>
      <s:c r="C879" s="0" t="n">
        <s:v>84716</s:v>
      </s:c>
      <s:c r="D879" s="0" t="n">
        <s:v>1578</s:v>
      </s:c>
      <s:c r="F879" s="24">
        <s:f>'자료구성'!$B$2+TIME(INT($C$3/10000),INT(MOD($C$3,10000)/100),MOD($C$3,100))+(ROW()-ROW($C$3))/86400</s:f>
        <s:v>46247.376296296294</s:v>
      </s:c>
    </s:row>
    <s:row r="880">
      <s:c r="A880" s="0" t="n">
        <s:v>260813</s:v>
      </s:c>
      <s:c r="B880" s="0" t="inlineStr">
        <s:is>
          <s:t>이종훈</s:t>
        </s:is>
      </s:c>
      <s:c r="C880" s="0" t="n">
        <s:v>84716</s:v>
      </s:c>
      <s:c r="D880" s="0" t="n">
        <s:v>1577</s:v>
      </s:c>
      <s:c r="F880" s="24">
        <s:f>'자료구성'!$B$2+TIME(INT($C$3/10000),INT(MOD($C$3,10000)/100),MOD($C$3,100))+(ROW()-ROW($C$3))/86400</s:f>
        <s:v>46247.37630787037</s:v>
      </s:c>
    </s:row>
    <s:row r="881">
      <s:c r="A881" s="0" t="n">
        <s:v>260813</s:v>
      </s:c>
      <s:c r="B881" s="0" t="inlineStr">
        <s:is>
          <s:t>이종훈</s:t>
        </s:is>
      </s:c>
      <s:c r="C881" s="0" t="n">
        <s:v>84716</s:v>
      </s:c>
      <s:c r="D881" s="0" t="n">
        <s:v>1566</s:v>
      </s:c>
      <s:c r="F881" s="24">
        <s:f>'자료구성'!$B$2+TIME(INT($C$3/10000),INT(MOD($C$3,10000)/100),MOD($C$3,100))+(ROW()-ROW($C$3))/86400</s:f>
        <s:v>46247.37631944445</s:v>
      </s:c>
    </s:row>
    <s:row r="882">
      <s:c r="A882" s="0" t="n">
        <s:v>260813</s:v>
      </s:c>
      <s:c r="B882" s="0" t="inlineStr">
        <s:is>
          <s:t>이종훈</s:t>
        </s:is>
      </s:c>
      <s:c r="C882" s="0" t="n">
        <s:v>84716</s:v>
      </s:c>
      <s:c r="D882" s="0" t="n">
        <s:v>1615</s:v>
      </s:c>
      <s:c r="F882" s="24">
        <s:f>'자료구성'!$B$2+TIME(INT($C$3/10000),INT(MOD($C$3,10000)/100),MOD($C$3,100))+(ROW()-ROW($C$3))/86400</s:f>
        <s:v>46247.37633101852</s:v>
      </s:c>
    </s:row>
    <s:row r="883">
      <s:c r="A883" s="0" t="n">
        <s:v>260813</s:v>
      </s:c>
      <s:c r="B883" s="0" t="inlineStr">
        <s:is>
          <s:t>이종훈</s:t>
        </s:is>
      </s:c>
      <s:c r="C883" s="0" t="n">
        <s:v>84716</s:v>
      </s:c>
      <s:c r="D883" s="0" t="n">
        <s:v>1620</s:v>
      </s:c>
      <s:c r="F883" s="24">
        <s:f>'자료구성'!$B$2+TIME(INT($C$3/10000),INT(MOD($C$3,10000)/100),MOD($C$3,100))+(ROW()-ROW($C$3))/86400</s:f>
        <s:v>46247.37634259259</s:v>
      </s:c>
    </s:row>
    <s:row r="884">
      <s:c r="A884" s="0" t="n">
        <s:v>260813</s:v>
      </s:c>
      <s:c r="B884" s="0" t="inlineStr">
        <s:is>
          <s:t>이종훈</s:t>
        </s:is>
      </s:c>
      <s:c r="C884" s="0" t="n">
        <s:v>84716</s:v>
      </s:c>
      <s:c r="D884" s="0" t="n">
        <s:v>1606</s:v>
      </s:c>
      <s:c r="F884" s="24">
        <s:f>'자료구성'!$B$2+TIME(INT($C$3/10000),INT(MOD($C$3,10000)/100),MOD($C$3,100))+(ROW()-ROW($C$3))/86400</s:f>
        <s:v>46247.37635416666</s:v>
      </s:c>
    </s:row>
    <s:row r="885">
      <s:c r="A885" s="0" t="n">
        <s:v>260813</s:v>
      </s:c>
      <s:c r="B885" s="0" t="inlineStr">
        <s:is>
          <s:t>이종훈</s:t>
        </s:is>
      </s:c>
      <s:c r="C885" s="0" t="n">
        <s:v>84716</s:v>
      </s:c>
      <s:c r="D885" s="0" t="n">
        <s:v>1617</s:v>
      </s:c>
      <s:c r="F885" s="24">
        <s:f>'자료구성'!$B$2+TIME(INT($C$3/10000),INT(MOD($C$3,10000)/100),MOD($C$3,100))+(ROW()-ROW($C$3))/86400</s:f>
        <s:v>46247.37636574074</s:v>
      </s:c>
    </s:row>
    <s:row r="886">
      <s:c r="A886" s="0" t="n">
        <s:v>260813</s:v>
      </s:c>
      <s:c r="B886" s="0" t="inlineStr">
        <s:is>
          <s:t>이종훈</s:t>
        </s:is>
      </s:c>
      <s:c r="C886" s="0" t="n">
        <s:v>84716</s:v>
      </s:c>
      <s:c r="D886" s="0" t="n">
        <s:v>1622</s:v>
      </s:c>
      <s:c r="F886" s="24">
        <s:f>'자료구성'!$B$2+TIME(INT($C$3/10000),INT(MOD($C$3,10000)/100),MOD($C$3,100))+(ROW()-ROW($C$3))/86400</s:f>
        <s:v>46247.37637731482</s:v>
      </s:c>
    </s:row>
    <s:row r="887">
      <s:c r="A887" s="0" t="n">
        <s:v>260813</s:v>
      </s:c>
      <s:c r="B887" s="0" t="inlineStr">
        <s:is>
          <s:t>이종훈</s:t>
        </s:is>
      </s:c>
      <s:c r="C887" s="0" t="n">
        <s:v>84716</s:v>
      </s:c>
      <s:c r="D887" s="0" t="n">
        <s:v>1615</s:v>
      </s:c>
      <s:c r="F887" s="24">
        <s:f>'자료구성'!$B$2+TIME(INT($C$3/10000),INT(MOD($C$3,10000)/100),MOD($C$3,100))+(ROW()-ROW($C$3))/86400</s:f>
        <s:v>46247.376388888886</s:v>
      </s:c>
    </s:row>
    <s:row r="888">
      <s:c r="A888" s="0" t="n">
        <s:v>260813</s:v>
      </s:c>
      <s:c r="B888" s="0" t="inlineStr">
        <s:is>
          <s:t>이종훈</s:t>
        </s:is>
      </s:c>
      <s:c r="C888" s="0" t="n">
        <s:v>84716</s:v>
      </s:c>
      <s:c r="D888" s="0" t="n">
        <s:v>1606</s:v>
      </s:c>
      <s:c r="F888" s="24">
        <s:f>'자료구성'!$B$2+TIME(INT($C$3/10000),INT(MOD($C$3,10000)/100),MOD($C$3,100))+(ROW()-ROW($C$3))/86400</s:f>
        <s:v>46247.37640046296</s:v>
      </s:c>
    </s:row>
    <s:row r="889">
      <s:c r="A889" s="0" t="n">
        <s:v>260813</s:v>
      </s:c>
      <s:c r="B889" s="0" t="inlineStr">
        <s:is>
          <s:t>이종훈</s:t>
        </s:is>
      </s:c>
      <s:c r="C889" s="0" t="n">
        <s:v>84716</s:v>
      </s:c>
      <s:c r="D889" s="0" t="n">
        <s:v>1600</s:v>
      </s:c>
      <s:c r="F889" s="24">
        <s:f>'자료구성'!$B$2+TIME(INT($C$3/10000),INT(MOD($C$3,10000)/100),MOD($C$3,100))+(ROW()-ROW($C$3))/86400</s:f>
        <s:v>46247.37641203704</s:v>
      </s:c>
    </s:row>
    <s:row r="890">
      <s:c r="A890" s="0" t="n">
        <s:v>260813</s:v>
      </s:c>
      <s:c r="B890" s="0" t="inlineStr">
        <s:is>
          <s:t>이종훈</s:t>
        </s:is>
      </s:c>
      <s:c r="C890" s="0" t="n">
        <s:v>84716</s:v>
      </s:c>
      <s:c r="D890" s="0" t="n">
        <s:v>1593</s:v>
      </s:c>
      <s:c r="F890" s="24">
        <s:f>'자료구성'!$B$2+TIME(INT($C$3/10000),INT(MOD($C$3,10000)/100),MOD($C$3,100))+(ROW()-ROW($C$3))/86400</s:f>
        <s:v>46247.37642361111</s:v>
      </s:c>
    </s:row>
    <s:row r="891">
      <s:c r="A891" s="0" t="n">
        <s:v>260813</s:v>
      </s:c>
      <s:c r="B891" s="0" t="inlineStr">
        <s:is>
          <s:t>이종훈</s:t>
        </s:is>
      </s:c>
      <s:c r="C891" s="0" t="n">
        <s:v>84716</s:v>
      </s:c>
      <s:c r="D891" s="0" t="n">
        <s:v>1579</s:v>
      </s:c>
      <s:c r="F891" s="24">
        <s:f>'자료구성'!$B$2+TIME(INT($C$3/10000),INT(MOD($C$3,10000)/100),MOD($C$3,100))+(ROW()-ROW($C$3))/86400</s:f>
        <s:v>46247.376435185186</s:v>
      </s:c>
    </s:row>
    <s:row r="892">
      <s:c r="A892" s="0" t="n">
        <s:v>260813</s:v>
      </s:c>
      <s:c r="B892" s="0" t="inlineStr">
        <s:is>
          <s:t>이종훈</s:t>
        </s:is>
      </s:c>
      <s:c r="C892" s="0" t="n">
        <s:v>84716</s:v>
      </s:c>
      <s:c r="D892" s="0" t="n">
        <s:v>1573</s:v>
      </s:c>
      <s:c r="F892" s="24">
        <s:f>'자료구성'!$B$2+TIME(INT($C$3/10000),INT(MOD($C$3,10000)/100),MOD($C$3,100))+(ROW()-ROW($C$3))/86400</s:f>
        <s:v>46247.37644675926</s:v>
      </s:c>
    </s:row>
    <s:row r="893">
      <s:c r="A893" s="0" t="n">
        <s:v>260813</s:v>
      </s:c>
      <s:c r="B893" s="0" t="inlineStr">
        <s:is>
          <s:t>이종훈</s:t>
        </s:is>
      </s:c>
      <s:c r="C893" s="0" t="n">
        <s:v>84716</s:v>
      </s:c>
      <s:c r="D893" s="0" t="n">
        <s:v>1569</s:v>
      </s:c>
      <s:c r="F893" s="24">
        <s:f>'자료구성'!$B$2+TIME(INT($C$3/10000),INT(MOD($C$3,10000)/100),MOD($C$3,100))+(ROW()-ROW($C$3))/86400</s:f>
        <s:v>46247.37645833333</s:v>
      </s:c>
    </s:row>
    <s:row r="894">
      <s:c r="A894" s="0" t="n">
        <s:v>260813</s:v>
      </s:c>
      <s:c r="B894" s="0" t="inlineStr">
        <s:is>
          <s:t>이종훈</s:t>
        </s:is>
      </s:c>
      <s:c r="C894" s="0" t="n">
        <s:v>84716</s:v>
      </s:c>
      <s:c r="D894" s="0" t="n">
        <s:v>1601</s:v>
      </s:c>
      <s:c r="F894" s="24">
        <s:f>'자료구성'!$B$2+TIME(INT($C$3/10000),INT(MOD($C$3,10000)/100),MOD($C$3,100))+(ROW()-ROW($C$3))/86400</s:f>
        <s:v>46247.37646990741</s:v>
      </s:c>
    </s:row>
    <s:row r="895">
      <s:c r="A895" s="0" t="n">
        <s:v>260813</s:v>
      </s:c>
      <s:c r="B895" s="0" t="inlineStr">
        <s:is>
          <s:t>이종훈</s:t>
        </s:is>
      </s:c>
      <s:c r="C895" s="0" t="n">
        <s:v>84716</s:v>
      </s:c>
      <s:c r="D895" s="0" t="n">
        <s:v>1627</s:v>
      </s:c>
      <s:c r="F895" s="24">
        <s:f>'자료구성'!$B$2+TIME(INT($C$3/10000),INT(MOD($C$3,10000)/100),MOD($C$3,100))+(ROW()-ROW($C$3))/86400</s:f>
        <s:v>46247.37648148148</s:v>
      </s:c>
    </s:row>
    <s:row r="896">
      <s:c r="A896" s="0" t="n">
        <s:v>260813</s:v>
      </s:c>
      <s:c r="B896" s="0" t="inlineStr">
        <s:is>
          <s:t>이종훈</s:t>
        </s:is>
      </s:c>
      <s:c r="C896" s="0" t="n">
        <s:v>84716</s:v>
      </s:c>
      <s:c r="D896" s="0" t="n">
        <s:v>1637</s:v>
      </s:c>
      <s:c r="F896" s="24">
        <s:f>'자료구성'!$B$2+TIME(INT($C$3/10000),INT(MOD($C$3,10000)/100),MOD($C$3,100))+(ROW()-ROW($C$3))/86400</s:f>
        <s:v>46247.376493055555</s:v>
      </s:c>
    </s:row>
    <s:row r="897">
      <s:c r="A897" s="0" t="n">
        <s:v>260813</s:v>
      </s:c>
      <s:c r="B897" s="0" t="inlineStr">
        <s:is>
          <s:t>이종훈</s:t>
        </s:is>
      </s:c>
      <s:c r="C897" s="0" t="n">
        <s:v>84716</s:v>
      </s:c>
      <s:c r="D897" s="0" t="n">
        <s:v>1639</s:v>
      </s:c>
      <s:c r="F897" s="24">
        <s:f>'자료구성'!$B$2+TIME(INT($C$3/10000),INT(MOD($C$3,10000)/100),MOD($C$3,100))+(ROW()-ROW($C$3))/86400</s:f>
        <s:v>46247.37650462963</s:v>
      </s:c>
    </s:row>
    <s:row r="898">
      <s:c r="A898" s="0" t="n">
        <s:v>260813</s:v>
      </s:c>
      <s:c r="B898" s="0" t="inlineStr">
        <s:is>
          <s:t>이종훈</s:t>
        </s:is>
      </s:c>
      <s:c r="C898" s="0" t="n">
        <s:v>84716</s:v>
      </s:c>
      <s:c r="D898" s="0" t="n">
        <s:v>1633</s:v>
      </s:c>
      <s:c r="F898" s="24">
        <s:f>'자료구성'!$B$2+TIME(INT($C$3/10000),INT(MOD($C$3,10000)/100),MOD($C$3,100))+(ROW()-ROW($C$3))/86400</s:f>
        <s:v>46247.3765162037</s:v>
      </s:c>
    </s:row>
    <s:row r="899">
      <s:c r="A899" s="0" t="n">
        <s:v>260813</s:v>
      </s:c>
      <s:c r="B899" s="0" t="inlineStr">
        <s:is>
          <s:t>이종훈</s:t>
        </s:is>
      </s:c>
      <s:c r="C899" s="0" t="n">
        <s:v>84716</s:v>
      </s:c>
      <s:c r="D899" s="0" t="n">
        <s:v>1615</s:v>
      </s:c>
      <s:c r="F899" s="24">
        <s:f>'자료구성'!$B$2+TIME(INT($C$3/10000),INT(MOD($C$3,10000)/100),MOD($C$3,100))+(ROW()-ROW($C$3))/86400</s:f>
        <s:v>46247.37652777778</s:v>
      </s:c>
    </s:row>
    <s:row r="900">
      <s:c r="A900" s="0" t="n">
        <s:v>260813</s:v>
      </s:c>
      <s:c r="B900" s="0" t="inlineStr">
        <s:is>
          <s:t>이종훈</s:t>
        </s:is>
      </s:c>
      <s:c r="C900" s="0" t="n">
        <s:v>84716</s:v>
      </s:c>
      <s:c r="D900" s="0" t="n">
        <s:v>1621</s:v>
      </s:c>
      <s:c r="F900" s="24">
        <s:f>'자료구성'!$B$2+TIME(INT($C$3/10000),INT(MOD($C$3,10000)/100),MOD($C$3,100))+(ROW()-ROW($C$3))/86400</s:f>
        <s:v>46247.376539351855</s:v>
      </s:c>
    </s:row>
    <s:row r="901">
      <s:c r="A901" s="0" t="n">
        <s:v>260813</s:v>
      </s:c>
      <s:c r="B901" s="0" t="inlineStr">
        <s:is>
          <s:t>이종훈</s:t>
        </s:is>
      </s:c>
      <s:c r="C901" s="0" t="n">
        <s:v>84716</s:v>
      </s:c>
      <s:c r="D901" s="0" t="n">
        <s:v>1638</s:v>
      </s:c>
      <s:c r="F901" s="24">
        <s:f>'자료구성'!$B$2+TIME(INT($C$3/10000),INT(MOD($C$3,10000)/100),MOD($C$3,100))+(ROW()-ROW($C$3))/86400</s:f>
        <s:v>46247.376550925925</s:v>
      </s:c>
    </s:row>
    <s:row r="902">
      <s:c r="A902" s="0" t="n">
        <s:v>260813</s:v>
      </s:c>
      <s:c r="B902" s="0" t="inlineStr">
        <s:is>
          <s:t>이종훈</s:t>
        </s:is>
      </s:c>
      <s:c r="C902" s="0" t="n">
        <s:v>84716</s:v>
      </s:c>
      <s:c r="D902" s="0" t="n">
        <s:v>1627</s:v>
      </s:c>
      <s:c r="F902" s="24">
        <s:f>'자료구성'!$B$2+TIME(INT($C$3/10000),INT(MOD($C$3,10000)/100),MOD($C$3,100))+(ROW()-ROW($C$3))/86400</s:f>
        <s:v>46247.3765625</s:v>
      </s:c>
    </s:row>
  </s:sheetData>
  <s:mergeCells count="1">
    <s:mergeCell ref="A1:E1"/>
  </s:mergeCells>
  <s:pageMargins left="0.7" right="0.7" top="0.75" bottom="0.75" header="0.3" footer="0.3"/>
  <s:legacyDrawing r:id="anysvml"/>
</s:worksheet>
</file>

<file path=xl/worksheets/sheet11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/>
  </s:sheetPr>
  <s:dimension ref="A1:F902"/>
  <s:sheetViews>
    <s:sheetView workbookViewId="0">
      <s:pane ySplit="2" topLeftCell="A874" activePane="bottomLeft" state="frozen"/>
      <s:selection pane="bottomLeft" activeCell="D3" sqref="D3:D902"/>
    </s:sheetView>
  </s:sheetViews>
  <s:sheetFormatPr baseColWidth="8" defaultRowHeight="16.5"/>
  <s:cols>
    <s:col width="25" customWidth="1" style="7" min="6" max="6"/>
  </s:cols>
  <s:sheetData>
    <s:row r="1">
      <s:c r="A1" s="4" t="inlineStr">
        <s:is>
          <s:t>잣나무B</s:t>
        </s:is>
      </s:c>
    </s:row>
    <s:row r="2" ht="17.25" customHeight="1" s="7" thickBot="1">
      <s:c r="A2" s="2" t="inlineStr">
        <s:is>
          <s:t>조사일자</s:t>
        </s:is>
      </s:c>
      <s:c r="B2" s="3" t="inlineStr">
        <s:is>
          <s:t>조사자명</s:t>
        </s:is>
      </s:c>
      <s:c r="C2" s="3" t="inlineStr">
        <s:is>
          <s:t>조사시작시간</s:t>
        </s:is>
      </s:c>
      <s:c r="D2" s="3" t="inlineStr">
        <s:is>
          <s:t>음이온발생량</s:t>
        </s:is>
      </s:c>
      <s:c r="E2" s="1" t="inlineStr">
        <s:is>
          <s:t>비고</s:t>
        </s:is>
      </s:c>
      <s:c r="F2" s="3" t="inlineStr">
        <s:is>
          <s:t>측정일시</s:t>
        </s:is>
      </s:c>
    </s:row>
    <s:row r="3">
      <s:c r="A3" s="0" t="n">
        <s:v>260813</s:v>
      </s:c>
      <s:c r="B3" s="0" t="inlineStr">
        <s:is>
          <s:t>이종훈</s:t>
        </s:is>
      </s:c>
      <s:c r="C3" s="0" t="n">
        <s:v>80511</s:v>
      </s:c>
      <s:c r="D3" s="0" t="n">
        <s:v>1715</s:v>
      </s:c>
      <s:c r="F3" s="24">
        <s:f>'자료구성'!$B$2+TIME(INT($C$3/10000),INT(MOD($C$3,10000)/100),MOD($C$3,100))+(ROW()-ROW($C$3))/86400</s:f>
        <s:v>46247.33693287037</s:v>
      </s:c>
    </s:row>
    <s:row r="4">
      <s:c r="A4" s="0" t="n">
        <s:v>260813</s:v>
      </s:c>
      <s:c r="B4" s="0" t="inlineStr">
        <s:is>
          <s:t>이종훈</s:t>
        </s:is>
      </s:c>
      <s:c r="C4" s="0" t="n">
        <s:v>80511</s:v>
      </s:c>
      <s:c r="D4" s="0" t="n">
        <s:v>1730</s:v>
      </s:c>
      <s:c r="F4" s="24">
        <s:f>'자료구성'!$B$2+TIME(INT($C$3/10000),INT(MOD($C$3,10000)/100),MOD($C$3,100))+(ROW()-ROW($C$3))/86400</s:f>
        <s:v>46247.33694444445</s:v>
      </s:c>
    </s:row>
    <s:row r="5">
      <s:c r="A5" s="0" t="n">
        <s:v>260813</s:v>
      </s:c>
      <s:c r="B5" s="0" t="inlineStr">
        <s:is>
          <s:t>이종훈</s:t>
        </s:is>
      </s:c>
      <s:c r="C5" s="0" t="n">
        <s:v>80511</s:v>
      </s:c>
      <s:c r="D5" s="0" t="n">
        <s:v>1712</s:v>
      </s:c>
      <s:c r="F5" s="24">
        <s:f>'자료구성'!$B$2+TIME(INT($C$3/10000),INT(MOD($C$3,10000)/100),MOD($C$3,100))+(ROW()-ROW($C$3))/86400</s:f>
        <s:v>46247.33695601852</s:v>
      </s:c>
    </s:row>
    <s:row r="6">
      <s:c r="A6" s="0" t="n">
        <s:v>260813</s:v>
      </s:c>
      <s:c r="B6" s="0" t="inlineStr">
        <s:is>
          <s:t>이종훈</s:t>
        </s:is>
      </s:c>
      <s:c r="C6" s="0" t="n">
        <s:v>80511</s:v>
      </s:c>
      <s:c r="D6" s="0" t="n">
        <s:v>1676</s:v>
      </s:c>
      <s:c r="F6" s="24">
        <s:f>'자료구성'!$B$2+TIME(INT($C$3/10000),INT(MOD($C$3,10000)/100),MOD($C$3,100))+(ROW()-ROW($C$3))/86400</s:f>
        <s:v>46247.33696759259</s:v>
      </s:c>
    </s:row>
    <s:row r="7">
      <s:c r="A7" s="0" t="n">
        <s:v>260813</s:v>
      </s:c>
      <s:c r="B7" s="0" t="inlineStr">
        <s:is>
          <s:t>이종훈</s:t>
        </s:is>
      </s:c>
      <s:c r="C7" s="0" t="n">
        <s:v>80511</s:v>
      </s:c>
      <s:c r="D7" s="0" t="n">
        <s:v>1669</s:v>
      </s:c>
      <s:c r="F7" s="24">
        <s:f>'자료구성'!$B$2+TIME(INT($C$3/10000),INT(MOD($C$3,10000)/100),MOD($C$3,100))+(ROW()-ROW($C$3))/86400</s:f>
        <s:v>46247.33697916667</s:v>
      </s:c>
    </s:row>
    <s:row r="8">
      <s:c r="A8" s="0" t="n">
        <s:v>260813</s:v>
      </s:c>
      <s:c r="B8" s="0" t="inlineStr">
        <s:is>
          <s:t>이종훈</s:t>
        </s:is>
      </s:c>
      <s:c r="C8" s="0" t="n">
        <s:v>80511</s:v>
      </s:c>
      <s:c r="D8" s="0" t="n">
        <s:v>1671</s:v>
      </s:c>
      <s:c r="F8" s="24">
        <s:f>'자료구성'!$B$2+TIME(INT($C$3/10000),INT(MOD($C$3,10000)/100),MOD($C$3,100))+(ROW()-ROW($C$3))/86400</s:f>
        <s:v>46247.33699074074</s:v>
      </s:c>
    </s:row>
    <s:row r="9">
      <s:c r="A9" s="0" t="n">
        <s:v>260813</s:v>
      </s:c>
      <s:c r="B9" s="0" t="inlineStr">
        <s:is>
          <s:t>이종훈</s:t>
        </s:is>
      </s:c>
      <s:c r="C9" s="0" t="n">
        <s:v>80511</s:v>
      </s:c>
      <s:c r="D9" s="0" t="n">
        <s:v>1723</s:v>
      </s:c>
      <s:c r="F9" s="24">
        <s:f>'자료구성'!$B$2+TIME(INT($C$3/10000),INT(MOD($C$3,10000)/100),MOD($C$3,100))+(ROW()-ROW($C$3))/86400</s:f>
        <s:v>46247.337002314816</s:v>
      </s:c>
    </s:row>
    <s:row r="10">
      <s:c r="A10" s="0" t="n">
        <s:v>260813</s:v>
      </s:c>
      <s:c r="B10" s="0" t="inlineStr">
        <s:is>
          <s:t>이종훈</s:t>
        </s:is>
      </s:c>
      <s:c r="C10" s="0" t="n">
        <s:v>80511</s:v>
      </s:c>
      <s:c r="D10" s="0" t="n">
        <s:v>1742</s:v>
      </s:c>
      <s:c r="F10" s="24">
        <s:f>'자료구성'!$B$2+TIME(INT($C$3/10000),INT(MOD($C$3,10000)/100),MOD($C$3,100))+(ROW()-ROW($C$3))/86400</s:f>
        <s:v>46247.337013888886</s:v>
      </s:c>
    </s:row>
    <s:row r="11">
      <s:c r="A11" s="0" t="n">
        <s:v>260813</s:v>
      </s:c>
      <s:c r="B11" s="0" t="inlineStr">
        <s:is>
          <s:t>이종훈</s:t>
        </s:is>
      </s:c>
      <s:c r="C11" s="0" t="n">
        <s:v>80511</s:v>
      </s:c>
      <s:c r="D11" s="0" t="n">
        <s:v>1731</s:v>
      </s:c>
      <s:c r="F11" s="24">
        <s:f>'자료구성'!$B$2+TIME(INT($C$3/10000),INT(MOD($C$3,10000)/100),MOD($C$3,100))+(ROW()-ROW($C$3))/86400</s:f>
        <s:v>46247.33702546296</s:v>
      </s:c>
    </s:row>
    <s:row r="12">
      <s:c r="A12" s="0" t="n">
        <s:v>260813</s:v>
      </s:c>
      <s:c r="B12" s="0" t="inlineStr">
        <s:is>
          <s:t>이종훈</s:t>
        </s:is>
      </s:c>
      <s:c r="C12" s="0" t="n">
        <s:v>80511</s:v>
      </s:c>
      <s:c r="D12" s="0" t="n">
        <s:v>1721</s:v>
      </s:c>
      <s:c r="F12" s="24">
        <s:f>'자료구성'!$B$2+TIME(INT($C$3/10000),INT(MOD($C$3,10000)/100),MOD($C$3,100))+(ROW()-ROW($C$3))/86400</s:f>
        <s:v>46247.33703703704</s:v>
      </s:c>
    </s:row>
    <s:row r="13">
      <s:c r="A13" s="0" t="n">
        <s:v>260813</s:v>
      </s:c>
      <s:c r="B13" s="0" t="inlineStr">
        <s:is>
          <s:t>이종훈</s:t>
        </s:is>
      </s:c>
      <s:c r="C13" s="0" t="n">
        <s:v>80511</s:v>
      </s:c>
      <s:c r="D13" s="0" t="n">
        <s:v>1712</s:v>
      </s:c>
      <s:c r="F13" s="24">
        <s:f>'자료구성'!$B$2+TIME(INT($C$3/10000),INT(MOD($C$3,10000)/100),MOD($C$3,100))+(ROW()-ROW($C$3))/86400</s:f>
        <s:v>46247.33704861111</s:v>
      </s:c>
    </s:row>
    <s:row r="14">
      <s:c r="A14" s="0" t="n">
        <s:v>260813</s:v>
      </s:c>
      <s:c r="B14" s="0" t="inlineStr">
        <s:is>
          <s:t>이종훈</s:t>
        </s:is>
      </s:c>
      <s:c r="C14" s="0" t="n">
        <s:v>80511</s:v>
      </s:c>
      <s:c r="D14" s="0" t="n">
        <s:v>1704</s:v>
      </s:c>
      <s:c r="F14" s="24">
        <s:f>'자료구성'!$B$2+TIME(INT($C$3/10000),INT(MOD($C$3,10000)/100),MOD($C$3,100))+(ROW()-ROW($C$3))/86400</s:f>
        <s:v>46247.337060185186</s:v>
      </s:c>
    </s:row>
    <s:row r="15">
      <s:c r="A15" s="0" t="n">
        <s:v>260813</s:v>
      </s:c>
      <s:c r="B15" s="0" t="inlineStr">
        <s:is>
          <s:t>이종훈</s:t>
        </s:is>
      </s:c>
      <s:c r="C15" s="0" t="n">
        <s:v>80511</s:v>
      </s:c>
      <s:c r="D15" s="0" t="n">
        <s:v>1693</s:v>
      </s:c>
      <s:c r="F15" s="24">
        <s:f>'자료구성'!$B$2+TIME(INT($C$3/10000),INT(MOD($C$3,10000)/100),MOD($C$3,100))+(ROW()-ROW($C$3))/86400</s:f>
        <s:v>46247.33707175926</s:v>
      </s:c>
    </s:row>
    <s:row r="16">
      <s:c r="A16" s="0" t="n">
        <s:v>260813</s:v>
      </s:c>
      <s:c r="B16" s="0" t="inlineStr">
        <s:is>
          <s:t>이종훈</s:t>
        </s:is>
      </s:c>
      <s:c r="C16" s="0" t="n">
        <s:v>80511</s:v>
      </s:c>
      <s:c r="D16" s="0" t="n">
        <s:v>1703</s:v>
      </s:c>
      <s:c r="F16" s="24">
        <s:f>'자료구성'!$B$2+TIME(INT($C$3/10000),INT(MOD($C$3,10000)/100),MOD($C$3,100))+(ROW()-ROW($C$3))/86400</s:f>
        <s:v>46247.33708333333</s:v>
      </s:c>
    </s:row>
    <s:row r="17">
      <s:c r="A17" s="0" t="n">
        <s:v>260813</s:v>
      </s:c>
      <s:c r="B17" s="0" t="inlineStr">
        <s:is>
          <s:t>이종훈</s:t>
        </s:is>
      </s:c>
      <s:c r="C17" s="0" t="n">
        <s:v>80511</s:v>
      </s:c>
      <s:c r="D17" s="0" t="n">
        <s:v>1707</s:v>
      </s:c>
      <s:c r="F17" s="24">
        <s:f>'자료구성'!$B$2+TIME(INT($C$3/10000),INT(MOD($C$3,10000)/100),MOD($C$3,100))+(ROW()-ROW($C$3))/86400</s:f>
        <s:v>46247.33709490741</s:v>
      </s:c>
    </s:row>
    <s:row r="18">
      <s:c r="A18" s="0" t="n">
        <s:v>260813</s:v>
      </s:c>
      <s:c r="B18" s="0" t="inlineStr">
        <s:is>
          <s:t>이종훈</s:t>
        </s:is>
      </s:c>
      <s:c r="C18" s="0" t="n">
        <s:v>80511</s:v>
      </s:c>
      <s:c r="D18" s="0" t="n">
        <s:v>1730</s:v>
      </s:c>
      <s:c r="F18" s="24">
        <s:f>'자료구성'!$B$2+TIME(INT($C$3/10000),INT(MOD($C$3,10000)/100),MOD($C$3,100))+(ROW()-ROW($C$3))/86400</s:f>
        <s:v>46247.33710648148</s:v>
      </s:c>
    </s:row>
    <s:row r="19">
      <s:c r="A19" s="0" t="n">
        <s:v>260813</s:v>
      </s:c>
      <s:c r="B19" s="0" t="inlineStr">
        <s:is>
          <s:t>이종훈</s:t>
        </s:is>
      </s:c>
      <s:c r="C19" s="0" t="n">
        <s:v>80511</s:v>
      </s:c>
      <s:c r="D19" s="0" t="n">
        <s:v>1729</s:v>
      </s:c>
      <s:c r="F19" s="24">
        <s:f>'자료구성'!$B$2+TIME(INT($C$3/10000),INT(MOD($C$3,10000)/100),MOD($C$3,100))+(ROW()-ROW($C$3))/86400</s:f>
        <s:v>46247.337118055555</s:v>
      </s:c>
    </s:row>
    <s:row r="20">
      <s:c r="A20" s="0" t="n">
        <s:v>260813</s:v>
      </s:c>
      <s:c r="B20" s="0" t="inlineStr">
        <s:is>
          <s:t>이종훈</s:t>
        </s:is>
      </s:c>
      <s:c r="C20" s="0" t="n">
        <s:v>80511</s:v>
      </s:c>
      <s:c r="D20" s="0" t="n">
        <s:v>1729</s:v>
      </s:c>
      <s:c r="F20" s="24">
        <s:f>'자료구성'!$B$2+TIME(INT($C$3/10000),INT(MOD($C$3,10000)/100),MOD($C$3,100))+(ROW()-ROW($C$3))/86400</s:f>
        <s:v>46247.33712962963</s:v>
      </s:c>
    </s:row>
    <s:row r="21">
      <s:c r="A21" s="0" t="n">
        <s:v>260813</s:v>
      </s:c>
      <s:c r="B21" s="0" t="inlineStr">
        <s:is>
          <s:t>이종훈</s:t>
        </s:is>
      </s:c>
      <s:c r="C21" s="0" t="n">
        <s:v>80511</s:v>
      </s:c>
      <s:c r="D21" s="0" t="n">
        <s:v>1754</s:v>
      </s:c>
      <s:c r="F21" s="24">
        <s:f>'자료구성'!$B$2+TIME(INT($C$3/10000),INT(MOD($C$3,10000)/100),MOD($C$3,100))+(ROW()-ROW($C$3))/86400</s:f>
        <s:v>46247.3371412037</s:v>
      </s:c>
    </s:row>
    <s:row r="22">
      <s:c r="A22" s="0" t="n">
        <s:v>260813</s:v>
      </s:c>
      <s:c r="B22" s="0" t="inlineStr">
        <s:is>
          <s:t>이종훈</s:t>
        </s:is>
      </s:c>
      <s:c r="C22" s="0" t="n">
        <s:v>80511</s:v>
      </s:c>
      <s:c r="D22" s="0" t="n">
        <s:v>1761</s:v>
      </s:c>
      <s:c r="F22" s="24">
        <s:f>'자료구성'!$B$2+TIME(INT($C$3/10000),INT(MOD($C$3,10000)/100),MOD($C$3,100))+(ROW()-ROW($C$3))/86400</s:f>
        <s:v>46247.33715277778</s:v>
      </s:c>
    </s:row>
    <s:row r="23">
      <s:c r="A23" s="0" t="n">
        <s:v>260813</s:v>
      </s:c>
      <s:c r="B23" s="0" t="inlineStr">
        <s:is>
          <s:t>이종훈</s:t>
        </s:is>
      </s:c>
      <s:c r="C23" s="0" t="n">
        <s:v>80511</s:v>
      </s:c>
      <s:c r="D23" s="0" t="n">
        <s:v>1776</s:v>
      </s:c>
      <s:c r="F23" s="24">
        <s:f>'자료구성'!$B$2+TIME(INT($C$3/10000),INT(MOD($C$3,10000)/100),MOD($C$3,100))+(ROW()-ROW($C$3))/86400</s:f>
        <s:v>46247.337164351855</s:v>
      </s:c>
    </s:row>
    <s:row r="24">
      <s:c r="A24" s="0" t="n">
        <s:v>260813</s:v>
      </s:c>
      <s:c r="B24" s="0" t="inlineStr">
        <s:is>
          <s:t>이종훈</s:t>
        </s:is>
      </s:c>
      <s:c r="C24" s="0" t="n">
        <s:v>80511</s:v>
      </s:c>
      <s:c r="D24" s="0" t="n">
        <s:v>1798</s:v>
      </s:c>
      <s:c r="F24" s="24">
        <s:f>'자료구성'!$B$2+TIME(INT($C$3/10000),INT(MOD($C$3,10000)/100),MOD($C$3,100))+(ROW()-ROW($C$3))/86400</s:f>
        <s:v>46247.337175925924</s:v>
      </s:c>
    </s:row>
    <s:row r="25">
      <s:c r="A25" s="0" t="n">
        <s:v>260813</s:v>
      </s:c>
      <s:c r="B25" s="0" t="inlineStr">
        <s:is>
          <s:t>이종훈</s:t>
        </s:is>
      </s:c>
      <s:c r="C25" s="0" t="n">
        <s:v>80511</s:v>
      </s:c>
      <s:c r="D25" s="0" t="n">
        <s:v>1782</s:v>
      </s:c>
      <s:c r="F25" s="24">
        <s:f>'자료구성'!$B$2+TIME(INT($C$3/10000),INT(MOD($C$3,10000)/100),MOD($C$3,100))+(ROW()-ROW($C$3))/86400</s:f>
        <s:v>46247.3371875</s:v>
      </s:c>
    </s:row>
    <s:row r="26">
      <s:c r="A26" s="0" t="n">
        <s:v>260813</s:v>
      </s:c>
      <s:c r="B26" s="0" t="inlineStr">
        <s:is>
          <s:t>이종훈</s:t>
        </s:is>
      </s:c>
      <s:c r="C26" s="0" t="n">
        <s:v>80511</s:v>
      </s:c>
      <s:c r="D26" s="0" t="n">
        <s:v>1782</s:v>
      </s:c>
      <s:c r="F26" s="24">
        <s:f>'자료구성'!$B$2+TIME(INT($C$3/10000),INT(MOD($C$3,10000)/100),MOD($C$3,100))+(ROW()-ROW($C$3))/86400</s:f>
        <s:v>46247.33719907407</s:v>
      </s:c>
    </s:row>
    <s:row r="27">
      <s:c r="A27" s="0" t="n">
        <s:v>260813</s:v>
      </s:c>
      <s:c r="B27" s="0" t="inlineStr">
        <s:is>
          <s:t>이종훈</s:t>
        </s:is>
      </s:c>
      <s:c r="C27" s="0" t="n">
        <s:v>80511</s:v>
      </s:c>
      <s:c r="D27" s="0" t="n">
        <s:v>1814</s:v>
      </s:c>
      <s:c r="F27" s="24">
        <s:f>'자료구성'!$B$2+TIME(INT($C$3/10000),INT(MOD($C$3,10000)/100),MOD($C$3,100))+(ROW()-ROW($C$3))/86400</s:f>
        <s:v>46247.33721064815</s:v>
      </s:c>
    </s:row>
    <s:row r="28">
      <s:c r="A28" s="0" t="n">
        <s:v>260813</s:v>
      </s:c>
      <s:c r="B28" s="0" t="inlineStr">
        <s:is>
          <s:t>이종훈</s:t>
        </s:is>
      </s:c>
      <s:c r="C28" s="0" t="n">
        <s:v>80511</s:v>
      </s:c>
      <s:c r="D28" s="0" t="n">
        <s:v>1787</s:v>
      </s:c>
      <s:c r="F28" s="24">
        <s:f>'자료구성'!$B$2+TIME(INT($C$3/10000),INT(MOD($C$3,10000)/100),MOD($C$3,100))+(ROW()-ROW($C$3))/86400</s:f>
        <s:v>46247.337222222224</s:v>
      </s:c>
    </s:row>
    <s:row r="29">
      <s:c r="A29" s="0" t="n">
        <s:v>260813</s:v>
      </s:c>
      <s:c r="B29" s="0" t="inlineStr">
        <s:is>
          <s:t>이종훈</s:t>
        </s:is>
      </s:c>
      <s:c r="C29" s="0" t="n">
        <s:v>80511</s:v>
      </s:c>
      <s:c r="D29" s="0" t="n">
        <s:v>1764</s:v>
      </s:c>
      <s:c r="F29" s="24">
        <s:f>'자료구성'!$B$2+TIME(INT($C$3/10000),INT(MOD($C$3,10000)/100),MOD($C$3,100))+(ROW()-ROW($C$3))/86400</s:f>
        <s:v>46247.337233796294</s:v>
      </s:c>
    </s:row>
    <s:row r="30">
      <s:c r="A30" s="0" t="n">
        <s:v>260813</s:v>
      </s:c>
      <s:c r="B30" s="0" t="inlineStr">
        <s:is>
          <s:t>이종훈</s:t>
        </s:is>
      </s:c>
      <s:c r="C30" s="0" t="n">
        <s:v>80511</s:v>
      </s:c>
      <s:c r="D30" s="0" t="n">
        <s:v>1756</s:v>
      </s:c>
      <s:c r="F30" s="24">
        <s:f>'자료구성'!$B$2+TIME(INT($C$3/10000),INT(MOD($C$3,10000)/100),MOD($C$3,100))+(ROW()-ROW($C$3))/86400</s:f>
        <s:v>46247.33724537037</s:v>
      </s:c>
    </s:row>
    <s:row r="31">
      <s:c r="A31" s="0" t="n">
        <s:v>260813</s:v>
      </s:c>
      <s:c r="B31" s="0" t="inlineStr">
        <s:is>
          <s:t>이종훈</s:t>
        </s:is>
      </s:c>
      <s:c r="C31" s="0" t="n">
        <s:v>80511</s:v>
      </s:c>
      <s:c r="D31" s="0" t="n">
        <s:v>1780</s:v>
      </s:c>
      <s:c r="F31" s="24">
        <s:f>'자료구성'!$B$2+TIME(INT($C$3/10000),INT(MOD($C$3,10000)/100),MOD($C$3,100))+(ROW()-ROW($C$3))/86400</s:f>
        <s:v>46247.33725694445</s:v>
      </s:c>
    </s:row>
    <s:row r="32">
      <s:c r="A32" s="0" t="n">
        <s:v>260813</s:v>
      </s:c>
      <s:c r="B32" s="0" t="inlineStr">
        <s:is>
          <s:t>이종훈</s:t>
        </s:is>
      </s:c>
      <s:c r="C32" s="0" t="n">
        <s:v>80511</s:v>
      </s:c>
      <s:c r="D32" s="0" t="n">
        <s:v>1769</s:v>
      </s:c>
      <s:c r="F32" s="24">
        <s:f>'자료구성'!$B$2+TIME(INT($C$3/10000),INT(MOD($C$3,10000)/100),MOD($C$3,100))+(ROW()-ROW($C$3))/86400</s:f>
        <s:v>46247.33726851852</s:v>
      </s:c>
    </s:row>
    <s:row r="33">
      <s:c r="A33" s="0" t="n">
        <s:v>260813</s:v>
      </s:c>
      <s:c r="B33" s="0" t="inlineStr">
        <s:is>
          <s:t>이종훈</s:t>
        </s:is>
      </s:c>
      <s:c r="C33" s="0" t="n">
        <s:v>80511</s:v>
      </s:c>
      <s:c r="D33" s="0" t="n">
        <s:v>1758</s:v>
      </s:c>
      <s:c r="F33" s="24">
        <s:f>'자료구성'!$B$2+TIME(INT($C$3/10000),INT(MOD($C$3,10000)/100),MOD($C$3,100))+(ROW()-ROW($C$3))/86400</s:f>
        <s:v>46247.33728009259</s:v>
      </s:c>
    </s:row>
    <s:row r="34">
      <s:c r="A34" s="0" t="n">
        <s:v>260813</s:v>
      </s:c>
      <s:c r="B34" s="0" t="inlineStr">
        <s:is>
          <s:t>이종훈</s:t>
        </s:is>
      </s:c>
      <s:c r="C34" s="0" t="n">
        <s:v>80511</s:v>
      </s:c>
      <s:c r="D34" s="0" t="n">
        <s:v>1731</s:v>
      </s:c>
      <s:c r="F34" s="24">
        <s:f>'자료구성'!$B$2+TIME(INT($C$3/10000),INT(MOD($C$3,10000)/100),MOD($C$3,100))+(ROW()-ROW($C$3))/86400</s:f>
        <s:v>46247.33729166666</s:v>
      </s:c>
    </s:row>
    <s:row r="35">
      <s:c r="A35" s="0" t="n">
        <s:v>260813</s:v>
      </s:c>
      <s:c r="B35" s="0" t="inlineStr">
        <s:is>
          <s:t>이종훈</s:t>
        </s:is>
      </s:c>
      <s:c r="C35" s="0" t="n">
        <s:v>80511</s:v>
      </s:c>
      <s:c r="D35" s="0" t="n">
        <s:v>1692</s:v>
      </s:c>
      <s:c r="F35" s="24">
        <s:f>'자료구성'!$B$2+TIME(INT($C$3/10000),INT(MOD($C$3,10000)/100),MOD($C$3,100))+(ROW()-ROW($C$3))/86400</s:f>
        <s:v>46247.33730324074</s:v>
      </s:c>
    </s:row>
    <s:row r="36">
      <s:c r="A36" s="0" t="n">
        <s:v>260813</s:v>
      </s:c>
      <s:c r="B36" s="0" t="inlineStr">
        <s:is>
          <s:t>이종훈</s:t>
        </s:is>
      </s:c>
      <s:c r="C36" s="0" t="n">
        <s:v>80511</s:v>
      </s:c>
      <s:c r="D36" s="0" t="n">
        <s:v>1671</s:v>
      </s:c>
      <s:c r="F36" s="24">
        <s:f>'자료구성'!$B$2+TIME(INT($C$3/10000),INT(MOD($C$3,10000)/100),MOD($C$3,100))+(ROW()-ROW($C$3))/86400</s:f>
        <s:v>46247.33731481482</s:v>
      </s:c>
    </s:row>
    <s:row r="37">
      <s:c r="A37" s="0" t="n">
        <s:v>260813</s:v>
      </s:c>
      <s:c r="B37" s="0" t="inlineStr">
        <s:is>
          <s:t>이종훈</s:t>
        </s:is>
      </s:c>
      <s:c r="C37" s="0" t="n">
        <s:v>80511</s:v>
      </s:c>
      <s:c r="D37" s="0" t="n">
        <s:v>1643</s:v>
      </s:c>
      <s:c r="F37" s="24">
        <s:f>'자료구성'!$B$2+TIME(INT($C$3/10000),INT(MOD($C$3,10000)/100),MOD($C$3,100))+(ROW()-ROW($C$3))/86400</s:f>
        <s:v>46247.337326388886</s:v>
      </s:c>
    </s:row>
    <s:row r="38">
      <s:c r="A38" s="0" t="n">
        <s:v>260813</s:v>
      </s:c>
      <s:c r="B38" s="0" t="inlineStr">
        <s:is>
          <s:t>이종훈</s:t>
        </s:is>
      </s:c>
      <s:c r="C38" s="0" t="n">
        <s:v>80511</s:v>
      </s:c>
      <s:c r="D38" s="0" t="n">
        <s:v>1653</s:v>
      </s:c>
      <s:c r="F38" s="24">
        <s:f>'자료구성'!$B$2+TIME(INT($C$3/10000),INT(MOD($C$3,10000)/100),MOD($C$3,100))+(ROW()-ROW($C$3))/86400</s:f>
        <s:v>46247.33733796296</s:v>
      </s:c>
    </s:row>
    <s:row r="39">
      <s:c r="A39" s="0" t="n">
        <s:v>260813</s:v>
      </s:c>
      <s:c r="B39" s="0" t="inlineStr">
        <s:is>
          <s:t>이종훈</s:t>
        </s:is>
      </s:c>
      <s:c r="C39" s="0" t="n">
        <s:v>80511</s:v>
      </s:c>
      <s:c r="D39" s="0" t="n">
        <s:v>1685</s:v>
      </s:c>
      <s:c r="F39" s="24">
        <s:f>'자료구성'!$B$2+TIME(INT($C$3/10000),INT(MOD($C$3,10000)/100),MOD($C$3,100))+(ROW()-ROW($C$3))/86400</s:f>
        <s:v>46247.33734953704</s:v>
      </s:c>
    </s:row>
    <s:row r="40">
      <s:c r="A40" s="0" t="n">
        <s:v>260813</s:v>
      </s:c>
      <s:c r="B40" s="0" t="inlineStr">
        <s:is>
          <s:t>이종훈</s:t>
        </s:is>
      </s:c>
      <s:c r="C40" s="0" t="n">
        <s:v>80511</s:v>
      </s:c>
      <s:c r="D40" s="0" t="n">
        <s:v>1685</s:v>
      </s:c>
      <s:c r="F40" s="24">
        <s:f>'자료구성'!$B$2+TIME(INT($C$3/10000),INT(MOD($C$3,10000)/100),MOD($C$3,100))+(ROW()-ROW($C$3))/86400</s:f>
        <s:v>46247.33736111111</s:v>
      </s:c>
    </s:row>
    <s:row r="41">
      <s:c r="A41" s="0" t="n">
        <s:v>260813</s:v>
      </s:c>
      <s:c r="B41" s="0" t="inlineStr">
        <s:is>
          <s:t>이종훈</s:t>
        </s:is>
      </s:c>
      <s:c r="C41" s="0" t="n">
        <s:v>80511</s:v>
      </s:c>
      <s:c r="D41" s="0" t="n">
        <s:v>1718</s:v>
      </s:c>
      <s:c r="F41" s="24">
        <s:f>'자료구성'!$B$2+TIME(INT($C$3/10000),INT(MOD($C$3,10000)/100),MOD($C$3,100))+(ROW()-ROW($C$3))/86400</s:f>
        <s:v>46247.337372685186</s:v>
      </s:c>
    </s:row>
    <s:row r="42">
      <s:c r="A42" s="0" t="n">
        <s:v>260813</s:v>
      </s:c>
      <s:c r="B42" s="0" t="inlineStr">
        <s:is>
          <s:t>이종훈</s:t>
        </s:is>
      </s:c>
      <s:c r="C42" s="0" t="n">
        <s:v>80511</s:v>
      </s:c>
      <s:c r="D42" s="0" t="n">
        <s:v>1717</s:v>
      </s:c>
      <s:c r="F42" s="24">
        <s:f>'자료구성'!$B$2+TIME(INT($C$3/10000),INT(MOD($C$3,10000)/100),MOD($C$3,100))+(ROW()-ROW($C$3))/86400</s:f>
        <s:v>46247.33738425926</s:v>
      </s:c>
    </s:row>
    <s:row r="43">
      <s:c r="A43" s="0" t="n">
        <s:v>260813</s:v>
      </s:c>
      <s:c r="B43" s="0" t="inlineStr">
        <s:is>
          <s:t>이종훈</s:t>
        </s:is>
      </s:c>
      <s:c r="C43" s="0" t="n">
        <s:v>80511</s:v>
      </s:c>
      <s:c r="D43" s="0" t="n">
        <s:v>1724</s:v>
      </s:c>
      <s:c r="F43" s="24">
        <s:f>'자료구성'!$B$2+TIME(INT($C$3/10000),INT(MOD($C$3,10000)/100),MOD($C$3,100))+(ROW()-ROW($C$3))/86400</s:f>
        <s:v>46247.33739583333</s:v>
      </s:c>
    </s:row>
    <s:row r="44">
      <s:c r="A44" s="0" t="n">
        <s:v>260813</s:v>
      </s:c>
      <s:c r="B44" s="0" t="inlineStr">
        <s:is>
          <s:t>이종훈</s:t>
        </s:is>
      </s:c>
      <s:c r="C44" s="0" t="n">
        <s:v>80511</s:v>
      </s:c>
      <s:c r="D44" s="0" t="n">
        <s:v>1707</s:v>
      </s:c>
      <s:c r="F44" s="24">
        <s:f>'자료구성'!$B$2+TIME(INT($C$3/10000),INT(MOD($C$3,10000)/100),MOD($C$3,100))+(ROW()-ROW($C$3))/86400</s:f>
        <s:v>46247.33740740741</s:v>
      </s:c>
    </s:row>
    <s:row r="45">
      <s:c r="A45" s="0" t="n">
        <s:v>260813</s:v>
      </s:c>
      <s:c r="B45" s="0" t="inlineStr">
        <s:is>
          <s:t>이종훈</s:t>
        </s:is>
      </s:c>
      <s:c r="C45" s="0" t="n">
        <s:v>80511</s:v>
      </s:c>
      <s:c r="D45" s="0" t="n">
        <s:v>1683</s:v>
      </s:c>
      <s:c r="F45" s="24">
        <s:f>'자료구성'!$B$2+TIME(INT($C$3/10000),INT(MOD($C$3,10000)/100),MOD($C$3,100))+(ROW()-ROW($C$3))/86400</s:f>
        <s:v>46247.33741898148</s:v>
      </s:c>
    </s:row>
    <s:row r="46">
      <s:c r="A46" s="0" t="n">
        <s:v>260813</s:v>
      </s:c>
      <s:c r="B46" s="0" t="inlineStr">
        <s:is>
          <s:t>이종훈</s:t>
        </s:is>
      </s:c>
      <s:c r="C46" s="0" t="n">
        <s:v>80511</s:v>
      </s:c>
      <s:c r="D46" s="0" t="n">
        <s:v>1665</s:v>
      </s:c>
      <s:c r="F46" s="24">
        <s:f>'자료구성'!$B$2+TIME(INT($C$3/10000),INT(MOD($C$3,10000)/100),MOD($C$3,100))+(ROW()-ROW($C$3))/86400</s:f>
        <s:v>46247.337430555555</s:v>
      </s:c>
    </s:row>
    <s:row r="47">
      <s:c r="A47" s="0" t="n">
        <s:v>260813</s:v>
      </s:c>
      <s:c r="B47" s="0" t="inlineStr">
        <s:is>
          <s:t>이종훈</s:t>
        </s:is>
      </s:c>
      <s:c r="C47" s="0" t="n">
        <s:v>80511</s:v>
      </s:c>
      <s:c r="D47" s="0" t="n">
        <s:v>1682</s:v>
      </s:c>
      <s:c r="F47" s="24">
        <s:f>'자료구성'!$B$2+TIME(INT($C$3/10000),INT(MOD($C$3,10000)/100),MOD($C$3,100))+(ROW()-ROW($C$3))/86400</s:f>
        <s:v>46247.33744212963</s:v>
      </s:c>
    </s:row>
    <s:row r="48">
      <s:c r="A48" s="0" t="n">
        <s:v>260813</s:v>
      </s:c>
      <s:c r="B48" s="0" t="inlineStr">
        <s:is>
          <s:t>이종훈</s:t>
        </s:is>
      </s:c>
      <s:c r="C48" s="0" t="n">
        <s:v>80511</s:v>
      </s:c>
      <s:c r="D48" s="0" t="n">
        <s:v>1679</s:v>
      </s:c>
      <s:c r="F48" s="24">
        <s:f>'자료구성'!$B$2+TIME(INT($C$3/10000),INT(MOD($C$3,10000)/100),MOD($C$3,100))+(ROW()-ROW($C$3))/86400</s:f>
        <s:v>46247.3374537037</s:v>
      </s:c>
    </s:row>
    <s:row r="49">
      <s:c r="A49" s="0" t="n">
        <s:v>260813</s:v>
      </s:c>
      <s:c r="B49" s="0" t="inlineStr">
        <s:is>
          <s:t>이종훈</s:t>
        </s:is>
      </s:c>
      <s:c r="C49" s="0" t="n">
        <s:v>80511</s:v>
      </s:c>
      <s:c r="D49" s="0" t="n">
        <s:v>1678</s:v>
      </s:c>
      <s:c r="F49" s="24">
        <s:f>'자료구성'!$B$2+TIME(INT($C$3/10000),INT(MOD($C$3,10000)/100),MOD($C$3,100))+(ROW()-ROW($C$3))/86400</s:f>
        <s:v>46247.33746527778</s:v>
      </s:c>
    </s:row>
    <s:row r="50">
      <s:c r="A50" s="0" t="n">
        <s:v>260813</s:v>
      </s:c>
      <s:c r="B50" s="0" t="inlineStr">
        <s:is>
          <s:t>이종훈</s:t>
        </s:is>
      </s:c>
      <s:c r="C50" s="0" t="n">
        <s:v>80511</s:v>
      </s:c>
      <s:c r="D50" s="0" t="n">
        <s:v>1693</s:v>
      </s:c>
      <s:c r="F50" s="24">
        <s:f>'자료구성'!$B$2+TIME(INT($C$3/10000),INT(MOD($C$3,10000)/100),MOD($C$3,100))+(ROW()-ROW($C$3))/86400</s:f>
        <s:v>46247.337476851855</s:v>
      </s:c>
    </s:row>
    <s:row r="51">
      <s:c r="A51" s="0" t="n">
        <s:v>260813</s:v>
      </s:c>
      <s:c r="B51" s="0" t="inlineStr">
        <s:is>
          <s:t>이종훈</s:t>
        </s:is>
      </s:c>
      <s:c r="C51" s="0" t="n">
        <s:v>80511</s:v>
      </s:c>
      <s:c r="D51" s="0" t="n">
        <s:v>1762</s:v>
      </s:c>
      <s:c r="F51" s="24">
        <s:f>'자료구성'!$B$2+TIME(INT($C$3/10000),INT(MOD($C$3,10000)/100),MOD($C$3,100))+(ROW()-ROW($C$3))/86400</s:f>
        <s:v>46247.337488425925</s:v>
      </s:c>
    </s:row>
    <s:row r="52">
      <s:c r="A52" s="0" t="n">
        <s:v>260813</s:v>
      </s:c>
      <s:c r="B52" s="0" t="inlineStr">
        <s:is>
          <s:t>이종훈</s:t>
        </s:is>
      </s:c>
      <s:c r="C52" s="0" t="n">
        <s:v>80511</s:v>
      </s:c>
      <s:c r="D52" s="0" t="n">
        <s:v>1820</s:v>
      </s:c>
      <s:c r="F52" s="24">
        <s:f>'자료구성'!$B$2+TIME(INT($C$3/10000),INT(MOD($C$3,10000)/100),MOD($C$3,100))+(ROW()-ROW($C$3))/86400</s:f>
        <s:v>46247.3375</s:v>
      </s:c>
    </s:row>
    <s:row r="53">
      <s:c r="A53" s="0" t="n">
        <s:v>260813</s:v>
      </s:c>
      <s:c r="B53" s="0" t="inlineStr">
        <s:is>
          <s:t>이종훈</s:t>
        </s:is>
      </s:c>
      <s:c r="C53" s="0" t="n">
        <s:v>80511</s:v>
      </s:c>
      <s:c r="D53" s="0" t="n">
        <s:v>1849</s:v>
      </s:c>
      <s:c r="F53" s="24">
        <s:f>'자료구성'!$B$2+TIME(INT($C$3/10000),INT(MOD($C$3,10000)/100),MOD($C$3,100))+(ROW()-ROW($C$3))/86400</s:f>
        <s:v>46247.33751157407</s:v>
      </s:c>
    </s:row>
    <s:row r="54">
      <s:c r="A54" s="0" t="n">
        <s:v>260813</s:v>
      </s:c>
      <s:c r="B54" s="0" t="inlineStr">
        <s:is>
          <s:t>이종훈</s:t>
        </s:is>
      </s:c>
      <s:c r="C54" s="0" t="n">
        <s:v>80511</s:v>
      </s:c>
      <s:c r="D54" s="0" t="n">
        <s:v>1864</s:v>
      </s:c>
      <s:c r="F54" s="24">
        <s:f>'자료구성'!$B$2+TIME(INT($C$3/10000),INT(MOD($C$3,10000)/100),MOD($C$3,100))+(ROW()-ROW($C$3))/86400</s:f>
        <s:v>46247.33752314815</s:v>
      </s:c>
    </s:row>
    <s:row r="55">
      <s:c r="A55" s="0" t="n">
        <s:v>260813</s:v>
      </s:c>
      <s:c r="B55" s="0" t="inlineStr">
        <s:is>
          <s:t>이종훈</s:t>
        </s:is>
      </s:c>
      <s:c r="C55" s="0" t="n">
        <s:v>80511</s:v>
      </s:c>
      <s:c r="D55" s="0" t="n">
        <s:v>1896</s:v>
      </s:c>
      <s:c r="F55" s="24">
        <s:f>'자료구성'!$B$2+TIME(INT($C$3/10000),INT(MOD($C$3,10000)/100),MOD($C$3,100))+(ROW()-ROW($C$3))/86400</s:f>
        <s:v>46247.337534722225</s:v>
      </s:c>
    </s:row>
    <s:row r="56">
      <s:c r="A56" s="0" t="n">
        <s:v>260813</s:v>
      </s:c>
      <s:c r="B56" s="0" t="inlineStr">
        <s:is>
          <s:t>이종훈</s:t>
        </s:is>
      </s:c>
      <s:c r="C56" s="0" t="n">
        <s:v>80511</s:v>
      </s:c>
      <s:c r="D56" s="0" t="n">
        <s:v>1947</s:v>
      </s:c>
      <s:c r="F56" s="24">
        <s:f>'자료구성'!$B$2+TIME(INT($C$3/10000),INT(MOD($C$3,10000)/100),MOD($C$3,100))+(ROW()-ROW($C$3))/86400</s:f>
        <s:v>46247.337546296294</s:v>
      </s:c>
    </s:row>
    <s:row r="57">
      <s:c r="A57" s="0" t="n">
        <s:v>260813</s:v>
      </s:c>
      <s:c r="B57" s="0" t="inlineStr">
        <s:is>
          <s:t>이종훈</s:t>
        </s:is>
      </s:c>
      <s:c r="C57" s="0" t="n">
        <s:v>80511</s:v>
      </s:c>
      <s:c r="D57" s="0" t="n">
        <s:v>1997</s:v>
      </s:c>
      <s:c r="F57" s="24">
        <s:f>'자료구성'!$B$2+TIME(INT($C$3/10000),INT(MOD($C$3,10000)/100),MOD($C$3,100))+(ROW()-ROW($C$3))/86400</s:f>
        <s:v>46247.33755787037</s:v>
      </s:c>
    </s:row>
    <s:row r="58">
      <s:c r="A58" s="0" t="n">
        <s:v>260813</s:v>
      </s:c>
      <s:c r="B58" s="0" t="inlineStr">
        <s:is>
          <s:t>이종훈</s:t>
        </s:is>
      </s:c>
      <s:c r="C58" s="0" t="n">
        <s:v>80511</s:v>
      </s:c>
      <s:c r="D58" s="0" t="n">
        <s:v>2030</s:v>
      </s:c>
      <s:c r="F58" s="24">
        <s:f>'자료구성'!$B$2+TIME(INT($C$3/10000),INT(MOD($C$3,10000)/100),MOD($C$3,100))+(ROW()-ROW($C$3))/86400</s:f>
        <s:v>46247.33756944445</s:v>
      </s:c>
    </s:row>
    <s:row r="59">
      <s:c r="A59" s="0" t="n">
        <s:v>260813</s:v>
      </s:c>
      <s:c r="B59" s="0" t="inlineStr">
        <s:is>
          <s:t>이종훈</s:t>
        </s:is>
      </s:c>
      <s:c r="C59" s="0" t="n">
        <s:v>80511</s:v>
      </s:c>
      <s:c r="D59" s="0" t="n">
        <s:v>2078</s:v>
      </s:c>
      <s:c r="F59" s="24">
        <s:f>'자료구성'!$B$2+TIME(INT($C$3/10000),INT(MOD($C$3,10000)/100),MOD($C$3,100))+(ROW()-ROW($C$3))/86400</s:f>
        <s:v>46247.33758101852</s:v>
      </s:c>
    </s:row>
    <s:row r="60">
      <s:c r="A60" s="0" t="n">
        <s:v>260813</s:v>
      </s:c>
      <s:c r="B60" s="0" t="inlineStr">
        <s:is>
          <s:t>이종훈</s:t>
        </s:is>
      </s:c>
      <s:c r="C60" s="0" t="n">
        <s:v>80511</s:v>
      </s:c>
      <s:c r="D60" s="0" t="n">
        <s:v>2095</s:v>
      </s:c>
      <s:c r="F60" s="24">
        <s:f>'자료구성'!$B$2+TIME(INT($C$3/10000),INT(MOD($C$3,10000)/100),MOD($C$3,100))+(ROW()-ROW($C$3))/86400</s:f>
        <s:v>46247.337592592594</s:v>
      </s:c>
    </s:row>
    <s:row r="61">
      <s:c r="A61" s="0" t="n">
        <s:v>260813</s:v>
      </s:c>
      <s:c r="B61" s="0" t="inlineStr">
        <s:is>
          <s:t>이종훈</s:t>
        </s:is>
      </s:c>
      <s:c r="C61" s="0" t="n">
        <s:v>80511</s:v>
      </s:c>
      <s:c r="D61" s="0" t="n">
        <s:v>2150</s:v>
      </s:c>
      <s:c r="F61" s="24">
        <s:f>'자료구성'!$B$2+TIME(INT($C$3/10000),INT(MOD($C$3,10000)/100),MOD($C$3,100))+(ROW()-ROW($C$3))/86400</s:f>
        <s:v>46247.33760416666</s:v>
      </s:c>
    </s:row>
    <s:row r="62">
      <s:c r="A62" s="0" t="n">
        <s:v>260813</s:v>
      </s:c>
      <s:c r="B62" s="0" t="inlineStr">
        <s:is>
          <s:t>이종훈</s:t>
        </s:is>
      </s:c>
      <s:c r="C62" s="0" t="n">
        <s:v>80511</s:v>
      </s:c>
      <s:c r="D62" s="0" t="n">
        <s:v>2180</s:v>
      </s:c>
      <s:c r="F62" s="24">
        <s:f>'자료구성'!$B$2+TIME(INT($C$3/10000),INT(MOD($C$3,10000)/100),MOD($C$3,100))+(ROW()-ROW($C$3))/86400</s:f>
        <s:v>46247.33761574074</s:v>
      </s:c>
    </s:row>
    <s:row r="63">
      <s:c r="A63" s="0" t="n">
        <s:v>260813</s:v>
      </s:c>
      <s:c r="B63" s="0" t="inlineStr">
        <s:is>
          <s:t>이종훈</s:t>
        </s:is>
      </s:c>
      <s:c r="C63" s="0" t="n">
        <s:v>80511</s:v>
      </s:c>
      <s:c r="D63" s="0" t="n">
        <s:v>2198</s:v>
      </s:c>
      <s:c r="F63" s="24">
        <s:f>'자료구성'!$B$2+TIME(INT($C$3/10000),INT(MOD($C$3,10000)/100),MOD($C$3,100))+(ROW()-ROW($C$3))/86400</s:f>
        <s:v>46247.33762731482</s:v>
      </s:c>
    </s:row>
    <s:row r="64">
      <s:c r="A64" s="0" t="n">
        <s:v>260813</s:v>
      </s:c>
      <s:c r="B64" s="0" t="inlineStr">
        <s:is>
          <s:t>이종훈</s:t>
        </s:is>
      </s:c>
      <s:c r="C64" s="0" t="n">
        <s:v>80511</s:v>
      </s:c>
      <s:c r="D64" s="0" t="n">
        <s:v>2195</s:v>
      </s:c>
      <s:c r="F64" s="24">
        <s:f>'자료구성'!$B$2+TIME(INT($C$3/10000),INT(MOD($C$3,10000)/100),MOD($C$3,100))+(ROW()-ROW($C$3))/86400</s:f>
        <s:v>46247.33763888889</s:v>
      </s:c>
    </s:row>
    <s:row r="65">
      <s:c r="A65" s="0" t="n">
        <s:v>260813</s:v>
      </s:c>
      <s:c r="B65" s="0" t="inlineStr">
        <s:is>
          <s:t>이종훈</s:t>
        </s:is>
      </s:c>
      <s:c r="C65" s="0" t="n">
        <s:v>80511</s:v>
      </s:c>
      <s:c r="D65" s="0" t="n">
        <s:v>2176</s:v>
      </s:c>
      <s:c r="F65" s="24">
        <s:f>'자료구성'!$B$2+TIME(INT($C$3/10000),INT(MOD($C$3,10000)/100),MOD($C$3,100))+(ROW()-ROW($C$3))/86400</s:f>
        <s:v>46247.33765046296</s:v>
      </s:c>
    </s:row>
    <s:row r="66">
      <s:c r="A66" s="0" t="n">
        <s:v>260813</s:v>
      </s:c>
      <s:c r="B66" s="0" t="inlineStr">
        <s:is>
          <s:t>이종훈</s:t>
        </s:is>
      </s:c>
      <s:c r="C66" s="0" t="n">
        <s:v>80511</s:v>
      </s:c>
      <s:c r="D66" s="0" t="n">
        <s:v>2171</s:v>
      </s:c>
      <s:c r="F66" s="24">
        <s:f>'자료구성'!$B$2+TIME(INT($C$3/10000),INT(MOD($C$3,10000)/100),MOD($C$3,100))+(ROW()-ROW($C$3))/86400</s:f>
        <s:v>46247.33766203704</s:v>
      </s:c>
    </s:row>
    <s:row r="67">
      <s:c r="A67" s="0" t="n">
        <s:v>260813</s:v>
      </s:c>
      <s:c r="B67" s="0" t="inlineStr">
        <s:is>
          <s:t>이종훈</s:t>
        </s:is>
      </s:c>
      <s:c r="C67" s="0" t="n">
        <s:v>80511</s:v>
      </s:c>
      <s:c r="D67" s="0" t="n">
        <s:v>2164</s:v>
      </s:c>
      <s:c r="F67" s="24">
        <s:f>'자료구성'!$B$2+TIME(INT($C$3/10000),INT(MOD($C$3,10000)/100),MOD($C$3,100))+(ROW()-ROW($C$3))/86400</s:f>
        <s:v>46247.33767361111</s:v>
      </s:c>
    </s:row>
    <s:row r="68">
      <s:c r="A68" s="0" t="n">
        <s:v>260813</s:v>
      </s:c>
      <s:c r="B68" s="0" t="inlineStr">
        <s:is>
          <s:t>이종훈</s:t>
        </s:is>
      </s:c>
      <s:c r="C68" s="0" t="n">
        <s:v>80511</s:v>
      </s:c>
      <s:c r="D68" s="0" t="n">
        <s:v>2161</s:v>
      </s:c>
      <s:c r="F68" s="24">
        <s:f>'자료구성'!$B$2+TIME(INT($C$3/10000),INT(MOD($C$3,10000)/100),MOD($C$3,100))+(ROW()-ROW($C$3))/86400</s:f>
        <s:v>46247.337685185186</s:v>
      </s:c>
    </s:row>
    <s:row r="69">
      <s:c r="A69" s="0" t="n">
        <s:v>260813</s:v>
      </s:c>
      <s:c r="B69" s="0" t="inlineStr">
        <s:is>
          <s:t>이종훈</s:t>
        </s:is>
      </s:c>
      <s:c r="C69" s="0" t="n">
        <s:v>80511</s:v>
      </s:c>
      <s:c r="D69" s="0" t="n">
        <s:v>2112</s:v>
      </s:c>
      <s:c r="F69" s="24">
        <s:f>'자료구성'!$B$2+TIME(INT($C$3/10000),INT(MOD($C$3,10000)/100),MOD($C$3,100))+(ROW()-ROW($C$3))/86400</s:f>
        <s:v>46247.337696759256</s:v>
      </s:c>
    </s:row>
    <s:row r="70">
      <s:c r="A70" s="0" t="n">
        <s:v>260813</s:v>
      </s:c>
      <s:c r="B70" s="0" t="inlineStr">
        <s:is>
          <s:t>이종훈</s:t>
        </s:is>
      </s:c>
      <s:c r="C70" s="0" t="n">
        <s:v>80511</s:v>
      </s:c>
      <s:c r="D70" s="0" t="n">
        <s:v>2067</s:v>
      </s:c>
      <s:c r="F70" s="24">
        <s:f>'자료구성'!$B$2+TIME(INT($C$3/10000),INT(MOD($C$3,10000)/100),MOD($C$3,100))+(ROW()-ROW($C$3))/86400</s:f>
        <s:v>46247.33770833333</s:v>
      </s:c>
    </s:row>
    <s:row r="71">
      <s:c r="A71" s="0" t="n">
        <s:v>260813</s:v>
      </s:c>
      <s:c r="B71" s="0" t="inlineStr">
        <s:is>
          <s:t>이종훈</s:t>
        </s:is>
      </s:c>
      <s:c r="C71" s="0" t="n">
        <s:v>80511</s:v>
      </s:c>
      <s:c r="D71" s="0" t="n">
        <s:v>2037</s:v>
      </s:c>
      <s:c r="F71" s="24">
        <s:f>'자료구성'!$B$2+TIME(INT($C$3/10000),INT(MOD($C$3,10000)/100),MOD($C$3,100))+(ROW()-ROW($C$3))/86400</s:f>
        <s:v>46247.33771990741</s:v>
      </s:c>
    </s:row>
    <s:row r="72">
      <s:c r="A72" s="0" t="n">
        <s:v>260813</s:v>
      </s:c>
      <s:c r="B72" s="0" t="inlineStr">
        <s:is>
          <s:t>이종훈</s:t>
        </s:is>
      </s:c>
      <s:c r="C72" s="0" t="n">
        <s:v>80511</s:v>
      </s:c>
      <s:c r="D72" s="0" t="n">
        <s:v>2070</s:v>
      </s:c>
      <s:c r="F72" s="24">
        <s:f>'자료구성'!$B$2+TIME(INT($C$3/10000),INT(MOD($C$3,10000)/100),MOD($C$3,100))+(ROW()-ROW($C$3))/86400</s:f>
        <s:v>46247.33773148148</s:v>
      </s:c>
    </s:row>
    <s:row r="73">
      <s:c r="A73" s="0" t="n">
        <s:v>260813</s:v>
      </s:c>
      <s:c r="B73" s="0" t="inlineStr">
        <s:is>
          <s:t>이종훈</s:t>
        </s:is>
      </s:c>
      <s:c r="C73" s="0" t="n">
        <s:v>80511</s:v>
      </s:c>
      <s:c r="D73" s="0" t="n">
        <s:v>2116</s:v>
      </s:c>
      <s:c r="F73" s="24">
        <s:f>'자료구성'!$B$2+TIME(INT($C$3/10000),INT(MOD($C$3,10000)/100),MOD($C$3,100))+(ROW()-ROW($C$3))/86400</s:f>
        <s:v>46247.337743055556</s:v>
      </s:c>
    </s:row>
    <s:row r="74">
      <s:c r="A74" s="0" t="n">
        <s:v>260813</s:v>
      </s:c>
      <s:c r="B74" s="0" t="inlineStr">
        <s:is>
          <s:t>이종훈</s:t>
        </s:is>
      </s:c>
      <s:c r="C74" s="0" t="n">
        <s:v>80511</s:v>
      </s:c>
      <s:c r="D74" s="0" t="n">
        <s:v>2152</s:v>
      </s:c>
      <s:c r="F74" s="24">
        <s:f>'자료구성'!$B$2+TIME(INT($C$3/10000),INT(MOD($C$3,10000)/100),MOD($C$3,100))+(ROW()-ROW($C$3))/86400</s:f>
        <s:v>46247.33775462963</s:v>
      </s:c>
    </s:row>
    <s:row r="75">
      <s:c r="A75" s="0" t="n">
        <s:v>260813</s:v>
      </s:c>
      <s:c r="B75" s="0" t="inlineStr">
        <s:is>
          <s:t>이종훈</s:t>
        </s:is>
      </s:c>
      <s:c r="C75" s="0" t="n">
        <s:v>80511</s:v>
      </s:c>
      <s:c r="D75" s="0" t="n">
        <s:v>2145</s:v>
      </s:c>
      <s:c r="F75" s="24">
        <s:f>'자료구성'!$B$2+TIME(INT($C$3/10000),INT(MOD($C$3,10000)/100),MOD($C$3,100))+(ROW()-ROW($C$3))/86400</s:f>
        <s:v>46247.3377662037</s:v>
      </s:c>
    </s:row>
    <s:row r="76">
      <s:c r="A76" s="0" t="n">
        <s:v>260813</s:v>
      </s:c>
      <s:c r="B76" s="0" t="inlineStr">
        <s:is>
          <s:t>이종훈</s:t>
        </s:is>
      </s:c>
      <s:c r="C76" s="0" t="n">
        <s:v>80511</s:v>
      </s:c>
      <s:c r="D76" s="0" t="n">
        <s:v>2180</s:v>
      </s:c>
      <s:c r="F76" s="24">
        <s:f>'자료구성'!$B$2+TIME(INT($C$3/10000),INT(MOD($C$3,10000)/100),MOD($C$3,100))+(ROW()-ROW($C$3))/86400</s:f>
        <s:v>46247.33777777778</s:v>
      </s:c>
    </s:row>
    <s:row r="77">
      <s:c r="A77" s="0" t="n">
        <s:v>260813</s:v>
      </s:c>
      <s:c r="B77" s="0" t="inlineStr">
        <s:is>
          <s:t>이종훈</s:t>
        </s:is>
      </s:c>
      <s:c r="C77" s="0" t="n">
        <s:v>80511</s:v>
      </s:c>
      <s:c r="D77" s="0" t="n">
        <s:v>2225</s:v>
      </s:c>
      <s:c r="F77" s="24">
        <s:f>'자료구성'!$B$2+TIME(INT($C$3/10000),INT(MOD($C$3,10000)/100),MOD($C$3,100))+(ROW()-ROW($C$3))/86400</s:f>
        <s:v>46247.337789351855</s:v>
      </s:c>
    </s:row>
    <s:row r="78">
      <s:c r="A78" s="0" t="n">
        <s:v>260813</s:v>
      </s:c>
      <s:c r="B78" s="0" t="inlineStr">
        <s:is>
          <s:t>이종훈</s:t>
        </s:is>
      </s:c>
      <s:c r="C78" s="0" t="n">
        <s:v>80511</s:v>
      </s:c>
      <s:c r="D78" s="0" t="n">
        <s:v>2256</s:v>
      </s:c>
      <s:c r="F78" s="24">
        <s:f>'자료구성'!$B$2+TIME(INT($C$3/10000),INT(MOD($C$3,10000)/100),MOD($C$3,100))+(ROW()-ROW($C$3))/86400</s:f>
        <s:v>46247.337800925925</s:v>
      </s:c>
    </s:row>
    <s:row r="79">
      <s:c r="A79" s="0" t="n">
        <s:v>260813</s:v>
      </s:c>
      <s:c r="B79" s="0" t="inlineStr">
        <s:is>
          <s:t>이종훈</s:t>
        </s:is>
      </s:c>
      <s:c r="C79" s="0" t="n">
        <s:v>80511</s:v>
      </s:c>
      <s:c r="D79" s="0" t="n">
        <s:v>2266</s:v>
      </s:c>
      <s:c r="F79" s="24">
        <s:f>'자료구성'!$B$2+TIME(INT($C$3/10000),INT(MOD($C$3,10000)/100),MOD($C$3,100))+(ROW()-ROW($C$3))/86400</s:f>
        <s:v>46247.3378125</s:v>
      </s:c>
    </s:row>
    <s:row r="80">
      <s:c r="A80" s="0" t="n">
        <s:v>260813</s:v>
      </s:c>
      <s:c r="B80" s="0" t="inlineStr">
        <s:is>
          <s:t>이종훈</s:t>
        </s:is>
      </s:c>
      <s:c r="C80" s="0" t="n">
        <s:v>80511</s:v>
      </s:c>
      <s:c r="D80" s="0" t="n">
        <s:v>2254</s:v>
      </s:c>
      <s:c r="F80" s="24">
        <s:f>'자료구성'!$B$2+TIME(INT($C$3/10000),INT(MOD($C$3,10000)/100),MOD($C$3,100))+(ROW()-ROW($C$3))/86400</s:f>
        <s:v>46247.33782407407</s:v>
      </s:c>
    </s:row>
    <s:row r="81">
      <s:c r="A81" s="0" t="n">
        <s:v>260813</s:v>
      </s:c>
      <s:c r="B81" s="0" t="inlineStr">
        <s:is>
          <s:t>이종훈</s:t>
        </s:is>
      </s:c>
      <s:c r="C81" s="0" t="n">
        <s:v>80511</s:v>
      </s:c>
      <s:c r="D81" s="0" t="n">
        <s:v>2231</s:v>
      </s:c>
      <s:c r="F81" s="24">
        <s:f>'자료구성'!$B$2+TIME(INT($C$3/10000),INT(MOD($C$3,10000)/100),MOD($C$3,100))+(ROW()-ROW($C$3))/86400</s:f>
        <s:v>46247.33783564815</s:v>
      </s:c>
    </s:row>
    <s:row r="82">
      <s:c r="A82" s="0" t="n">
        <s:v>260813</s:v>
      </s:c>
      <s:c r="B82" s="0" t="inlineStr">
        <s:is>
          <s:t>이종훈</s:t>
        </s:is>
      </s:c>
      <s:c r="C82" s="0" t="n">
        <s:v>80511</s:v>
      </s:c>
      <s:c r="D82" s="0" t="n">
        <s:v>2226</s:v>
      </s:c>
      <s:c r="F82" s="24">
        <s:f>'자료구성'!$B$2+TIME(INT($C$3/10000),INT(MOD($C$3,10000)/100),MOD($C$3,100))+(ROW()-ROW($C$3))/86400</s:f>
        <s:v>46247.337847222225</s:v>
      </s:c>
    </s:row>
    <s:row r="83">
      <s:c r="A83" s="0" t="n">
        <s:v>260813</s:v>
      </s:c>
      <s:c r="B83" s="0" t="inlineStr">
        <s:is>
          <s:t>이종훈</s:t>
        </s:is>
      </s:c>
      <s:c r="C83" s="0" t="n">
        <s:v>80511</s:v>
      </s:c>
      <s:c r="D83" s="0" t="n">
        <s:v>2185</s:v>
      </s:c>
      <s:c r="F83" s="24">
        <s:f>'자료구성'!$B$2+TIME(INT($C$3/10000),INT(MOD($C$3,10000)/100),MOD($C$3,100))+(ROW()-ROW($C$3))/86400</s:f>
        <s:v>46247.337858796294</s:v>
      </s:c>
    </s:row>
    <s:row r="84">
      <s:c r="A84" s="0" t="n">
        <s:v>260813</s:v>
      </s:c>
      <s:c r="B84" s="0" t="inlineStr">
        <s:is>
          <s:t>이종훈</s:t>
        </s:is>
      </s:c>
      <s:c r="C84" s="0" t="n">
        <s:v>80511</s:v>
      </s:c>
      <s:c r="D84" s="0" t="n">
        <s:v>2129</s:v>
      </s:c>
      <s:c r="F84" s="24">
        <s:f>'자료구성'!$B$2+TIME(INT($C$3/10000),INT(MOD($C$3,10000)/100),MOD($C$3,100))+(ROW()-ROW($C$3))/86400</s:f>
        <s:v>46247.33787037037</s:v>
      </s:c>
    </s:row>
    <s:row r="85">
      <s:c r="A85" s="0" t="n">
        <s:v>260813</s:v>
      </s:c>
      <s:c r="B85" s="0" t="inlineStr">
        <s:is>
          <s:t>이종훈</s:t>
        </s:is>
      </s:c>
      <s:c r="C85" s="0" t="n">
        <s:v>80511</s:v>
      </s:c>
      <s:c r="D85" s="0" t="n">
        <s:v>2141</s:v>
      </s:c>
      <s:c r="F85" s="24">
        <s:f>'자료구성'!$B$2+TIME(INT($C$3/10000),INT(MOD($C$3,10000)/100),MOD($C$3,100))+(ROW()-ROW($C$3))/86400</s:f>
        <s:v>46247.33788194445</s:v>
      </s:c>
    </s:row>
    <s:row r="86">
      <s:c r="A86" s="0" t="n">
        <s:v>260813</s:v>
      </s:c>
      <s:c r="B86" s="0" t="inlineStr">
        <s:is>
          <s:t>이종훈</s:t>
        </s:is>
      </s:c>
      <s:c r="C86" s="0" t="n">
        <s:v>80511</s:v>
      </s:c>
      <s:c r="D86" s="0" t="n">
        <s:v>2178</s:v>
      </s:c>
      <s:c r="F86" s="24">
        <s:f>'자료구성'!$B$2+TIME(INT($C$3/10000),INT(MOD($C$3,10000)/100),MOD($C$3,100))+(ROW()-ROW($C$3))/86400</s:f>
        <s:v>46247.33789351852</s:v>
      </s:c>
    </s:row>
    <s:row r="87">
      <s:c r="A87" s="0" t="n">
        <s:v>260813</s:v>
      </s:c>
      <s:c r="B87" s="0" t="inlineStr">
        <s:is>
          <s:t>이종훈</s:t>
        </s:is>
      </s:c>
      <s:c r="C87" s="0" t="n">
        <s:v>80511</s:v>
      </s:c>
      <s:c r="D87" s="0" t="n">
        <s:v>2163</s:v>
      </s:c>
      <s:c r="F87" s="24">
        <s:f>'자료구성'!$B$2+TIME(INT($C$3/10000),INT(MOD($C$3,10000)/100),MOD($C$3,100))+(ROW()-ROW($C$3))/86400</s:f>
        <s:v>46247.337905092594</s:v>
      </s:c>
    </s:row>
    <s:row r="88">
      <s:c r="A88" s="0" t="n">
        <s:v>260813</s:v>
      </s:c>
      <s:c r="B88" s="0" t="inlineStr">
        <s:is>
          <s:t>이종훈</s:t>
        </s:is>
      </s:c>
      <s:c r="C88" s="0" t="n">
        <s:v>80511</s:v>
      </s:c>
      <s:c r="D88" s="0" t="n">
        <s:v>2136</s:v>
      </s:c>
      <s:c r="F88" s="24">
        <s:f>'자료구성'!$B$2+TIME(INT($C$3/10000),INT(MOD($C$3,10000)/100),MOD($C$3,100))+(ROW()-ROW($C$3))/86400</s:f>
        <s:v>46247.337916666664</s:v>
      </s:c>
    </s:row>
    <s:row r="89">
      <s:c r="A89" s="0" t="n">
        <s:v>260813</s:v>
      </s:c>
      <s:c r="B89" s="0" t="inlineStr">
        <s:is>
          <s:t>이종훈</s:t>
        </s:is>
      </s:c>
      <s:c r="C89" s="0" t="n">
        <s:v>80511</s:v>
      </s:c>
      <s:c r="D89" s="0" t="n">
        <s:v>2106</s:v>
      </s:c>
      <s:c r="F89" s="24">
        <s:f>'자료구성'!$B$2+TIME(INT($C$3/10000),INT(MOD($C$3,10000)/100),MOD($C$3,100))+(ROW()-ROW($C$3))/86400</s:f>
        <s:v>46247.33792824074</s:v>
      </s:c>
    </s:row>
    <s:row r="90">
      <s:c r="A90" s="0" t="n">
        <s:v>260813</s:v>
      </s:c>
      <s:c r="B90" s="0" t="inlineStr">
        <s:is>
          <s:t>이종훈</s:t>
        </s:is>
      </s:c>
      <s:c r="C90" s="0" t="n">
        <s:v>80511</s:v>
      </s:c>
      <s:c r="D90" s="0" t="n">
        <s:v>2072</s:v>
      </s:c>
      <s:c r="F90" s="24">
        <s:f>'자료구성'!$B$2+TIME(INT($C$3/10000),INT(MOD($C$3,10000)/100),MOD($C$3,100))+(ROW()-ROW($C$3))/86400</s:f>
        <s:v>46247.33793981482</s:v>
      </s:c>
    </s:row>
    <s:row r="91">
      <s:c r="A91" s="0" t="n">
        <s:v>260813</s:v>
      </s:c>
      <s:c r="B91" s="0" t="inlineStr">
        <s:is>
          <s:t>이종훈</s:t>
        </s:is>
      </s:c>
      <s:c r="C91" s="0" t="n">
        <s:v>80511</s:v>
      </s:c>
      <s:c r="D91" s="0" t="n">
        <s:v>2012</s:v>
      </s:c>
      <s:c r="F91" s="24">
        <s:f>'자료구성'!$B$2+TIME(INT($C$3/10000),INT(MOD($C$3,10000)/100),MOD($C$3,100))+(ROW()-ROW($C$3))/86400</s:f>
        <s:v>46247.33795138889</s:v>
      </s:c>
    </s:row>
    <s:row r="92">
      <s:c r="A92" s="0" t="n">
        <s:v>260813</s:v>
      </s:c>
      <s:c r="B92" s="0" t="inlineStr">
        <s:is>
          <s:t>이종훈</s:t>
        </s:is>
      </s:c>
      <s:c r="C92" s="0" t="n">
        <s:v>80511</s:v>
      </s:c>
      <s:c r="D92" s="0" t="n">
        <s:v>1967</s:v>
      </s:c>
      <s:c r="F92" s="24">
        <s:f>'자료구성'!$B$2+TIME(INT($C$3/10000),INT(MOD($C$3,10000)/100),MOD($C$3,100))+(ROW()-ROW($C$3))/86400</s:f>
        <s:v>46247.33796296296</s:v>
      </s:c>
    </s:row>
    <s:row r="93">
      <s:c r="A93" s="0" t="n">
        <s:v>260813</s:v>
      </s:c>
      <s:c r="B93" s="0" t="inlineStr">
        <s:is>
          <s:t>이종훈</s:t>
        </s:is>
      </s:c>
      <s:c r="C93" s="0" t="n">
        <s:v>80511</s:v>
      </s:c>
      <s:c r="D93" s="0" t="n">
        <s:v>1961</s:v>
      </s:c>
      <s:c r="F93" s="24">
        <s:f>'자료구성'!$B$2+TIME(INT($C$3/10000),INT(MOD($C$3,10000)/100),MOD($C$3,100))+(ROW()-ROW($C$3))/86400</s:f>
        <s:v>46247.33797453704</s:v>
      </s:c>
    </s:row>
    <s:row r="94">
      <s:c r="A94" s="0" t="n">
        <s:v>260813</s:v>
      </s:c>
      <s:c r="B94" s="0" t="inlineStr">
        <s:is>
          <s:t>이종훈</s:t>
        </s:is>
      </s:c>
      <s:c r="C94" s="0" t="n">
        <s:v>80511</s:v>
      </s:c>
      <s:c r="D94" s="0" t="n">
        <s:v>1917</s:v>
      </s:c>
      <s:c r="F94" s="24">
        <s:f>'자료구성'!$B$2+TIME(INT($C$3/10000),INT(MOD($C$3,10000)/100),MOD($C$3,100))+(ROW()-ROW($C$3))/86400</s:f>
        <s:v>46247.33798611111</s:v>
      </s:c>
    </s:row>
    <s:row r="95">
      <s:c r="A95" s="0" t="n">
        <s:v>260813</s:v>
      </s:c>
      <s:c r="B95" s="0" t="inlineStr">
        <s:is>
          <s:t>이종훈</s:t>
        </s:is>
      </s:c>
      <s:c r="C95" s="0" t="n">
        <s:v>80511</s:v>
      </s:c>
      <s:c r="D95" s="0" t="n">
        <s:v>1888</s:v>
      </s:c>
      <s:c r="F95" s="24">
        <s:f>'자료구성'!$B$2+TIME(INT($C$3/10000),INT(MOD($C$3,10000)/100),MOD($C$3,100))+(ROW()-ROW($C$3))/86400</s:f>
        <s:v>46247.33799768519</s:v>
      </s:c>
    </s:row>
    <s:row r="96">
      <s:c r="A96" s="0" t="n">
        <s:v>260813</s:v>
      </s:c>
      <s:c r="B96" s="0" t="inlineStr">
        <s:is>
          <s:t>이종훈</s:t>
        </s:is>
      </s:c>
      <s:c r="C96" s="0" t="n">
        <s:v>80511</s:v>
      </s:c>
      <s:c r="D96" s="0" t="n">
        <s:v>1871</s:v>
      </s:c>
      <s:c r="F96" s="24">
        <s:f>'자료구성'!$B$2+TIME(INT($C$3/10000),INT(MOD($C$3,10000)/100),MOD($C$3,100))+(ROW()-ROW($C$3))/86400</s:f>
        <s:v>46247.338009259256</s:v>
      </s:c>
    </s:row>
    <s:row r="97">
      <s:c r="A97" s="0" t="n">
        <s:v>260813</s:v>
      </s:c>
      <s:c r="B97" s="0" t="inlineStr">
        <s:is>
          <s:t>이종훈</s:t>
        </s:is>
      </s:c>
      <s:c r="C97" s="0" t="n">
        <s:v>80511</s:v>
      </s:c>
      <s:c r="D97" s="0" t="n">
        <s:v>1880</s:v>
      </s:c>
      <s:c r="F97" s="24">
        <s:f>'자료구성'!$B$2+TIME(INT($C$3/10000),INT(MOD($C$3,10000)/100),MOD($C$3,100))+(ROW()-ROW($C$3))/86400</s:f>
        <s:v>46247.33802083333</s:v>
      </s:c>
    </s:row>
    <s:row r="98">
      <s:c r="A98" s="0" t="n">
        <s:v>260813</s:v>
      </s:c>
      <s:c r="B98" s="0" t="inlineStr">
        <s:is>
          <s:t>이종훈</s:t>
        </s:is>
      </s:c>
      <s:c r="C98" s="0" t="n">
        <s:v>80511</s:v>
      </s:c>
      <s:c r="D98" s="0" t="n">
        <s:v>1840</s:v>
      </s:c>
      <s:c r="F98" s="24">
        <s:f>'자료구성'!$B$2+TIME(INT($C$3/10000),INT(MOD($C$3,10000)/100),MOD($C$3,100))+(ROW()-ROW($C$3))/86400</s:f>
        <s:v>46247.33803240741</s:v>
      </s:c>
    </s:row>
    <s:row r="99">
      <s:c r="A99" s="0" t="n">
        <s:v>260813</s:v>
      </s:c>
      <s:c r="B99" s="0" t="inlineStr">
        <s:is>
          <s:t>이종훈</s:t>
        </s:is>
      </s:c>
      <s:c r="C99" s="0" t="n">
        <s:v>80511</s:v>
      </s:c>
      <s:c r="D99" s="0" t="n">
        <s:v>1773</s:v>
      </s:c>
      <s:c r="F99" s="24">
        <s:f>'자료구성'!$B$2+TIME(INT($C$3/10000),INT(MOD($C$3,10000)/100),MOD($C$3,100))+(ROW()-ROW($C$3))/86400</s:f>
        <s:v>46247.33804398148</s:v>
      </s:c>
    </s:row>
    <s:row r="100">
      <s:c r="A100" s="0" t="n">
        <s:v>260813</s:v>
      </s:c>
      <s:c r="B100" s="0" t="inlineStr">
        <s:is>
          <s:t>이종훈</s:t>
        </s:is>
      </s:c>
      <s:c r="C100" s="0" t="n">
        <s:v>80511</s:v>
      </s:c>
      <s:c r="D100" s="0" t="n">
        <s:v>1734</s:v>
      </s:c>
      <s:c r="F100" s="24">
        <s:f>'자료구성'!$B$2+TIME(INT($C$3/10000),INT(MOD($C$3,10000)/100),MOD($C$3,100))+(ROW()-ROW($C$3))/86400</s:f>
        <s:v>46247.338055555556</s:v>
      </s:c>
    </s:row>
    <s:row r="101">
      <s:c r="A101" s="0" t="n">
        <s:v>260813</s:v>
      </s:c>
      <s:c r="B101" s="0" t="inlineStr">
        <s:is>
          <s:t>이종훈</s:t>
        </s:is>
      </s:c>
      <s:c r="C101" s="0" t="n">
        <s:v>80511</s:v>
      </s:c>
      <s:c r="D101" s="0" t="n">
        <s:v>1688</s:v>
      </s:c>
      <s:c r="F101" s="24">
        <s:f>'자료구성'!$B$2+TIME(INT($C$3/10000),INT(MOD($C$3,10000)/100),MOD($C$3,100))+(ROW()-ROW($C$3))/86400</s:f>
        <s:v>46247.33806712963</s:v>
      </s:c>
    </s:row>
    <s:row r="102">
      <s:c r="A102" s="0" t="n">
        <s:v>260813</s:v>
      </s:c>
      <s:c r="B102" s="0" t="inlineStr">
        <s:is>
          <s:t>이종훈</s:t>
        </s:is>
      </s:c>
      <s:c r="C102" s="0" t="n">
        <s:v>80511</s:v>
      </s:c>
      <s:c r="D102" s="0" t="n">
        <s:v>1655</s:v>
      </s:c>
      <s:c r="F102" s="24">
        <s:f>'자료구성'!$B$2+TIME(INT($C$3/10000),INT(MOD($C$3,10000)/100),MOD($C$3,100))+(ROW()-ROW($C$3))/86400</s:f>
        <s:v>46247.3380787037</s:v>
      </s:c>
    </s:row>
    <s:row r="103">
      <s:c r="A103" s="0" t="n">
        <s:v>260813</s:v>
      </s:c>
      <s:c r="B103" s="0" t="inlineStr">
        <s:is>
          <s:t>이종훈</s:t>
        </s:is>
      </s:c>
      <s:c r="C103" s="0" t="n">
        <s:v>80511</s:v>
      </s:c>
      <s:c r="D103" s="0" t="n">
        <s:v>1645</s:v>
      </s:c>
      <s:c r="F103" s="24">
        <s:f>'자료구성'!$B$2+TIME(INT($C$3/10000),INT(MOD($C$3,10000)/100),MOD($C$3,100))+(ROW()-ROW($C$3))/86400</s:f>
        <s:v>46247.33809027778</s:v>
      </s:c>
    </s:row>
    <s:row r="104">
      <s:c r="A104" s="0" t="n">
        <s:v>260813</s:v>
      </s:c>
      <s:c r="B104" s="0" t="inlineStr">
        <s:is>
          <s:t>이종훈</s:t>
        </s:is>
      </s:c>
      <s:c r="C104" s="0" t="n">
        <s:v>80511</s:v>
      </s:c>
      <s:c r="D104" s="0" t="n">
        <s:v>1633</s:v>
      </s:c>
      <s:c r="F104" s="24">
        <s:f>'자료구성'!$B$2+TIME(INT($C$3/10000),INT(MOD($C$3,10000)/100),MOD($C$3,100))+(ROW()-ROW($C$3))/86400</s:f>
        <s:v>46247.33810185185</s:v>
      </s:c>
    </s:row>
    <s:row r="105">
      <s:c r="A105" s="0" t="n">
        <s:v>260813</s:v>
      </s:c>
      <s:c r="B105" s="0" t="inlineStr">
        <s:is>
          <s:t>이종훈</s:t>
        </s:is>
      </s:c>
      <s:c r="C105" s="0" t="n">
        <s:v>80511</s:v>
      </s:c>
      <s:c r="D105" s="0" t="n">
        <s:v>1626</s:v>
      </s:c>
      <s:c r="F105" s="24">
        <s:f>'자료구성'!$B$2+TIME(INT($C$3/10000),INT(MOD($C$3,10000)/100),MOD($C$3,100))+(ROW()-ROW($C$3))/86400</s:f>
        <s:v>46247.338113425925</s:v>
      </s:c>
    </s:row>
    <s:row r="106">
      <s:c r="A106" s="0" t="n">
        <s:v>260813</s:v>
      </s:c>
      <s:c r="B106" s="0" t="inlineStr">
        <s:is>
          <s:t>이종훈</s:t>
        </s:is>
      </s:c>
      <s:c r="C106" s="0" t="n">
        <s:v>80511</s:v>
      </s:c>
      <s:c r="D106" s="0" t="n">
        <s:v>1597</s:v>
      </s:c>
      <s:c r="F106" s="24">
        <s:f>'자료구성'!$B$2+TIME(INT($C$3/10000),INT(MOD($C$3,10000)/100),MOD($C$3,100))+(ROW()-ROW($C$3))/86400</s:f>
        <s:v>46247.338125</s:v>
      </s:c>
    </s:row>
    <s:row r="107">
      <s:c r="A107" s="0" t="n">
        <s:v>260813</s:v>
      </s:c>
      <s:c r="B107" s="0" t="inlineStr">
        <s:is>
          <s:t>이종훈</s:t>
        </s:is>
      </s:c>
      <s:c r="C107" s="0" t="n">
        <s:v>80511</s:v>
      </s:c>
      <s:c r="D107" s="0" t="n">
        <s:v>1575</s:v>
      </s:c>
      <s:c r="F107" s="24">
        <s:f>'자료구성'!$B$2+TIME(INT($C$3/10000),INT(MOD($C$3,10000)/100),MOD($C$3,100))+(ROW()-ROW($C$3))/86400</s:f>
        <s:v>46247.33813657407</s:v>
      </s:c>
    </s:row>
    <s:row r="108">
      <s:c r="A108" s="0" t="n">
        <s:v>260813</s:v>
      </s:c>
      <s:c r="B108" s="0" t="inlineStr">
        <s:is>
          <s:t>이종훈</s:t>
        </s:is>
      </s:c>
      <s:c r="C108" s="0" t="n">
        <s:v>80511</s:v>
      </s:c>
      <s:c r="D108" s="0" t="n">
        <s:v>1569</s:v>
      </s:c>
      <s:c r="F108" s="24">
        <s:f>'자료구성'!$B$2+TIME(INT($C$3/10000),INT(MOD($C$3,10000)/100),MOD($C$3,100))+(ROW()-ROW($C$3))/86400</s:f>
        <s:v>46247.33814814815</s:v>
      </s:c>
    </s:row>
    <s:row r="109">
      <s:c r="A109" s="0" t="n">
        <s:v>260813</s:v>
      </s:c>
      <s:c r="B109" s="0" t="inlineStr">
        <s:is>
          <s:t>이종훈</s:t>
        </s:is>
      </s:c>
      <s:c r="C109" s="0" t="n">
        <s:v>80511</s:v>
      </s:c>
      <s:c r="D109" s="0" t="n">
        <s:v>1608</s:v>
      </s:c>
      <s:c r="F109" s="24">
        <s:f>'자료구성'!$B$2+TIME(INT($C$3/10000),INT(MOD($C$3,10000)/100),MOD($C$3,100))+(ROW()-ROW($C$3))/86400</s:f>
        <s:v>46247.338159722225</s:v>
      </s:c>
    </s:row>
    <s:row r="110">
      <s:c r="A110" s="0" t="n">
        <s:v>260813</s:v>
      </s:c>
      <s:c r="B110" s="0" t="inlineStr">
        <s:is>
          <s:t>이종훈</s:t>
        </s:is>
      </s:c>
      <s:c r="C110" s="0" t="n">
        <s:v>80511</s:v>
      </s:c>
      <s:c r="D110" s="0" t="n">
        <s:v>1670</s:v>
      </s:c>
      <s:c r="F110" s="24">
        <s:f>'자료구성'!$B$2+TIME(INT($C$3/10000),INT(MOD($C$3,10000)/100),MOD($C$3,100))+(ROW()-ROW($C$3))/86400</s:f>
        <s:v>46247.338171296295</s:v>
      </s:c>
    </s:row>
    <s:row r="111">
      <s:c r="A111" s="0" t="n">
        <s:v>260813</s:v>
      </s:c>
      <s:c r="B111" s="0" t="inlineStr">
        <s:is>
          <s:t>이종훈</s:t>
        </s:is>
      </s:c>
      <s:c r="C111" s="0" t="n">
        <s:v>80511</s:v>
      </s:c>
      <s:c r="D111" s="0" t="n">
        <s:v>1725</s:v>
      </s:c>
      <s:c r="F111" s="24">
        <s:f>'자료구성'!$B$2+TIME(INT($C$3/10000),INT(MOD($C$3,10000)/100),MOD($C$3,100))+(ROW()-ROW($C$3))/86400</s:f>
        <s:v>46247.33818287037</s:v>
      </s:c>
    </s:row>
    <s:row r="112">
      <s:c r="A112" s="0" t="n">
        <s:v>260813</s:v>
      </s:c>
      <s:c r="B112" s="0" t="inlineStr">
        <s:is>
          <s:t>이종훈</s:t>
        </s:is>
      </s:c>
      <s:c r="C112" s="0" t="n">
        <s:v>80511</s:v>
      </s:c>
      <s:c r="D112" s="0" t="n">
        <s:v>1818</s:v>
      </s:c>
      <s:c r="F112" s="24">
        <s:f>'자료구성'!$B$2+TIME(INT($C$3/10000),INT(MOD($C$3,10000)/100),MOD($C$3,100))+(ROW()-ROW($C$3))/86400</s:f>
        <s:v>46247.33819444444</s:v>
      </s:c>
    </s:row>
    <s:row r="113">
      <s:c r="A113" s="0" t="n">
        <s:v>260813</s:v>
      </s:c>
      <s:c r="B113" s="0" t="inlineStr">
        <s:is>
          <s:t>이종훈</s:t>
        </s:is>
      </s:c>
      <s:c r="C113" s="0" t="n">
        <s:v>80511</s:v>
      </s:c>
      <s:c r="D113" s="0" t="n">
        <s:v>1940</s:v>
      </s:c>
      <s:c r="F113" s="24">
        <s:f>'자료구성'!$B$2+TIME(INT($C$3/10000),INT(MOD($C$3,10000)/100),MOD($C$3,100))+(ROW()-ROW($C$3))/86400</s:f>
        <s:v>46247.33820601852</s:v>
      </s:c>
    </s:row>
    <s:row r="114">
      <s:c r="A114" s="0" t="n">
        <s:v>260813</s:v>
      </s:c>
      <s:c r="B114" s="0" t="inlineStr">
        <s:is>
          <s:t>이종훈</s:t>
        </s:is>
      </s:c>
      <s:c r="C114" s="0" t="n">
        <s:v>80511</s:v>
      </s:c>
      <s:c r="D114" s="0" t="n">
        <s:v>2057</s:v>
      </s:c>
      <s:c r="F114" s="24">
        <s:f>'자료구성'!$B$2+TIME(INT($C$3/10000),INT(MOD($C$3,10000)/100),MOD($C$3,100))+(ROW()-ROW($C$3))/86400</s:f>
        <s:v>46247.338217592594</s:v>
      </s:c>
    </s:row>
    <s:row r="115">
      <s:c r="A115" s="0" t="n">
        <s:v>260813</s:v>
      </s:c>
      <s:c r="B115" s="0" t="inlineStr">
        <s:is>
          <s:t>이종훈</s:t>
        </s:is>
      </s:c>
      <s:c r="C115" s="0" t="n">
        <s:v>80511</s:v>
      </s:c>
      <s:c r="D115" s="0" t="n">
        <s:v>2130</s:v>
      </s:c>
      <s:c r="F115" s="24">
        <s:f>'자료구성'!$B$2+TIME(INT($C$3/10000),INT(MOD($C$3,10000)/100),MOD($C$3,100))+(ROW()-ROW($C$3))/86400</s:f>
        <s:v>46247.338229166664</s:v>
      </s:c>
    </s:row>
    <s:row r="116">
      <s:c r="A116" s="0" t="n">
        <s:v>260813</s:v>
      </s:c>
      <s:c r="B116" s="0" t="inlineStr">
        <s:is>
          <s:t>이종훈</s:t>
        </s:is>
      </s:c>
      <s:c r="C116" s="0" t="n">
        <s:v>80511</s:v>
      </s:c>
      <s:c r="D116" s="0" t="n">
        <s:v>2194</s:v>
      </s:c>
      <s:c r="F116" s="24">
        <s:f>'자료구성'!$B$2+TIME(INT($C$3/10000),INT(MOD($C$3,10000)/100),MOD($C$3,100))+(ROW()-ROW($C$3))/86400</s:f>
        <s:v>46247.33824074074</s:v>
      </s:c>
    </s:row>
    <s:row r="117">
      <s:c r="A117" s="0" t="n">
        <s:v>260813</s:v>
      </s:c>
      <s:c r="B117" s="0" t="inlineStr">
        <s:is>
          <s:t>이종훈</s:t>
        </s:is>
      </s:c>
      <s:c r="C117" s="0" t="n">
        <s:v>80511</s:v>
      </s:c>
      <s:c r="D117" s="0" t="n">
        <s:v>2230</s:v>
      </s:c>
      <s:c r="F117" s="24">
        <s:f>'자료구성'!$B$2+TIME(INT($C$3/10000),INT(MOD($C$3,10000)/100),MOD($C$3,100))+(ROW()-ROW($C$3))/86400</s:f>
        <s:v>46247.33825231482</s:v>
      </s:c>
    </s:row>
    <s:row r="118">
      <s:c r="A118" s="0" t="n">
        <s:v>260813</s:v>
      </s:c>
      <s:c r="B118" s="0" t="inlineStr">
        <s:is>
          <s:t>이종훈</s:t>
        </s:is>
      </s:c>
      <s:c r="C118" s="0" t="n">
        <s:v>80511</s:v>
      </s:c>
      <s:c r="D118" s="0" t="n">
        <s:v>2292</s:v>
      </s:c>
      <s:c r="F118" s="24">
        <s:f>'자료구성'!$B$2+TIME(INT($C$3/10000),INT(MOD($C$3,10000)/100),MOD($C$3,100))+(ROW()-ROW($C$3))/86400</s:f>
        <s:v>46247.33826388889</s:v>
      </s:c>
    </s:row>
    <s:row r="119">
      <s:c r="A119" s="0" t="n">
        <s:v>260813</s:v>
      </s:c>
      <s:c r="B119" s="0" t="inlineStr">
        <s:is>
          <s:t>이종훈</s:t>
        </s:is>
      </s:c>
      <s:c r="C119" s="0" t="n">
        <s:v>80511</s:v>
      </s:c>
      <s:c r="D119" s="0" t="n">
        <s:v>2320</s:v>
      </s:c>
      <s:c r="F119" s="24">
        <s:f>'자료구성'!$B$2+TIME(INT($C$3/10000),INT(MOD($C$3,10000)/100),MOD($C$3,100))+(ROW()-ROW($C$3))/86400</s:f>
        <s:v>46247.338275462964</s:v>
      </s:c>
    </s:row>
    <s:row r="120">
      <s:c r="A120" s="0" t="n">
        <s:v>260813</s:v>
      </s:c>
      <s:c r="B120" s="0" t="inlineStr">
        <s:is>
          <s:t>이종훈</s:t>
        </s:is>
      </s:c>
      <s:c r="C120" s="0" t="n">
        <s:v>80511</s:v>
      </s:c>
      <s:c r="D120" s="0" t="n">
        <s:v>2312</s:v>
      </s:c>
      <s:c r="F120" s="24">
        <s:f>'자료구성'!$B$2+TIME(INT($C$3/10000),INT(MOD($C$3,10000)/100),MOD($C$3,100))+(ROW()-ROW($C$3))/86400</s:f>
        <s:v>46247.33828703704</s:v>
      </s:c>
    </s:row>
    <s:row r="121">
      <s:c r="A121" s="0" t="n">
        <s:v>260813</s:v>
      </s:c>
      <s:c r="B121" s="0" t="inlineStr">
        <s:is>
          <s:t>이종훈</s:t>
        </s:is>
      </s:c>
      <s:c r="C121" s="0" t="n">
        <s:v>80511</s:v>
      </s:c>
      <s:c r="D121" s="0" t="n">
        <s:v>2328</s:v>
      </s:c>
      <s:c r="F121" s="24">
        <s:f>'자료구성'!$B$2+TIME(INT($C$3/10000),INT(MOD($C$3,10000)/100),MOD($C$3,100))+(ROW()-ROW($C$3))/86400</s:f>
        <s:v>46247.33829861111</s:v>
      </s:c>
    </s:row>
    <s:row r="122">
      <s:c r="A122" s="0" t="n">
        <s:v>260813</s:v>
      </s:c>
      <s:c r="B122" s="0" t="inlineStr">
        <s:is>
          <s:t>이종훈</s:t>
        </s:is>
      </s:c>
      <s:c r="C122" s="0" t="n">
        <s:v>80511</s:v>
      </s:c>
      <s:c r="D122" s="0" t="n">
        <s:v>2305</s:v>
      </s:c>
      <s:c r="F122" s="24">
        <s:f>'자료구성'!$B$2+TIME(INT($C$3/10000),INT(MOD($C$3,10000)/100),MOD($C$3,100))+(ROW()-ROW($C$3))/86400</s:f>
        <s:v>46247.33831018519</s:v>
      </s:c>
    </s:row>
    <s:row r="123">
      <s:c r="A123" s="0" t="n">
        <s:v>260813</s:v>
      </s:c>
      <s:c r="B123" s="0" t="inlineStr">
        <s:is>
          <s:t>이종훈</s:t>
        </s:is>
      </s:c>
      <s:c r="C123" s="0" t="n">
        <s:v>80511</s:v>
      </s:c>
      <s:c r="D123" s="0" t="n">
        <s:v>2290</s:v>
      </s:c>
      <s:c r="F123" s="24">
        <s:f>'자료구성'!$B$2+TIME(INT($C$3/10000),INT(MOD($C$3,10000)/100),MOD($C$3,100))+(ROW()-ROW($C$3))/86400</s:f>
        <s:v>46247.338321759256</s:v>
      </s:c>
    </s:row>
    <s:row r="124">
      <s:c r="A124" s="0" t="n">
        <s:v>260813</s:v>
      </s:c>
      <s:c r="B124" s="0" t="inlineStr">
        <s:is>
          <s:t>이종훈</s:t>
        </s:is>
      </s:c>
      <s:c r="C124" s="0" t="n">
        <s:v>80511</s:v>
      </s:c>
      <s:c r="D124" s="0" t="n">
        <s:v>2288</s:v>
      </s:c>
      <s:c r="F124" s="24">
        <s:f>'자료구성'!$B$2+TIME(INT($C$3/10000),INT(MOD($C$3,10000)/100),MOD($C$3,100))+(ROW()-ROW($C$3))/86400</s:f>
        <s:v>46247.33833333333</s:v>
      </s:c>
    </s:row>
    <s:row r="125">
      <s:c r="A125" s="0" t="n">
        <s:v>260813</s:v>
      </s:c>
      <s:c r="B125" s="0" t="inlineStr">
        <s:is>
          <s:t>이종훈</s:t>
        </s:is>
      </s:c>
      <s:c r="C125" s="0" t="n">
        <s:v>80511</s:v>
      </s:c>
      <s:c r="D125" s="0" t="n">
        <s:v>2251</s:v>
      </s:c>
      <s:c r="F125" s="24">
        <s:f>'자료구성'!$B$2+TIME(INT($C$3/10000),INT(MOD($C$3,10000)/100),MOD($C$3,100))+(ROW()-ROW($C$3))/86400</s:f>
        <s:v>46247.33834490741</s:v>
      </s:c>
    </s:row>
    <s:row r="126">
      <s:c r="A126" s="0" t="n">
        <s:v>260813</s:v>
      </s:c>
      <s:c r="B126" s="0" t="inlineStr">
        <s:is>
          <s:t>이종훈</s:t>
        </s:is>
      </s:c>
      <s:c r="C126" s="0" t="n">
        <s:v>80511</s:v>
      </s:c>
      <s:c r="D126" s="0" t="n">
        <s:v>2210</s:v>
      </s:c>
      <s:c r="F126" s="24">
        <s:f>'자료구성'!$B$2+TIME(INT($C$3/10000),INT(MOD($C$3,10000)/100),MOD($C$3,100))+(ROW()-ROW($C$3))/86400</s:f>
        <s:v>46247.33835648148</s:v>
      </s:c>
    </s:row>
    <s:row r="127">
      <s:c r="A127" s="0" t="n">
        <s:v>260813</s:v>
      </s:c>
      <s:c r="B127" s="0" t="inlineStr">
        <s:is>
          <s:t>이종훈</s:t>
        </s:is>
      </s:c>
      <s:c r="C127" s="0" t="n">
        <s:v>80511</s:v>
      </s:c>
      <s:c r="D127" s="0" t="n">
        <s:v>2171</s:v>
      </s:c>
      <s:c r="F127" s="24">
        <s:f>'자료구성'!$B$2+TIME(INT($C$3/10000),INT(MOD($C$3,10000)/100),MOD($C$3,100))+(ROW()-ROW($C$3))/86400</s:f>
        <s:v>46247.338368055556</s:v>
      </s:c>
    </s:row>
    <s:row r="128">
      <s:c r="A128" s="0" t="n">
        <s:v>260813</s:v>
      </s:c>
      <s:c r="B128" s="0" t="inlineStr">
        <s:is>
          <s:t>이종훈</s:t>
        </s:is>
      </s:c>
      <s:c r="C128" s="0" t="n">
        <s:v>80511</s:v>
      </s:c>
      <s:c r="D128" s="0" t="n">
        <s:v>2114</s:v>
      </s:c>
      <s:c r="F128" s="24">
        <s:f>'자료구성'!$B$2+TIME(INT($C$3/10000),INT(MOD($C$3,10000)/100),MOD($C$3,100))+(ROW()-ROW($C$3))/86400</s:f>
        <s:v>46247.33837962963</s:v>
      </s:c>
    </s:row>
    <s:row r="129">
      <s:c r="A129" s="0" t="n">
        <s:v>260813</s:v>
      </s:c>
      <s:c r="B129" s="0" t="inlineStr">
        <s:is>
          <s:t>이종훈</s:t>
        </s:is>
      </s:c>
      <s:c r="C129" s="0" t="n">
        <s:v>80511</s:v>
      </s:c>
      <s:c r="D129" s="0" t="n">
        <s:v>2093</s:v>
      </s:c>
      <s:c r="F129" s="24">
        <s:f>'자료구성'!$B$2+TIME(INT($C$3/10000),INT(MOD($C$3,10000)/100),MOD($C$3,100))+(ROW()-ROW($C$3))/86400</s:f>
        <s:v>46247.3383912037</s:v>
      </s:c>
    </s:row>
    <s:row r="130">
      <s:c r="A130" s="0" t="n">
        <s:v>260813</s:v>
      </s:c>
      <s:c r="B130" s="0" t="inlineStr">
        <s:is>
          <s:t>이종훈</s:t>
        </s:is>
      </s:c>
      <s:c r="C130" s="0" t="n">
        <s:v>80511</s:v>
      </s:c>
      <s:c r="D130" s="0" t="n">
        <s:v>2058</s:v>
      </s:c>
      <s:c r="F130" s="24">
        <s:f>'자료구성'!$B$2+TIME(INT($C$3/10000),INT(MOD($C$3,10000)/100),MOD($C$3,100))+(ROW()-ROW($C$3))/86400</s:f>
        <s:v>46247.33840277778</s:v>
      </s:c>
    </s:row>
    <s:row r="131">
      <s:c r="A131" s="0" t="n">
        <s:v>260813</s:v>
      </s:c>
      <s:c r="B131" s="0" t="inlineStr">
        <s:is>
          <s:t>이종훈</s:t>
        </s:is>
      </s:c>
      <s:c r="C131" s="0" t="n">
        <s:v>80511</s:v>
      </s:c>
      <s:c r="D131" s="0" t="n">
        <s:v>2026</s:v>
      </s:c>
      <s:c r="F131" s="24">
        <s:f>'자료구성'!$B$2+TIME(INT($C$3/10000),INT(MOD($C$3,10000)/100),MOD($C$3,100))+(ROW()-ROW($C$3))/86400</s:f>
        <s:v>46247.33841435185</s:v>
      </s:c>
    </s:row>
    <s:row r="132">
      <s:c r="A132" s="0" t="n">
        <s:v>260813</s:v>
      </s:c>
      <s:c r="B132" s="0" t="inlineStr">
        <s:is>
          <s:t>이종훈</s:t>
        </s:is>
      </s:c>
      <s:c r="C132" s="0" t="n">
        <s:v>80511</s:v>
      </s:c>
      <s:c r="D132" s="0" t="n">
        <s:v>2020</s:v>
      </s:c>
      <s:c r="F132" s="24">
        <s:f>'자료구성'!$B$2+TIME(INT($C$3/10000),INT(MOD($C$3,10000)/100),MOD($C$3,100))+(ROW()-ROW($C$3))/86400</s:f>
        <s:v>46247.338425925926</s:v>
      </s:c>
    </s:row>
    <s:row r="133">
      <s:c r="A133" s="0" t="n">
        <s:v>260813</s:v>
      </s:c>
      <s:c r="B133" s="0" t="inlineStr">
        <s:is>
          <s:t>이종훈</s:t>
        </s:is>
      </s:c>
      <s:c r="C133" s="0" t="n">
        <s:v>80511</s:v>
      </s:c>
      <s:c r="D133" s="0" t="n">
        <s:v>1983</s:v>
      </s:c>
      <s:c r="F133" s="24">
        <s:f>'자료구성'!$B$2+TIME(INT($C$3/10000),INT(MOD($C$3,10000)/100),MOD($C$3,100))+(ROW()-ROW($C$3))/86400</s:f>
        <s:v>46247.3384375</s:v>
      </s:c>
    </s:row>
    <s:row r="134">
      <s:c r="A134" s="0" t="n">
        <s:v>260813</s:v>
      </s:c>
      <s:c r="B134" s="0" t="inlineStr">
        <s:is>
          <s:t>이종훈</s:t>
        </s:is>
      </s:c>
      <s:c r="C134" s="0" t="n">
        <s:v>80511</s:v>
      </s:c>
      <s:c r="D134" s="0" t="n">
        <s:v>1966</s:v>
      </s:c>
      <s:c r="F134" s="24">
        <s:f>'자료구성'!$B$2+TIME(INT($C$3/10000),INT(MOD($C$3,10000)/100),MOD($C$3,100))+(ROW()-ROW($C$3))/86400</s:f>
        <s:v>46247.33844907407</s:v>
      </s:c>
    </s:row>
    <s:row r="135">
      <s:c r="A135" s="0" t="n">
        <s:v>260813</s:v>
      </s:c>
      <s:c r="B135" s="0" t="inlineStr">
        <s:is>
          <s:t>이종훈</s:t>
        </s:is>
      </s:c>
      <s:c r="C135" s="0" t="n">
        <s:v>80511</s:v>
      </s:c>
      <s:c r="D135" s="0" t="n">
        <s:v>1953</s:v>
      </s:c>
      <s:c r="F135" s="24">
        <s:f>'자료구성'!$B$2+TIME(INT($C$3/10000),INT(MOD($C$3,10000)/100),MOD($C$3,100))+(ROW()-ROW($C$3))/86400</s:f>
        <s:v>46247.33846064815</s:v>
      </s:c>
    </s:row>
    <s:row r="136">
      <s:c r="A136" s="0" t="n">
        <s:v>260813</s:v>
      </s:c>
      <s:c r="B136" s="0" t="inlineStr">
        <s:is>
          <s:t>이종훈</s:t>
        </s:is>
      </s:c>
      <s:c r="C136" s="0" t="n">
        <s:v>80511</s:v>
      </s:c>
      <s:c r="D136" s="0" t="n">
        <s:v>1937</s:v>
      </s:c>
      <s:c r="F136" s="24">
        <s:f>'자료구성'!$B$2+TIME(INT($C$3/10000),INT(MOD($C$3,10000)/100),MOD($C$3,100))+(ROW()-ROW($C$3))/86400</s:f>
        <s:v>46247.338472222225</s:v>
      </s:c>
    </s:row>
    <s:row r="137">
      <s:c r="A137" s="0" t="n">
        <s:v>260813</s:v>
      </s:c>
      <s:c r="B137" s="0" t="inlineStr">
        <s:is>
          <s:t>이종훈</s:t>
        </s:is>
      </s:c>
      <s:c r="C137" s="0" t="n">
        <s:v>80511</s:v>
      </s:c>
      <s:c r="D137" s="0" t="n">
        <s:v>1938</s:v>
      </s:c>
      <s:c r="F137" s="24">
        <s:f>'자료구성'!$B$2+TIME(INT($C$3/10000),INT(MOD($C$3,10000)/100),MOD($C$3,100))+(ROW()-ROW($C$3))/86400</s:f>
        <s:v>46247.338483796295</s:v>
      </s:c>
    </s:row>
    <s:row r="138">
      <s:c r="A138" s="0" t="n">
        <s:v>260813</s:v>
      </s:c>
      <s:c r="B138" s="0" t="inlineStr">
        <s:is>
          <s:t>이종훈</s:t>
        </s:is>
      </s:c>
      <s:c r="C138" s="0" t="n">
        <s:v>80511</s:v>
      </s:c>
      <s:c r="D138" s="0" t="n">
        <s:v>1938</s:v>
      </s:c>
      <s:c r="F138" s="24">
        <s:f>'자료구성'!$B$2+TIME(INT($C$3/10000),INT(MOD($C$3,10000)/100),MOD($C$3,100))+(ROW()-ROW($C$3))/86400</s:f>
        <s:v>46247.33849537037</s:v>
      </s:c>
    </s:row>
    <s:row r="139">
      <s:c r="A139" s="0" t="n">
        <s:v>260813</s:v>
      </s:c>
      <s:c r="B139" s="0" t="inlineStr">
        <s:is>
          <s:t>이종훈</s:t>
        </s:is>
      </s:c>
      <s:c r="C139" s="0" t="n">
        <s:v>80511</s:v>
      </s:c>
      <s:c r="D139" s="0" t="n">
        <s:v>1935</s:v>
      </s:c>
      <s:c r="F139" s="24">
        <s:f>'자료구성'!$B$2+TIME(INT($C$3/10000),INT(MOD($C$3,10000)/100),MOD($C$3,100))+(ROW()-ROW($C$3))/86400</s:f>
        <s:v>46247.33850694444</s:v>
      </s:c>
    </s:row>
    <s:row r="140">
      <s:c r="A140" s="0" t="n">
        <s:v>260813</s:v>
      </s:c>
      <s:c r="B140" s="0" t="inlineStr">
        <s:is>
          <s:t>이종훈</s:t>
        </s:is>
      </s:c>
      <s:c r="C140" s="0" t="n">
        <s:v>80511</s:v>
      </s:c>
      <s:c r="D140" s="0" t="n">
        <s:v>1923</s:v>
      </s:c>
      <s:c r="F140" s="24">
        <s:f>'자료구성'!$B$2+TIME(INT($C$3/10000),INT(MOD($C$3,10000)/100),MOD($C$3,100))+(ROW()-ROW($C$3))/86400</s:f>
        <s:v>46247.33851851852</s:v>
      </s:c>
    </s:row>
    <s:row r="141">
      <s:c r="A141" s="0" t="n">
        <s:v>260813</s:v>
      </s:c>
      <s:c r="B141" s="0" t="inlineStr">
        <s:is>
          <s:t>이종훈</s:t>
        </s:is>
      </s:c>
      <s:c r="C141" s="0" t="n">
        <s:v>80511</s:v>
      </s:c>
      <s:c r="D141" s="0" t="n">
        <s:v>1903</s:v>
      </s:c>
      <s:c r="F141" s="24">
        <s:f>'자료구성'!$B$2+TIME(INT($C$3/10000),INT(MOD($C$3,10000)/100),MOD($C$3,100))+(ROW()-ROW($C$3))/86400</s:f>
        <s:v>46247.338530092595</s:v>
      </s:c>
    </s:row>
    <s:row r="142">
      <s:c r="A142" s="0" t="n">
        <s:v>260813</s:v>
      </s:c>
      <s:c r="B142" s="0" t="inlineStr">
        <s:is>
          <s:t>이종훈</s:t>
        </s:is>
      </s:c>
      <s:c r="C142" s="0" t="n">
        <s:v>80511</s:v>
      </s:c>
      <s:c r="D142" s="0" t="n">
        <s:v>1906</s:v>
      </s:c>
      <s:c r="F142" s="24">
        <s:f>'자료구성'!$B$2+TIME(INT($C$3/10000),INT(MOD($C$3,10000)/100),MOD($C$3,100))+(ROW()-ROW($C$3))/86400</s:f>
        <s:v>46247.338541666664</s:v>
      </s:c>
    </s:row>
    <s:row r="143">
      <s:c r="A143" s="0" t="n">
        <s:v>260813</s:v>
      </s:c>
      <s:c r="B143" s="0" t="inlineStr">
        <s:is>
          <s:t>이종훈</s:t>
        </s:is>
      </s:c>
      <s:c r="C143" s="0" t="n">
        <s:v>80511</s:v>
      </s:c>
      <s:c r="D143" s="0" t="n">
        <s:v>1908</s:v>
      </s:c>
      <s:c r="F143" s="24">
        <s:f>'자료구성'!$B$2+TIME(INT($C$3/10000),INT(MOD($C$3,10000)/100),MOD($C$3,100))+(ROW()-ROW($C$3))/86400</s:f>
        <s:v>46247.33855324074</s:v>
      </s:c>
    </s:row>
    <s:row r="144">
      <s:c r="A144" s="0" t="n">
        <s:v>260813</s:v>
      </s:c>
      <s:c r="B144" s="0" t="inlineStr">
        <s:is>
          <s:t>이종훈</s:t>
        </s:is>
      </s:c>
      <s:c r="C144" s="0" t="n">
        <s:v>80511</s:v>
      </s:c>
      <s:c r="D144" s="0" t="n">
        <s:v>1890</s:v>
      </s:c>
      <s:c r="F144" s="24">
        <s:f>'자료구성'!$B$2+TIME(INT($C$3/10000),INT(MOD($C$3,10000)/100),MOD($C$3,100))+(ROW()-ROW($C$3))/86400</s:f>
        <s:v>46247.33856481482</s:v>
      </s:c>
    </s:row>
    <s:row r="145">
      <s:c r="A145" s="0" t="n">
        <s:v>260813</s:v>
      </s:c>
      <s:c r="B145" s="0" t="inlineStr">
        <s:is>
          <s:t>이종훈</s:t>
        </s:is>
      </s:c>
      <s:c r="C145" s="0" t="n">
        <s:v>80511</s:v>
      </s:c>
      <s:c r="D145" s="0" t="n">
        <s:v>1854</s:v>
      </s:c>
      <s:c r="F145" s="24">
        <s:f>'자료구성'!$B$2+TIME(INT($C$3/10000),INT(MOD($C$3,10000)/100),MOD($C$3,100))+(ROW()-ROW($C$3))/86400</s:f>
        <s:v>46247.33857638889</s:v>
      </s:c>
    </s:row>
    <s:row r="146">
      <s:c r="A146" s="0" t="n">
        <s:v>260813</s:v>
      </s:c>
      <s:c r="B146" s="0" t="inlineStr">
        <s:is>
          <s:t>이종훈</s:t>
        </s:is>
      </s:c>
      <s:c r="C146" s="0" t="n">
        <s:v>80511</s:v>
      </s:c>
      <s:c r="D146" s="0" t="n">
        <s:v>1827</s:v>
      </s:c>
      <s:c r="F146" s="24">
        <s:f>'자료구성'!$B$2+TIME(INT($C$3/10000),INT(MOD($C$3,10000)/100),MOD($C$3,100))+(ROW()-ROW($C$3))/86400</s:f>
        <s:v>46247.338587962964</s:v>
      </s:c>
    </s:row>
    <s:row r="147">
      <s:c r="A147" s="0" t="n">
        <s:v>260813</s:v>
      </s:c>
      <s:c r="B147" s="0" t="inlineStr">
        <s:is>
          <s:t>이종훈</s:t>
        </s:is>
      </s:c>
      <s:c r="C147" s="0" t="n">
        <s:v>80511</s:v>
      </s:c>
      <s:c r="D147" s="0" t="n">
        <s:v>1796</s:v>
      </s:c>
      <s:c r="F147" s="24">
        <s:f>'자료구성'!$B$2+TIME(INT($C$3/10000),INT(MOD($C$3,10000)/100),MOD($C$3,100))+(ROW()-ROW($C$3))/86400</s:f>
        <s:v>46247.33859953703</s:v>
      </s:c>
    </s:row>
    <s:row r="148">
      <s:c r="A148" s="0" t="n">
        <s:v>260813</s:v>
      </s:c>
      <s:c r="B148" s="0" t="inlineStr">
        <s:is>
          <s:t>이종훈</s:t>
        </s:is>
      </s:c>
      <s:c r="C148" s="0" t="n">
        <s:v>80511</s:v>
      </s:c>
      <s:c r="D148" s="0" t="n">
        <s:v>1795</s:v>
      </s:c>
      <s:c r="F148" s="24">
        <s:f>'자료구성'!$B$2+TIME(INT($C$3/10000),INT(MOD($C$3,10000)/100),MOD($C$3,100))+(ROW()-ROW($C$3))/86400</s:f>
        <s:v>46247.33861111111</s:v>
      </s:c>
    </s:row>
    <s:row r="149">
      <s:c r="A149" s="0" t="n">
        <s:v>260813</s:v>
      </s:c>
      <s:c r="B149" s="0" t="inlineStr">
        <s:is>
          <s:t>이종훈</s:t>
        </s:is>
      </s:c>
      <s:c r="C149" s="0" t="n">
        <s:v>80511</s:v>
      </s:c>
      <s:c r="D149" s="0" t="n">
        <s:v>1793</s:v>
      </s:c>
      <s:c r="F149" s="24">
        <s:f>'자료구성'!$B$2+TIME(INT($C$3/10000),INT(MOD($C$3,10000)/100),MOD($C$3,100))+(ROW()-ROW($C$3))/86400</s:f>
        <s:v>46247.33862268519</s:v>
      </s:c>
    </s:row>
    <s:row r="150">
      <s:c r="A150" s="0" t="n">
        <s:v>260813</s:v>
      </s:c>
      <s:c r="B150" s="0" t="inlineStr">
        <s:is>
          <s:t>이종훈</s:t>
        </s:is>
      </s:c>
      <s:c r="C150" s="0" t="n">
        <s:v>80511</s:v>
      </s:c>
      <s:c r="D150" s="0" t="n">
        <s:v>1802</s:v>
      </s:c>
      <s:c r="F150" s="24">
        <s:f>'자료구성'!$B$2+TIME(INT($C$3/10000),INT(MOD($C$3,10000)/100),MOD($C$3,100))+(ROW()-ROW($C$3))/86400</s:f>
        <s:v>46247.33863425926</s:v>
      </s:c>
    </s:row>
    <s:row r="151">
      <s:c r="A151" s="0" t="n">
        <s:v>260813</s:v>
      </s:c>
      <s:c r="B151" s="0" t="inlineStr">
        <s:is>
          <s:t>이종훈</s:t>
        </s:is>
      </s:c>
      <s:c r="C151" s="0" t="n">
        <s:v>80511</s:v>
      </s:c>
      <s:c r="D151" s="0" t="n">
        <s:v>1805</s:v>
      </s:c>
      <s:c r="F151" s="24">
        <s:f>'자료구성'!$B$2+TIME(INT($C$3/10000),INT(MOD($C$3,10000)/100),MOD($C$3,100))+(ROW()-ROW($C$3))/86400</s:f>
        <s:v>46247.33864583333</s:v>
      </s:c>
    </s:row>
    <s:row r="152">
      <s:c r="A152" s="0" t="n">
        <s:v>260813</s:v>
      </s:c>
      <s:c r="B152" s="0" t="inlineStr">
        <s:is>
          <s:t>이종훈</s:t>
        </s:is>
      </s:c>
      <s:c r="C152" s="0" t="n">
        <s:v>80511</s:v>
      </s:c>
      <s:c r="D152" s="0" t="n">
        <s:v>1797</s:v>
      </s:c>
      <s:c r="F152" s="24">
        <s:f>'자료구성'!$B$2+TIME(INT($C$3/10000),INT(MOD($C$3,10000)/100),MOD($C$3,100))+(ROW()-ROW($C$3))/86400</s:f>
        <s:v>46247.33865740741</s:v>
      </s:c>
    </s:row>
    <s:row r="153">
      <s:c r="A153" s="0" t="n">
        <s:v>260813</s:v>
      </s:c>
      <s:c r="B153" s="0" t="inlineStr">
        <s:is>
          <s:t>이종훈</s:t>
        </s:is>
      </s:c>
      <s:c r="C153" s="0" t="n">
        <s:v>80511</s:v>
      </s:c>
      <s:c r="D153" s="0" t="n">
        <s:v>1789</s:v>
      </s:c>
      <s:c r="F153" s="24">
        <s:f>'자료구성'!$B$2+TIME(INT($C$3/10000),INT(MOD($C$3,10000)/100),MOD($C$3,100))+(ROW()-ROW($C$3))/86400</s:f>
        <s:v>46247.33866898148</s:v>
      </s:c>
    </s:row>
    <s:row r="154">
      <s:c r="A154" s="0" t="n">
        <s:v>260813</s:v>
      </s:c>
      <s:c r="B154" s="0" t="inlineStr">
        <s:is>
          <s:t>이종훈</s:t>
        </s:is>
      </s:c>
      <s:c r="C154" s="0" t="n">
        <s:v>80511</s:v>
      </s:c>
      <s:c r="D154" s="0" t="n">
        <s:v>1800</s:v>
      </s:c>
      <s:c r="F154" s="24">
        <s:f>'자료구성'!$B$2+TIME(INT($C$3/10000),INT(MOD($C$3,10000)/100),MOD($C$3,100))+(ROW()-ROW($C$3))/86400</s:f>
        <s:v>46247.33868055556</s:v>
      </s:c>
    </s:row>
    <s:row r="155">
      <s:c r="A155" s="0" t="n">
        <s:v>260813</s:v>
      </s:c>
      <s:c r="B155" s="0" t="inlineStr">
        <s:is>
          <s:t>이종훈</s:t>
        </s:is>
      </s:c>
      <s:c r="C155" s="0" t="n">
        <s:v>80511</s:v>
      </s:c>
      <s:c r="D155" s="0" t="n">
        <s:v>1815</s:v>
      </s:c>
      <s:c r="F155" s="24">
        <s:f>'자료구성'!$B$2+TIME(INT($C$3/10000),INT(MOD($C$3,10000)/100),MOD($C$3,100))+(ROW()-ROW($C$3))/86400</s:f>
        <s:v>46247.338692129626</s:v>
      </s:c>
    </s:row>
    <s:row r="156">
      <s:c r="A156" s="0" t="n">
        <s:v>260813</s:v>
      </s:c>
      <s:c r="B156" s="0" t="inlineStr">
        <s:is>
          <s:t>이종훈</s:t>
        </s:is>
      </s:c>
      <s:c r="C156" s="0" t="n">
        <s:v>80511</s:v>
      </s:c>
      <s:c r="D156" s="0" t="n">
        <s:v>1846</s:v>
      </s:c>
      <s:c r="F156" s="24">
        <s:f>'자료구성'!$B$2+TIME(INT($C$3/10000),INT(MOD($C$3,10000)/100),MOD($C$3,100))+(ROW()-ROW($C$3))/86400</s:f>
        <s:v>46247.3387037037</s:v>
      </s:c>
    </s:row>
    <s:row r="157">
      <s:c r="A157" s="0" t="n">
        <s:v>260813</s:v>
      </s:c>
      <s:c r="B157" s="0" t="inlineStr">
        <s:is>
          <s:t>이종훈</s:t>
        </s:is>
      </s:c>
      <s:c r="C157" s="0" t="n">
        <s:v>80511</s:v>
      </s:c>
      <s:c r="D157" s="0" t="n">
        <s:v>1844</s:v>
      </s:c>
      <s:c r="F157" s="24">
        <s:f>'자료구성'!$B$2+TIME(INT($C$3/10000),INT(MOD($C$3,10000)/100),MOD($C$3,100))+(ROW()-ROW($C$3))/86400</s:f>
        <s:v>46247.33871527778</s:v>
      </s:c>
    </s:row>
    <s:row r="158">
      <s:c r="A158" s="0" t="n">
        <s:v>260813</s:v>
      </s:c>
      <s:c r="B158" s="0" t="inlineStr">
        <s:is>
          <s:t>이종훈</s:t>
        </s:is>
      </s:c>
      <s:c r="C158" s="0" t="n">
        <s:v>80511</s:v>
      </s:c>
      <s:c r="D158" s="0" t="n">
        <s:v>1854</s:v>
      </s:c>
      <s:c r="F158" s="24">
        <s:f>'자료구성'!$B$2+TIME(INT($C$3/10000),INT(MOD($C$3,10000)/100),MOD($C$3,100))+(ROW()-ROW($C$3))/86400</s:f>
        <s:v>46247.33872685185</s:v>
      </s:c>
    </s:row>
    <s:row r="159">
      <s:c r="A159" s="0" t="n">
        <s:v>260813</s:v>
      </s:c>
      <s:c r="B159" s="0" t="inlineStr">
        <s:is>
          <s:t>이종훈</s:t>
        </s:is>
      </s:c>
      <s:c r="C159" s="0" t="n">
        <s:v>80511</s:v>
      </s:c>
      <s:c r="D159" s="0" t="n">
        <s:v>1890</s:v>
      </s:c>
      <s:c r="F159" s="24">
        <s:f>'자료구성'!$B$2+TIME(INT($C$3/10000),INT(MOD($C$3,10000)/100),MOD($C$3,100))+(ROW()-ROW($C$3))/86400</s:f>
        <s:v>46247.338738425926</s:v>
      </s:c>
    </s:row>
    <s:row r="160">
      <s:c r="A160" s="0" t="n">
        <s:v>260813</s:v>
      </s:c>
      <s:c r="B160" s="0" t="inlineStr">
        <s:is>
          <s:t>이종훈</s:t>
        </s:is>
      </s:c>
      <s:c r="C160" s="0" t="n">
        <s:v>80511</s:v>
      </s:c>
      <s:c r="D160" s="0" t="n">
        <s:v>1938</s:v>
      </s:c>
      <s:c r="F160" s="24">
        <s:f>'자료구성'!$B$2+TIME(INT($C$3/10000),INT(MOD($C$3,10000)/100),MOD($C$3,100))+(ROW()-ROW($C$3))/86400</s:f>
        <s:v>46247.33875</s:v>
      </s:c>
    </s:row>
    <s:row r="161">
      <s:c r="A161" s="0" t="n">
        <s:v>260813</s:v>
      </s:c>
      <s:c r="B161" s="0" t="inlineStr">
        <s:is>
          <s:t>이종훈</s:t>
        </s:is>
      </s:c>
      <s:c r="C161" s="0" t="n">
        <s:v>80511</s:v>
      </s:c>
      <s:c r="D161" s="0" t="n">
        <s:v>1959</s:v>
      </s:c>
      <s:c r="F161" s="24">
        <s:f>'자료구성'!$B$2+TIME(INT($C$3/10000),INT(MOD($C$3,10000)/100),MOD($C$3,100))+(ROW()-ROW($C$3))/86400</s:f>
        <s:v>46247.33876157407</s:v>
      </s:c>
    </s:row>
    <s:row r="162">
      <s:c r="A162" s="0" t="n">
        <s:v>260813</s:v>
      </s:c>
      <s:c r="B162" s="0" t="inlineStr">
        <s:is>
          <s:t>이종훈</s:t>
        </s:is>
      </s:c>
      <s:c r="C162" s="0" t="n">
        <s:v>80511</s:v>
      </s:c>
      <s:c r="D162" s="0" t="n">
        <s:v>1995</s:v>
      </s:c>
      <s:c r="F162" s="24">
        <s:f>'자료구성'!$B$2+TIME(INT($C$3/10000),INT(MOD($C$3,10000)/100),MOD($C$3,100))+(ROW()-ROW($C$3))/86400</s:f>
        <s:v>46247.33877314815</s:v>
      </s:c>
    </s:row>
    <s:row r="163">
      <s:c r="A163" s="0" t="n">
        <s:v>260813</s:v>
      </s:c>
      <s:c r="B163" s="0" t="inlineStr">
        <s:is>
          <s:t>이종훈</s:t>
        </s:is>
      </s:c>
      <s:c r="C163" s="0" t="n">
        <s:v>80511</s:v>
      </s:c>
      <s:c r="D163" s="0" t="n">
        <s:v>1988</s:v>
      </s:c>
      <s:c r="F163" s="24">
        <s:f>'자료구성'!$B$2+TIME(INT($C$3/10000),INT(MOD($C$3,10000)/100),MOD($C$3,100))+(ROW()-ROW($C$3))/86400</s:f>
        <s:v>46247.338784722226</s:v>
      </s:c>
    </s:row>
    <s:row r="164">
      <s:c r="A164" s="0" t="n">
        <s:v>260813</s:v>
      </s:c>
      <s:c r="B164" s="0" t="inlineStr">
        <s:is>
          <s:t>이종훈</s:t>
        </s:is>
      </s:c>
      <s:c r="C164" s="0" t="n">
        <s:v>80511</s:v>
      </s:c>
      <s:c r="D164" s="0" t="n">
        <s:v>2028</s:v>
      </s:c>
      <s:c r="F164" s="24">
        <s:f>'자료구성'!$B$2+TIME(INT($C$3/10000),INT(MOD($C$3,10000)/100),MOD($C$3,100))+(ROW()-ROW($C$3))/86400</s:f>
        <s:v>46247.338796296295</s:v>
      </s:c>
    </s:row>
    <s:row r="165">
      <s:c r="A165" s="0" t="n">
        <s:v>260813</s:v>
      </s:c>
      <s:c r="B165" s="0" t="inlineStr">
        <s:is>
          <s:t>이종훈</s:t>
        </s:is>
      </s:c>
      <s:c r="C165" s="0" t="n">
        <s:v>80511</s:v>
      </s:c>
      <s:c r="D165" s="0" t="n">
        <s:v>2084</s:v>
      </s:c>
      <s:c r="F165" s="24">
        <s:f>'자료구성'!$B$2+TIME(INT($C$3/10000),INT(MOD($C$3,10000)/100),MOD($C$3,100))+(ROW()-ROW($C$3))/86400</s:f>
        <s:v>46247.33880787037</s:v>
      </s:c>
    </s:row>
    <s:row r="166">
      <s:c r="A166" s="0" t="n">
        <s:v>260813</s:v>
      </s:c>
      <s:c r="B166" s="0" t="inlineStr">
        <s:is>
          <s:t>이종훈</s:t>
        </s:is>
      </s:c>
      <s:c r="C166" s="0" t="n">
        <s:v>80511</s:v>
      </s:c>
      <s:c r="D166" s="0" t="n">
        <s:v>2101</s:v>
      </s:c>
      <s:c r="F166" s="24">
        <s:f>'자료구성'!$B$2+TIME(INT($C$3/10000),INT(MOD($C$3,10000)/100),MOD($C$3,100))+(ROW()-ROW($C$3))/86400</s:f>
        <s:v>46247.33881944444</s:v>
      </s:c>
    </s:row>
    <s:row r="167">
      <s:c r="A167" s="0" t="n">
        <s:v>260813</s:v>
      </s:c>
      <s:c r="B167" s="0" t="inlineStr">
        <s:is>
          <s:t>이종훈</s:t>
        </s:is>
      </s:c>
      <s:c r="C167" s="0" t="n">
        <s:v>80511</s:v>
      </s:c>
      <s:c r="D167" s="0" t="n">
        <s:v>2110</s:v>
      </s:c>
      <s:c r="F167" s="24">
        <s:f>'자료구성'!$B$2+TIME(INT($C$3/10000),INT(MOD($C$3,10000)/100),MOD($C$3,100))+(ROW()-ROW($C$3))/86400</s:f>
        <s:v>46247.33883101852</s:v>
      </s:c>
    </s:row>
    <s:row r="168">
      <s:c r="A168" s="0" t="n">
        <s:v>260813</s:v>
      </s:c>
      <s:c r="B168" s="0" t="inlineStr">
        <s:is>
          <s:t>이종훈</s:t>
        </s:is>
      </s:c>
      <s:c r="C168" s="0" t="n">
        <s:v>80511</s:v>
      </s:c>
      <s:c r="D168" s="0" t="n">
        <s:v>2132</s:v>
      </s:c>
      <s:c r="F168" s="24">
        <s:f>'자료구성'!$B$2+TIME(INT($C$3/10000),INT(MOD($C$3,10000)/100),MOD($C$3,100))+(ROW()-ROW($C$3))/86400</s:f>
        <s:v>46247.338842592595</s:v>
      </s:c>
    </s:row>
    <s:row r="169">
      <s:c r="A169" s="0" t="n">
        <s:v>260813</s:v>
      </s:c>
      <s:c r="B169" s="0" t="inlineStr">
        <s:is>
          <s:t>이종훈</s:t>
        </s:is>
      </s:c>
      <s:c r="C169" s="0" t="n">
        <s:v>80511</s:v>
      </s:c>
      <s:c r="D169" s="0" t="n">
        <s:v>2120</s:v>
      </s:c>
      <s:c r="F169" s="24">
        <s:f>'자료구성'!$B$2+TIME(INT($C$3/10000),INT(MOD($C$3,10000)/100),MOD($C$3,100))+(ROW()-ROW($C$3))/86400</s:f>
        <s:v>46247.338854166665</s:v>
      </s:c>
    </s:row>
    <s:row r="170">
      <s:c r="A170" s="0" t="n">
        <s:v>260813</s:v>
      </s:c>
      <s:c r="B170" s="0" t="inlineStr">
        <s:is>
          <s:t>이종훈</s:t>
        </s:is>
      </s:c>
      <s:c r="C170" s="0" t="n">
        <s:v>80511</s:v>
      </s:c>
      <s:c r="D170" s="0" t="n">
        <s:v>2055</s:v>
      </s:c>
      <s:c r="F170" s="24">
        <s:f>'자료구성'!$B$2+TIME(INT($C$3/10000),INT(MOD($C$3,10000)/100),MOD($C$3,100))+(ROW()-ROW($C$3))/86400</s:f>
        <s:v>46247.33886574074</s:v>
      </s:c>
    </s:row>
    <s:row r="171">
      <s:c r="A171" s="0" t="n">
        <s:v>260813</s:v>
      </s:c>
      <s:c r="B171" s="0" t="inlineStr">
        <s:is>
          <s:t>이종훈</s:t>
        </s:is>
      </s:c>
      <s:c r="C171" s="0" t="n">
        <s:v>80511</s:v>
      </s:c>
      <s:c r="D171" s="0" t="n">
        <s:v>1991</s:v>
      </s:c>
      <s:c r="F171" s="24">
        <s:f>'자료구성'!$B$2+TIME(INT($C$3/10000),INT(MOD($C$3,10000)/100),MOD($C$3,100))+(ROW()-ROW($C$3))/86400</s:f>
        <s:v>46247.33887731482</s:v>
      </s:c>
    </s:row>
    <s:row r="172">
      <s:c r="A172" s="0" t="n">
        <s:v>260813</s:v>
      </s:c>
      <s:c r="B172" s="0" t="inlineStr">
        <s:is>
          <s:t>이종훈</s:t>
        </s:is>
      </s:c>
      <s:c r="C172" s="0" t="n">
        <s:v>80511</s:v>
      </s:c>
      <s:c r="D172" s="0" t="n">
        <s:v>1935</s:v>
      </s:c>
      <s:c r="F172" s="24">
        <s:f>'자료구성'!$B$2+TIME(INT($C$3/10000),INT(MOD($C$3,10000)/100),MOD($C$3,100))+(ROW()-ROW($C$3))/86400</s:f>
        <s:v>46247.33888888889</s:v>
      </s:c>
    </s:row>
    <s:row r="173">
      <s:c r="A173" s="0" t="n">
        <s:v>260813</s:v>
      </s:c>
      <s:c r="B173" s="0" t="inlineStr">
        <s:is>
          <s:t>이종훈</s:t>
        </s:is>
      </s:c>
      <s:c r="C173" s="0" t="n">
        <s:v>80511</s:v>
      </s:c>
      <s:c r="D173" s="0" t="n">
        <s:v>1889</s:v>
      </s:c>
      <s:c r="F173" s="24">
        <s:f>'자료구성'!$B$2+TIME(INT($C$3/10000),INT(MOD($C$3,10000)/100),MOD($C$3,100))+(ROW()-ROW($C$3))/86400</s:f>
        <s:v>46247.338900462964</s:v>
      </s:c>
    </s:row>
    <s:row r="174">
      <s:c r="A174" s="0" t="n">
        <s:v>260813</s:v>
      </s:c>
      <s:c r="B174" s="0" t="inlineStr">
        <s:is>
          <s:t>이종훈</s:t>
        </s:is>
      </s:c>
      <s:c r="C174" s="0" t="n">
        <s:v>80511</s:v>
      </s:c>
      <s:c r="D174" s="0" t="n">
        <s:v>1864</s:v>
      </s:c>
      <s:c r="F174" s="24">
        <s:f>'자료구성'!$B$2+TIME(INT($C$3/10000),INT(MOD($C$3,10000)/100),MOD($C$3,100))+(ROW()-ROW($C$3))/86400</s:f>
        <s:v>46247.338912037034</s:v>
      </s:c>
    </s:row>
    <s:row r="175">
      <s:c r="A175" s="0" t="n">
        <s:v>260813</s:v>
      </s:c>
      <s:c r="B175" s="0" t="inlineStr">
        <s:is>
          <s:t>이종훈</s:t>
        </s:is>
      </s:c>
      <s:c r="C175" s="0" t="n">
        <s:v>80511</s:v>
      </s:c>
      <s:c r="D175" s="0" t="n">
        <s:v>1846</s:v>
      </s:c>
      <s:c r="F175" s="24">
        <s:f>'자료구성'!$B$2+TIME(INT($C$3/10000),INT(MOD($C$3,10000)/100),MOD($C$3,100))+(ROW()-ROW($C$3))/86400</s:f>
        <s:v>46247.33892361111</s:v>
      </s:c>
    </s:row>
    <s:row r="176">
      <s:c r="A176" s="0" t="n">
        <s:v>260813</s:v>
      </s:c>
      <s:c r="B176" s="0" t="inlineStr">
        <s:is>
          <s:t>이종훈</s:t>
        </s:is>
      </s:c>
      <s:c r="C176" s="0" t="n">
        <s:v>80511</s:v>
      </s:c>
      <s:c r="D176" s="0" t="n">
        <s:v>1849</s:v>
      </s:c>
      <s:c r="F176" s="24">
        <s:f>'자료구성'!$B$2+TIME(INT($C$3/10000),INT(MOD($C$3,10000)/100),MOD($C$3,100))+(ROW()-ROW($C$3))/86400</s:f>
        <s:v>46247.33893518519</s:v>
      </s:c>
    </s:row>
    <s:row r="177">
      <s:c r="A177" s="0" t="n">
        <s:v>260813</s:v>
      </s:c>
      <s:c r="B177" s="0" t="inlineStr">
        <s:is>
          <s:t>이종훈</s:t>
        </s:is>
      </s:c>
      <s:c r="C177" s="0" t="n">
        <s:v>80511</s:v>
      </s:c>
      <s:c r="D177" s="0" t="n">
        <s:v>1823</s:v>
      </s:c>
      <s:c r="F177" s="24">
        <s:f>'자료구성'!$B$2+TIME(INT($C$3/10000),INT(MOD($C$3,10000)/100),MOD($C$3,100))+(ROW()-ROW($C$3))/86400</s:f>
        <s:v>46247.33894675926</s:v>
      </s:c>
    </s:row>
    <s:row r="178">
      <s:c r="A178" s="0" t="n">
        <s:v>260813</s:v>
      </s:c>
      <s:c r="B178" s="0" t="inlineStr">
        <s:is>
          <s:t>이종훈</s:t>
        </s:is>
      </s:c>
      <s:c r="C178" s="0" t="n">
        <s:v>80511</s:v>
      </s:c>
      <s:c r="D178" s="0" t="n">
        <s:v>1819</s:v>
      </s:c>
      <s:c r="F178" s="24">
        <s:f>'자료구성'!$B$2+TIME(INT($C$3/10000),INT(MOD($C$3,10000)/100),MOD($C$3,100))+(ROW()-ROW($C$3))/86400</s:f>
        <s:v>46247.338958333334</s:v>
      </s:c>
    </s:row>
    <s:row r="179">
      <s:c r="A179" s="0" t="n">
        <s:v>260813</s:v>
      </s:c>
      <s:c r="B179" s="0" t="inlineStr">
        <s:is>
          <s:t>이종훈</s:t>
        </s:is>
      </s:c>
      <s:c r="C179" s="0" t="n">
        <s:v>80511</s:v>
      </s:c>
      <s:c r="D179" s="0" t="n">
        <s:v>1821</s:v>
      </s:c>
      <s:c r="F179" s="24">
        <s:f>'자료구성'!$B$2+TIME(INT($C$3/10000),INT(MOD($C$3,10000)/100),MOD($C$3,100))+(ROW()-ROW($C$3))/86400</s:f>
        <s:v>46247.33896990741</s:v>
      </s:c>
    </s:row>
    <s:row r="180">
      <s:c r="A180" s="0" t="n">
        <s:v>260813</s:v>
      </s:c>
      <s:c r="B180" s="0" t="inlineStr">
        <s:is>
          <s:t>이종훈</s:t>
        </s:is>
      </s:c>
      <s:c r="C180" s="0" t="n">
        <s:v>80511</s:v>
      </s:c>
      <s:c r="D180" s="0" t="n">
        <s:v>1837</s:v>
      </s:c>
      <s:c r="F180" s="24">
        <s:f>'자료구성'!$B$2+TIME(INT($C$3/10000),INT(MOD($C$3,10000)/100),MOD($C$3,100))+(ROW()-ROW($C$3))/86400</s:f>
        <s:v>46247.33898148148</s:v>
      </s:c>
    </s:row>
    <s:row r="181">
      <s:c r="A181" s="0" t="n">
        <s:v>260813</s:v>
      </s:c>
      <s:c r="B181" s="0" t="inlineStr">
        <s:is>
          <s:t>이종훈</s:t>
        </s:is>
      </s:c>
      <s:c r="C181" s="0" t="n">
        <s:v>80511</s:v>
      </s:c>
      <s:c r="D181" s="0" t="n">
        <s:v>1814</s:v>
      </s:c>
      <s:c r="F181" s="24">
        <s:f>'자료구성'!$B$2+TIME(INT($C$3/10000),INT(MOD($C$3,10000)/100),MOD($C$3,100))+(ROW()-ROW($C$3))/86400</s:f>
        <s:v>46247.33899305556</s:v>
      </s:c>
    </s:row>
    <s:row r="182">
      <s:c r="A182" s="0" t="n">
        <s:v>260813</s:v>
      </s:c>
      <s:c r="B182" s="0" t="inlineStr">
        <s:is>
          <s:t>이종훈</s:t>
        </s:is>
      </s:c>
      <s:c r="C182" s="0" t="n">
        <s:v>80511</s:v>
      </s:c>
      <s:c r="D182" s="0" t="n">
        <s:v>1805</s:v>
      </s:c>
      <s:c r="F182" s="24">
        <s:f>'자료구성'!$B$2+TIME(INT($C$3/10000),INT(MOD($C$3,10000)/100),MOD($C$3,100))+(ROW()-ROW($C$3))/86400</s:f>
        <s:v>46247.339004629626</s:v>
      </s:c>
    </s:row>
    <s:row r="183">
      <s:c r="A183" s="0" t="n">
        <s:v>260813</s:v>
      </s:c>
      <s:c r="B183" s="0" t="inlineStr">
        <s:is>
          <s:t>이종훈</s:t>
        </s:is>
      </s:c>
      <s:c r="C183" s="0" t="n">
        <s:v>80511</s:v>
      </s:c>
      <s:c r="D183" s="0" t="n">
        <s:v>1796</s:v>
      </s:c>
      <s:c r="F183" s="24">
        <s:f>'자료구성'!$B$2+TIME(INT($C$3/10000),INT(MOD($C$3,10000)/100),MOD($C$3,100))+(ROW()-ROW($C$3))/86400</s:f>
        <s:v>46247.3390162037</s:v>
      </s:c>
    </s:row>
    <s:row r="184">
      <s:c r="A184" s="0" t="n">
        <s:v>260813</s:v>
      </s:c>
      <s:c r="B184" s="0" t="inlineStr">
        <s:is>
          <s:t>이종훈</s:t>
        </s:is>
      </s:c>
      <s:c r="C184" s="0" t="n">
        <s:v>80511</s:v>
      </s:c>
      <s:c r="D184" s="0" t="n">
        <s:v>1792</s:v>
      </s:c>
      <s:c r="F184" s="24">
        <s:f>'자료구성'!$B$2+TIME(INT($C$3/10000),INT(MOD($C$3,10000)/100),MOD($C$3,100))+(ROW()-ROW($C$3))/86400</s:f>
        <s:v>46247.33902777778</s:v>
      </s:c>
    </s:row>
    <s:row r="185">
      <s:c r="A185" s="0" t="n">
        <s:v>260813</s:v>
      </s:c>
      <s:c r="B185" s="0" t="inlineStr">
        <s:is>
          <s:t>이종훈</s:t>
        </s:is>
      </s:c>
      <s:c r="C185" s="0" t="n">
        <s:v>80511</s:v>
      </s:c>
      <s:c r="D185" s="0" t="n">
        <s:v>1808</s:v>
      </s:c>
      <s:c r="F185" s="24">
        <s:f>'자료구성'!$B$2+TIME(INT($C$3/10000),INT(MOD($C$3,10000)/100),MOD($C$3,100))+(ROW()-ROW($C$3))/86400</s:f>
        <s:v>46247.33903935185</s:v>
      </s:c>
    </s:row>
    <s:row r="186">
      <s:c r="A186" s="0" t="n">
        <s:v>260813</s:v>
      </s:c>
      <s:c r="B186" s="0" t="inlineStr">
        <s:is>
          <s:t>이종훈</s:t>
        </s:is>
      </s:c>
      <s:c r="C186" s="0" t="n">
        <s:v>80511</s:v>
      </s:c>
      <s:c r="D186" s="0" t="n">
        <s:v>1824</s:v>
      </s:c>
      <s:c r="F186" s="24">
        <s:f>'자료구성'!$B$2+TIME(INT($C$3/10000),INT(MOD($C$3,10000)/100),MOD($C$3,100))+(ROW()-ROW($C$3))/86400</s:f>
        <s:v>46247.339050925926</s:v>
      </s:c>
    </s:row>
    <s:row r="187">
      <s:c r="A187" s="0" t="n">
        <s:v>260813</s:v>
      </s:c>
      <s:c r="B187" s="0" t="inlineStr">
        <s:is>
          <s:t>이종훈</s:t>
        </s:is>
      </s:c>
      <s:c r="C187" s="0" t="n">
        <s:v>80511</s:v>
      </s:c>
      <s:c r="D187" s="0" t="n">
        <s:v>1843</s:v>
      </s:c>
      <s:c r="F187" s="24">
        <s:f>'자료구성'!$B$2+TIME(INT($C$3/10000),INT(MOD($C$3,10000)/100),MOD($C$3,100))+(ROW()-ROW($C$3))/86400</s:f>
        <s:v>46247.3390625</s:v>
      </s:c>
    </s:row>
    <s:row r="188">
      <s:c r="A188" s="0" t="n">
        <s:v>260813</s:v>
      </s:c>
      <s:c r="B188" s="0" t="inlineStr">
        <s:is>
          <s:t>이종훈</s:t>
        </s:is>
      </s:c>
      <s:c r="C188" s="0" t="n">
        <s:v>80511</s:v>
      </s:c>
      <s:c r="D188" s="0" t="n">
        <s:v>1902</s:v>
      </s:c>
      <s:c r="F188" s="24">
        <s:f>'자료구성'!$B$2+TIME(INT($C$3/10000),INT(MOD($C$3,10000)/100),MOD($C$3,100))+(ROW()-ROW($C$3))/86400</s:f>
        <s:v>46247.33907407407</s:v>
      </s:c>
    </s:row>
    <s:row r="189">
      <s:c r="A189" s="0" t="n">
        <s:v>260813</s:v>
      </s:c>
      <s:c r="B189" s="0" t="inlineStr">
        <s:is>
          <s:t>이종훈</s:t>
        </s:is>
      </s:c>
      <s:c r="C189" s="0" t="n">
        <s:v>80511</s:v>
      </s:c>
      <s:c r="D189" s="0" t="n">
        <s:v>1937</s:v>
      </s:c>
      <s:c r="F189" s="24">
        <s:f>'자료구성'!$B$2+TIME(INT($C$3/10000),INT(MOD($C$3,10000)/100),MOD($C$3,100))+(ROW()-ROW($C$3))/86400</s:f>
        <s:v>46247.33908564815</s:v>
      </s:c>
    </s:row>
    <s:row r="190">
      <s:c r="A190" s="0" t="n">
        <s:v>260813</s:v>
      </s:c>
      <s:c r="B190" s="0" t="inlineStr">
        <s:is>
          <s:t>이종훈</s:t>
        </s:is>
      </s:c>
      <s:c r="C190" s="0" t="n">
        <s:v>80511</s:v>
      </s:c>
      <s:c r="D190" s="0" t="n">
        <s:v>1978</s:v>
      </s:c>
      <s:c r="F190" s="24">
        <s:f>'자료구성'!$B$2+TIME(INT($C$3/10000),INT(MOD($C$3,10000)/100),MOD($C$3,100))+(ROW()-ROW($C$3))/86400</s:f>
        <s:v>46247.33909722222</s:v>
      </s:c>
    </s:row>
    <s:row r="191">
      <s:c r="A191" s="0" t="n">
        <s:v>260813</s:v>
      </s:c>
      <s:c r="B191" s="0" t="inlineStr">
        <s:is>
          <s:t>이종훈</s:t>
        </s:is>
      </s:c>
      <s:c r="C191" s="0" t="n">
        <s:v>80511</s:v>
      </s:c>
      <s:c r="D191" s="0" t="n">
        <s:v>2039</s:v>
      </s:c>
      <s:c r="F191" s="24">
        <s:f>'자료구성'!$B$2+TIME(INT($C$3/10000),INT(MOD($C$3,10000)/100),MOD($C$3,100))+(ROW()-ROW($C$3))/86400</s:f>
        <s:v>46247.339108796295</s:v>
      </s:c>
    </s:row>
    <s:row r="192">
      <s:c r="A192" s="0" t="n">
        <s:v>260813</s:v>
      </s:c>
      <s:c r="B192" s="0" t="inlineStr">
        <s:is>
          <s:t>이종훈</s:t>
        </s:is>
      </s:c>
      <s:c r="C192" s="0" t="n">
        <s:v>80511</s:v>
      </s:c>
      <s:c r="D192" s="0" t="n">
        <s:v>2098</s:v>
      </s:c>
      <s:c r="F192" s="24">
        <s:f>'자료구성'!$B$2+TIME(INT($C$3/10000),INT(MOD($C$3,10000)/100),MOD($C$3,100))+(ROW()-ROW($C$3))/86400</s:f>
        <s:v>46247.33912037037</s:v>
      </s:c>
    </s:row>
    <s:row r="193">
      <s:c r="A193" s="0" t="n">
        <s:v>260813</s:v>
      </s:c>
      <s:c r="B193" s="0" t="inlineStr">
        <s:is>
          <s:t>이종훈</s:t>
        </s:is>
      </s:c>
      <s:c r="C193" s="0" t="n">
        <s:v>80511</s:v>
      </s:c>
      <s:c r="D193" s="0" t="n">
        <s:v>2150</s:v>
      </s:c>
      <s:c r="F193" s="24">
        <s:f>'자료구성'!$B$2+TIME(INT($C$3/10000),INT(MOD($C$3,10000)/100),MOD($C$3,100))+(ROW()-ROW($C$3))/86400</s:f>
        <s:v>46247.33913194444</s:v>
      </s:c>
    </s:row>
    <s:row r="194">
      <s:c r="A194" s="0" t="n">
        <s:v>260813</s:v>
      </s:c>
      <s:c r="B194" s="0" t="inlineStr">
        <s:is>
          <s:t>이종훈</s:t>
        </s:is>
      </s:c>
      <s:c r="C194" s="0" t="n">
        <s:v>80511</s:v>
      </s:c>
      <s:c r="D194" s="0" t="n">
        <s:v>2145</s:v>
      </s:c>
      <s:c r="F194" s="24">
        <s:f>'자료구성'!$B$2+TIME(INT($C$3/10000),INT(MOD($C$3,10000)/100),MOD($C$3,100))+(ROW()-ROW($C$3))/86400</s:f>
        <s:v>46247.33914351852</s:v>
      </s:c>
    </s:row>
    <s:row r="195">
      <s:c r="A195" s="0" t="n">
        <s:v>260813</s:v>
      </s:c>
      <s:c r="B195" s="0" t="inlineStr">
        <s:is>
          <s:t>이종훈</s:t>
        </s:is>
      </s:c>
      <s:c r="C195" s="0" t="n">
        <s:v>80511</s:v>
      </s:c>
      <s:c r="D195" s="0" t="n">
        <s:v>2167</s:v>
      </s:c>
      <s:c r="F195" s="24">
        <s:f>'자료구성'!$B$2+TIME(INT($C$3/10000),INT(MOD($C$3,10000)/100),MOD($C$3,100))+(ROW()-ROW($C$3))/86400</s:f>
        <s:v>46247.339155092595</s:v>
      </s:c>
    </s:row>
    <s:row r="196">
      <s:c r="A196" s="0" t="n">
        <s:v>260813</s:v>
      </s:c>
      <s:c r="B196" s="0" t="inlineStr">
        <s:is>
          <s:t>이종훈</s:t>
        </s:is>
      </s:c>
      <s:c r="C196" s="0" t="n">
        <s:v>80511</s:v>
      </s:c>
      <s:c r="D196" s="0" t="n">
        <s:v>2207</s:v>
      </s:c>
      <s:c r="F196" s="24">
        <s:f>'자료구성'!$B$2+TIME(INT($C$3/10000),INT(MOD($C$3,10000)/100),MOD($C$3,100))+(ROW()-ROW($C$3))/86400</s:f>
        <s:v>46247.339166666665</s:v>
      </s:c>
    </s:row>
    <s:row r="197">
      <s:c r="A197" s="0" t="n">
        <s:v>260813</s:v>
      </s:c>
      <s:c r="B197" s="0" t="inlineStr">
        <s:is>
          <s:t>이종훈</s:t>
        </s:is>
      </s:c>
      <s:c r="C197" s="0" t="n">
        <s:v>80511</s:v>
      </s:c>
      <s:c r="D197" s="0" t="n">
        <s:v>2256</s:v>
      </s:c>
      <s:c r="F197" s="24">
        <s:f>'자료구성'!$B$2+TIME(INT($C$3/10000),INT(MOD($C$3,10000)/100),MOD($C$3,100))+(ROW()-ROW($C$3))/86400</s:f>
        <s:v>46247.33917824074</s:v>
      </s:c>
    </s:row>
    <s:row r="198">
      <s:c r="A198" s="0" t="n">
        <s:v>260813</s:v>
      </s:c>
      <s:c r="B198" s="0" t="inlineStr">
        <s:is>
          <s:t>이종훈</s:t>
        </s:is>
      </s:c>
      <s:c r="C198" s="0" t="n">
        <s:v>80511</s:v>
      </s:c>
      <s:c r="D198" s="0" t="n">
        <s:v>2280</s:v>
      </s:c>
      <s:c r="F198" s="24">
        <s:f>'자료구성'!$B$2+TIME(INT($C$3/10000),INT(MOD($C$3,10000)/100),MOD($C$3,100))+(ROW()-ROW($C$3))/86400</s:f>
        <s:v>46247.33918981482</s:v>
      </s:c>
    </s:row>
    <s:row r="199">
      <s:c r="A199" s="0" t="n">
        <s:v>260813</s:v>
      </s:c>
      <s:c r="B199" s="0" t="inlineStr">
        <s:is>
          <s:t>이종훈</s:t>
        </s:is>
      </s:c>
      <s:c r="C199" s="0" t="n">
        <s:v>80511</s:v>
      </s:c>
      <s:c r="D199" s="0" t="n">
        <s:v>2303</s:v>
      </s:c>
      <s:c r="F199" s="24">
        <s:f>'자료구성'!$B$2+TIME(INT($C$3/10000),INT(MOD($C$3,10000)/100),MOD($C$3,100))+(ROW()-ROW($C$3))/86400</s:f>
        <s:v>46247.33920138889</s:v>
      </s:c>
    </s:row>
    <s:row r="200">
      <s:c r="A200" s="0" t="n">
        <s:v>260813</s:v>
      </s:c>
      <s:c r="B200" s="0" t="inlineStr">
        <s:is>
          <s:t>이종훈</s:t>
        </s:is>
      </s:c>
      <s:c r="C200" s="0" t="n">
        <s:v>80511</s:v>
      </s:c>
      <s:c r="D200" s="0" t="n">
        <s:v>2323</s:v>
      </s:c>
      <s:c r="F200" s="24">
        <s:f>'자료구성'!$B$2+TIME(INT($C$3/10000),INT(MOD($C$3,10000)/100),MOD($C$3,100))+(ROW()-ROW($C$3))/86400</s:f>
        <s:v>46247.339212962965</s:v>
      </s:c>
    </s:row>
    <s:row r="201">
      <s:c r="A201" s="0" t="n">
        <s:v>260813</s:v>
      </s:c>
      <s:c r="B201" s="0" t="inlineStr">
        <s:is>
          <s:t>이종훈</s:t>
        </s:is>
      </s:c>
      <s:c r="C201" s="0" t="n">
        <s:v>80511</s:v>
      </s:c>
      <s:c r="D201" s="0" t="n">
        <s:v>2372</s:v>
      </s:c>
      <s:c r="F201" s="24">
        <s:f>'자료구성'!$B$2+TIME(INT($C$3/10000),INT(MOD($C$3,10000)/100),MOD($C$3,100))+(ROW()-ROW($C$3))/86400</s:f>
        <s:v>46247.339224537034</s:v>
      </s:c>
    </s:row>
    <s:row r="202">
      <s:c r="A202" s="0" t="n">
        <s:v>260813</s:v>
      </s:c>
      <s:c r="B202" s="0" t="inlineStr">
        <s:is>
          <s:t>이종훈</s:t>
        </s:is>
      </s:c>
      <s:c r="C202" s="0" t="n">
        <s:v>80511</s:v>
      </s:c>
      <s:c r="D202" s="0" t="n">
        <s:v>2379</s:v>
      </s:c>
      <s:c r="F202" s="24">
        <s:f>'자료구성'!$B$2+TIME(INT($C$3/10000),INT(MOD($C$3,10000)/100),MOD($C$3,100))+(ROW()-ROW($C$3))/86400</s:f>
        <s:v>46247.33923611111</s:v>
      </s:c>
    </s:row>
    <s:row r="203">
      <s:c r="A203" s="0" t="n">
        <s:v>260813</s:v>
      </s:c>
      <s:c r="B203" s="0" t="inlineStr">
        <s:is>
          <s:t>이종훈</s:t>
        </s:is>
      </s:c>
      <s:c r="C203" s="0" t="n">
        <s:v>80511</s:v>
      </s:c>
      <s:c r="D203" s="0" t="n">
        <s:v>2394</s:v>
      </s:c>
      <s:c r="F203" s="24">
        <s:f>'자료구성'!$B$2+TIME(INT($C$3/10000),INT(MOD($C$3,10000)/100),MOD($C$3,100))+(ROW()-ROW($C$3))/86400</s:f>
        <s:v>46247.33924768519</s:v>
      </s:c>
    </s:row>
    <s:row r="204">
      <s:c r="A204" s="0" t="n">
        <s:v>260813</s:v>
      </s:c>
      <s:c r="B204" s="0" t="inlineStr">
        <s:is>
          <s:t>이종훈</s:t>
        </s:is>
      </s:c>
      <s:c r="C204" s="0" t="n">
        <s:v>80511</s:v>
      </s:c>
      <s:c r="D204" s="0" t="n">
        <s:v>2433</s:v>
      </s:c>
      <s:c r="F204" s="24">
        <s:f>'자료구성'!$B$2+TIME(INT($C$3/10000),INT(MOD($C$3,10000)/100),MOD($C$3,100))+(ROW()-ROW($C$3))/86400</s:f>
        <s:v>46247.33925925926</s:v>
      </s:c>
    </s:row>
    <s:row r="205">
      <s:c r="A205" s="0" t="n">
        <s:v>260813</s:v>
      </s:c>
      <s:c r="B205" s="0" t="inlineStr">
        <s:is>
          <s:t>이종훈</s:t>
        </s:is>
      </s:c>
      <s:c r="C205" s="0" t="n">
        <s:v>80511</s:v>
      </s:c>
      <s:c r="D205" s="0" t="n">
        <s:v>2422</s:v>
      </s:c>
      <s:c r="F205" s="24">
        <s:f>'자료구성'!$B$2+TIME(INT($C$3/10000),INT(MOD($C$3,10000)/100),MOD($C$3,100))+(ROW()-ROW($C$3))/86400</s:f>
        <s:v>46247.339270833334</s:v>
      </s:c>
    </s:row>
    <s:row r="206">
      <s:c r="A206" s="0" t="n">
        <s:v>260813</s:v>
      </s:c>
      <s:c r="B206" s="0" t="inlineStr">
        <s:is>
          <s:t>이종훈</s:t>
        </s:is>
      </s:c>
      <s:c r="C206" s="0" t="n">
        <s:v>80511</s:v>
      </s:c>
      <s:c r="D206" s="0" t="n">
        <s:v>2448</s:v>
      </s:c>
      <s:c r="F206" s="24">
        <s:f>'자료구성'!$B$2+TIME(INT($C$3/10000),INT(MOD($C$3,10000)/100),MOD($C$3,100))+(ROW()-ROW($C$3))/86400</s:f>
        <s:v>46247.33928240741</s:v>
      </s:c>
    </s:row>
    <s:row r="207">
      <s:c r="A207" s="0" t="n">
        <s:v>260813</s:v>
      </s:c>
      <s:c r="B207" s="0" t="inlineStr">
        <s:is>
          <s:t>이종훈</s:t>
        </s:is>
      </s:c>
      <s:c r="C207" s="0" t="n">
        <s:v>80511</s:v>
      </s:c>
      <s:c r="D207" s="0" t="n">
        <s:v>2456</s:v>
      </s:c>
      <s:c r="F207" s="24">
        <s:f>'자료구성'!$B$2+TIME(INT($C$3/10000),INT(MOD($C$3,10000)/100),MOD($C$3,100))+(ROW()-ROW($C$3))/86400</s:f>
        <s:v>46247.33929398148</s:v>
      </s:c>
    </s:row>
    <s:row r="208">
      <s:c r="A208" s="0" t="n">
        <s:v>260813</s:v>
      </s:c>
      <s:c r="B208" s="0" t="inlineStr">
        <s:is>
          <s:t>이종훈</s:t>
        </s:is>
      </s:c>
      <s:c r="C208" s="0" t="n">
        <s:v>80511</s:v>
      </s:c>
      <s:c r="D208" s="0" t="n">
        <s:v>2483</s:v>
      </s:c>
      <s:c r="F208" s="24">
        <s:f>'자료구성'!$B$2+TIME(INT($C$3/10000),INT(MOD($C$3,10000)/100),MOD($C$3,100))+(ROW()-ROW($C$3))/86400</s:f>
        <s:v>46247.33930555556</s:v>
      </s:c>
    </s:row>
    <s:row r="209">
      <s:c r="A209" s="0" t="n">
        <s:v>260813</s:v>
      </s:c>
      <s:c r="B209" s="0" t="inlineStr">
        <s:is>
          <s:t>이종훈</s:t>
        </s:is>
      </s:c>
      <s:c r="C209" s="0" t="n">
        <s:v>80511</s:v>
      </s:c>
      <s:c r="D209" s="0" t="n">
        <s:v>2509</s:v>
      </s:c>
      <s:c r="F209" s="24">
        <s:f>'자료구성'!$B$2+TIME(INT($C$3/10000),INT(MOD($C$3,10000)/100),MOD($C$3,100))+(ROW()-ROW($C$3))/86400</s:f>
        <s:v>46247.33931712963</s:v>
      </s:c>
    </s:row>
    <s:row r="210">
      <s:c r="A210" s="0" t="n">
        <s:v>260813</s:v>
      </s:c>
      <s:c r="B210" s="0" t="inlineStr">
        <s:is>
          <s:t>이종훈</s:t>
        </s:is>
      </s:c>
      <s:c r="C210" s="0" t="n">
        <s:v>80511</s:v>
      </s:c>
      <s:c r="D210" s="0" t="n">
        <s:v>2515</s:v>
      </s:c>
      <s:c r="F210" s="24">
        <s:f>'자료구성'!$B$2+TIME(INT($C$3/10000),INT(MOD($C$3,10000)/100),MOD($C$3,100))+(ROW()-ROW($C$3))/86400</s:f>
        <s:v>46247.3393287037</s:v>
      </s:c>
    </s:row>
    <s:row r="211">
      <s:c r="A211" s="0" t="n">
        <s:v>260813</s:v>
      </s:c>
      <s:c r="B211" s="0" t="inlineStr">
        <s:is>
          <s:t>이종훈</s:t>
        </s:is>
      </s:c>
      <s:c r="C211" s="0" t="n">
        <s:v>80511</s:v>
      </s:c>
      <s:c r="D211" s="0" t="n">
        <s:v>2544</s:v>
      </s:c>
      <s:c r="F211" s="24">
        <s:f>'자료구성'!$B$2+TIME(INT($C$3/10000),INT(MOD($C$3,10000)/100),MOD($C$3,100))+(ROW()-ROW($C$3))/86400</s:f>
        <s:v>46247.33934027778</s:v>
      </s:c>
    </s:row>
    <s:row r="212">
      <s:c r="A212" s="0" t="n">
        <s:v>260813</s:v>
      </s:c>
      <s:c r="B212" s="0" t="inlineStr">
        <s:is>
          <s:t>이종훈</s:t>
        </s:is>
      </s:c>
      <s:c r="C212" s="0" t="n">
        <s:v>80511</s:v>
      </s:c>
      <s:c r="D212" s="0" t="n">
        <s:v>2574</s:v>
      </s:c>
      <s:c r="F212" s="24">
        <s:f>'자료구성'!$B$2+TIME(INT($C$3/10000),INT(MOD($C$3,10000)/100),MOD($C$3,100))+(ROW()-ROW($C$3))/86400</s:f>
        <s:v>46247.33935185185</s:v>
      </s:c>
    </s:row>
    <s:row r="213">
      <s:c r="A213" s="0" t="n">
        <s:v>260813</s:v>
      </s:c>
      <s:c r="B213" s="0" t="inlineStr">
        <s:is>
          <s:t>이종훈</s:t>
        </s:is>
      </s:c>
      <s:c r="C213" s="0" t="n">
        <s:v>80511</s:v>
      </s:c>
      <s:c r="D213" s="0" t="n">
        <s:v>2568</s:v>
      </s:c>
      <s:c r="F213" s="24">
        <s:f>'자료구성'!$B$2+TIME(INT($C$3/10000),INT(MOD($C$3,10000)/100),MOD($C$3,100))+(ROW()-ROW($C$3))/86400</s:f>
        <s:v>46247.33936342593</s:v>
      </s:c>
    </s:row>
    <s:row r="214">
      <s:c r="A214" s="0" t="n">
        <s:v>260813</s:v>
      </s:c>
      <s:c r="B214" s="0" t="inlineStr">
        <s:is>
          <s:t>이종훈</s:t>
        </s:is>
      </s:c>
      <s:c r="C214" s="0" t="n">
        <s:v>80511</s:v>
      </s:c>
      <s:c r="D214" s="0" t="n">
        <s:v>2560</s:v>
      </s:c>
      <s:c r="F214" s="24">
        <s:f>'자료구성'!$B$2+TIME(INT($C$3/10000),INT(MOD($C$3,10000)/100),MOD($C$3,100))+(ROW()-ROW($C$3))/86400</s:f>
        <s:v>46247.339375</s:v>
      </s:c>
    </s:row>
    <s:row r="215">
      <s:c r="A215" s="0" t="n">
        <s:v>260813</s:v>
      </s:c>
      <s:c r="B215" s="0" t="inlineStr">
        <s:is>
          <s:t>이종훈</s:t>
        </s:is>
      </s:c>
      <s:c r="C215" s="0" t="n">
        <s:v>80511</s:v>
      </s:c>
      <s:c r="D215" s="0" t="n">
        <s:v>2541</s:v>
      </s:c>
      <s:c r="F215" s="24">
        <s:f>'자료구성'!$B$2+TIME(INT($C$3/10000),INT(MOD($C$3,10000)/100),MOD($C$3,100))+(ROW()-ROW($C$3))/86400</s:f>
        <s:v>46247.33938657407</s:v>
      </s:c>
    </s:row>
    <s:row r="216">
      <s:c r="A216" s="0" t="n">
        <s:v>260813</s:v>
      </s:c>
      <s:c r="B216" s="0" t="inlineStr">
        <s:is>
          <s:t>이종훈</s:t>
        </s:is>
      </s:c>
      <s:c r="C216" s="0" t="n">
        <s:v>80511</s:v>
      </s:c>
      <s:c r="D216" s="0" t="n">
        <s:v>2518</s:v>
      </s:c>
      <s:c r="F216" s="24">
        <s:f>'자료구성'!$B$2+TIME(INT($C$3/10000),INT(MOD($C$3,10000)/100),MOD($C$3,100))+(ROW()-ROW($C$3))/86400</s:f>
        <s:v>46247.33939814815</s:v>
      </s:c>
    </s:row>
    <s:row r="217">
      <s:c r="A217" s="0" t="n">
        <s:v>260813</s:v>
      </s:c>
      <s:c r="B217" s="0" t="inlineStr">
        <s:is>
          <s:t>이종훈</s:t>
        </s:is>
      </s:c>
      <s:c r="C217" s="0" t="n">
        <s:v>80511</s:v>
      </s:c>
      <s:c r="D217" s="0" t="n">
        <s:v>2520</s:v>
      </s:c>
      <s:c r="F217" s="24">
        <s:f>'자료구성'!$B$2+TIME(INT($C$3/10000),INT(MOD($C$3,10000)/100),MOD($C$3,100))+(ROW()-ROW($C$3))/86400</s:f>
        <s:v>46247.33940972222</s:v>
      </s:c>
    </s:row>
    <s:row r="218">
      <s:c r="A218" s="0" t="n">
        <s:v>260813</s:v>
      </s:c>
      <s:c r="B218" s="0" t="inlineStr">
        <s:is>
          <s:t>이종훈</s:t>
        </s:is>
      </s:c>
      <s:c r="C218" s="0" t="n">
        <s:v>80511</s:v>
      </s:c>
      <s:c r="D218" s="0" t="n">
        <s:v>2477</s:v>
      </s:c>
      <s:c r="F218" s="24">
        <s:f>'자료구성'!$B$2+TIME(INT($C$3/10000),INT(MOD($C$3,10000)/100),MOD($C$3,100))+(ROW()-ROW($C$3))/86400</s:f>
        <s:v>46247.339421296296</s:v>
      </s:c>
    </s:row>
    <s:row r="219">
      <s:c r="A219" s="0" t="n">
        <s:v>260813</s:v>
      </s:c>
      <s:c r="B219" s="0" t="inlineStr">
        <s:is>
          <s:t>이종훈</s:t>
        </s:is>
      </s:c>
      <s:c r="C219" s="0" t="n">
        <s:v>80511</s:v>
      </s:c>
      <s:c r="D219" s="0" t="n">
        <s:v>2477</s:v>
      </s:c>
      <s:c r="F219" s="24">
        <s:f>'자료구성'!$B$2+TIME(INT($C$3/10000),INT(MOD($C$3,10000)/100),MOD($C$3,100))+(ROW()-ROW($C$3))/86400</s:f>
        <s:v>46247.33943287037</s:v>
      </s:c>
    </s:row>
    <s:row r="220">
      <s:c r="A220" s="0" t="n">
        <s:v>260813</s:v>
      </s:c>
      <s:c r="B220" s="0" t="inlineStr">
        <s:is>
          <s:t>이종훈</s:t>
        </s:is>
      </s:c>
      <s:c r="C220" s="0" t="n">
        <s:v>80511</s:v>
      </s:c>
      <s:c r="D220" s="0" t="n">
        <s:v>2446</s:v>
      </s:c>
      <s:c r="F220" s="24">
        <s:f>'자료구성'!$B$2+TIME(INT($C$3/10000),INT(MOD($C$3,10000)/100),MOD($C$3,100))+(ROW()-ROW($C$3))/86400</s:f>
        <s:v>46247.33944444444</s:v>
      </s:c>
    </s:row>
    <s:row r="221">
      <s:c r="A221" s="0" t="n">
        <s:v>260813</s:v>
      </s:c>
      <s:c r="B221" s="0" t="inlineStr">
        <s:is>
          <s:t>이종훈</s:t>
        </s:is>
      </s:c>
      <s:c r="C221" s="0" t="n">
        <s:v>80511</s:v>
      </s:c>
      <s:c r="D221" s="0" t="n">
        <s:v>2385</s:v>
      </s:c>
      <s:c r="F221" s="24">
        <s:f>'자료구성'!$B$2+TIME(INT($C$3/10000),INT(MOD($C$3,10000)/100),MOD($C$3,100))+(ROW()-ROW($C$3))/86400</s:f>
        <s:v>46247.33945601852</s:v>
      </s:c>
    </s:row>
    <s:row r="222">
      <s:c r="A222" s="0" t="n">
        <s:v>260813</s:v>
      </s:c>
      <s:c r="B222" s="0" t="inlineStr">
        <s:is>
          <s:t>이종훈</s:t>
        </s:is>
      </s:c>
      <s:c r="C222" s="0" t="n">
        <s:v>80511</s:v>
      </s:c>
      <s:c r="D222" s="0" t="n">
        <s:v>2334</s:v>
      </s:c>
      <s:c r="F222" s="24">
        <s:f>'자료구성'!$B$2+TIME(INT($C$3/10000),INT(MOD($C$3,10000)/100),MOD($C$3,100))+(ROW()-ROW($C$3))/86400</s:f>
        <s:v>46247.339467592596</s:v>
      </s:c>
    </s:row>
    <s:row r="223">
      <s:c r="A223" s="0" t="n">
        <s:v>260813</s:v>
      </s:c>
      <s:c r="B223" s="0" t="inlineStr">
        <s:is>
          <s:t>이종훈</s:t>
        </s:is>
      </s:c>
      <s:c r="C223" s="0" t="n">
        <s:v>80511</s:v>
      </s:c>
      <s:c r="D223" s="0" t="n">
        <s:v>2294</s:v>
      </s:c>
      <s:c r="F223" s="24">
        <s:f>'자료구성'!$B$2+TIME(INT($C$3/10000),INT(MOD($C$3,10000)/100),MOD($C$3,100))+(ROW()-ROW($C$3))/86400</s:f>
        <s:v>46247.339479166665</s:v>
      </s:c>
    </s:row>
    <s:row r="224">
      <s:c r="A224" s="0" t="n">
        <s:v>260813</s:v>
      </s:c>
      <s:c r="B224" s="0" t="inlineStr">
        <s:is>
          <s:t>이종훈</s:t>
        </s:is>
      </s:c>
      <s:c r="C224" s="0" t="n">
        <s:v>80511</s:v>
      </s:c>
      <s:c r="D224" s="0" t="n">
        <s:v>2247</s:v>
      </s:c>
      <s:c r="F224" s="24">
        <s:f>'자료구성'!$B$2+TIME(INT($C$3/10000),INT(MOD($C$3,10000)/100),MOD($C$3,100))+(ROW()-ROW($C$3))/86400</s:f>
        <s:v>46247.33949074074</s:v>
      </s:c>
    </s:row>
    <s:row r="225">
      <s:c r="A225" s="0" t="n">
        <s:v>260813</s:v>
      </s:c>
      <s:c r="B225" s="0" t="inlineStr">
        <s:is>
          <s:t>이종훈</s:t>
        </s:is>
      </s:c>
      <s:c r="C225" s="0" t="n">
        <s:v>80511</s:v>
      </s:c>
      <s:c r="D225" s="0" t="n">
        <s:v>2241</s:v>
      </s:c>
      <s:c r="F225" s="24">
        <s:f>'자료구성'!$B$2+TIME(INT($C$3/10000),INT(MOD($C$3,10000)/100),MOD($C$3,100))+(ROW()-ROW($C$3))/86400</s:f>
        <s:v>46247.33950231481</s:v>
      </s:c>
    </s:row>
    <s:row r="226">
      <s:c r="A226" s="0" t="n">
        <s:v>260813</s:v>
      </s:c>
      <s:c r="B226" s="0" t="inlineStr">
        <s:is>
          <s:t>이종훈</s:t>
        </s:is>
      </s:c>
      <s:c r="C226" s="0" t="n">
        <s:v>80511</s:v>
      </s:c>
      <s:c r="D226" s="0" t="n">
        <s:v>2237</s:v>
      </s:c>
      <s:c r="F226" s="24">
        <s:f>'자료구성'!$B$2+TIME(INT($C$3/10000),INT(MOD($C$3,10000)/100),MOD($C$3,100))+(ROW()-ROW($C$3))/86400</s:f>
        <s:v>46247.33951388889</s:v>
      </s:c>
    </s:row>
    <s:row r="227">
      <s:c r="A227" s="0" t="n">
        <s:v>260813</s:v>
      </s:c>
      <s:c r="B227" s="0" t="inlineStr">
        <s:is>
          <s:t>이종훈</s:t>
        </s:is>
      </s:c>
      <s:c r="C227" s="0" t="n">
        <s:v>80511</s:v>
      </s:c>
      <s:c r="D227" s="0" t="n">
        <s:v>2232</s:v>
      </s:c>
      <s:c r="F227" s="24">
        <s:f>'자료구성'!$B$2+TIME(INT($C$3/10000),INT(MOD($C$3,10000)/100),MOD($C$3,100))+(ROW()-ROW($C$3))/86400</s:f>
        <s:v>46247.339525462965</s:v>
      </s:c>
    </s:row>
    <s:row r="228">
      <s:c r="A228" s="0" t="n">
        <s:v>260813</s:v>
      </s:c>
      <s:c r="B228" s="0" t="inlineStr">
        <s:is>
          <s:t>이종훈</s:t>
        </s:is>
      </s:c>
      <s:c r="C228" s="0" t="n">
        <s:v>80511</s:v>
      </s:c>
      <s:c r="D228" s="0" t="n">
        <s:v>2241</s:v>
      </s:c>
      <s:c r="F228" s="24">
        <s:f>'자료구성'!$B$2+TIME(INT($C$3/10000),INT(MOD($C$3,10000)/100),MOD($C$3,100))+(ROW()-ROW($C$3))/86400</s:f>
        <s:v>46247.339537037034</s:v>
      </s:c>
    </s:row>
    <s:row r="229">
      <s:c r="A229" s="0" t="n">
        <s:v>260813</s:v>
      </s:c>
      <s:c r="B229" s="0" t="inlineStr">
        <s:is>
          <s:t>이종훈</s:t>
        </s:is>
      </s:c>
      <s:c r="C229" s="0" t="n">
        <s:v>80511</s:v>
      </s:c>
      <s:c r="D229" s="0" t="n">
        <s:v>2265</s:v>
      </s:c>
      <s:c r="F229" s="24">
        <s:f>'자료구성'!$B$2+TIME(INT($C$3/10000),INT(MOD($C$3,10000)/100),MOD($C$3,100))+(ROW()-ROW($C$3))/86400</s:f>
        <s:v>46247.33954861111</s:v>
      </s:c>
    </s:row>
    <s:row r="230">
      <s:c r="A230" s="0" t="n">
        <s:v>260813</s:v>
      </s:c>
      <s:c r="B230" s="0" t="inlineStr">
        <s:is>
          <s:t>이종훈</s:t>
        </s:is>
      </s:c>
      <s:c r="C230" s="0" t="n">
        <s:v>80511</s:v>
      </s:c>
      <s:c r="D230" s="0" t="n">
        <s:v>2283</s:v>
      </s:c>
      <s:c r="F230" s="24">
        <s:f>'자료구성'!$B$2+TIME(INT($C$3/10000),INT(MOD($C$3,10000)/100),MOD($C$3,100))+(ROW()-ROW($C$3))/86400</s:f>
        <s:v>46247.33956018519</s:v>
      </s:c>
    </s:row>
    <s:row r="231">
      <s:c r="A231" s="0" t="n">
        <s:v>260813</s:v>
      </s:c>
      <s:c r="B231" s="0" t="inlineStr">
        <s:is>
          <s:t>이종훈</s:t>
        </s:is>
      </s:c>
      <s:c r="C231" s="0" t="n">
        <s:v>80511</s:v>
      </s:c>
      <s:c r="D231" s="0" t="n">
        <s:v>2314</s:v>
      </s:c>
      <s:c r="F231" s="24">
        <s:f>'자료구성'!$B$2+TIME(INT($C$3/10000),INT(MOD($C$3,10000)/100),MOD($C$3,100))+(ROW()-ROW($C$3))/86400</s:f>
        <s:v>46247.33957175926</s:v>
      </s:c>
    </s:row>
    <s:row r="232">
      <s:c r="A232" s="0" t="n">
        <s:v>260813</s:v>
      </s:c>
      <s:c r="B232" s="0" t="inlineStr">
        <s:is>
          <s:t>이종훈</s:t>
        </s:is>
      </s:c>
      <s:c r="C232" s="0" t="n">
        <s:v>80511</s:v>
      </s:c>
      <s:c r="D232" s="0" t="n">
        <s:v>2329</s:v>
      </s:c>
      <s:c r="F232" s="24">
        <s:f>'자료구성'!$B$2+TIME(INT($C$3/10000),INT(MOD($C$3,10000)/100),MOD($C$3,100))+(ROW()-ROW($C$3))/86400</s:f>
        <s:v>46247.339583333334</s:v>
      </s:c>
    </s:row>
    <s:row r="233">
      <s:c r="A233" s="0" t="n">
        <s:v>260813</s:v>
      </s:c>
      <s:c r="B233" s="0" t="inlineStr">
        <s:is>
          <s:t>이종훈</s:t>
        </s:is>
      </s:c>
      <s:c r="C233" s="0" t="n">
        <s:v>80511</s:v>
      </s:c>
      <s:c r="D233" s="0" t="n">
        <s:v>2340</s:v>
      </s:c>
      <s:c r="F233" s="24">
        <s:f>'자료구성'!$B$2+TIME(INT($C$3/10000),INT(MOD($C$3,10000)/100),MOD($C$3,100))+(ROW()-ROW($C$3))/86400</s:f>
        <s:v>46247.339594907404</s:v>
      </s:c>
    </s:row>
    <s:row r="234">
      <s:c r="A234" s="0" t="n">
        <s:v>260813</s:v>
      </s:c>
      <s:c r="B234" s="0" t="inlineStr">
        <s:is>
          <s:t>이종훈</s:t>
        </s:is>
      </s:c>
      <s:c r="C234" s="0" t="n">
        <s:v>80511</s:v>
      </s:c>
      <s:c r="D234" s="0" t="n">
        <s:v>2354</s:v>
      </s:c>
      <s:c r="F234" s="24">
        <s:f>'자료구성'!$B$2+TIME(INT($C$3/10000),INT(MOD($C$3,10000)/100),MOD($C$3,100))+(ROW()-ROW($C$3))/86400</s:f>
        <s:v>46247.33960648148</s:v>
      </s:c>
    </s:row>
    <s:row r="235">
      <s:c r="A235" s="0" t="n">
        <s:v>260813</s:v>
      </s:c>
      <s:c r="B235" s="0" t="inlineStr">
        <s:is>
          <s:t>이종훈</s:t>
        </s:is>
      </s:c>
      <s:c r="C235" s="0" t="n">
        <s:v>80511</s:v>
      </s:c>
      <s:c r="D235" s="0" t="n">
        <s:v>2387</s:v>
      </s:c>
      <s:c r="F235" s="24">
        <s:f>'자료구성'!$B$2+TIME(INT($C$3/10000),INT(MOD($C$3,10000)/100),MOD($C$3,100))+(ROW()-ROW($C$3))/86400</s:f>
        <s:v>46247.33961805556</s:v>
      </s:c>
    </s:row>
    <s:row r="236">
      <s:c r="A236" s="0" t="n">
        <s:v>260813</s:v>
      </s:c>
      <s:c r="B236" s="0" t="inlineStr">
        <s:is>
          <s:t>이종훈</s:t>
        </s:is>
      </s:c>
      <s:c r="C236" s="0" t="n">
        <s:v>80511</s:v>
      </s:c>
      <s:c r="D236" s="0" t="n">
        <s:v>2403</s:v>
      </s:c>
      <s:c r="F236" s="24">
        <s:f>'자료구성'!$B$2+TIME(INT($C$3/10000),INT(MOD($C$3,10000)/100),MOD($C$3,100))+(ROW()-ROW($C$3))/86400</s:f>
        <s:v>46247.33962962963</s:v>
      </s:c>
    </s:row>
    <s:row r="237">
      <s:c r="A237" s="0" t="n">
        <s:v>260813</s:v>
      </s:c>
      <s:c r="B237" s="0" t="inlineStr">
        <s:is>
          <s:t>이종훈</s:t>
        </s:is>
      </s:c>
      <s:c r="C237" s="0" t="n">
        <s:v>80511</s:v>
      </s:c>
      <s:c r="D237" s="0" t="n">
        <s:v>2412</s:v>
      </s:c>
      <s:c r="F237" s="24">
        <s:f>'자료구성'!$B$2+TIME(INT($C$3/10000),INT(MOD($C$3,10000)/100),MOD($C$3,100))+(ROW()-ROW($C$3))/86400</s:f>
        <s:v>46247.339641203704</s:v>
      </s:c>
    </s:row>
    <s:row r="238">
      <s:c r="A238" s="0" t="n">
        <s:v>260813</s:v>
      </s:c>
      <s:c r="B238" s="0" t="inlineStr">
        <s:is>
          <s:t>이종훈</s:t>
        </s:is>
      </s:c>
      <s:c r="C238" s="0" t="n">
        <s:v>80511</s:v>
      </s:c>
      <s:c r="D238" s="0" t="n">
        <s:v>2435</s:v>
      </s:c>
      <s:c r="F238" s="24">
        <s:f>'자료구성'!$B$2+TIME(INT($C$3/10000),INT(MOD($C$3,10000)/100),MOD($C$3,100))+(ROW()-ROW($C$3))/86400</s:f>
        <s:v>46247.33965277778</s:v>
      </s:c>
    </s:row>
    <s:row r="239">
      <s:c r="A239" s="0" t="n">
        <s:v>260813</s:v>
      </s:c>
      <s:c r="B239" s="0" t="inlineStr">
        <s:is>
          <s:t>이종훈</s:t>
        </s:is>
      </s:c>
      <s:c r="C239" s="0" t="n">
        <s:v>80511</s:v>
      </s:c>
      <s:c r="D239" s="0" t="n">
        <s:v>2448</s:v>
      </s:c>
      <s:c r="F239" s="24">
        <s:f>'자료구성'!$B$2+TIME(INT($C$3/10000),INT(MOD($C$3,10000)/100),MOD($C$3,100))+(ROW()-ROW($C$3))/86400</s:f>
        <s:v>46247.33966435185</s:v>
      </s:c>
    </s:row>
    <s:row r="240">
      <s:c r="A240" s="0" t="n">
        <s:v>260813</s:v>
      </s:c>
      <s:c r="B240" s="0" t="inlineStr">
        <s:is>
          <s:t>이종훈</s:t>
        </s:is>
      </s:c>
      <s:c r="C240" s="0" t="n">
        <s:v>80511</s:v>
      </s:c>
      <s:c r="D240" s="0" t="n">
        <s:v>2464</s:v>
      </s:c>
      <s:c r="F240" s="24">
        <s:f>'자료구성'!$B$2+TIME(INT($C$3/10000),INT(MOD($C$3,10000)/100),MOD($C$3,100))+(ROW()-ROW($C$3))/86400</s:f>
        <s:v>46247.33967592593</s:v>
      </s:c>
    </s:row>
    <s:row r="241">
      <s:c r="A241" s="0" t="n">
        <s:v>260813</s:v>
      </s:c>
      <s:c r="B241" s="0" t="inlineStr">
        <s:is>
          <s:t>이종훈</s:t>
        </s:is>
      </s:c>
      <s:c r="C241" s="0" t="n">
        <s:v>80511</s:v>
      </s:c>
      <s:c r="D241" s="0" t="n">
        <s:v>2477</s:v>
      </s:c>
      <s:c r="F241" s="24">
        <s:f>'자료구성'!$B$2+TIME(INT($C$3/10000),INT(MOD($C$3,10000)/100),MOD($C$3,100))+(ROW()-ROW($C$3))/86400</s:f>
        <s:v>46247.3396875</s:v>
      </s:c>
    </s:row>
    <s:row r="242">
      <s:c r="A242" s="0" t="n">
        <s:v>260813</s:v>
      </s:c>
      <s:c r="B242" s="0" t="inlineStr">
        <s:is>
          <s:t>이종훈</s:t>
        </s:is>
      </s:c>
      <s:c r="C242" s="0" t="n">
        <s:v>80511</s:v>
      </s:c>
      <s:c r="D242" s="0" t="n">
        <s:v>2505</s:v>
      </s:c>
      <s:c r="F242" s="24">
        <s:f>'자료구성'!$B$2+TIME(INT($C$3/10000),INT(MOD($C$3,10000)/100),MOD($C$3,100))+(ROW()-ROW($C$3))/86400</s:f>
        <s:v>46247.33969907407</s:v>
      </s:c>
    </s:row>
    <s:row r="243">
      <s:c r="A243" s="0" t="n">
        <s:v>260813</s:v>
      </s:c>
      <s:c r="B243" s="0" t="inlineStr">
        <s:is>
          <s:t>이종훈</s:t>
        </s:is>
      </s:c>
      <s:c r="C243" s="0" t="n">
        <s:v>80511</s:v>
      </s:c>
      <s:c r="D243" s="0" t="n">
        <s:v>2506</s:v>
      </s:c>
      <s:c r="F243" s="24">
        <s:f>'자료구성'!$B$2+TIME(INT($C$3/10000),INT(MOD($C$3,10000)/100),MOD($C$3,100))+(ROW()-ROW($C$3))/86400</s:f>
        <s:v>46247.33971064815</s:v>
      </s:c>
    </s:row>
    <s:row r="244">
      <s:c r="A244" s="0" t="n">
        <s:v>260813</s:v>
      </s:c>
      <s:c r="B244" s="0" t="inlineStr">
        <s:is>
          <s:t>이종훈</s:t>
        </s:is>
      </s:c>
      <s:c r="C244" s="0" t="n">
        <s:v>80511</s:v>
      </s:c>
      <s:c r="D244" s="0" t="n">
        <s:v>2517</s:v>
      </s:c>
      <s:c r="F244" s="24">
        <s:f>'자료구성'!$B$2+TIME(INT($C$3/10000),INT(MOD($C$3,10000)/100),MOD($C$3,100))+(ROW()-ROW($C$3))/86400</s:f>
        <s:v>46247.33972222222</s:v>
      </s:c>
    </s:row>
    <s:row r="245">
      <s:c r="A245" s="0" t="n">
        <s:v>260813</s:v>
      </s:c>
      <s:c r="B245" s="0" t="inlineStr">
        <s:is>
          <s:t>이종훈</s:t>
        </s:is>
      </s:c>
      <s:c r="C245" s="0" t="n">
        <s:v>80511</s:v>
      </s:c>
      <s:c r="D245" s="0" t="n">
        <s:v>2500</s:v>
      </s:c>
      <s:c r="F245" s="24">
        <s:f>'자료구성'!$B$2+TIME(INT($C$3/10000),INT(MOD($C$3,10000)/100),MOD($C$3,100))+(ROW()-ROW($C$3))/86400</s:f>
        <s:v>46247.339733796296</s:v>
      </s:c>
    </s:row>
    <s:row r="246">
      <s:c r="A246" s="0" t="n">
        <s:v>260813</s:v>
      </s:c>
      <s:c r="B246" s="0" t="inlineStr">
        <s:is>
          <s:t>이종훈</s:t>
        </s:is>
      </s:c>
      <s:c r="C246" s="0" t="n">
        <s:v>80511</s:v>
      </s:c>
      <s:c r="D246" s="0" t="n">
        <s:v>2493</s:v>
      </s:c>
      <s:c r="F246" s="24">
        <s:f>'자료구성'!$B$2+TIME(INT($C$3/10000),INT(MOD($C$3,10000)/100),MOD($C$3,100))+(ROW()-ROW($C$3))/86400</s:f>
        <s:v>46247.33974537037</s:v>
      </s:c>
    </s:row>
    <s:row r="247">
      <s:c r="A247" s="0" t="n">
        <s:v>260813</s:v>
      </s:c>
      <s:c r="B247" s="0" t="inlineStr">
        <s:is>
          <s:t>이종훈</s:t>
        </s:is>
      </s:c>
      <s:c r="C247" s="0" t="n">
        <s:v>80511</s:v>
      </s:c>
      <s:c r="D247" s="0" t="inlineStr">
        <s:is>
          <s:t>****</s:t>
        </s:is>
      </s:c>
      <s:c r="F247" s="24">
        <s:f>'자료구성'!$B$2+TIME(INT($C$3/10000),INT(MOD($C$3,10000)/100),MOD($C$3,100))+(ROW()-ROW($C$3))/86400</s:f>
        <s:v>46247.33975694444</s:v>
      </s:c>
    </s:row>
    <s:row r="248">
      <s:c r="A248" s="0" t="n">
        <s:v>260813</s:v>
      </s:c>
      <s:c r="B248" s="0" t="inlineStr">
        <s:is>
          <s:t>이종훈</s:t>
        </s:is>
      </s:c>
      <s:c r="C248" s="0" t="n">
        <s:v>80511</s:v>
      </s:c>
      <s:c r="D248" s="0" t="n">
        <s:v>2411</s:v>
      </s:c>
      <s:c r="F248" s="24">
        <s:f>'자료구성'!$B$2+TIME(INT($C$3/10000),INT(MOD($C$3,10000)/100),MOD($C$3,100))+(ROW()-ROW($C$3))/86400</s:f>
        <s:v>46247.33976851852</s:v>
      </s:c>
    </s:row>
    <s:row r="249">
      <s:c r="A249" s="0" t="n">
        <s:v>260813</s:v>
      </s:c>
      <s:c r="B249" s="0" t="inlineStr">
        <s:is>
          <s:t>이종훈</s:t>
        </s:is>
      </s:c>
      <s:c r="C249" s="0" t="n">
        <s:v>80511</s:v>
      </s:c>
      <s:c r="D249" s="0" t="n">
        <s:v>2370</s:v>
      </s:c>
      <s:c r="F249" s="24">
        <s:f>'자료구성'!$B$2+TIME(INT($C$3/10000),INT(MOD($C$3,10000)/100),MOD($C$3,100))+(ROW()-ROW($C$3))/86400</s:f>
        <s:v>46247.339780092596</s:v>
      </s:c>
    </s:row>
    <s:row r="250">
      <s:c r="A250" s="0" t="n">
        <s:v>260813</s:v>
      </s:c>
      <s:c r="B250" s="0" t="inlineStr">
        <s:is>
          <s:t>이종훈</s:t>
        </s:is>
      </s:c>
      <s:c r="C250" s="0" t="n">
        <s:v>80511</s:v>
      </s:c>
      <s:c r="D250" s="0" t="n">
        <s:v>2344</s:v>
      </s:c>
      <s:c r="F250" s="24">
        <s:f>'자료구성'!$B$2+TIME(INT($C$3/10000),INT(MOD($C$3,10000)/100),MOD($C$3,100))+(ROW()-ROW($C$3))/86400</s:f>
        <s:v>46247.339791666665</s:v>
      </s:c>
    </s:row>
    <s:row r="251">
      <s:c r="A251" s="0" t="n">
        <s:v>260813</s:v>
      </s:c>
      <s:c r="B251" s="0" t="inlineStr">
        <s:is>
          <s:t>이종훈</s:t>
        </s:is>
      </s:c>
      <s:c r="C251" s="0" t="n">
        <s:v>80511</s:v>
      </s:c>
      <s:c r="D251" s="0" t="n">
        <s:v>2336</s:v>
      </s:c>
      <s:c r="F251" s="24">
        <s:f>'자료구성'!$B$2+TIME(INT($C$3/10000),INT(MOD($C$3,10000)/100),MOD($C$3,100))+(ROW()-ROW($C$3))/86400</s:f>
        <s:v>46247.33980324074</s:v>
      </s:c>
    </s:row>
    <s:row r="252">
      <s:c r="A252" s="0" t="n">
        <s:v>260813</s:v>
      </s:c>
      <s:c r="B252" s="0" t="inlineStr">
        <s:is>
          <s:t>이종훈</s:t>
        </s:is>
      </s:c>
      <s:c r="C252" s="0" t="n">
        <s:v>80511</s:v>
      </s:c>
      <s:c r="D252" s="0" t="n">
        <s:v>2333</s:v>
      </s:c>
      <s:c r="F252" s="24">
        <s:f>'자료구성'!$B$2+TIME(INT($C$3/10000),INT(MOD($C$3,10000)/100),MOD($C$3,100))+(ROW()-ROW($C$3))/86400</s:f>
        <s:v>46247.33981481481</s:v>
      </s:c>
    </s:row>
    <s:row r="253">
      <s:c r="A253" s="0" t="n">
        <s:v>260813</s:v>
      </s:c>
      <s:c r="B253" s="0" t="inlineStr">
        <s:is>
          <s:t>이종훈</s:t>
        </s:is>
      </s:c>
      <s:c r="C253" s="0" t="n">
        <s:v>80511</s:v>
      </s:c>
      <s:c r="D253" s="0" t="n">
        <s:v>2342</s:v>
      </s:c>
      <s:c r="F253" s="24">
        <s:f>'자료구성'!$B$2+TIME(INT($C$3/10000),INT(MOD($C$3,10000)/100),MOD($C$3,100))+(ROW()-ROW($C$3))/86400</s:f>
        <s:v>46247.33982638889</s:v>
      </s:c>
    </s:row>
    <s:row r="254">
      <s:c r="A254" s="0" t="n">
        <s:v>260813</s:v>
      </s:c>
      <s:c r="B254" s="0" t="inlineStr">
        <s:is>
          <s:t>이종훈</s:t>
        </s:is>
      </s:c>
      <s:c r="C254" s="0" t="n">
        <s:v>80511</s:v>
      </s:c>
      <s:c r="D254" s="0" t="n">
        <s:v>2342</s:v>
      </s:c>
      <s:c r="F254" s="24">
        <s:f>'자료구성'!$B$2+TIME(INT($C$3/10000),INT(MOD($C$3,10000)/100),MOD($C$3,100))+(ROW()-ROW($C$3))/86400</s:f>
        <s:v>46247.339837962965</s:v>
      </s:c>
    </s:row>
    <s:row r="255">
      <s:c r="A255" s="0" t="n">
        <s:v>260813</s:v>
      </s:c>
      <s:c r="B255" s="0" t="inlineStr">
        <s:is>
          <s:t>이종훈</s:t>
        </s:is>
      </s:c>
      <s:c r="C255" s="0" t="n">
        <s:v>80511</s:v>
      </s:c>
      <s:c r="D255" s="0" t="n">
        <s:v>2293</s:v>
      </s:c>
      <s:c r="F255" s="24">
        <s:f>'자료구성'!$B$2+TIME(INT($C$3/10000),INT(MOD($C$3,10000)/100),MOD($C$3,100))+(ROW()-ROW($C$3))/86400</s:f>
        <s:v>46247.339849537035</s:v>
      </s:c>
    </s:row>
    <s:row r="256">
      <s:c r="A256" s="0" t="n">
        <s:v>260813</s:v>
      </s:c>
      <s:c r="B256" s="0" t="inlineStr">
        <s:is>
          <s:t>이종훈</s:t>
        </s:is>
      </s:c>
      <s:c r="C256" s="0" t="n">
        <s:v>80511</s:v>
      </s:c>
      <s:c r="D256" s="0" t="n">
        <s:v>2277</s:v>
      </s:c>
      <s:c r="F256" s="24">
        <s:f>'자료구성'!$B$2+TIME(INT($C$3/10000),INT(MOD($C$3,10000)/100),MOD($C$3,100))+(ROW()-ROW($C$3))/86400</s:f>
        <s:v>46247.33986111111</s:v>
      </s:c>
    </s:row>
    <s:row r="257">
      <s:c r="A257" s="0" t="n">
        <s:v>260813</s:v>
      </s:c>
      <s:c r="B257" s="0" t="inlineStr">
        <s:is>
          <s:t>이종훈</s:t>
        </s:is>
      </s:c>
      <s:c r="C257" s="0" t="n">
        <s:v>80511</s:v>
      </s:c>
      <s:c r="D257" s="0" t="n">
        <s:v>2186</s:v>
      </s:c>
      <s:c r="F257" s="24">
        <s:f>'자료구성'!$B$2+TIME(INT($C$3/10000),INT(MOD($C$3,10000)/100),MOD($C$3,100))+(ROW()-ROW($C$3))/86400</s:f>
        <s:v>46247.33987268519</s:v>
      </s:c>
    </s:row>
    <s:row r="258">
      <s:c r="A258" s="0" t="n">
        <s:v>260813</s:v>
      </s:c>
      <s:c r="B258" s="0" t="inlineStr">
        <s:is>
          <s:t>이종훈</s:t>
        </s:is>
      </s:c>
      <s:c r="C258" s="0" t="n">
        <s:v>80511</s:v>
      </s:c>
      <s:c r="D258" s="0" t="n">
        <s:v>2151</s:v>
      </s:c>
      <s:c r="F258" s="24">
        <s:f>'자료구성'!$B$2+TIME(INT($C$3/10000),INT(MOD($C$3,10000)/100),MOD($C$3,100))+(ROW()-ROW($C$3))/86400</s:f>
        <s:v>46247.33988425926</s:v>
      </s:c>
    </s:row>
    <s:row r="259">
      <s:c r="A259" s="0" t="n">
        <s:v>260813</s:v>
      </s:c>
      <s:c r="B259" s="0" t="inlineStr">
        <s:is>
          <s:t>이종훈</s:t>
        </s:is>
      </s:c>
      <s:c r="C259" s="0" t="n">
        <s:v>80511</s:v>
      </s:c>
      <s:c r="D259" s="0" t="n">
        <s:v>2130</s:v>
      </s:c>
      <s:c r="F259" s="24">
        <s:f>'자료구성'!$B$2+TIME(INT($C$3/10000),INT(MOD($C$3,10000)/100),MOD($C$3,100))+(ROW()-ROW($C$3))/86400</s:f>
        <s:v>46247.339895833335</s:v>
      </s:c>
    </s:row>
    <s:row r="260">
      <s:c r="A260" s="0" t="n">
        <s:v>260813</s:v>
      </s:c>
      <s:c r="B260" s="0" t="inlineStr">
        <s:is>
          <s:t>이종훈</s:t>
        </s:is>
      </s:c>
      <s:c r="C260" s="0" t="n">
        <s:v>80511</s:v>
      </s:c>
      <s:c r="D260" s="0" t="n">
        <s:v>2135</s:v>
      </s:c>
      <s:c r="F260" s="24">
        <s:f>'자료구성'!$B$2+TIME(INT($C$3/10000),INT(MOD($C$3,10000)/100),MOD($C$3,100))+(ROW()-ROW($C$3))/86400</s:f>
        <s:v>46247.339907407404</s:v>
      </s:c>
    </s:row>
    <s:row r="261">
      <s:c r="A261" s="0" t="n">
        <s:v>260813</s:v>
      </s:c>
      <s:c r="B261" s="0" t="inlineStr">
        <s:is>
          <s:t>이종훈</s:t>
        </s:is>
      </s:c>
      <s:c r="C261" s="0" t="n">
        <s:v>80511</s:v>
      </s:c>
      <s:c r="D261" s="0" t="n">
        <s:v>2126</s:v>
      </s:c>
      <s:c r="F261" s="24">
        <s:f>'자료구성'!$B$2+TIME(INT($C$3/10000),INT(MOD($C$3,10000)/100),MOD($C$3,100))+(ROW()-ROW($C$3))/86400</s:f>
        <s:v>46247.33991898148</s:v>
      </s:c>
    </s:row>
    <s:row r="262">
      <s:c r="A262" s="0" t="n">
        <s:v>260813</s:v>
      </s:c>
      <s:c r="B262" s="0" t="inlineStr">
        <s:is>
          <s:t>이종훈</s:t>
        </s:is>
      </s:c>
      <s:c r="C262" s="0" t="n">
        <s:v>80511</s:v>
      </s:c>
      <s:c r="D262" s="0" t="n">
        <s:v>2077</s:v>
      </s:c>
      <s:c r="F262" s="24">
        <s:f>'자료구성'!$B$2+TIME(INT($C$3/10000),INT(MOD($C$3,10000)/100),MOD($C$3,100))+(ROW()-ROW($C$3))/86400</s:f>
        <s:v>46247.33993055556</s:v>
      </s:c>
    </s:row>
    <s:row r="263">
      <s:c r="A263" s="0" t="n">
        <s:v>260813</s:v>
      </s:c>
      <s:c r="B263" s="0" t="inlineStr">
        <s:is>
          <s:t>이종훈</s:t>
        </s:is>
      </s:c>
      <s:c r="C263" s="0" t="n">
        <s:v>80511</s:v>
      </s:c>
      <s:c r="D263" s="0" t="n">
        <s:v>2041</s:v>
      </s:c>
      <s:c r="F263" s="24">
        <s:f>'자료구성'!$B$2+TIME(INT($C$3/10000),INT(MOD($C$3,10000)/100),MOD($C$3,100))+(ROW()-ROW($C$3))/86400</s:f>
        <s:v>46247.33994212963</s:v>
      </s:c>
    </s:row>
    <s:row r="264">
      <s:c r="A264" s="0" t="n">
        <s:v>260813</s:v>
      </s:c>
      <s:c r="B264" s="0" t="inlineStr">
        <s:is>
          <s:t>이종훈</s:t>
        </s:is>
      </s:c>
      <s:c r="C264" s="0" t="n">
        <s:v>80511</s:v>
      </s:c>
      <s:c r="D264" s="0" t="n">
        <s:v>2022</s:v>
      </s:c>
      <s:c r="F264" s="24">
        <s:f>'자료구성'!$B$2+TIME(INT($C$3/10000),INT(MOD($C$3,10000)/100),MOD($C$3,100))+(ROW()-ROW($C$3))/86400</s:f>
        <s:v>46247.339953703704</s:v>
      </s:c>
    </s:row>
    <s:row r="265">
      <s:c r="A265" s="0" t="n">
        <s:v>260813</s:v>
      </s:c>
      <s:c r="B265" s="0" t="inlineStr">
        <s:is>
          <s:t>이종훈</s:t>
        </s:is>
      </s:c>
      <s:c r="C265" s="0" t="n">
        <s:v>80511</s:v>
      </s:c>
      <s:c r="D265" s="0" t="n">
        <s:v>2015</s:v>
      </s:c>
      <s:c r="F265" s="24">
        <s:f>'자료구성'!$B$2+TIME(INT($C$3/10000),INT(MOD($C$3,10000)/100),MOD($C$3,100))+(ROW()-ROW($C$3))/86400</s:f>
        <s:v>46247.33996527778</s:v>
      </s:c>
    </s:row>
    <s:row r="266">
      <s:c r="A266" s="0" t="n">
        <s:v>260813</s:v>
      </s:c>
      <s:c r="B266" s="0" t="inlineStr">
        <s:is>
          <s:t>이종훈</s:t>
        </s:is>
      </s:c>
      <s:c r="C266" s="0" t="n">
        <s:v>80511</s:v>
      </s:c>
      <s:c r="D266" s="0" t="n">
        <s:v>1988</s:v>
      </s:c>
      <s:c r="F266" s="24">
        <s:f>'자료구성'!$B$2+TIME(INT($C$3/10000),INT(MOD($C$3,10000)/100),MOD($C$3,100))+(ROW()-ROW($C$3))/86400</s:f>
        <s:v>46247.33997685185</s:v>
      </s:c>
    </s:row>
    <s:row r="267">
      <s:c r="A267" s="0" t="n">
        <s:v>260813</s:v>
      </s:c>
      <s:c r="B267" s="0" t="inlineStr">
        <s:is>
          <s:t>이종훈</s:t>
        </s:is>
      </s:c>
      <s:c r="C267" s="0" t="n">
        <s:v>80511</s:v>
      </s:c>
      <s:c r="D267" s="0" t="n">
        <s:v>1945</s:v>
      </s:c>
      <s:c r="F267" s="24">
        <s:f>'자료구성'!$B$2+TIME(INT($C$3/10000),INT(MOD($C$3,10000)/100),MOD($C$3,100))+(ROW()-ROW($C$3))/86400</s:f>
        <s:v>46247.33998842593</s:v>
      </s:c>
    </s:row>
    <s:row r="268">
      <s:c r="A268" s="0" t="n">
        <s:v>260813</s:v>
      </s:c>
      <s:c r="B268" s="0" t="inlineStr">
        <s:is>
          <s:t>이종훈</s:t>
        </s:is>
      </s:c>
      <s:c r="C268" s="0" t="n">
        <s:v>80511</s:v>
      </s:c>
      <s:c r="D268" s="0" t="n">
        <s:v>1924</s:v>
      </s:c>
      <s:c r="F268" s="24">
        <s:f>'자료구성'!$B$2+TIME(INT($C$3/10000),INT(MOD($C$3,10000)/100),MOD($C$3,100))+(ROW()-ROW($C$3))/86400</s:f>
        <s:v>46247.34</s:v>
      </s:c>
    </s:row>
    <s:row r="269">
      <s:c r="A269" s="0" t="n">
        <s:v>260813</s:v>
      </s:c>
      <s:c r="B269" s="0" t="inlineStr">
        <s:is>
          <s:t>이종훈</s:t>
        </s:is>
      </s:c>
      <s:c r="C269" s="0" t="n">
        <s:v>80511</s:v>
      </s:c>
      <s:c r="D269" s="0" t="n">
        <s:v>1898</s:v>
      </s:c>
      <s:c r="F269" s="24">
        <s:f>'자료구성'!$B$2+TIME(INT($C$3/10000),INT(MOD($C$3,10000)/100),MOD($C$3,100))+(ROW()-ROW($C$3))/86400</s:f>
        <s:v>46247.34001157407</s:v>
      </s:c>
    </s:row>
    <s:row r="270">
      <s:c r="A270" s="0" t="n">
        <s:v>260813</s:v>
      </s:c>
      <s:c r="B270" s="0" t="inlineStr">
        <s:is>
          <s:t>이종훈</s:t>
        </s:is>
      </s:c>
      <s:c r="C270" s="0" t="n">
        <s:v>80511</s:v>
      </s:c>
      <s:c r="D270" s="0" t="n">
        <s:v>1887</s:v>
      </s:c>
      <s:c r="F270" s="24">
        <s:f>'자료구성'!$B$2+TIME(INT($C$3/10000),INT(MOD($C$3,10000)/100),MOD($C$3,100))+(ROW()-ROW($C$3))/86400</s:f>
        <s:v>46247.34002314815</s:v>
      </s:c>
    </s:row>
    <s:row r="271">
      <s:c r="A271" s="0" t="n">
        <s:v>260813</s:v>
      </s:c>
      <s:c r="B271" s="0" t="inlineStr">
        <s:is>
          <s:t>이종훈</s:t>
        </s:is>
      </s:c>
      <s:c r="C271" s="0" t="n">
        <s:v>80511</s:v>
      </s:c>
      <s:c r="D271" s="0" t="n">
        <s:v>1902</s:v>
      </s:c>
      <s:c r="F271" s="24">
        <s:f>'자료구성'!$B$2+TIME(INT($C$3/10000),INT(MOD($C$3,10000)/100),MOD($C$3,100))+(ROW()-ROW($C$3))/86400</s:f>
        <s:v>46247.34003472222</s:v>
      </s:c>
    </s:row>
    <s:row r="272">
      <s:c r="A272" s="0" t="n">
        <s:v>260813</s:v>
      </s:c>
      <s:c r="B272" s="0" t="inlineStr">
        <s:is>
          <s:t>이종훈</s:t>
        </s:is>
      </s:c>
      <s:c r="C272" s="0" t="n">
        <s:v>80511</s:v>
      </s:c>
      <s:c r="D272" s="0" t="n">
        <s:v>1890</s:v>
      </s:c>
      <s:c r="F272" s="24">
        <s:f>'자료구성'!$B$2+TIME(INT($C$3/10000),INT(MOD($C$3,10000)/100),MOD($C$3,100))+(ROW()-ROW($C$3))/86400</s:f>
        <s:v>46247.340046296296</s:v>
      </s:c>
    </s:row>
    <s:row r="273">
      <s:c r="A273" s="0" t="n">
        <s:v>260813</s:v>
      </s:c>
      <s:c r="B273" s="0" t="inlineStr">
        <s:is>
          <s:t>이종훈</s:t>
        </s:is>
      </s:c>
      <s:c r="C273" s="0" t="n">
        <s:v>80511</s:v>
      </s:c>
      <s:c r="D273" s="0" t="n">
        <s:v>1910</s:v>
      </s:c>
      <s:c r="F273" s="24">
        <s:f>'자료구성'!$B$2+TIME(INT($C$3/10000),INT(MOD($C$3,10000)/100),MOD($C$3,100))+(ROW()-ROW($C$3))/86400</s:f>
        <s:v>46247.34005787037</s:v>
      </s:c>
    </s:row>
    <s:row r="274">
      <s:c r="A274" s="0" t="n">
        <s:v>260813</s:v>
      </s:c>
      <s:c r="B274" s="0" t="inlineStr">
        <s:is>
          <s:t>이종훈</s:t>
        </s:is>
      </s:c>
      <s:c r="C274" s="0" t="n">
        <s:v>80511</s:v>
      </s:c>
      <s:c r="D274" s="0" t="n">
        <s:v>1898</s:v>
      </s:c>
      <s:c r="F274" s="24">
        <s:f>'자료구성'!$B$2+TIME(INT($C$3/10000),INT(MOD($C$3,10000)/100),MOD($C$3,100))+(ROW()-ROW($C$3))/86400</s:f>
        <s:v>46247.34006944444</s:v>
      </s:c>
    </s:row>
    <s:row r="275">
      <s:c r="A275" s="0" t="n">
        <s:v>260813</s:v>
      </s:c>
      <s:c r="B275" s="0" t="inlineStr">
        <s:is>
          <s:t>이종훈</s:t>
        </s:is>
      </s:c>
      <s:c r="C275" s="0" t="n">
        <s:v>80511</s:v>
      </s:c>
      <s:c r="D275" s="0" t="n">
        <s:v>1923</s:v>
      </s:c>
      <s:c r="F275" s="24">
        <s:f>'자료구성'!$B$2+TIME(INT($C$3/10000),INT(MOD($C$3,10000)/100),MOD($C$3,100))+(ROW()-ROW($C$3))/86400</s:f>
        <s:v>46247.34008101852</s:v>
      </s:c>
    </s:row>
    <s:row r="276">
      <s:c r="A276" s="0" t="n">
        <s:v>260813</s:v>
      </s:c>
      <s:c r="B276" s="0" t="inlineStr">
        <s:is>
          <s:t>이종훈</s:t>
        </s:is>
      </s:c>
      <s:c r="C276" s="0" t="n">
        <s:v>80511</s:v>
      </s:c>
      <s:c r="D276" s="0" t="n">
        <s:v>1908</s:v>
      </s:c>
      <s:c r="F276" s="24">
        <s:f>'자료구성'!$B$2+TIME(INT($C$3/10000),INT(MOD($C$3,10000)/100),MOD($C$3,100))+(ROW()-ROW($C$3))/86400</s:f>
        <s:v>46247.340092592596</s:v>
      </s:c>
    </s:row>
    <s:row r="277">
      <s:c r="A277" s="0" t="n">
        <s:v>260813</s:v>
      </s:c>
      <s:c r="B277" s="0" t="inlineStr">
        <s:is>
          <s:t>이종훈</s:t>
        </s:is>
      </s:c>
      <s:c r="C277" s="0" t="n">
        <s:v>80511</s:v>
      </s:c>
      <s:c r="D277" s="0" t="n">
        <s:v>1894</s:v>
      </s:c>
      <s:c r="F277" s="24">
        <s:f>'자료구성'!$B$2+TIME(INT($C$3/10000),INT(MOD($C$3,10000)/100),MOD($C$3,100))+(ROW()-ROW($C$3))/86400</s:f>
        <s:v>46247.340104166666</s:v>
      </s:c>
    </s:row>
    <s:row r="278">
      <s:c r="A278" s="0" t="n">
        <s:v>260813</s:v>
      </s:c>
      <s:c r="B278" s="0" t="inlineStr">
        <s:is>
          <s:t>이종훈</s:t>
        </s:is>
      </s:c>
      <s:c r="C278" s="0" t="n">
        <s:v>80511</s:v>
      </s:c>
      <s:c r="D278" s="0" t="n">
        <s:v>1878</s:v>
      </s:c>
      <s:c r="F278" s="24">
        <s:f>'자료구성'!$B$2+TIME(INT($C$3/10000),INT(MOD($C$3,10000)/100),MOD($C$3,100))+(ROW()-ROW($C$3))/86400</s:f>
        <s:v>46247.34011574074</s:v>
      </s:c>
    </s:row>
    <s:row r="279">
      <s:c r="A279" s="0" t="n">
        <s:v>260813</s:v>
      </s:c>
      <s:c r="B279" s="0" t="inlineStr">
        <s:is>
          <s:t>이종훈</s:t>
        </s:is>
      </s:c>
      <s:c r="C279" s="0" t="n">
        <s:v>80511</s:v>
      </s:c>
      <s:c r="D279" s="0" t="n">
        <s:v>1858</s:v>
      </s:c>
      <s:c r="F279" s="24">
        <s:f>'자료구성'!$B$2+TIME(INT($C$3/10000),INT(MOD($C$3,10000)/100),MOD($C$3,100))+(ROW()-ROW($C$3))/86400</s:f>
        <s:v>46247.34012731481</s:v>
      </s:c>
    </s:row>
    <s:row r="280">
      <s:c r="A280" s="0" t="n">
        <s:v>260813</s:v>
      </s:c>
      <s:c r="B280" s="0" t="inlineStr">
        <s:is>
          <s:t>이종훈</s:t>
        </s:is>
      </s:c>
      <s:c r="C280" s="0" t="n">
        <s:v>80511</s:v>
      </s:c>
      <s:c r="D280" s="0" t="n">
        <s:v>1834</s:v>
      </s:c>
      <s:c r="F280" s="24">
        <s:f>'자료구성'!$B$2+TIME(INT($C$3/10000),INT(MOD($C$3,10000)/100),MOD($C$3,100))+(ROW()-ROW($C$3))/86400</s:f>
        <s:v>46247.34013888889</s:v>
      </s:c>
    </s:row>
    <s:row r="281">
      <s:c r="A281" s="0" t="n">
        <s:v>260813</s:v>
      </s:c>
      <s:c r="B281" s="0" t="inlineStr">
        <s:is>
          <s:t>이종훈</s:t>
        </s:is>
      </s:c>
      <s:c r="C281" s="0" t="n">
        <s:v>80511</s:v>
      </s:c>
      <s:c r="D281" s="0" t="n">
        <s:v>1813</s:v>
      </s:c>
      <s:c r="F281" s="24">
        <s:f>'자료구성'!$B$2+TIME(INT($C$3/10000),INT(MOD($C$3,10000)/100),MOD($C$3,100))+(ROW()-ROW($C$3))/86400</s:f>
        <s:v>46247.340150462966</s:v>
      </s:c>
    </s:row>
    <s:row r="282">
      <s:c r="A282" s="0" t="n">
        <s:v>260813</s:v>
      </s:c>
      <s:c r="B282" s="0" t="inlineStr">
        <s:is>
          <s:t>이종훈</s:t>
        </s:is>
      </s:c>
      <s:c r="C282" s="0" t="n">
        <s:v>80511</s:v>
      </s:c>
      <s:c r="D282" s="0" t="n">
        <s:v>1794</s:v>
      </s:c>
      <s:c r="F282" s="24">
        <s:f>'자료구성'!$B$2+TIME(INT($C$3/10000),INT(MOD($C$3,10000)/100),MOD($C$3,100))+(ROW()-ROW($C$3))/86400</s:f>
        <s:v>46247.340162037035</s:v>
      </s:c>
    </s:row>
    <s:row r="283">
      <s:c r="A283" s="0" t="n">
        <s:v>260813</s:v>
      </s:c>
      <s:c r="B283" s="0" t="inlineStr">
        <s:is>
          <s:t>이종훈</s:t>
        </s:is>
      </s:c>
      <s:c r="C283" s="0" t="n">
        <s:v>80511</s:v>
      </s:c>
      <s:c r="D283" s="0" t="n">
        <s:v>1769</s:v>
      </s:c>
      <s:c r="F283" s="24">
        <s:f>'자료구성'!$B$2+TIME(INT($C$3/10000),INT(MOD($C$3,10000)/100),MOD($C$3,100))+(ROW()-ROW($C$3))/86400</s:f>
        <s:v>46247.34017361111</s:v>
      </s:c>
    </s:row>
    <s:row r="284">
      <s:c r="A284" s="0" t="n">
        <s:v>260813</s:v>
      </s:c>
      <s:c r="B284" s="0" t="inlineStr">
        <s:is>
          <s:t>이종훈</s:t>
        </s:is>
      </s:c>
      <s:c r="C284" s="0" t="n">
        <s:v>80511</s:v>
      </s:c>
      <s:c r="D284" s="0" t="n">
        <s:v>1762</s:v>
      </s:c>
      <s:c r="F284" s="24">
        <s:f>'자료구성'!$B$2+TIME(INT($C$3/10000),INT(MOD($C$3,10000)/100),MOD($C$3,100))+(ROW()-ROW($C$3))/86400</s:f>
        <s:v>46247.34018518519</s:v>
      </s:c>
    </s:row>
    <s:row r="285">
      <s:c r="A285" s="0" t="n">
        <s:v>260813</s:v>
      </s:c>
      <s:c r="B285" s="0" t="inlineStr">
        <s:is>
          <s:t>이종훈</s:t>
        </s:is>
      </s:c>
      <s:c r="C285" s="0" t="n">
        <s:v>80511</s:v>
      </s:c>
      <s:c r="D285" s="0" t="n">
        <s:v>1776</s:v>
      </s:c>
      <s:c r="F285" s="24">
        <s:f>'자료구성'!$B$2+TIME(INT($C$3/10000),INT(MOD($C$3,10000)/100),MOD($C$3,100))+(ROW()-ROW($C$3))/86400</s:f>
        <s:v>46247.34019675926</s:v>
      </s:c>
    </s:row>
    <s:row r="286">
      <s:c r="A286" s="0" t="n">
        <s:v>260813</s:v>
      </s:c>
      <s:c r="B286" s="0" t="inlineStr">
        <s:is>
          <s:t>이종훈</s:t>
        </s:is>
      </s:c>
      <s:c r="C286" s="0" t="n">
        <s:v>80511</s:v>
      </s:c>
      <s:c r="D286" s="0" t="n">
        <s:v>1802</s:v>
      </s:c>
      <s:c r="F286" s="24">
        <s:f>'자료구성'!$B$2+TIME(INT($C$3/10000),INT(MOD($C$3,10000)/100),MOD($C$3,100))+(ROW()-ROW($C$3))/86400</s:f>
        <s:v>46247.340208333335</s:v>
      </s:c>
    </s:row>
    <s:row r="287">
      <s:c r="A287" s="0" t="n">
        <s:v>260813</s:v>
      </s:c>
      <s:c r="B287" s="0" t="inlineStr">
        <s:is>
          <s:t>이종훈</s:t>
        </s:is>
      </s:c>
      <s:c r="C287" s="0" t="n">
        <s:v>80511</s:v>
      </s:c>
      <s:c r="D287" s="0" t="n">
        <s:v>1828</s:v>
      </s:c>
      <s:c r="F287" s="24">
        <s:f>'자료구성'!$B$2+TIME(INT($C$3/10000),INT(MOD($C$3,10000)/100),MOD($C$3,100))+(ROW()-ROW($C$3))/86400</s:f>
        <s:v>46247.340219907404</s:v>
      </s:c>
    </s:row>
    <s:row r="288">
      <s:c r="A288" s="0" t="n">
        <s:v>260813</s:v>
      </s:c>
      <s:c r="B288" s="0" t="inlineStr">
        <s:is>
          <s:t>이종훈</s:t>
        </s:is>
      </s:c>
      <s:c r="C288" s="0" t="n">
        <s:v>80511</s:v>
      </s:c>
      <s:c r="D288" s="0" t="n">
        <s:v>1818</s:v>
      </s:c>
      <s:c r="F288" s="24">
        <s:f>'자료구성'!$B$2+TIME(INT($C$3/10000),INT(MOD($C$3,10000)/100),MOD($C$3,100))+(ROW()-ROW($C$3))/86400</s:f>
        <s:v>46247.34023148148</s:v>
      </s:c>
    </s:row>
    <s:row r="289">
      <s:c r="A289" s="0" t="n">
        <s:v>260813</s:v>
      </s:c>
      <s:c r="B289" s="0" t="inlineStr">
        <s:is>
          <s:t>이종훈</s:t>
        </s:is>
      </s:c>
      <s:c r="C289" s="0" t="n">
        <s:v>80511</s:v>
      </s:c>
      <s:c r="D289" s="0" t="n">
        <s:v>1802</s:v>
      </s:c>
      <s:c r="F289" s="24">
        <s:f>'자료구성'!$B$2+TIME(INT($C$3/10000),INT(MOD($C$3,10000)/100),MOD($C$3,100))+(ROW()-ROW($C$3))/86400</s:f>
        <s:v>46247.34024305556</s:v>
      </s:c>
    </s:row>
    <s:row r="290">
      <s:c r="A290" s="0" t="n">
        <s:v>260813</s:v>
      </s:c>
      <s:c r="B290" s="0" t="inlineStr">
        <s:is>
          <s:t>이종훈</s:t>
        </s:is>
      </s:c>
      <s:c r="C290" s="0" t="n">
        <s:v>80511</s:v>
      </s:c>
      <s:c r="D290" s="0" t="n">
        <s:v>1797</s:v>
      </s:c>
      <s:c r="F290" s="24">
        <s:f>'자료구성'!$B$2+TIME(INT($C$3/10000),INT(MOD($C$3,10000)/100),MOD($C$3,100))+(ROW()-ROW($C$3))/86400</s:f>
        <s:v>46247.34025462963</s:v>
      </s:c>
    </s:row>
    <s:row r="291">
      <s:c r="A291" s="0" t="n">
        <s:v>260813</s:v>
      </s:c>
      <s:c r="B291" s="0" t="inlineStr">
        <s:is>
          <s:t>이종훈</s:t>
        </s:is>
      </s:c>
      <s:c r="C291" s="0" t="n">
        <s:v>80511</s:v>
      </s:c>
      <s:c r="D291" s="0" t="n">
        <s:v>1802</s:v>
      </s:c>
      <s:c r="F291" s="24">
        <s:f>'자료구성'!$B$2+TIME(INT($C$3/10000),INT(MOD($C$3,10000)/100),MOD($C$3,100))+(ROW()-ROW($C$3))/86400</s:f>
        <s:v>46247.340266203704</s:v>
      </s:c>
    </s:row>
    <s:row r="292">
      <s:c r="A292" s="0" t="n">
        <s:v>260813</s:v>
      </s:c>
      <s:c r="B292" s="0" t="inlineStr">
        <s:is>
          <s:t>이종훈</s:t>
        </s:is>
      </s:c>
      <s:c r="C292" s="0" t="n">
        <s:v>80511</s:v>
      </s:c>
      <s:c r="D292" s="0" t="n">
        <s:v>1795</s:v>
      </s:c>
      <s:c r="F292" s="24">
        <s:f>'자료구성'!$B$2+TIME(INT($C$3/10000),INT(MOD($C$3,10000)/100),MOD($C$3,100))+(ROW()-ROW($C$3))/86400</s:f>
        <s:v>46247.34027777778</s:v>
      </s:c>
    </s:row>
    <s:row r="293">
      <s:c r="A293" s="0" t="n">
        <s:v>260813</s:v>
      </s:c>
      <s:c r="B293" s="0" t="inlineStr">
        <s:is>
          <s:t>이종훈</s:t>
        </s:is>
      </s:c>
      <s:c r="C293" s="0" t="n">
        <s:v>80511</s:v>
      </s:c>
      <s:c r="D293" s="0" t="n">
        <s:v>1768</s:v>
      </s:c>
      <s:c r="F293" s="24">
        <s:f>'자료구성'!$B$2+TIME(INT($C$3/10000),INT(MOD($C$3,10000)/100),MOD($C$3,100))+(ROW()-ROW($C$3))/86400</s:f>
        <s:v>46247.34028935185</s:v>
      </s:c>
    </s:row>
    <s:row r="294">
      <s:c r="A294" s="0" t="n">
        <s:v>260813</s:v>
      </s:c>
      <s:c r="B294" s="0" t="inlineStr">
        <s:is>
          <s:t>이종훈</s:t>
        </s:is>
      </s:c>
      <s:c r="C294" s="0" t="n">
        <s:v>80511</s:v>
      </s:c>
      <s:c r="D294" s="0" t="n">
        <s:v>1768</s:v>
      </s:c>
      <s:c r="F294" s="24">
        <s:f>'자료구성'!$B$2+TIME(INT($C$3/10000),INT(MOD($C$3,10000)/100),MOD($C$3,100))+(ROW()-ROW($C$3))/86400</s:f>
        <s:v>46247.34030092593</s:v>
      </s:c>
    </s:row>
    <s:row r="295">
      <s:c r="A295" s="0" t="n">
        <s:v>260813</s:v>
      </s:c>
      <s:c r="B295" s="0" t="inlineStr">
        <s:is>
          <s:t>이종훈</s:t>
        </s:is>
      </s:c>
      <s:c r="C295" s="0" t="n">
        <s:v>80511</s:v>
      </s:c>
      <s:c r="D295" s="0" t="n">
        <s:v>1779</s:v>
      </s:c>
      <s:c r="F295" s="24">
        <s:f>'자료구성'!$B$2+TIME(INT($C$3/10000),INT(MOD($C$3,10000)/100),MOD($C$3,100))+(ROW()-ROW($C$3))/86400</s:f>
        <s:v>46247.3403125</s:v>
      </s:c>
    </s:row>
    <s:row r="296">
      <s:c r="A296" s="0" t="n">
        <s:v>260813</s:v>
      </s:c>
      <s:c r="B296" s="0" t="inlineStr">
        <s:is>
          <s:t>이종훈</s:t>
        </s:is>
      </s:c>
      <s:c r="C296" s="0" t="n">
        <s:v>80511</s:v>
      </s:c>
      <s:c r="D296" s="0" t="n">
        <s:v>1810</s:v>
      </s:c>
      <s:c r="F296" s="24">
        <s:f>'자료구성'!$B$2+TIME(INT($C$3/10000),INT(MOD($C$3,10000)/100),MOD($C$3,100))+(ROW()-ROW($C$3))/86400</s:f>
        <s:v>46247.34032407407</s:v>
      </s:c>
    </s:row>
    <s:row r="297">
      <s:c r="A297" s="0" t="n">
        <s:v>260813</s:v>
      </s:c>
      <s:c r="B297" s="0" t="inlineStr">
        <s:is>
          <s:t>이종훈</s:t>
        </s:is>
      </s:c>
      <s:c r="C297" s="0" t="n">
        <s:v>80511</s:v>
      </s:c>
      <s:c r="D297" s="0" t="n">
        <s:v>1827</s:v>
      </s:c>
      <s:c r="F297" s="24">
        <s:f>'자료구성'!$B$2+TIME(INT($C$3/10000),INT(MOD($C$3,10000)/100),MOD($C$3,100))+(ROW()-ROW($C$3))/86400</s:f>
        <s:v>46247.34033564815</s:v>
      </s:c>
    </s:row>
    <s:row r="298">
      <s:c r="A298" s="0" t="n">
        <s:v>260813</s:v>
      </s:c>
      <s:c r="B298" s="0" t="inlineStr">
        <s:is>
          <s:t>이종훈</s:t>
        </s:is>
      </s:c>
      <s:c r="C298" s="0" t="n">
        <s:v>80511</s:v>
      </s:c>
      <s:c r="D298" s="0" t="n">
        <s:v>1828</s:v>
      </s:c>
      <s:c r="F298" s="24">
        <s:f>'자료구성'!$B$2+TIME(INT($C$3/10000),INT(MOD($C$3,10000)/100),MOD($C$3,100))+(ROW()-ROW($C$3))/86400</s:f>
        <s:v>46247.34034722222</s:v>
      </s:c>
    </s:row>
    <s:row r="299">
      <s:c r="A299" s="0" t="n">
        <s:v>260813</s:v>
      </s:c>
      <s:c r="B299" s="0" t="inlineStr">
        <s:is>
          <s:t>이종훈</s:t>
        </s:is>
      </s:c>
      <s:c r="C299" s="0" t="n">
        <s:v>80511</s:v>
      </s:c>
      <s:c r="D299" s="0" t="n">
        <s:v>1791</s:v>
      </s:c>
      <s:c r="F299" s="24">
        <s:f>'자료구성'!$B$2+TIME(INT($C$3/10000),INT(MOD($C$3,10000)/100),MOD($C$3,100))+(ROW()-ROW($C$3))/86400</s:f>
        <s:v>46247.3403587963</s:v>
      </s:c>
    </s:row>
    <s:row r="300">
      <s:c r="A300" s="0" t="n">
        <s:v>260813</s:v>
      </s:c>
      <s:c r="B300" s="0" t="inlineStr">
        <s:is>
          <s:t>이종훈</s:t>
        </s:is>
      </s:c>
      <s:c r="C300" s="0" t="n">
        <s:v>80511</s:v>
      </s:c>
      <s:c r="D300" s="0" t="n">
        <s:v>1766</s:v>
      </s:c>
      <s:c r="F300" s="24">
        <s:f>'자료구성'!$B$2+TIME(INT($C$3/10000),INT(MOD($C$3,10000)/100),MOD($C$3,100))+(ROW()-ROW($C$3))/86400</s:f>
        <s:v>46247.34037037037</s:v>
      </s:c>
    </s:row>
    <s:row r="301">
      <s:c r="A301" s="0" t="n">
        <s:v>260813</s:v>
      </s:c>
      <s:c r="B301" s="0" t="inlineStr">
        <s:is>
          <s:t>이종훈</s:t>
        </s:is>
      </s:c>
      <s:c r="C301" s="0" t="n">
        <s:v>80511</s:v>
      </s:c>
      <s:c r="D301" s="0" t="n">
        <s:v>1779</s:v>
      </s:c>
      <s:c r="F301" s="24">
        <s:f>'자료구성'!$B$2+TIME(INT($C$3/10000),INT(MOD($C$3,10000)/100),MOD($C$3,100))+(ROW()-ROW($C$3))/86400</s:f>
        <s:v>46247.34038194444</s:v>
      </s:c>
    </s:row>
    <s:row r="302">
      <s:c r="A302" s="0" t="n">
        <s:v>260813</s:v>
      </s:c>
      <s:c r="B302" s="0" t="inlineStr">
        <s:is>
          <s:t>이종훈</s:t>
        </s:is>
      </s:c>
      <s:c r="C302" s="0" t="n">
        <s:v>80511</s:v>
      </s:c>
      <s:c r="D302" s="0" t="n">
        <s:v>1750</s:v>
      </s:c>
      <s:c r="F302" s="24">
        <s:f>'자료구성'!$B$2+TIME(INT($C$3/10000),INT(MOD($C$3,10000)/100),MOD($C$3,100))+(ROW()-ROW($C$3))/86400</s:f>
        <s:v>46247.34039351852</s:v>
      </s:c>
    </s:row>
    <s:row r="303">
      <s:c r="A303" s="0" t="n">
        <s:v>260813</s:v>
      </s:c>
      <s:c r="B303" s="0" t="inlineStr">
        <s:is>
          <s:t>이종훈</s:t>
        </s:is>
      </s:c>
      <s:c r="C303" s="0" t="n">
        <s:v>80511</s:v>
      </s:c>
      <s:c r="D303" s="0" t="n">
        <s:v>1757</s:v>
      </s:c>
      <s:c r="F303" s="24">
        <s:f>'자료구성'!$B$2+TIME(INT($C$3/10000),INT(MOD($C$3,10000)/100),MOD($C$3,100))+(ROW()-ROW($C$3))/86400</s:f>
        <s:v>46247.34040509259</s:v>
      </s:c>
    </s:row>
    <s:row r="304">
      <s:c r="A304" s="0" t="n">
        <s:v>260813</s:v>
      </s:c>
      <s:c r="B304" s="0" t="inlineStr">
        <s:is>
          <s:t>이종훈</s:t>
        </s:is>
      </s:c>
      <s:c r="C304" s="0" t="n">
        <s:v>80511</s:v>
      </s:c>
      <s:c r="D304" s="0" t="n">
        <s:v>1787</s:v>
      </s:c>
      <s:c r="F304" s="24">
        <s:f>'자료구성'!$B$2+TIME(INT($C$3/10000),INT(MOD($C$3,10000)/100),MOD($C$3,100))+(ROW()-ROW($C$3))/86400</s:f>
        <s:v>46247.340416666666</s:v>
      </s:c>
    </s:row>
    <s:row r="305">
      <s:c r="A305" s="0" t="n">
        <s:v>260813</s:v>
      </s:c>
      <s:c r="B305" s="0" t="inlineStr">
        <s:is>
          <s:t>이종훈</s:t>
        </s:is>
      </s:c>
      <s:c r="C305" s="0" t="n">
        <s:v>80511</s:v>
      </s:c>
      <s:c r="D305" s="0" t="n">
        <s:v>1770</s:v>
      </s:c>
      <s:c r="F305" s="24">
        <s:f>'자료구성'!$B$2+TIME(INT($C$3/10000),INT(MOD($C$3,10000)/100),MOD($C$3,100))+(ROW()-ROW($C$3))/86400</s:f>
        <s:v>46247.34042824074</s:v>
      </s:c>
    </s:row>
    <s:row r="306">
      <s:c r="A306" s="0" t="n">
        <s:v>260813</s:v>
      </s:c>
      <s:c r="B306" s="0" t="inlineStr">
        <s:is>
          <s:t>이종훈</s:t>
        </s:is>
      </s:c>
      <s:c r="C306" s="0" t="n">
        <s:v>80511</s:v>
      </s:c>
      <s:c r="D306" s="0" t="n">
        <s:v>1737</s:v>
      </s:c>
      <s:c r="F306" s="24">
        <s:f>'자료구성'!$B$2+TIME(INT($C$3/10000),INT(MOD($C$3,10000)/100),MOD($C$3,100))+(ROW()-ROW($C$3))/86400</s:f>
        <s:v>46247.34043981481</s:v>
      </s:c>
    </s:row>
    <s:row r="307">
      <s:c r="A307" s="0" t="n">
        <s:v>260813</s:v>
      </s:c>
      <s:c r="B307" s="0" t="inlineStr">
        <s:is>
          <s:t>이종훈</s:t>
        </s:is>
      </s:c>
      <s:c r="C307" s="0" t="n">
        <s:v>80511</s:v>
      </s:c>
      <s:c r="D307" s="0" t="n">
        <s:v>1686</s:v>
      </s:c>
      <s:c r="F307" s="24">
        <s:f>'자료구성'!$B$2+TIME(INT($C$3/10000),INT(MOD($C$3,10000)/100),MOD($C$3,100))+(ROW()-ROW($C$3))/86400</s:f>
        <s:v>46247.34045138889</s:v>
      </s:c>
    </s:row>
    <s:row r="308">
      <s:c r="A308" s="0" t="n">
        <s:v>260813</s:v>
      </s:c>
      <s:c r="B308" s="0" t="inlineStr">
        <s:is>
          <s:t>이종훈</s:t>
        </s:is>
      </s:c>
      <s:c r="C308" s="0" t="n">
        <s:v>80511</s:v>
      </s:c>
      <s:c r="D308" s="0" t="n">
        <s:v>1641</s:v>
      </s:c>
      <s:c r="F308" s="24">
        <s:f>'자료구성'!$B$2+TIME(INT($C$3/10000),INT(MOD($C$3,10000)/100),MOD($C$3,100))+(ROW()-ROW($C$3))/86400</s:f>
        <s:v>46247.340462962966</s:v>
      </s:c>
    </s:row>
    <s:row r="309">
      <s:c r="A309" s="0" t="n">
        <s:v>260813</s:v>
      </s:c>
      <s:c r="B309" s="0" t="inlineStr">
        <s:is>
          <s:t>이종훈</s:t>
        </s:is>
      </s:c>
      <s:c r="C309" s="0" t="n">
        <s:v>80511</s:v>
      </s:c>
      <s:c r="D309" s="0" t="n">
        <s:v>1612</s:v>
      </s:c>
      <s:c r="F309" s="24">
        <s:f>'자료구성'!$B$2+TIME(INT($C$3/10000),INT(MOD($C$3,10000)/100),MOD($C$3,100))+(ROW()-ROW($C$3))/86400</s:f>
        <s:v>46247.340474537035</s:v>
      </s:c>
    </s:row>
    <s:row r="310">
      <s:c r="A310" s="0" t="n">
        <s:v>260813</s:v>
      </s:c>
      <s:c r="B310" s="0" t="inlineStr">
        <s:is>
          <s:t>이종훈</s:t>
        </s:is>
      </s:c>
      <s:c r="C310" s="0" t="n">
        <s:v>80511</s:v>
      </s:c>
      <s:c r="D310" s="0" t="n">
        <s:v>1592</s:v>
      </s:c>
      <s:c r="F310" s="24">
        <s:f>'자료구성'!$B$2+TIME(INT($C$3/10000),INT(MOD($C$3,10000)/100),MOD($C$3,100))+(ROW()-ROW($C$3))/86400</s:f>
        <s:v>46247.34048611111</s:v>
      </s:c>
    </s:row>
    <s:row r="311">
      <s:c r="A311" s="0" t="n">
        <s:v>260813</s:v>
      </s:c>
      <s:c r="B311" s="0" t="inlineStr">
        <s:is>
          <s:t>이종훈</s:t>
        </s:is>
      </s:c>
      <s:c r="C311" s="0" t="n">
        <s:v>80511</s:v>
      </s:c>
      <s:c r="D311" s="0" t="n">
        <s:v>1578</s:v>
      </s:c>
      <s:c r="F311" s="24">
        <s:f>'자료구성'!$B$2+TIME(INT($C$3/10000),INT(MOD($C$3,10000)/100),MOD($C$3,100))+(ROW()-ROW($C$3))/86400</s:f>
        <s:v>46247.34049768518</s:v>
      </s:c>
    </s:row>
    <s:row r="312">
      <s:c r="A312" s="0" t="n">
        <s:v>260813</s:v>
      </s:c>
      <s:c r="B312" s="0" t="inlineStr">
        <s:is>
          <s:t>이종훈</s:t>
        </s:is>
      </s:c>
      <s:c r="C312" s="0" t="n">
        <s:v>80511</s:v>
      </s:c>
      <s:c r="D312" s="0" t="n">
        <s:v>1575</s:v>
      </s:c>
      <s:c r="F312" s="24">
        <s:f>'자료구성'!$B$2+TIME(INT($C$3/10000),INT(MOD($C$3,10000)/100),MOD($C$3,100))+(ROW()-ROW($C$3))/86400</s:f>
        <s:v>46247.34050925926</s:v>
      </s:c>
    </s:row>
    <s:row r="313">
      <s:c r="A313" s="0" t="n">
        <s:v>260813</s:v>
      </s:c>
      <s:c r="B313" s="0" t="inlineStr">
        <s:is>
          <s:t>이종훈</s:t>
        </s:is>
      </s:c>
      <s:c r="C313" s="0" t="n">
        <s:v>80511</s:v>
      </s:c>
      <s:c r="D313" s="0" t="n">
        <s:v>1610</s:v>
      </s:c>
      <s:c r="F313" s="24">
        <s:f>'자료구성'!$B$2+TIME(INT($C$3/10000),INT(MOD($C$3,10000)/100),MOD($C$3,100))+(ROW()-ROW($C$3))/86400</s:f>
        <s:v>46247.340520833335</s:v>
      </s:c>
    </s:row>
    <s:row r="314">
      <s:c r="A314" s="0" t="n">
        <s:v>260813</s:v>
      </s:c>
      <s:c r="B314" s="0" t="inlineStr">
        <s:is>
          <s:t>이종훈</s:t>
        </s:is>
      </s:c>
      <s:c r="C314" s="0" t="n">
        <s:v>80511</s:v>
      </s:c>
      <s:c r="D314" s="0" t="n">
        <s:v>1592</s:v>
      </s:c>
      <s:c r="F314" s="24">
        <s:f>'자료구성'!$B$2+TIME(INT($C$3/10000),INT(MOD($C$3,10000)/100),MOD($C$3,100))+(ROW()-ROW($C$3))/86400</s:f>
        <s:v>46247.340532407405</s:v>
      </s:c>
    </s:row>
    <s:row r="315">
      <s:c r="A315" s="0" t="n">
        <s:v>260813</s:v>
      </s:c>
      <s:c r="B315" s="0" t="inlineStr">
        <s:is>
          <s:t>이종훈</s:t>
        </s:is>
      </s:c>
      <s:c r="C315" s="0" t="n">
        <s:v>80511</s:v>
      </s:c>
      <s:c r="D315" s="0" t="n">
        <s:v>1551</s:v>
      </s:c>
      <s:c r="F315" s="24">
        <s:f>'자료구성'!$B$2+TIME(INT($C$3/10000),INT(MOD($C$3,10000)/100),MOD($C$3,100))+(ROW()-ROW($C$3))/86400</s:f>
        <s:v>46247.34054398148</s:v>
      </s:c>
    </s:row>
    <s:row r="316">
      <s:c r="A316" s="0" t="n">
        <s:v>260813</s:v>
      </s:c>
      <s:c r="B316" s="0" t="inlineStr">
        <s:is>
          <s:t>이종훈</s:t>
        </s:is>
      </s:c>
      <s:c r="C316" s="0" t="n">
        <s:v>80511</s:v>
      </s:c>
      <s:c r="D316" s="0" t="n">
        <s:v>1513</s:v>
      </s:c>
      <s:c r="F316" s="24">
        <s:f>'자료구성'!$B$2+TIME(INT($C$3/10000),INT(MOD($C$3,10000)/100),MOD($C$3,100))+(ROW()-ROW($C$3))/86400</s:f>
        <s:v>46247.34055555556</s:v>
      </s:c>
    </s:row>
    <s:row r="317">
      <s:c r="A317" s="0" t="n">
        <s:v>260813</s:v>
      </s:c>
      <s:c r="B317" s="0" t="inlineStr">
        <s:is>
          <s:t>이종훈</s:t>
        </s:is>
      </s:c>
      <s:c r="C317" s="0" t="n">
        <s:v>80511</s:v>
      </s:c>
      <s:c r="D317" s="0" t="n">
        <s:v>1479</s:v>
      </s:c>
      <s:c r="F317" s="24">
        <s:f>'자료구성'!$B$2+TIME(INT($C$3/10000),INT(MOD($C$3,10000)/100),MOD($C$3,100))+(ROW()-ROW($C$3))/86400</s:f>
        <s:v>46247.34056712963</s:v>
      </s:c>
    </s:row>
    <s:row r="318">
      <s:c r="A318" s="0" t="n">
        <s:v>260813</s:v>
      </s:c>
      <s:c r="B318" s="0" t="inlineStr">
        <s:is>
          <s:t>이종훈</s:t>
        </s:is>
      </s:c>
      <s:c r="C318" s="0" t="n">
        <s:v>80511</s:v>
      </s:c>
      <s:c r="D318" s="0" t="n">
        <s:v>1513</s:v>
      </s:c>
      <s:c r="F318" s="24">
        <s:f>'자료구성'!$B$2+TIME(INT($C$3/10000),INT(MOD($C$3,10000)/100),MOD($C$3,100))+(ROW()-ROW($C$3))/86400</s:f>
        <s:v>46247.340578703705</s:v>
      </s:c>
    </s:row>
    <s:row r="319">
      <s:c r="A319" s="0" t="n">
        <s:v>260813</s:v>
      </s:c>
      <s:c r="B319" s="0" t="inlineStr">
        <s:is>
          <s:t>이종훈</s:t>
        </s:is>
      </s:c>
      <s:c r="C319" s="0" t="n">
        <s:v>80511</s:v>
      </s:c>
      <s:c r="D319" s="0" t="n">
        <s:v>1500</s:v>
      </s:c>
      <s:c r="F319" s="24">
        <s:f>'자료구성'!$B$2+TIME(INT($C$3/10000),INT(MOD($C$3,10000)/100),MOD($C$3,100))+(ROW()-ROW($C$3))/86400</s:f>
        <s:v>46247.34059027778</s:v>
      </s:c>
    </s:row>
    <s:row r="320">
      <s:c r="A320" s="0" t="n">
        <s:v>260813</s:v>
      </s:c>
      <s:c r="B320" s="0" t="inlineStr">
        <s:is>
          <s:t>이종훈</s:t>
        </s:is>
      </s:c>
      <s:c r="C320" s="0" t="n">
        <s:v>80511</s:v>
      </s:c>
      <s:c r="D320" s="0" t="n">
        <s:v>1493</s:v>
      </s:c>
      <s:c r="F320" s="24">
        <s:f>'자료구성'!$B$2+TIME(INT($C$3/10000),INT(MOD($C$3,10000)/100),MOD($C$3,100))+(ROW()-ROW($C$3))/86400</s:f>
        <s:v>46247.34060185185</s:v>
      </s:c>
    </s:row>
    <s:row r="321">
      <s:c r="A321" s="0" t="n">
        <s:v>260813</s:v>
      </s:c>
      <s:c r="B321" s="0" t="inlineStr">
        <s:is>
          <s:t>이종훈</s:t>
        </s:is>
      </s:c>
      <s:c r="C321" s="0" t="n">
        <s:v>80511</s:v>
      </s:c>
      <s:c r="D321" s="0" t="n">
        <s:v>1489</s:v>
      </s:c>
      <s:c r="F321" s="24">
        <s:f>'자료구성'!$B$2+TIME(INT($C$3/10000),INT(MOD($C$3,10000)/100),MOD($C$3,100))+(ROW()-ROW($C$3))/86400</s:f>
        <s:v>46247.34061342593</s:v>
      </s:c>
    </s:row>
    <s:row r="322">
      <s:c r="A322" s="0" t="n">
        <s:v>260813</s:v>
      </s:c>
      <s:c r="B322" s="0" t="inlineStr">
        <s:is>
          <s:t>이종훈</s:t>
        </s:is>
      </s:c>
      <s:c r="C322" s="0" t="n">
        <s:v>80511</s:v>
      </s:c>
      <s:c r="D322" s="0" t="n">
        <s:v>1510</s:v>
      </s:c>
      <s:c r="F322" s="24">
        <s:f>'자료구성'!$B$2+TIME(INT($C$3/10000),INT(MOD($C$3,10000)/100),MOD($C$3,100))+(ROW()-ROW($C$3))/86400</s:f>
        <s:v>46247.340625</s:v>
      </s:c>
    </s:row>
    <s:row r="323">
      <s:c r="A323" s="0" t="n">
        <s:v>260813</s:v>
      </s:c>
      <s:c r="B323" s="0" t="inlineStr">
        <s:is>
          <s:t>이종훈</s:t>
        </s:is>
      </s:c>
      <s:c r="C323" s="0" t="n">
        <s:v>80511</s:v>
      </s:c>
      <s:c r="D323" s="0" t="n">
        <s:v>1523</s:v>
      </s:c>
      <s:c r="F323" s="24">
        <s:f>'자료구성'!$B$2+TIME(INT($C$3/10000),INT(MOD($C$3,10000)/100),MOD($C$3,100))+(ROW()-ROW($C$3))/86400</s:f>
        <s:v>46247.340636574074</s:v>
      </s:c>
    </s:row>
    <s:row r="324">
      <s:c r="A324" s="0" t="n">
        <s:v>260813</s:v>
      </s:c>
      <s:c r="B324" s="0" t="inlineStr">
        <s:is>
          <s:t>이종훈</s:t>
        </s:is>
      </s:c>
      <s:c r="C324" s="0" t="n">
        <s:v>80511</s:v>
      </s:c>
      <s:c r="D324" s="0" t="n">
        <s:v>1505</s:v>
      </s:c>
      <s:c r="F324" s="24">
        <s:f>'자료구성'!$B$2+TIME(INT($C$3/10000),INT(MOD($C$3,10000)/100),MOD($C$3,100))+(ROW()-ROW($C$3))/86400</s:f>
        <s:v>46247.34064814815</s:v>
      </s:c>
    </s:row>
    <s:row r="325">
      <s:c r="A325" s="0" t="n">
        <s:v>260813</s:v>
      </s:c>
      <s:c r="B325" s="0" t="inlineStr">
        <s:is>
          <s:t>이종훈</s:t>
        </s:is>
      </s:c>
      <s:c r="C325" s="0" t="n">
        <s:v>80511</s:v>
      </s:c>
      <s:c r="D325" s="0" t="n">
        <s:v>1503</s:v>
      </s:c>
      <s:c r="F325" s="24">
        <s:f>'자료구성'!$B$2+TIME(INT($C$3/10000),INT(MOD($C$3,10000)/100),MOD($C$3,100))+(ROW()-ROW($C$3))/86400</s:f>
        <s:v>46247.34065972222</s:v>
      </s:c>
    </s:row>
    <s:row r="326">
      <s:c r="A326" s="0" t="n">
        <s:v>260813</s:v>
      </s:c>
      <s:c r="B326" s="0" t="inlineStr">
        <s:is>
          <s:t>이종훈</s:t>
        </s:is>
      </s:c>
      <s:c r="C326" s="0" t="n">
        <s:v>80511</s:v>
      </s:c>
      <s:c r="D326" s="0" t="n">
        <s:v>1532</s:v>
      </s:c>
      <s:c r="F326" s="24">
        <s:f>'자료구성'!$B$2+TIME(INT($C$3/10000),INT(MOD($C$3,10000)/100),MOD($C$3,100))+(ROW()-ROW($C$3))/86400</s:f>
        <s:v>46247.3406712963</s:v>
      </s:c>
    </s:row>
    <s:row r="327">
      <s:c r="A327" s="0" t="n">
        <s:v>260813</s:v>
      </s:c>
      <s:c r="B327" s="0" t="inlineStr">
        <s:is>
          <s:t>이종훈</s:t>
        </s:is>
      </s:c>
      <s:c r="C327" s="0" t="n">
        <s:v>80511</s:v>
      </s:c>
      <s:c r="D327" s="0" t="n">
        <s:v>1577</s:v>
      </s:c>
      <s:c r="F327" s="24">
        <s:f>'자료구성'!$B$2+TIME(INT($C$3/10000),INT(MOD($C$3,10000)/100),MOD($C$3,100))+(ROW()-ROW($C$3))/86400</s:f>
        <s:v>46247.340682870374</s:v>
      </s:c>
    </s:row>
    <s:row r="328">
      <s:c r="A328" s="0" t="n">
        <s:v>260813</s:v>
      </s:c>
      <s:c r="B328" s="0" t="inlineStr">
        <s:is>
          <s:t>이종훈</s:t>
        </s:is>
      </s:c>
      <s:c r="C328" s="0" t="n">
        <s:v>80511</s:v>
      </s:c>
      <s:c r="D328" s="0" t="n">
        <s:v>1602</s:v>
      </s:c>
      <s:c r="F328" s="24">
        <s:f>'자료구성'!$B$2+TIME(INT($C$3/10000),INT(MOD($C$3,10000)/100),MOD($C$3,100))+(ROW()-ROW($C$3))/86400</s:f>
        <s:v>46247.34069444444</s:v>
      </s:c>
    </s:row>
    <s:row r="329">
      <s:c r="A329" s="0" t="n">
        <s:v>260813</s:v>
      </s:c>
      <s:c r="B329" s="0" t="inlineStr">
        <s:is>
          <s:t>이종훈</s:t>
        </s:is>
      </s:c>
      <s:c r="C329" s="0" t="n">
        <s:v>80511</s:v>
      </s:c>
      <s:c r="D329" s="0" t="n">
        <s:v>1580</s:v>
      </s:c>
      <s:c r="F329" s="24">
        <s:f>'자료구성'!$B$2+TIME(INT($C$3/10000),INT(MOD($C$3,10000)/100),MOD($C$3,100))+(ROW()-ROW($C$3))/86400</s:f>
        <s:v>46247.34070601852</s:v>
      </s:c>
    </s:row>
    <s:row r="330">
      <s:c r="A330" s="0" t="n">
        <s:v>260813</s:v>
      </s:c>
      <s:c r="B330" s="0" t="inlineStr">
        <s:is>
          <s:t>이종훈</s:t>
        </s:is>
      </s:c>
      <s:c r="C330" s="0" t="n">
        <s:v>80511</s:v>
      </s:c>
      <s:c r="D330" s="0" t="n">
        <s:v>1559</s:v>
      </s:c>
      <s:c r="F330" s="24">
        <s:f>'자료구성'!$B$2+TIME(INT($C$3/10000),INT(MOD($C$3,10000)/100),MOD($C$3,100))+(ROW()-ROW($C$3))/86400</s:f>
        <s:v>46247.34071759259</s:v>
      </s:c>
    </s:row>
    <s:row r="331">
      <s:c r="A331" s="0" t="n">
        <s:v>260813</s:v>
      </s:c>
      <s:c r="B331" s="0" t="inlineStr">
        <s:is>
          <s:t>이종훈</s:t>
        </s:is>
      </s:c>
      <s:c r="C331" s="0" t="n">
        <s:v>80511</s:v>
      </s:c>
      <s:c r="D331" s="0" t="n">
        <s:v>1546</s:v>
      </s:c>
      <s:c r="F331" s="24">
        <s:f>'자료구성'!$B$2+TIME(INT($C$3/10000),INT(MOD($C$3,10000)/100),MOD($C$3,100))+(ROW()-ROW($C$3))/86400</s:f>
        <s:v>46247.340729166666</s:v>
      </s:c>
    </s:row>
    <s:row r="332">
      <s:c r="A332" s="0" t="n">
        <s:v>260813</s:v>
      </s:c>
      <s:c r="B332" s="0" t="inlineStr">
        <s:is>
          <s:t>이종훈</s:t>
        </s:is>
      </s:c>
      <s:c r="C332" s="0" t="n">
        <s:v>80511</s:v>
      </s:c>
      <s:c r="D332" s="0" t="n">
        <s:v>1544</s:v>
      </s:c>
      <s:c r="F332" s="24">
        <s:f>'자료구성'!$B$2+TIME(INT($C$3/10000),INT(MOD($C$3,10000)/100),MOD($C$3,100))+(ROW()-ROW($C$3))/86400</s:f>
        <s:v>46247.34074074074</s:v>
      </s:c>
    </s:row>
    <s:row r="333">
      <s:c r="A333" s="0" t="n">
        <s:v>260813</s:v>
      </s:c>
      <s:c r="B333" s="0" t="inlineStr">
        <s:is>
          <s:t>이종훈</s:t>
        </s:is>
      </s:c>
      <s:c r="C333" s="0" t="n">
        <s:v>80511</s:v>
      </s:c>
      <s:c r="D333" s="0" t="n">
        <s:v>1585</s:v>
      </s:c>
      <s:c r="F333" s="24">
        <s:f>'자료구성'!$B$2+TIME(INT($C$3/10000),INT(MOD($C$3,10000)/100),MOD($C$3,100))+(ROW()-ROW($C$3))/86400</s:f>
        <s:v>46247.34075231481</s:v>
      </s:c>
    </s:row>
    <s:row r="334">
      <s:c r="A334" s="0" t="n">
        <s:v>260813</s:v>
      </s:c>
      <s:c r="B334" s="0" t="inlineStr">
        <s:is>
          <s:t>이종훈</s:t>
        </s:is>
      </s:c>
      <s:c r="C334" s="0" t="n">
        <s:v>80511</s:v>
      </s:c>
      <s:c r="D334" s="0" t="n">
        <s:v>1569</s:v>
      </s:c>
      <s:c r="F334" s="24">
        <s:f>'자료구성'!$B$2+TIME(INT($C$3/10000),INT(MOD($C$3,10000)/100),MOD($C$3,100))+(ROW()-ROW($C$3))/86400</s:f>
        <s:v>46247.34076388889</s:v>
      </s:c>
    </s:row>
    <s:row r="335">
      <s:c r="A335" s="0" t="n">
        <s:v>260813</s:v>
      </s:c>
      <s:c r="B335" s="0" t="inlineStr">
        <s:is>
          <s:t>이종훈</s:t>
        </s:is>
      </s:c>
      <s:c r="C335" s="0" t="n">
        <s:v>80511</s:v>
      </s:c>
      <s:c r="D335" s="0" t="n">
        <s:v>1560</s:v>
      </s:c>
      <s:c r="F335" s="24">
        <s:f>'자료구성'!$B$2+TIME(INT($C$3/10000),INT(MOD($C$3,10000)/100),MOD($C$3,100))+(ROW()-ROW($C$3))/86400</s:f>
        <s:v>46247.340775462966</s:v>
      </s:c>
    </s:row>
    <s:row r="336">
      <s:c r="A336" s="0" t="n">
        <s:v>260813</s:v>
      </s:c>
      <s:c r="B336" s="0" t="inlineStr">
        <s:is>
          <s:t>이종훈</s:t>
        </s:is>
      </s:c>
      <s:c r="C336" s="0" t="n">
        <s:v>80511</s:v>
      </s:c>
      <s:c r="D336" s="0" t="n">
        <s:v>1500</s:v>
      </s:c>
      <s:c r="F336" s="24">
        <s:f>'자료구성'!$B$2+TIME(INT($C$3/10000),INT(MOD($C$3,10000)/100),MOD($C$3,100))+(ROW()-ROW($C$3))/86400</s:f>
        <s:v>46247.340787037036</s:v>
      </s:c>
    </s:row>
    <s:row r="337">
      <s:c r="A337" s="0" t="n">
        <s:v>260813</s:v>
      </s:c>
      <s:c r="B337" s="0" t="inlineStr">
        <s:is>
          <s:t>이종훈</s:t>
        </s:is>
      </s:c>
      <s:c r="C337" s="0" t="n">
        <s:v>80511</s:v>
      </s:c>
      <s:c r="D337" s="0" t="n">
        <s:v>1450</s:v>
      </s:c>
      <s:c r="F337" s="24">
        <s:f>'자료구성'!$B$2+TIME(INT($C$3/10000),INT(MOD($C$3,10000)/100),MOD($C$3,100))+(ROW()-ROW($C$3))/86400</s:f>
        <s:v>46247.34079861111</s:v>
      </s:c>
    </s:row>
    <s:row r="338">
      <s:c r="A338" s="0" t="n">
        <s:v>260813</s:v>
      </s:c>
      <s:c r="B338" s="0" t="inlineStr">
        <s:is>
          <s:t>이종훈</s:t>
        </s:is>
      </s:c>
      <s:c r="C338" s="0" t="n">
        <s:v>80511</s:v>
      </s:c>
      <s:c r="D338" s="0" t="n">
        <s:v>1418</s:v>
      </s:c>
      <s:c r="F338" s="24">
        <s:f>'자료구성'!$B$2+TIME(INT($C$3/10000),INT(MOD($C$3,10000)/100),MOD($C$3,100))+(ROW()-ROW($C$3))/86400</s:f>
        <s:v>46247.34081018518</s:v>
      </s:c>
    </s:row>
    <s:row r="339">
      <s:c r="A339" s="0" t="n">
        <s:v>260813</s:v>
      </s:c>
      <s:c r="B339" s="0" t="inlineStr">
        <s:is>
          <s:t>이종훈</s:t>
        </s:is>
      </s:c>
      <s:c r="C339" s="0" t="n">
        <s:v>80511</s:v>
      </s:c>
      <s:c r="D339" s="0" t="n">
        <s:v>1404</s:v>
      </s:c>
      <s:c r="F339" s="24">
        <s:f>'자료구성'!$B$2+TIME(INT($C$3/10000),INT(MOD($C$3,10000)/100),MOD($C$3,100))+(ROW()-ROW($C$3))/86400</s:f>
        <s:v>46247.34082175926</s:v>
      </s:c>
    </s:row>
    <s:row r="340">
      <s:c r="A340" s="0" t="n">
        <s:v>260813</s:v>
      </s:c>
      <s:c r="B340" s="0" t="inlineStr">
        <s:is>
          <s:t>이종훈</s:t>
        </s:is>
      </s:c>
      <s:c r="C340" s="0" t="n">
        <s:v>80511</s:v>
      </s:c>
      <s:c r="D340" s="0" t="n">
        <s:v>1385</s:v>
      </s:c>
      <s:c r="F340" s="24">
        <s:f>'자료구성'!$B$2+TIME(INT($C$3/10000),INT(MOD($C$3,10000)/100),MOD($C$3,100))+(ROW()-ROW($C$3))/86400</s:f>
        <s:v>46247.340833333335</s:v>
      </s:c>
    </s:row>
    <s:row r="341">
      <s:c r="A341" s="0" t="n">
        <s:v>260813</s:v>
      </s:c>
      <s:c r="B341" s="0" t="inlineStr">
        <s:is>
          <s:t>이종훈</s:t>
        </s:is>
      </s:c>
      <s:c r="C341" s="0" t="n">
        <s:v>80511</s:v>
      </s:c>
      <s:c r="D341" s="0" t="n">
        <s:v>1400</s:v>
      </s:c>
      <s:c r="F341" s="24">
        <s:f>'자료구성'!$B$2+TIME(INT($C$3/10000),INT(MOD($C$3,10000)/100),MOD($C$3,100))+(ROW()-ROW($C$3))/86400</s:f>
        <s:v>46247.340844907405</s:v>
      </s:c>
    </s:row>
    <s:row r="342">
      <s:c r="A342" s="0" t="n">
        <s:v>260813</s:v>
      </s:c>
      <s:c r="B342" s="0" t="inlineStr">
        <s:is>
          <s:t>이종훈</s:t>
        </s:is>
      </s:c>
      <s:c r="C342" s="0" t="n">
        <s:v>80511</s:v>
      </s:c>
      <s:c r="D342" s="0" t="n">
        <s:v>1420</s:v>
      </s:c>
      <s:c r="F342" s="24">
        <s:f>'자료구성'!$B$2+TIME(INT($C$3/10000),INT(MOD($C$3,10000)/100),MOD($C$3,100))+(ROW()-ROW($C$3))/86400</s:f>
        <s:v>46247.34085648148</s:v>
      </s:c>
    </s:row>
    <s:row r="343">
      <s:c r="A343" s="0" t="n">
        <s:v>260813</s:v>
      </s:c>
      <s:c r="B343" s="0" t="inlineStr">
        <s:is>
          <s:t>이종훈</s:t>
        </s:is>
      </s:c>
      <s:c r="C343" s="0" t="n">
        <s:v>80511</s:v>
      </s:c>
      <s:c r="D343" s="0" t="n">
        <s:v>1496</s:v>
      </s:c>
      <s:c r="F343" s="24">
        <s:f>'자료구성'!$B$2+TIME(INT($C$3/10000),INT(MOD($C$3,10000)/100),MOD($C$3,100))+(ROW()-ROW($C$3))/86400</s:f>
        <s:v>46247.34086805556</s:v>
      </s:c>
    </s:row>
    <s:row r="344">
      <s:c r="A344" s="0" t="n">
        <s:v>260813</s:v>
      </s:c>
      <s:c r="B344" s="0" t="inlineStr">
        <s:is>
          <s:t>이종훈</s:t>
        </s:is>
      </s:c>
      <s:c r="C344" s="0" t="n">
        <s:v>80511</s:v>
      </s:c>
      <s:c r="D344" s="0" t="n">
        <s:v>1553</s:v>
      </s:c>
      <s:c r="F344" s="24">
        <s:f>'자료구성'!$B$2+TIME(INT($C$3/10000),INT(MOD($C$3,10000)/100),MOD($C$3,100))+(ROW()-ROW($C$3))/86400</s:f>
        <s:v>46247.34087962963</s:v>
      </s:c>
    </s:row>
    <s:row r="345">
      <s:c r="A345" s="0" t="n">
        <s:v>260813</s:v>
      </s:c>
      <s:c r="B345" s="0" t="inlineStr">
        <s:is>
          <s:t>이종훈</s:t>
        </s:is>
      </s:c>
      <s:c r="C345" s="0" t="n">
        <s:v>80511</s:v>
      </s:c>
      <s:c r="D345" s="0" t="n">
        <s:v>1607</s:v>
      </s:c>
      <s:c r="F345" s="24">
        <s:f>'자료구성'!$B$2+TIME(INT($C$3/10000),INT(MOD($C$3,10000)/100),MOD($C$3,100))+(ROW()-ROW($C$3))/86400</s:f>
        <s:v>46247.340891203705</s:v>
      </s:c>
    </s:row>
    <s:row r="346">
      <s:c r="A346" s="0" t="n">
        <s:v>260813</s:v>
      </s:c>
      <s:c r="B346" s="0" t="inlineStr">
        <s:is>
          <s:t>이종훈</s:t>
        </s:is>
      </s:c>
      <s:c r="C346" s="0" t="n">
        <s:v>80511</s:v>
      </s:c>
      <s:c r="D346" s="0" t="n">
        <s:v>1636</s:v>
      </s:c>
      <s:c r="F346" s="24">
        <s:f>'자료구성'!$B$2+TIME(INT($C$3/10000),INT(MOD($C$3,10000)/100),MOD($C$3,100))+(ROW()-ROW($C$3))/86400</s:f>
        <s:v>46247.340902777774</s:v>
      </s:c>
    </s:row>
    <s:row r="347">
      <s:c r="A347" s="0" t="n">
        <s:v>260813</s:v>
      </s:c>
      <s:c r="B347" s="0" t="inlineStr">
        <s:is>
          <s:t>이종훈</s:t>
        </s:is>
      </s:c>
      <s:c r="C347" s="0" t="n">
        <s:v>80511</s:v>
      </s:c>
      <s:c r="D347" s="0" t="n">
        <s:v>1624</s:v>
      </s:c>
      <s:c r="F347" s="24">
        <s:f>'자료구성'!$B$2+TIME(INT($C$3/10000),INT(MOD($C$3,10000)/100),MOD($C$3,100))+(ROW()-ROW($C$3))/86400</s:f>
        <s:v>46247.34091435185</s:v>
      </s:c>
    </s:row>
    <s:row r="348">
      <s:c r="A348" s="0" t="n">
        <s:v>260813</s:v>
      </s:c>
      <s:c r="B348" s="0" t="inlineStr">
        <s:is>
          <s:t>이종훈</s:t>
        </s:is>
      </s:c>
      <s:c r="C348" s="0" t="n">
        <s:v>80511</s:v>
      </s:c>
      <s:c r="D348" s="0" t="n">
        <s:v>1627</s:v>
      </s:c>
      <s:c r="F348" s="24">
        <s:f>'자료구성'!$B$2+TIME(INT($C$3/10000),INT(MOD($C$3,10000)/100),MOD($C$3,100))+(ROW()-ROW($C$3))/86400</s:f>
        <s:v>46247.34092592593</s:v>
      </s:c>
    </s:row>
    <s:row r="349">
      <s:c r="A349" s="0" t="n">
        <s:v>260813</s:v>
      </s:c>
      <s:c r="B349" s="0" t="inlineStr">
        <s:is>
          <s:t>이종훈</s:t>
        </s:is>
      </s:c>
      <s:c r="C349" s="0" t="n">
        <s:v>80511</s:v>
      </s:c>
      <s:c r="D349" s="0" t="n">
        <s:v>1627</s:v>
      </s:c>
      <s:c r="F349" s="24">
        <s:f>'자료구성'!$B$2+TIME(INT($C$3/10000),INT(MOD($C$3,10000)/100),MOD($C$3,100))+(ROW()-ROW($C$3))/86400</s:f>
        <s:v>46247.3409375</s:v>
      </s:c>
    </s:row>
    <s:row r="350">
      <s:c r="A350" s="0" t="n">
        <s:v>260813</s:v>
      </s:c>
      <s:c r="B350" s="0" t="inlineStr">
        <s:is>
          <s:t>이종훈</s:t>
        </s:is>
      </s:c>
      <s:c r="C350" s="0" t="n">
        <s:v>80511</s:v>
      </s:c>
      <s:c r="D350" s="0" t="n">
        <s:v>1638</s:v>
      </s:c>
      <s:c r="F350" s="24">
        <s:f>'자료구성'!$B$2+TIME(INT($C$3/10000),INT(MOD($C$3,10000)/100),MOD($C$3,100))+(ROW()-ROW($C$3))/86400</s:f>
        <s:v>46247.340949074074</s:v>
      </s:c>
    </s:row>
    <s:row r="351">
      <s:c r="A351" s="0" t="n">
        <s:v>260813</s:v>
      </s:c>
      <s:c r="B351" s="0" t="inlineStr">
        <s:is>
          <s:t>이종훈</s:t>
        </s:is>
      </s:c>
      <s:c r="C351" s="0" t="n">
        <s:v>80511</s:v>
      </s:c>
      <s:c r="D351" s="0" t="n">
        <s:v>1664</s:v>
      </s:c>
      <s:c r="F351" s="24">
        <s:f>'자료구성'!$B$2+TIME(INT($C$3/10000),INT(MOD($C$3,10000)/100),MOD($C$3,100))+(ROW()-ROW($C$3))/86400</s:f>
        <s:v>46247.34096064815</s:v>
      </s:c>
    </s:row>
    <s:row r="352">
      <s:c r="A352" s="0" t="n">
        <s:v>260813</s:v>
      </s:c>
      <s:c r="B352" s="0" t="inlineStr">
        <s:is>
          <s:t>이종훈</s:t>
        </s:is>
      </s:c>
      <s:c r="C352" s="0" t="n">
        <s:v>80511</s:v>
      </s:c>
      <s:c r="D352" s="0" t="n">
        <s:v>1666</s:v>
      </s:c>
      <s:c r="F352" s="24">
        <s:f>'자료구성'!$B$2+TIME(INT($C$3/10000),INT(MOD($C$3,10000)/100),MOD($C$3,100))+(ROW()-ROW($C$3))/86400</s:f>
        <s:v>46247.34097222222</s:v>
      </s:c>
    </s:row>
    <s:row r="353">
      <s:c r="A353" s="0" t="n">
        <s:v>260813</s:v>
      </s:c>
      <s:c r="B353" s="0" t="inlineStr">
        <s:is>
          <s:t>이종훈</s:t>
        </s:is>
      </s:c>
      <s:c r="C353" s="0" t="n">
        <s:v>80511</s:v>
      </s:c>
      <s:c r="D353" s="0" t="n">
        <s:v>1675</s:v>
      </s:c>
      <s:c r="F353" s="24">
        <s:f>'자료구성'!$B$2+TIME(INT($C$3/10000),INT(MOD($C$3,10000)/100),MOD($C$3,100))+(ROW()-ROW($C$3))/86400</s:f>
        <s:v>46247.3409837963</s:v>
      </s:c>
    </s:row>
    <s:row r="354">
      <s:c r="A354" s="0" t="n">
        <s:v>260813</s:v>
      </s:c>
      <s:c r="B354" s="0" t="inlineStr">
        <s:is>
          <s:t>이종훈</s:t>
        </s:is>
      </s:c>
      <s:c r="C354" s="0" t="n">
        <s:v>80511</s:v>
      </s:c>
      <s:c r="D354" s="0" t="n">
        <s:v>1669</s:v>
      </s:c>
      <s:c r="F354" s="24">
        <s:f>'자료구성'!$B$2+TIME(INT($C$3/10000),INT(MOD($C$3,10000)/100),MOD($C$3,100))+(ROW()-ROW($C$3))/86400</s:f>
        <s:v>46247.340995370374</s:v>
      </s:c>
    </s:row>
    <s:row r="355">
      <s:c r="A355" s="0" t="n">
        <s:v>260813</s:v>
      </s:c>
      <s:c r="B355" s="0" t="inlineStr">
        <s:is>
          <s:t>이종훈</s:t>
        </s:is>
      </s:c>
      <s:c r="C355" s="0" t="n">
        <s:v>80511</s:v>
      </s:c>
      <s:c r="D355" s="0" t="n">
        <s:v>1661</s:v>
      </s:c>
      <s:c r="F355" s="24">
        <s:f>'자료구성'!$B$2+TIME(INT($C$3/10000),INT(MOD($C$3,10000)/100),MOD($C$3,100))+(ROW()-ROW($C$3))/86400</s:f>
        <s:v>46247.34100694444</s:v>
      </s:c>
    </s:row>
    <s:row r="356">
      <s:c r="A356" s="0" t="n">
        <s:v>260813</s:v>
      </s:c>
      <s:c r="B356" s="0" t="inlineStr">
        <s:is>
          <s:t>이종훈</s:t>
        </s:is>
      </s:c>
      <s:c r="C356" s="0" t="n">
        <s:v>80511</s:v>
      </s:c>
      <s:c r="D356" s="0" t="n">
        <s:v>1658</s:v>
      </s:c>
      <s:c r="F356" s="24">
        <s:f>'자료구성'!$B$2+TIME(INT($C$3/10000),INT(MOD($C$3,10000)/100),MOD($C$3,100))+(ROW()-ROW($C$3))/86400</s:f>
        <s:v>46247.34101851852</s:v>
      </s:c>
    </s:row>
    <s:row r="357">
      <s:c r="A357" s="0" t="n">
        <s:v>260813</s:v>
      </s:c>
      <s:c r="B357" s="0" t="inlineStr">
        <s:is>
          <s:t>이종훈</s:t>
        </s:is>
      </s:c>
      <s:c r="C357" s="0" t="n">
        <s:v>80511</s:v>
      </s:c>
      <s:c r="D357" s="0" t="n">
        <s:v>1633</s:v>
      </s:c>
      <s:c r="F357" s="24">
        <s:f>'자료구성'!$B$2+TIME(INT($C$3/10000),INT(MOD($C$3,10000)/100),MOD($C$3,100))+(ROW()-ROW($C$3))/86400</s:f>
        <s:v>46247.34103009259</s:v>
      </s:c>
    </s:row>
    <s:row r="358">
      <s:c r="A358" s="0" t="n">
        <s:v>260813</s:v>
      </s:c>
      <s:c r="B358" s="0" t="inlineStr">
        <s:is>
          <s:t>이종훈</s:t>
        </s:is>
      </s:c>
      <s:c r="C358" s="0" t="n">
        <s:v>80511</s:v>
      </s:c>
      <s:c r="D358" s="0" t="n">
        <s:v>1614</s:v>
      </s:c>
      <s:c r="F358" s="24">
        <s:f>'자료구성'!$B$2+TIME(INT($C$3/10000),INT(MOD($C$3,10000)/100),MOD($C$3,100))+(ROW()-ROW($C$3))/86400</s:f>
        <s:v>46247.34104166667</s:v>
      </s:c>
    </s:row>
    <s:row r="359">
      <s:c r="A359" s="0" t="n">
        <s:v>260813</s:v>
      </s:c>
      <s:c r="B359" s="0" t="inlineStr">
        <s:is>
          <s:t>이종훈</s:t>
        </s:is>
      </s:c>
      <s:c r="C359" s="0" t="n">
        <s:v>80511</s:v>
      </s:c>
      <s:c r="D359" s="0" t="n">
        <s:v>1596</s:v>
      </s:c>
      <s:c r="F359" s="24">
        <s:f>'자료구성'!$B$2+TIME(INT($C$3/10000),INT(MOD($C$3,10000)/100),MOD($C$3,100))+(ROW()-ROW($C$3))/86400</s:f>
        <s:v>46247.34105324074</s:v>
      </s:c>
    </s:row>
    <s:row r="360">
      <s:c r="A360" s="0" t="n">
        <s:v>260813</s:v>
      </s:c>
      <s:c r="B360" s="0" t="inlineStr">
        <s:is>
          <s:t>이종훈</s:t>
        </s:is>
      </s:c>
      <s:c r="C360" s="0" t="n">
        <s:v>80511</s:v>
      </s:c>
      <s:c r="D360" s="0" t="n">
        <s:v>1608</s:v>
      </s:c>
      <s:c r="F360" s="24">
        <s:f>'자료구성'!$B$2+TIME(INT($C$3/10000),INT(MOD($C$3,10000)/100),MOD($C$3,100))+(ROW()-ROW($C$3))/86400</s:f>
        <s:v>46247.34106481481</s:v>
      </s:c>
    </s:row>
    <s:row r="361">
      <s:c r="A361" s="0" t="n">
        <s:v>260813</s:v>
      </s:c>
      <s:c r="B361" s="0" t="inlineStr">
        <s:is>
          <s:t>이종훈</s:t>
        </s:is>
      </s:c>
      <s:c r="C361" s="0" t="n">
        <s:v>80511</s:v>
      </s:c>
      <s:c r="D361" s="0" t="n">
        <s:v>1615</s:v>
      </s:c>
      <s:c r="F361" s="24">
        <s:f>'자료구성'!$B$2+TIME(INT($C$3/10000),INT(MOD($C$3,10000)/100),MOD($C$3,100))+(ROW()-ROW($C$3))/86400</s:f>
        <s:v>46247.34107638889</s:v>
      </s:c>
    </s:row>
    <s:row r="362">
      <s:c r="A362" s="0" t="n">
        <s:v>260813</s:v>
      </s:c>
      <s:c r="B362" s="0" t="inlineStr">
        <s:is>
          <s:t>이종훈</s:t>
        </s:is>
      </s:c>
      <s:c r="C362" s="0" t="n">
        <s:v>80511</s:v>
      </s:c>
      <s:c r="D362" s="0" t="n">
        <s:v>1613</s:v>
      </s:c>
      <s:c r="F362" s="24">
        <s:f>'자료구성'!$B$2+TIME(INT($C$3/10000),INT(MOD($C$3,10000)/100),MOD($C$3,100))+(ROW()-ROW($C$3))/86400</s:f>
        <s:v>46247.34108796297</s:v>
      </s:c>
    </s:row>
    <s:row r="363">
      <s:c r="A363" s="0" t="n">
        <s:v>260813</s:v>
      </s:c>
      <s:c r="B363" s="0" t="inlineStr">
        <s:is>
          <s:t>이종훈</s:t>
        </s:is>
      </s:c>
      <s:c r="C363" s="0" t="n">
        <s:v>80511</s:v>
      </s:c>
      <s:c r="D363" s="0" t="n">
        <s:v>1597</s:v>
      </s:c>
      <s:c r="F363" s="24">
        <s:f>'자료구성'!$B$2+TIME(INT($C$3/10000),INT(MOD($C$3,10000)/100),MOD($C$3,100))+(ROW()-ROW($C$3))/86400</s:f>
        <s:v>46247.341099537036</s:v>
      </s:c>
    </s:row>
    <s:row r="364">
      <s:c r="A364" s="0" t="n">
        <s:v>260813</s:v>
      </s:c>
      <s:c r="B364" s="0" t="inlineStr">
        <s:is>
          <s:t>이종훈</s:t>
        </s:is>
      </s:c>
      <s:c r="C364" s="0" t="n">
        <s:v>80511</s:v>
      </s:c>
      <s:c r="D364" s="0" t="n">
        <s:v>1610</s:v>
      </s:c>
      <s:c r="F364" s="24">
        <s:f>'자료구성'!$B$2+TIME(INT($C$3/10000),INT(MOD($C$3,10000)/100),MOD($C$3,100))+(ROW()-ROW($C$3))/86400</s:f>
        <s:v>46247.34111111111</s:v>
      </s:c>
    </s:row>
    <s:row r="365">
      <s:c r="A365" s="0" t="n">
        <s:v>260813</s:v>
      </s:c>
      <s:c r="B365" s="0" t="inlineStr">
        <s:is>
          <s:t>이종훈</s:t>
        </s:is>
      </s:c>
      <s:c r="C365" s="0" t="n">
        <s:v>80511</s:v>
      </s:c>
      <s:c r="D365" s="0" t="n">
        <s:v>1611</s:v>
      </s:c>
      <s:c r="F365" s="24">
        <s:f>'자료구성'!$B$2+TIME(INT($C$3/10000),INT(MOD($C$3,10000)/100),MOD($C$3,100))+(ROW()-ROW($C$3))/86400</s:f>
        <s:v>46247.34112268518</s:v>
      </s:c>
    </s:row>
    <s:row r="366">
      <s:c r="A366" s="0" t="n">
        <s:v>260813</s:v>
      </s:c>
      <s:c r="B366" s="0" t="inlineStr">
        <s:is>
          <s:t>이종훈</s:t>
        </s:is>
      </s:c>
      <s:c r="C366" s="0" t="n">
        <s:v>80511</s:v>
      </s:c>
      <s:c r="D366" s="0" t="n">
        <s:v>1650</s:v>
      </s:c>
      <s:c r="F366" s="24">
        <s:f>'자료구성'!$B$2+TIME(INT($C$3/10000),INT(MOD($C$3,10000)/100),MOD($C$3,100))+(ROW()-ROW($C$3))/86400</s:f>
        <s:v>46247.34113425926</s:v>
      </s:c>
    </s:row>
    <s:row r="367">
      <s:c r="A367" s="0" t="n">
        <s:v>260813</s:v>
      </s:c>
      <s:c r="B367" s="0" t="inlineStr">
        <s:is>
          <s:t>이종훈</s:t>
        </s:is>
      </s:c>
      <s:c r="C367" s="0" t="n">
        <s:v>80511</s:v>
      </s:c>
      <s:c r="D367" s="0" t="n">
        <s:v>1732</s:v>
      </s:c>
      <s:c r="F367" s="24">
        <s:f>'자료구성'!$B$2+TIME(INT($C$3/10000),INT(MOD($C$3,10000)/100),MOD($C$3,100))+(ROW()-ROW($C$3))/86400</s:f>
        <s:v>46247.341145833336</s:v>
      </s:c>
    </s:row>
    <s:row r="368">
      <s:c r="A368" s="0" t="n">
        <s:v>260813</s:v>
      </s:c>
      <s:c r="B368" s="0" t="inlineStr">
        <s:is>
          <s:t>이종훈</s:t>
        </s:is>
      </s:c>
      <s:c r="C368" s="0" t="n">
        <s:v>80511</s:v>
      </s:c>
      <s:c r="D368" s="0" t="n">
        <s:v>1756</s:v>
      </s:c>
      <s:c r="F368" s="24">
        <s:f>'자료구성'!$B$2+TIME(INT($C$3/10000),INT(MOD($C$3,10000)/100),MOD($C$3,100))+(ROW()-ROW($C$3))/86400</s:f>
        <s:v>46247.341157407405</s:v>
      </s:c>
    </s:row>
    <s:row r="369">
      <s:c r="A369" s="0" t="n">
        <s:v>260813</s:v>
      </s:c>
      <s:c r="B369" s="0" t="inlineStr">
        <s:is>
          <s:t>이종훈</s:t>
        </s:is>
      </s:c>
      <s:c r="C369" s="0" t="n">
        <s:v>80511</s:v>
      </s:c>
      <s:c r="D369" s="0" t="n">
        <s:v>1763</s:v>
      </s:c>
      <s:c r="F369" s="24">
        <s:f>'자료구성'!$B$2+TIME(INT($C$3/10000),INT(MOD($C$3,10000)/100),MOD($C$3,100))+(ROW()-ROW($C$3))/86400</s:f>
        <s:v>46247.34116898148</s:v>
      </s:c>
    </s:row>
    <s:row r="370">
      <s:c r="A370" s="0" t="n">
        <s:v>260813</s:v>
      </s:c>
      <s:c r="B370" s="0" t="inlineStr">
        <s:is>
          <s:t>이종훈</s:t>
        </s:is>
      </s:c>
      <s:c r="C370" s="0" t="n">
        <s:v>80511</s:v>
      </s:c>
      <s:c r="D370" s="0" t="n">
        <s:v>1761</s:v>
      </s:c>
      <s:c r="F370" s="24">
        <s:f>'자료구성'!$B$2+TIME(INT($C$3/10000),INT(MOD($C$3,10000)/100),MOD($C$3,100))+(ROW()-ROW($C$3))/86400</s:f>
        <s:v>46247.34118055556</s:v>
      </s:c>
    </s:row>
    <s:row r="371">
      <s:c r="A371" s="0" t="n">
        <s:v>260813</s:v>
      </s:c>
      <s:c r="B371" s="0" t="inlineStr">
        <s:is>
          <s:t>이종훈</s:t>
        </s:is>
      </s:c>
      <s:c r="C371" s="0" t="n">
        <s:v>80511</s:v>
      </s:c>
      <s:c r="D371" s="0" t="n">
        <s:v>1749</s:v>
      </s:c>
      <s:c r="F371" s="24">
        <s:f>'자료구성'!$B$2+TIME(INT($C$3/10000),INT(MOD($C$3,10000)/100),MOD($C$3,100))+(ROW()-ROW($C$3))/86400</s:f>
        <s:v>46247.34119212963</s:v>
      </s:c>
    </s:row>
    <s:row r="372">
      <s:c r="A372" s="0" t="n">
        <s:v>260813</s:v>
      </s:c>
      <s:c r="B372" s="0" t="inlineStr">
        <s:is>
          <s:t>이종훈</s:t>
        </s:is>
      </s:c>
      <s:c r="C372" s="0" t="n">
        <s:v>80511</s:v>
      </s:c>
      <s:c r="D372" s="0" t="n">
        <s:v>1750</s:v>
      </s:c>
      <s:c r="F372" s="24">
        <s:f>'자료구성'!$B$2+TIME(INT($C$3/10000),INT(MOD($C$3,10000)/100),MOD($C$3,100))+(ROW()-ROW($C$3))/86400</s:f>
        <s:v>46247.341203703705</s:v>
      </s:c>
    </s:row>
    <s:row r="373">
      <s:c r="A373" s="0" t="n">
        <s:v>260813</s:v>
      </s:c>
      <s:c r="B373" s="0" t="inlineStr">
        <s:is>
          <s:t>이종훈</s:t>
        </s:is>
      </s:c>
      <s:c r="C373" s="0" t="n">
        <s:v>80511</s:v>
      </s:c>
      <s:c r="D373" s="0" t="n">
        <s:v>1752</s:v>
      </s:c>
      <s:c r="F373" s="24">
        <s:f>'자료구성'!$B$2+TIME(INT($C$3/10000),INT(MOD($C$3,10000)/100),MOD($C$3,100))+(ROW()-ROW($C$3))/86400</s:f>
        <s:v>46247.341215277775</s:v>
      </s:c>
    </s:row>
    <s:row r="374">
      <s:c r="A374" s="0" t="n">
        <s:v>260813</s:v>
      </s:c>
      <s:c r="B374" s="0" t="inlineStr">
        <s:is>
          <s:t>이종훈</s:t>
        </s:is>
      </s:c>
      <s:c r="C374" s="0" t="n">
        <s:v>80511</s:v>
      </s:c>
      <s:c r="D374" s="0" t="n">
        <s:v>1776</s:v>
      </s:c>
      <s:c r="F374" s="24">
        <s:f>'자료구성'!$B$2+TIME(INT($C$3/10000),INT(MOD($C$3,10000)/100),MOD($C$3,100))+(ROW()-ROW($C$3))/86400</s:f>
        <s:v>46247.34122685185</s:v>
      </s:c>
    </s:row>
    <s:row r="375">
      <s:c r="A375" s="0" t="n">
        <s:v>260813</s:v>
      </s:c>
      <s:c r="B375" s="0" t="inlineStr">
        <s:is>
          <s:t>이종훈</s:t>
        </s:is>
      </s:c>
      <s:c r="C375" s="0" t="n">
        <s:v>80511</s:v>
      </s:c>
      <s:c r="D375" s="0" t="n">
        <s:v>1793</s:v>
      </s:c>
      <s:c r="F375" s="24">
        <s:f>'자료구성'!$B$2+TIME(INT($C$3/10000),INT(MOD($C$3,10000)/100),MOD($C$3,100))+(ROW()-ROW($C$3))/86400</s:f>
        <s:v>46247.34123842593</s:v>
      </s:c>
    </s:row>
    <s:row r="376">
      <s:c r="A376" s="0" t="n">
        <s:v>260813</s:v>
      </s:c>
      <s:c r="B376" s="0" t="inlineStr">
        <s:is>
          <s:t>이종훈</s:t>
        </s:is>
      </s:c>
      <s:c r="C376" s="0" t="n">
        <s:v>80511</s:v>
      </s:c>
      <s:c r="D376" s="0" t="n">
        <s:v>1811</s:v>
      </s:c>
      <s:c r="F376" s="24">
        <s:f>'자료구성'!$B$2+TIME(INT($C$3/10000),INT(MOD($C$3,10000)/100),MOD($C$3,100))+(ROW()-ROW($C$3))/86400</s:f>
        <s:v>46247.34125</s:v>
      </s:c>
    </s:row>
    <s:row r="377">
      <s:c r="A377" s="0" t="n">
        <s:v>260813</s:v>
      </s:c>
      <s:c r="B377" s="0" t="inlineStr">
        <s:is>
          <s:t>이종훈</s:t>
        </s:is>
      </s:c>
      <s:c r="C377" s="0" t="n">
        <s:v>80511</s:v>
      </s:c>
      <s:c r="D377" s="0" t="n">
        <s:v>1844</s:v>
      </s:c>
      <s:c r="F377" s="24">
        <s:f>'자료구성'!$B$2+TIME(INT($C$3/10000),INT(MOD($C$3,10000)/100),MOD($C$3,100))+(ROW()-ROW($C$3))/86400</s:f>
        <s:v>46247.341261574074</s:v>
      </s:c>
    </s:row>
    <s:row r="378">
      <s:c r="A378" s="0" t="n">
        <s:v>260813</s:v>
      </s:c>
      <s:c r="B378" s="0" t="inlineStr">
        <s:is>
          <s:t>이종훈</s:t>
        </s:is>
      </s:c>
      <s:c r="C378" s="0" t="n">
        <s:v>80511</s:v>
      </s:c>
      <s:c r="D378" s="0" t="n">
        <s:v>1877</s:v>
      </s:c>
      <s:c r="F378" s="24">
        <s:f>'자료구성'!$B$2+TIME(INT($C$3/10000),INT(MOD($C$3,10000)/100),MOD($C$3,100))+(ROW()-ROW($C$3))/86400</s:f>
        <s:v>46247.34127314815</s:v>
      </s:c>
    </s:row>
    <s:row r="379">
      <s:c r="A379" s="0" t="n">
        <s:v>260813</s:v>
      </s:c>
      <s:c r="B379" s="0" t="inlineStr">
        <s:is>
          <s:t>이종훈</s:t>
        </s:is>
      </s:c>
      <s:c r="C379" s="0" t="n">
        <s:v>80511</s:v>
      </s:c>
      <s:c r="D379" s="0" t="n">
        <s:v>1904</s:v>
      </s:c>
      <s:c r="F379" s="24">
        <s:f>'자료구성'!$B$2+TIME(INT($C$3/10000),INT(MOD($C$3,10000)/100),MOD($C$3,100))+(ROW()-ROW($C$3))/86400</s:f>
        <s:v>46247.34128472222</s:v>
      </s:c>
    </s:row>
    <s:row r="380">
      <s:c r="A380" s="0" t="n">
        <s:v>260813</s:v>
      </s:c>
      <s:c r="B380" s="0" t="inlineStr">
        <s:is>
          <s:t>이종훈</s:t>
        </s:is>
      </s:c>
      <s:c r="C380" s="0" t="n">
        <s:v>80511</s:v>
      </s:c>
      <s:c r="D380" s="0" t="n">
        <s:v>1975</s:v>
      </s:c>
      <s:c r="F380" s="24">
        <s:f>'자료구성'!$B$2+TIME(INT($C$3/10000),INT(MOD($C$3,10000)/100),MOD($C$3,100))+(ROW()-ROW($C$3))/86400</s:f>
        <s:v>46247.3412962963</s:v>
      </s:c>
    </s:row>
    <s:row r="381">
      <s:c r="A381" s="0" t="n">
        <s:v>260813</s:v>
      </s:c>
      <s:c r="B381" s="0" t="inlineStr">
        <s:is>
          <s:t>이종훈</s:t>
        </s:is>
      </s:c>
      <s:c r="C381" s="0" t="n">
        <s:v>80511</s:v>
      </s:c>
      <s:c r="D381" s="0" t="n">
        <s:v>2014</s:v>
      </s:c>
      <s:c r="F381" s="24">
        <s:f>'자료구성'!$B$2+TIME(INT($C$3/10000),INT(MOD($C$3,10000)/100),MOD($C$3,100))+(ROW()-ROW($C$3))/86400</s:f>
        <s:v>46247.34130787037</s:v>
      </s:c>
    </s:row>
    <s:row r="382">
      <s:c r="A382" s="0" t="n">
        <s:v>260813</s:v>
      </s:c>
      <s:c r="B382" s="0" t="inlineStr">
        <s:is>
          <s:t>이종훈</s:t>
        </s:is>
      </s:c>
      <s:c r="C382" s="0" t="n">
        <s:v>80511</s:v>
      </s:c>
      <s:c r="D382" s="0" t="n">
        <s:v>2034</s:v>
      </s:c>
      <s:c r="F382" s="24">
        <s:f>'자료구성'!$B$2+TIME(INT($C$3/10000),INT(MOD($C$3,10000)/100),MOD($C$3,100))+(ROW()-ROW($C$3))/86400</s:f>
        <s:v>46247.341319444444</s:v>
      </s:c>
    </s:row>
    <s:row r="383">
      <s:c r="A383" s="0" t="n">
        <s:v>260813</s:v>
      </s:c>
      <s:c r="B383" s="0" t="inlineStr">
        <s:is>
          <s:t>이종훈</s:t>
        </s:is>
      </s:c>
      <s:c r="C383" s="0" t="n">
        <s:v>80511</s:v>
      </s:c>
      <s:c r="D383" s="0" t="n">
        <s:v>2003</s:v>
      </s:c>
      <s:c r="F383" s="24">
        <s:f>'자료구성'!$B$2+TIME(INT($C$3/10000),INT(MOD($C$3,10000)/100),MOD($C$3,100))+(ROW()-ROW($C$3))/86400</s:f>
        <s:v>46247.34133101852</s:v>
      </s:c>
    </s:row>
    <s:row r="384">
      <s:c r="A384" s="0" t="n">
        <s:v>260813</s:v>
      </s:c>
      <s:c r="B384" s="0" t="inlineStr">
        <s:is>
          <s:t>이종훈</s:t>
        </s:is>
      </s:c>
      <s:c r="C384" s="0" t="n">
        <s:v>80511</s:v>
      </s:c>
      <s:c r="D384" s="0" t="n">
        <s:v>1971</s:v>
      </s:c>
      <s:c r="F384" s="24">
        <s:f>'자료구성'!$B$2+TIME(INT($C$3/10000),INT(MOD($C$3,10000)/100),MOD($C$3,100))+(ROW()-ROW($C$3))/86400</s:f>
        <s:v>46247.34134259259</s:v>
      </s:c>
    </s:row>
    <s:row r="385">
      <s:c r="A385" s="0" t="n">
        <s:v>260813</s:v>
      </s:c>
      <s:c r="B385" s="0" t="inlineStr">
        <s:is>
          <s:t>이종훈</s:t>
        </s:is>
      </s:c>
      <s:c r="C385" s="0" t="n">
        <s:v>80511</s:v>
      </s:c>
      <s:c r="D385" s="0" t="n">
        <s:v>1946</s:v>
      </s:c>
      <s:c r="F385" s="24">
        <s:f>'자료구성'!$B$2+TIME(INT($C$3/10000),INT(MOD($C$3,10000)/100),MOD($C$3,100))+(ROW()-ROW($C$3))/86400</s:f>
        <s:v>46247.34135416667</s:v>
      </s:c>
    </s:row>
    <s:row r="386">
      <s:c r="A386" s="0" t="n">
        <s:v>260813</s:v>
      </s:c>
      <s:c r="B386" s="0" t="inlineStr">
        <s:is>
          <s:t>이종훈</s:t>
        </s:is>
      </s:c>
      <s:c r="C386" s="0" t="n">
        <s:v>80511</s:v>
      </s:c>
      <s:c r="D386" s="0" t="n">
        <s:v>1916</s:v>
      </s:c>
      <s:c r="F386" s="24">
        <s:f>'자료구성'!$B$2+TIME(INT($C$3/10000),INT(MOD($C$3,10000)/100),MOD($C$3,100))+(ROW()-ROW($C$3))/86400</s:f>
        <s:v>46247.341365740744</s:v>
      </s:c>
    </s:row>
    <s:row r="387">
      <s:c r="A387" s="0" t="n">
        <s:v>260813</s:v>
      </s:c>
      <s:c r="B387" s="0" t="inlineStr">
        <s:is>
          <s:t>이종훈</s:t>
        </s:is>
      </s:c>
      <s:c r="C387" s="0" t="n">
        <s:v>80511</s:v>
      </s:c>
      <s:c r="D387" s="0" t="n">
        <s:v>1919</s:v>
      </s:c>
      <s:c r="F387" s="24">
        <s:f>'자료구성'!$B$2+TIME(INT($C$3/10000),INT(MOD($C$3,10000)/100),MOD($C$3,100))+(ROW()-ROW($C$3))/86400</s:f>
        <s:v>46247.34137731481</s:v>
      </s:c>
    </s:row>
    <s:row r="388">
      <s:c r="A388" s="0" t="n">
        <s:v>260813</s:v>
      </s:c>
      <s:c r="B388" s="0" t="inlineStr">
        <s:is>
          <s:t>이종훈</s:t>
        </s:is>
      </s:c>
      <s:c r="C388" s="0" t="n">
        <s:v>80511</s:v>
      </s:c>
      <s:c r="D388" s="0" t="n">
        <s:v>1948</s:v>
      </s:c>
      <s:c r="F388" s="24">
        <s:f>'자료구성'!$B$2+TIME(INT($C$3/10000),INT(MOD($C$3,10000)/100),MOD($C$3,100))+(ROW()-ROW($C$3))/86400</s:f>
        <s:v>46247.34138888889</s:v>
      </s:c>
    </s:row>
    <s:row r="389">
      <s:c r="A389" s="0" t="n">
        <s:v>260813</s:v>
      </s:c>
      <s:c r="B389" s="0" t="inlineStr">
        <s:is>
          <s:t>이종훈</s:t>
        </s:is>
      </s:c>
      <s:c r="C389" s="0" t="n">
        <s:v>80511</s:v>
      </s:c>
      <s:c r="D389" s="0" t="n">
        <s:v>1958</s:v>
      </s:c>
      <s:c r="F389" s="24">
        <s:f>'자료구성'!$B$2+TIME(INT($C$3/10000),INT(MOD($C$3,10000)/100),MOD($C$3,100))+(ROW()-ROW($C$3))/86400</s:f>
        <s:v>46247.34140046296</s:v>
      </s:c>
    </s:row>
    <s:row r="390">
      <s:c r="A390" s="0" t="n">
        <s:v>260813</s:v>
      </s:c>
      <s:c r="B390" s="0" t="inlineStr">
        <s:is>
          <s:t>이종훈</s:t>
        </s:is>
      </s:c>
      <s:c r="C390" s="0" t="n">
        <s:v>80511</s:v>
      </s:c>
      <s:c r="D390" s="0" t="n">
        <s:v>1958</s:v>
      </s:c>
      <s:c r="F390" s="24">
        <s:f>'자료구성'!$B$2+TIME(INT($C$3/10000),INT(MOD($C$3,10000)/100),MOD($C$3,100))+(ROW()-ROW($C$3))/86400</s:f>
        <s:v>46247.341412037036</s:v>
      </s:c>
    </s:row>
    <s:row r="391">
      <s:c r="A391" s="0" t="n">
        <s:v>260813</s:v>
      </s:c>
      <s:c r="B391" s="0" t="inlineStr">
        <s:is>
          <s:t>이종훈</s:t>
        </s:is>
      </s:c>
      <s:c r="C391" s="0" t="n">
        <s:v>80511</s:v>
      </s:c>
      <s:c r="D391" s="0" t="n">
        <s:v>1972</s:v>
      </s:c>
      <s:c r="F391" s="24">
        <s:f>'자료구성'!$B$2+TIME(INT($C$3/10000),INT(MOD($C$3,10000)/100),MOD($C$3,100))+(ROW()-ROW($C$3))/86400</s:f>
        <s:v>46247.34142361111</s:v>
      </s:c>
    </s:row>
    <s:row r="392">
      <s:c r="A392" s="0" t="n">
        <s:v>260813</s:v>
      </s:c>
      <s:c r="B392" s="0" t="inlineStr">
        <s:is>
          <s:t>이종훈</s:t>
        </s:is>
      </s:c>
      <s:c r="C392" s="0" t="n">
        <s:v>80511</s:v>
      </s:c>
      <s:c r="D392" s="0" t="n">
        <s:v>1930</s:v>
      </s:c>
      <s:c r="F392" s="24">
        <s:f>'자료구성'!$B$2+TIME(INT($C$3/10000),INT(MOD($C$3,10000)/100),MOD($C$3,100))+(ROW()-ROW($C$3))/86400</s:f>
        <s:v>46247.34143518518</s:v>
      </s:c>
    </s:row>
    <s:row r="393">
      <s:c r="A393" s="0" t="n">
        <s:v>260813</s:v>
      </s:c>
      <s:c r="B393" s="0" t="inlineStr">
        <s:is>
          <s:t>이종훈</s:t>
        </s:is>
      </s:c>
      <s:c r="C393" s="0" t="n">
        <s:v>80511</s:v>
      </s:c>
      <s:c r="D393" s="0" t="n">
        <s:v>1880</s:v>
      </s:c>
      <s:c r="F393" s="24">
        <s:f>'자료구성'!$B$2+TIME(INT($C$3/10000),INT(MOD($C$3,10000)/100),MOD($C$3,100))+(ROW()-ROW($C$3))/86400</s:f>
        <s:v>46247.34144675926</s:v>
      </s:c>
    </s:row>
    <s:row r="394">
      <s:c r="A394" s="0" t="n">
        <s:v>260813</s:v>
      </s:c>
      <s:c r="B394" s="0" t="inlineStr">
        <s:is>
          <s:t>이종훈</s:t>
        </s:is>
      </s:c>
      <s:c r="C394" s="0" t="n">
        <s:v>80511</s:v>
      </s:c>
      <s:c r="D394" s="0" t="n">
        <s:v>1882</s:v>
      </s:c>
      <s:c r="F394" s="24">
        <s:f>'자료구성'!$B$2+TIME(INT($C$3/10000),INT(MOD($C$3,10000)/100),MOD($C$3,100))+(ROW()-ROW($C$3))/86400</s:f>
        <s:v>46247.341458333336</s:v>
      </s:c>
    </s:row>
    <s:row r="395">
      <s:c r="A395" s="0" t="n">
        <s:v>260813</s:v>
      </s:c>
      <s:c r="B395" s="0" t="inlineStr">
        <s:is>
          <s:t>이종훈</s:t>
        </s:is>
      </s:c>
      <s:c r="C395" s="0" t="n">
        <s:v>80511</s:v>
      </s:c>
      <s:c r="D395" s="0" t="n">
        <s:v>1882</s:v>
      </s:c>
      <s:c r="F395" s="24">
        <s:f>'자료구성'!$B$2+TIME(INT($C$3/10000),INT(MOD($C$3,10000)/100),MOD($C$3,100))+(ROW()-ROW($C$3))/86400</s:f>
        <s:v>46247.341469907406</s:v>
      </s:c>
    </s:row>
    <s:row r="396">
      <s:c r="A396" s="0" t="n">
        <s:v>260813</s:v>
      </s:c>
      <s:c r="B396" s="0" t="inlineStr">
        <s:is>
          <s:t>이종훈</s:t>
        </s:is>
      </s:c>
      <s:c r="C396" s="0" t="n">
        <s:v>80511</s:v>
      </s:c>
      <s:c r="D396" s="0" t="n">
        <s:v>1793</s:v>
      </s:c>
      <s:c r="F396" s="24">
        <s:f>'자료구성'!$B$2+TIME(INT($C$3/10000),INT(MOD($C$3,10000)/100),MOD($C$3,100))+(ROW()-ROW($C$3))/86400</s:f>
        <s:v>46247.34148148148</s:v>
      </s:c>
    </s:row>
    <s:row r="397">
      <s:c r="A397" s="0" t="n">
        <s:v>260813</s:v>
      </s:c>
      <s:c r="B397" s="0" t="inlineStr">
        <s:is>
          <s:t>이종훈</s:t>
        </s:is>
      </s:c>
      <s:c r="C397" s="0" t="n">
        <s:v>80511</s:v>
      </s:c>
      <s:c r="D397" s="0" t="n">
        <s:v>1751</s:v>
      </s:c>
      <s:c r="F397" s="24">
        <s:f>'자료구성'!$B$2+TIME(INT($C$3/10000),INT(MOD($C$3,10000)/100),MOD($C$3,100))+(ROW()-ROW($C$3))/86400</s:f>
        <s:v>46247.34149305556</s:v>
      </s:c>
    </s:row>
    <s:row r="398">
      <s:c r="A398" s="0" t="n">
        <s:v>260813</s:v>
      </s:c>
      <s:c r="B398" s="0" t="inlineStr">
        <s:is>
          <s:t>이종훈</s:t>
        </s:is>
      </s:c>
      <s:c r="C398" s="0" t="n">
        <s:v>80511</s:v>
      </s:c>
      <s:c r="D398" s="0" t="n">
        <s:v>1696</s:v>
      </s:c>
      <s:c r="F398" s="24">
        <s:f>'자료구성'!$B$2+TIME(INT($C$3/10000),INT(MOD($C$3,10000)/100),MOD($C$3,100))+(ROW()-ROW($C$3))/86400</s:f>
        <s:v>46247.34150462963</s:v>
      </s:c>
    </s:row>
    <s:row r="399">
      <s:c r="A399" s="0" t="n">
        <s:v>260813</s:v>
      </s:c>
      <s:c r="B399" s="0" t="inlineStr">
        <s:is>
          <s:t>이종훈</s:t>
        </s:is>
      </s:c>
      <s:c r="C399" s="0" t="n">
        <s:v>80511</s:v>
      </s:c>
      <s:c r="D399" s="0" t="n">
        <s:v>1692</s:v>
      </s:c>
      <s:c r="F399" s="24">
        <s:f>'자료구성'!$B$2+TIME(INT($C$3/10000),INT(MOD($C$3,10000)/100),MOD($C$3,100))+(ROW()-ROW($C$3))/86400</s:f>
        <s:v>46247.341516203705</s:v>
      </s:c>
    </s:row>
    <s:row r="400">
      <s:c r="A400" s="0" t="n">
        <s:v>260813</s:v>
      </s:c>
      <s:c r="B400" s="0" t="inlineStr">
        <s:is>
          <s:t>이종훈</s:t>
        </s:is>
      </s:c>
      <s:c r="C400" s="0" t="n">
        <s:v>80511</s:v>
      </s:c>
      <s:c r="D400" s="0" t="n">
        <s:v>1688</s:v>
      </s:c>
      <s:c r="F400" s="24">
        <s:f>'자료구성'!$B$2+TIME(INT($C$3/10000),INT(MOD($C$3,10000)/100),MOD($C$3,100))+(ROW()-ROW($C$3))/86400</s:f>
        <s:v>46247.341527777775</s:v>
      </s:c>
    </s:row>
    <s:row r="401">
      <s:c r="A401" s="0" t="n">
        <s:v>260813</s:v>
      </s:c>
      <s:c r="B401" s="0" t="inlineStr">
        <s:is>
          <s:t>이종훈</s:t>
        </s:is>
      </s:c>
      <s:c r="C401" s="0" t="n">
        <s:v>80511</s:v>
      </s:c>
      <s:c r="D401" s="0" t="n">
        <s:v>1673</s:v>
      </s:c>
      <s:c r="F401" s="24">
        <s:f>'자료구성'!$B$2+TIME(INT($C$3/10000),INT(MOD($C$3,10000)/100),MOD($C$3,100))+(ROW()-ROW($C$3))/86400</s:f>
        <s:v>46247.34153935185</s:v>
      </s:c>
    </s:row>
    <s:row r="402">
      <s:c r="A402" s="0" t="n">
        <s:v>260813</s:v>
      </s:c>
      <s:c r="B402" s="0" t="inlineStr">
        <s:is>
          <s:t>이종훈</s:t>
        </s:is>
      </s:c>
      <s:c r="C402" s="0" t="n">
        <s:v>80511</s:v>
      </s:c>
      <s:c r="D402" s="0" t="n">
        <s:v>1673</s:v>
      </s:c>
      <s:c r="F402" s="24">
        <s:f>'자료구성'!$B$2+TIME(INT($C$3/10000),INT(MOD($C$3,10000)/100),MOD($C$3,100))+(ROW()-ROW($C$3))/86400</s:f>
        <s:v>46247.34155092593</s:v>
      </s:c>
    </s:row>
    <s:row r="403">
      <s:c r="A403" s="0" t="n">
        <s:v>260813</s:v>
      </s:c>
      <s:c r="B403" s="0" t="inlineStr">
        <s:is>
          <s:t>이종훈</s:t>
        </s:is>
      </s:c>
      <s:c r="C403" s="0" t="n">
        <s:v>80511</s:v>
      </s:c>
      <s:c r="D403" s="0" t="n">
        <s:v>1621</s:v>
      </s:c>
      <s:c r="F403" s="24">
        <s:f>'자료구성'!$B$2+TIME(INT($C$3/10000),INT(MOD($C$3,10000)/100),MOD($C$3,100))+(ROW()-ROW($C$3))/86400</s:f>
        <s:v>46247.3415625</s:v>
      </s:c>
    </s:row>
    <s:row r="404">
      <s:c r="A404" s="0" t="n">
        <s:v>260813</s:v>
      </s:c>
      <s:c r="B404" s="0" t="inlineStr">
        <s:is>
          <s:t>이종훈</s:t>
        </s:is>
      </s:c>
      <s:c r="C404" s="0" t="n">
        <s:v>80511</s:v>
      </s:c>
      <s:c r="D404" s="0" t="n">
        <s:v>1610</s:v>
      </s:c>
      <s:c r="F404" s="24">
        <s:f>'자료구성'!$B$2+TIME(INT($C$3/10000),INT(MOD($C$3,10000)/100),MOD($C$3,100))+(ROW()-ROW($C$3))/86400</s:f>
        <s:v>46247.341574074075</s:v>
      </s:c>
    </s:row>
    <s:row r="405">
      <s:c r="A405" s="0" t="n">
        <s:v>260813</s:v>
      </s:c>
      <s:c r="B405" s="0" t="inlineStr">
        <s:is>
          <s:t>이종훈</s:t>
        </s:is>
      </s:c>
      <s:c r="C405" s="0" t="n">
        <s:v>80511</s:v>
      </s:c>
      <s:c r="D405" s="0" t="n">
        <s:v>1583</s:v>
      </s:c>
      <s:c r="F405" s="24">
        <s:f>'자료구성'!$B$2+TIME(INT($C$3/10000),INT(MOD($C$3,10000)/100),MOD($C$3,100))+(ROW()-ROW($C$3))/86400</s:f>
        <s:v>46247.34158564815</s:v>
      </s:c>
    </s:row>
    <s:row r="406">
      <s:c r="A406" s="0" t="n">
        <s:v>260813</s:v>
      </s:c>
      <s:c r="B406" s="0" t="inlineStr">
        <s:is>
          <s:t>이종훈</s:t>
        </s:is>
      </s:c>
      <s:c r="C406" s="0" t="n">
        <s:v>80511</s:v>
      </s:c>
      <s:c r="D406" s="0" t="n">
        <s:v>1548</s:v>
      </s:c>
      <s:c r="F406" s="24">
        <s:f>'자료구성'!$B$2+TIME(INT($C$3/10000),INT(MOD($C$3,10000)/100),MOD($C$3,100))+(ROW()-ROW($C$3))/86400</s:f>
        <s:v>46247.34159722222</s:v>
      </s:c>
    </s:row>
    <s:row r="407">
      <s:c r="A407" s="0" t="n">
        <s:v>260813</s:v>
      </s:c>
      <s:c r="B407" s="0" t="inlineStr">
        <s:is>
          <s:t>이종훈</s:t>
        </s:is>
      </s:c>
      <s:c r="C407" s="0" t="n">
        <s:v>80511</s:v>
      </s:c>
      <s:c r="D407" s="0" t="n">
        <s:v>1539</s:v>
      </s:c>
      <s:c r="F407" s="24">
        <s:f>'자료구성'!$B$2+TIME(INT($C$3/10000),INT(MOD($C$3,10000)/100),MOD($C$3,100))+(ROW()-ROW($C$3))/86400</s:f>
        <s:v>46247.3416087963</s:v>
      </s:c>
    </s:row>
    <s:row r="408">
      <s:c r="A408" s="0" t="n">
        <s:v>260813</s:v>
      </s:c>
      <s:c r="B408" s="0" t="inlineStr">
        <s:is>
          <s:t>이종훈</s:t>
        </s:is>
      </s:c>
      <s:c r="C408" s="0" t="n">
        <s:v>80511</s:v>
      </s:c>
      <s:c r="D408" s="0" t="n">
        <s:v>1523</s:v>
      </s:c>
      <s:c r="F408" s="24">
        <s:f>'자료구성'!$B$2+TIME(INT($C$3/10000),INT(MOD($C$3,10000)/100),MOD($C$3,100))+(ROW()-ROW($C$3))/86400</s:f>
        <s:v>46247.34162037037</s:v>
      </s:c>
    </s:row>
    <s:row r="409">
      <s:c r="A409" s="0" t="n">
        <s:v>260813</s:v>
      </s:c>
      <s:c r="B409" s="0" t="inlineStr">
        <s:is>
          <s:t>이종훈</s:t>
        </s:is>
      </s:c>
      <s:c r="C409" s="0" t="n">
        <s:v>80511</s:v>
      </s:c>
      <s:c r="D409" s="0" t="n">
        <s:v>1488</s:v>
      </s:c>
      <s:c r="F409" s="24">
        <s:f>'자료구성'!$B$2+TIME(INT($C$3/10000),INT(MOD($C$3,10000)/100),MOD($C$3,100))+(ROW()-ROW($C$3))/86400</s:f>
        <s:v>46247.341631944444</s:v>
      </s:c>
    </s:row>
    <s:row r="410">
      <s:c r="A410" s="0" t="n">
        <s:v>260813</s:v>
      </s:c>
      <s:c r="B410" s="0" t="inlineStr">
        <s:is>
          <s:t>이종훈</s:t>
        </s:is>
      </s:c>
      <s:c r="C410" s="0" t="n">
        <s:v>80511</s:v>
      </s:c>
      <s:c r="D410" s="0" t="n">
        <s:v>1481</s:v>
      </s:c>
      <s:c r="F410" s="24">
        <s:f>'자료구성'!$B$2+TIME(INT($C$3/10000),INT(MOD($C$3,10000)/100),MOD($C$3,100))+(ROW()-ROW($C$3))/86400</s:f>
        <s:v>46247.34164351852</s:v>
      </s:c>
    </s:row>
    <s:row r="411">
      <s:c r="A411" s="0" t="n">
        <s:v>260813</s:v>
      </s:c>
      <s:c r="B411" s="0" t="inlineStr">
        <s:is>
          <s:t>이종훈</s:t>
        </s:is>
      </s:c>
      <s:c r="C411" s="0" t="n">
        <s:v>80511</s:v>
      </s:c>
      <s:c r="D411" s="0" t="n">
        <s:v>1478</s:v>
      </s:c>
      <s:c r="F411" s="24">
        <s:f>'자료구성'!$B$2+TIME(INT($C$3/10000),INT(MOD($C$3,10000)/100),MOD($C$3,100))+(ROW()-ROW($C$3))/86400</s:f>
        <s:v>46247.34165509259</s:v>
      </s:c>
    </s:row>
    <s:row r="412">
      <s:c r="A412" s="0" t="n">
        <s:v>260813</s:v>
      </s:c>
      <s:c r="B412" s="0" t="inlineStr">
        <s:is>
          <s:t>이종훈</s:t>
        </s:is>
      </s:c>
      <s:c r="C412" s="0" t="n">
        <s:v>80511</s:v>
      </s:c>
      <s:c r="D412" s="0" t="n">
        <s:v>1444</s:v>
      </s:c>
      <s:c r="F412" s="24">
        <s:f>'자료구성'!$B$2+TIME(INT($C$3/10000),INT(MOD($C$3,10000)/100),MOD($C$3,100))+(ROW()-ROW($C$3))/86400</s:f>
        <s:v>46247.34166666667</s:v>
      </s:c>
    </s:row>
    <s:row r="413">
      <s:c r="A413" s="0" t="n">
        <s:v>260813</s:v>
      </s:c>
      <s:c r="B413" s="0" t="inlineStr">
        <s:is>
          <s:t>이종훈</s:t>
        </s:is>
      </s:c>
      <s:c r="C413" s="0" t="n">
        <s:v>80511</s:v>
      </s:c>
      <s:c r="D413" s="0" t="n">
        <s:v>1444</s:v>
      </s:c>
      <s:c r="F413" s="24">
        <s:f>'자료구성'!$B$2+TIME(INT($C$3/10000),INT(MOD($C$3,10000)/100),MOD($C$3,100))+(ROW()-ROW($C$3))/86400</s:f>
        <s:v>46247.341678240744</s:v>
      </s:c>
    </s:row>
    <s:row r="414">
      <s:c r="A414" s="0" t="n">
        <s:v>260813</s:v>
      </s:c>
      <s:c r="B414" s="0" t="inlineStr">
        <s:is>
          <s:t>이종훈</s:t>
        </s:is>
      </s:c>
      <s:c r="C414" s="0" t="n">
        <s:v>80511</s:v>
      </s:c>
      <s:c r="D414" s="0" t="n">
        <s:v>1400</s:v>
      </s:c>
      <s:c r="F414" s="24">
        <s:f>'자료구성'!$B$2+TIME(INT($C$3/10000),INT(MOD($C$3,10000)/100),MOD($C$3,100))+(ROW()-ROW($C$3))/86400</s:f>
        <s:v>46247.34168981481</s:v>
      </s:c>
    </s:row>
    <s:row r="415">
      <s:c r="A415" s="0" t="n">
        <s:v>260813</s:v>
      </s:c>
      <s:c r="B415" s="0" t="inlineStr">
        <s:is>
          <s:t>이종훈</s:t>
        </s:is>
      </s:c>
      <s:c r="C415" s="0" t="n">
        <s:v>80511</s:v>
      </s:c>
      <s:c r="D415" s="0" t="n">
        <s:v>1395</s:v>
      </s:c>
      <s:c r="F415" s="24">
        <s:f>'자료구성'!$B$2+TIME(INT($C$3/10000),INT(MOD($C$3,10000)/100),MOD($C$3,100))+(ROW()-ROW($C$3))/86400</s:f>
        <s:v>46247.34170138889</s:v>
      </s:c>
    </s:row>
    <s:row r="416">
      <s:c r="A416" s="0" t="n">
        <s:v>260813</s:v>
      </s:c>
      <s:c r="B416" s="0" t="inlineStr">
        <s:is>
          <s:t>이종훈</s:t>
        </s:is>
      </s:c>
      <s:c r="C416" s="0" t="n">
        <s:v>80511</s:v>
      </s:c>
      <s:c r="D416" s="0" t="n">
        <s:v>1371</s:v>
      </s:c>
      <s:c r="F416" s="24">
        <s:f>'자료구성'!$B$2+TIME(INT($C$3/10000),INT(MOD($C$3,10000)/100),MOD($C$3,100))+(ROW()-ROW($C$3))/86400</s:f>
        <s:v>46247.34171296296</s:v>
      </s:c>
    </s:row>
    <s:row r="417">
      <s:c r="A417" s="0" t="n">
        <s:v>260813</s:v>
      </s:c>
      <s:c r="B417" s="0" t="inlineStr">
        <s:is>
          <s:t>이종훈</s:t>
        </s:is>
      </s:c>
      <s:c r="C417" s="0" t="n">
        <s:v>80511</s:v>
      </s:c>
      <s:c r="D417" s="0" t="n">
        <s:v>1371</s:v>
      </s:c>
      <s:c r="F417" s="24">
        <s:f>'자료구성'!$B$2+TIME(INT($C$3/10000),INT(MOD($C$3,10000)/100),MOD($C$3,100))+(ROW()-ROW($C$3))/86400</s:f>
        <s:v>46247.34172453704</s:v>
      </s:c>
    </s:row>
    <s:row r="418">
      <s:c r="A418" s="0" t="n">
        <s:v>260813</s:v>
      </s:c>
      <s:c r="B418" s="0" t="inlineStr">
        <s:is>
          <s:t>이종훈</s:t>
        </s:is>
      </s:c>
      <s:c r="C418" s="0" t="n">
        <s:v>80511</s:v>
      </s:c>
      <s:c r="D418" s="0" t="n">
        <s:v>1380</s:v>
      </s:c>
      <s:c r="F418" s="24">
        <s:f>'자료구성'!$B$2+TIME(INT($C$3/10000),INT(MOD($C$3,10000)/100),MOD($C$3,100))+(ROW()-ROW($C$3))/86400</s:f>
        <s:v>46247.34173611111</s:v>
      </s:c>
    </s:row>
    <s:row r="419">
      <s:c r="A419" s="0" t="n">
        <s:v>260813</s:v>
      </s:c>
      <s:c r="B419" s="0" t="inlineStr">
        <s:is>
          <s:t>이종훈</s:t>
        </s:is>
      </s:c>
      <s:c r="C419" s="0" t="n">
        <s:v>80511</s:v>
      </s:c>
      <s:c r="D419" s="0" t="n">
        <s:v>1405</s:v>
      </s:c>
      <s:c r="F419" s="24">
        <s:f>'자료구성'!$B$2+TIME(INT($C$3/10000),INT(MOD($C$3,10000)/100),MOD($C$3,100))+(ROW()-ROW($C$3))/86400</s:f>
        <s:v>46247.34174768518</s:v>
      </s:c>
    </s:row>
    <s:row r="420">
      <s:c r="A420" s="0" t="n">
        <s:v>260813</s:v>
      </s:c>
      <s:c r="B420" s="0" t="inlineStr">
        <s:is>
          <s:t>이종훈</s:t>
        </s:is>
      </s:c>
      <s:c r="C420" s="0" t="n">
        <s:v>80511</s:v>
      </s:c>
      <s:c r="D420" s="0" t="n">
        <s:v>1417</s:v>
      </s:c>
      <s:c r="F420" s="24">
        <s:f>'자료구성'!$B$2+TIME(INT($C$3/10000),INT(MOD($C$3,10000)/100),MOD($C$3,100))+(ROW()-ROW($C$3))/86400</s:f>
        <s:v>46247.34175925926</s:v>
      </s:c>
    </s:row>
    <s:row r="421">
      <s:c r="A421" s="0" t="n">
        <s:v>260813</s:v>
      </s:c>
      <s:c r="B421" s="0" t="inlineStr">
        <s:is>
          <s:t>이종훈</s:t>
        </s:is>
      </s:c>
      <s:c r="C421" s="0" t="n">
        <s:v>80511</s:v>
      </s:c>
      <s:c r="D421" s="0" t="n">
        <s:v>1410</s:v>
      </s:c>
      <s:c r="F421" s="24">
        <s:f>'자료구성'!$B$2+TIME(INT($C$3/10000),INT(MOD($C$3,10000)/100),MOD($C$3,100))+(ROW()-ROW($C$3))/86400</s:f>
        <s:v>46247.341770833336</s:v>
      </s:c>
    </s:row>
    <s:row r="422">
      <s:c r="A422" s="0" t="n">
        <s:v>260813</s:v>
      </s:c>
      <s:c r="B422" s="0" t="inlineStr">
        <s:is>
          <s:t>이종훈</s:t>
        </s:is>
      </s:c>
      <s:c r="C422" s="0" t="n">
        <s:v>80511</s:v>
      </s:c>
      <s:c r="D422" s="0" t="n">
        <s:v>1395</s:v>
      </s:c>
      <s:c r="F422" s="24">
        <s:f>'자료구성'!$B$2+TIME(INT($C$3/10000),INT(MOD($C$3,10000)/100),MOD($C$3,100))+(ROW()-ROW($C$3))/86400</s:f>
        <s:v>46247.341782407406</s:v>
      </s:c>
    </s:row>
    <s:row r="423">
      <s:c r="A423" s="0" t="n">
        <s:v>260813</s:v>
      </s:c>
      <s:c r="B423" s="0" t="inlineStr">
        <s:is>
          <s:t>이종훈</s:t>
        </s:is>
      </s:c>
      <s:c r="C423" s="0" t="n">
        <s:v>80511</s:v>
      </s:c>
      <s:c r="D423" s="0" t="n">
        <s:v>1362</s:v>
      </s:c>
      <s:c r="F423" s="24">
        <s:f>'자료구성'!$B$2+TIME(INT($C$3/10000),INT(MOD($C$3,10000)/100),MOD($C$3,100))+(ROW()-ROW($C$3))/86400</s:f>
        <s:v>46247.34179398148</s:v>
      </s:c>
    </s:row>
    <s:row r="424">
      <s:c r="A424" s="0" t="n">
        <s:v>260813</s:v>
      </s:c>
      <s:c r="B424" s="0" t="inlineStr">
        <s:is>
          <s:t>이종훈</s:t>
        </s:is>
      </s:c>
      <s:c r="C424" s="0" t="n">
        <s:v>80511</s:v>
      </s:c>
      <s:c r="D424" s="0" t="n">
        <s:v>1338</s:v>
      </s:c>
      <s:c r="F424" s="24">
        <s:f>'자료구성'!$B$2+TIME(INT($C$3/10000),INT(MOD($C$3,10000)/100),MOD($C$3,100))+(ROW()-ROW($C$3))/86400</s:f>
        <s:v>46247.34180555555</s:v>
      </s:c>
    </s:row>
    <s:row r="425">
      <s:c r="A425" s="0" t="n">
        <s:v>260813</s:v>
      </s:c>
      <s:c r="B425" s="0" t="inlineStr">
        <s:is>
          <s:t>이종훈</s:t>
        </s:is>
      </s:c>
      <s:c r="C425" s="0" t="n">
        <s:v>80511</s:v>
      </s:c>
      <s:c r="D425" s="0" t="n">
        <s:v>1326</s:v>
      </s:c>
      <s:c r="F425" s="24">
        <s:f>'자료구성'!$B$2+TIME(INT($C$3/10000),INT(MOD($C$3,10000)/100),MOD($C$3,100))+(ROW()-ROW($C$3))/86400</s:f>
        <s:v>46247.34181712963</s:v>
      </s:c>
    </s:row>
    <s:row r="426">
      <s:c r="A426" s="0" t="n">
        <s:v>260813</s:v>
      </s:c>
      <s:c r="B426" s="0" t="inlineStr">
        <s:is>
          <s:t>이종훈</s:t>
        </s:is>
      </s:c>
      <s:c r="C426" s="0" t="n">
        <s:v>80511</s:v>
      </s:c>
      <s:c r="D426" s="0" t="n">
        <s:v>1321</s:v>
      </s:c>
      <s:c r="F426" s="24">
        <s:f>'자료구성'!$B$2+TIME(INT($C$3/10000),INT(MOD($C$3,10000)/100),MOD($C$3,100))+(ROW()-ROW($C$3))/86400</s:f>
        <s:v>46247.341828703706</s:v>
      </s:c>
    </s:row>
    <s:row r="427">
      <s:c r="A427" s="0" t="n">
        <s:v>260813</s:v>
      </s:c>
      <s:c r="B427" s="0" t="inlineStr">
        <s:is>
          <s:t>이종훈</s:t>
        </s:is>
      </s:c>
      <s:c r="C427" s="0" t="n">
        <s:v>80511</s:v>
      </s:c>
      <s:c r="D427" s="0" t="n">
        <s:v>1339</s:v>
      </s:c>
      <s:c r="F427" s="24">
        <s:f>'자료구성'!$B$2+TIME(INT($C$3/10000),INT(MOD($C$3,10000)/100),MOD($C$3,100))+(ROW()-ROW($C$3))/86400</s:f>
        <s:v>46247.341840277775</s:v>
      </s:c>
    </s:row>
    <s:row r="428">
      <s:c r="A428" s="0" t="n">
        <s:v>260813</s:v>
      </s:c>
      <s:c r="B428" s="0" t="inlineStr">
        <s:is>
          <s:t>이종훈</s:t>
        </s:is>
      </s:c>
      <s:c r="C428" s="0" t="n">
        <s:v>80511</s:v>
      </s:c>
      <s:c r="D428" s="0" t="n">
        <s:v>1356</s:v>
      </s:c>
      <s:c r="F428" s="24">
        <s:f>'자료구성'!$B$2+TIME(INT($C$3/10000),INT(MOD($C$3,10000)/100),MOD($C$3,100))+(ROW()-ROW($C$3))/86400</s:f>
        <s:v>46247.34185185185</s:v>
      </s:c>
    </s:row>
    <s:row r="429">
      <s:c r="A429" s="0" t="n">
        <s:v>260813</s:v>
      </s:c>
      <s:c r="B429" s="0" t="inlineStr">
        <s:is>
          <s:t>이종훈</s:t>
        </s:is>
      </s:c>
      <s:c r="C429" s="0" t="n">
        <s:v>80511</s:v>
      </s:c>
      <s:c r="D429" s="0" t="n">
        <s:v>1346</s:v>
      </s:c>
      <s:c r="F429" s="24">
        <s:f>'자료구성'!$B$2+TIME(INT($C$3/10000),INT(MOD($C$3,10000)/100),MOD($C$3,100))+(ROW()-ROW($C$3))/86400</s:f>
        <s:v>46247.34186342593</s:v>
      </s:c>
    </s:row>
    <s:row r="430">
      <s:c r="A430" s="0" t="n">
        <s:v>260813</s:v>
      </s:c>
      <s:c r="B430" s="0" t="inlineStr">
        <s:is>
          <s:t>이종훈</s:t>
        </s:is>
      </s:c>
      <s:c r="C430" s="0" t="n">
        <s:v>80511</s:v>
      </s:c>
      <s:c r="D430" s="0" t="n">
        <s:v>1337</s:v>
      </s:c>
      <s:c r="F430" s="24">
        <s:f>'자료구성'!$B$2+TIME(INT($C$3/10000),INT(MOD($C$3,10000)/100),MOD($C$3,100))+(ROW()-ROW($C$3))/86400</s:f>
        <s:v>46247.341875</s:v>
      </s:c>
    </s:row>
    <s:row r="431">
      <s:c r="A431" s="0" t="n">
        <s:v>260813</s:v>
      </s:c>
      <s:c r="B431" s="0" t="inlineStr">
        <s:is>
          <s:t>이종훈</s:t>
        </s:is>
      </s:c>
      <s:c r="C431" s="0" t="n">
        <s:v>80511</s:v>
      </s:c>
      <s:c r="D431" s="0" t="n">
        <s:v>1355</s:v>
      </s:c>
      <s:c r="F431" s="24">
        <s:f>'자료구성'!$B$2+TIME(INT($C$3/10000),INT(MOD($C$3,10000)/100),MOD($C$3,100))+(ROW()-ROW($C$3))/86400</s:f>
        <s:v>46247.341886574075</s:v>
      </s:c>
    </s:row>
    <s:row r="432">
      <s:c r="A432" s="0" t="n">
        <s:v>260813</s:v>
      </s:c>
      <s:c r="B432" s="0" t="inlineStr">
        <s:is>
          <s:t>이종훈</s:t>
        </s:is>
      </s:c>
      <s:c r="C432" s="0" t="n">
        <s:v>80511</s:v>
      </s:c>
      <s:c r="D432" s="0" t="n">
        <s:v>1350</s:v>
      </s:c>
      <s:c r="F432" s="24">
        <s:f>'자료구성'!$B$2+TIME(INT($C$3/10000),INT(MOD($C$3,10000)/100),MOD($C$3,100))+(ROW()-ROW($C$3))/86400</s:f>
        <s:v>46247.341898148145</s:v>
      </s:c>
    </s:row>
    <s:row r="433">
      <s:c r="A433" s="0" t="n">
        <s:v>260813</s:v>
      </s:c>
      <s:c r="B433" s="0" t="inlineStr">
        <s:is>
          <s:t>이종훈</s:t>
        </s:is>
      </s:c>
      <s:c r="C433" s="0" t="n">
        <s:v>80511</s:v>
      </s:c>
      <s:c r="D433" s="0" t="n">
        <s:v>1340</s:v>
      </s:c>
      <s:c r="F433" s="24">
        <s:f>'자료구성'!$B$2+TIME(INT($C$3/10000),INT(MOD($C$3,10000)/100),MOD($C$3,100))+(ROW()-ROW($C$3))/86400</s:f>
        <s:v>46247.34190972222</s:v>
      </s:c>
    </s:row>
    <s:row r="434">
      <s:c r="A434" s="0" t="n">
        <s:v>260813</s:v>
      </s:c>
      <s:c r="B434" s="0" t="inlineStr">
        <s:is>
          <s:t>이종훈</s:t>
        </s:is>
      </s:c>
      <s:c r="C434" s="0" t="n">
        <s:v>80511</s:v>
      </s:c>
      <s:c r="D434" s="0" t="n">
        <s:v>1339</s:v>
      </s:c>
      <s:c r="F434" s="24">
        <s:f>'자료구성'!$B$2+TIME(INT($C$3/10000),INT(MOD($C$3,10000)/100),MOD($C$3,100))+(ROW()-ROW($C$3))/86400</s:f>
        <s:v>46247.3419212963</s:v>
      </s:c>
    </s:row>
    <s:row r="435">
      <s:c r="A435" s="0" t="n">
        <s:v>260813</s:v>
      </s:c>
      <s:c r="B435" s="0" t="inlineStr">
        <s:is>
          <s:t>이종훈</s:t>
        </s:is>
      </s:c>
      <s:c r="C435" s="0" t="n">
        <s:v>80511</s:v>
      </s:c>
      <s:c r="D435" s="0" t="n">
        <s:v>1359</s:v>
      </s:c>
      <s:c r="F435" s="24">
        <s:f>'자료구성'!$B$2+TIME(INT($C$3/10000),INT(MOD($C$3,10000)/100),MOD($C$3,100))+(ROW()-ROW($C$3))/86400</s:f>
        <s:v>46247.34193287037</s:v>
      </s:c>
    </s:row>
    <s:row r="436">
      <s:c r="A436" s="0" t="n">
        <s:v>260813</s:v>
      </s:c>
      <s:c r="B436" s="0" t="inlineStr">
        <s:is>
          <s:t>이종훈</s:t>
        </s:is>
      </s:c>
      <s:c r="C436" s="0" t="n">
        <s:v>80511</s:v>
      </s:c>
      <s:c r="D436" s="0" t="n">
        <s:v>1387</s:v>
      </s:c>
      <s:c r="F436" s="24">
        <s:f>'자료구성'!$B$2+TIME(INT($C$3/10000),INT(MOD($C$3,10000)/100),MOD($C$3,100))+(ROW()-ROW($C$3))/86400</s:f>
        <s:v>46247.341944444444</s:v>
      </s:c>
    </s:row>
    <s:row r="437">
      <s:c r="A437" s="0" t="n">
        <s:v>260813</s:v>
      </s:c>
      <s:c r="B437" s="0" t="inlineStr">
        <s:is>
          <s:t>이종훈</s:t>
        </s:is>
      </s:c>
      <s:c r="C437" s="0" t="n">
        <s:v>80511</s:v>
      </s:c>
      <s:c r="D437" s="0" t="n">
        <s:v>1434</s:v>
      </s:c>
      <s:c r="F437" s="24">
        <s:f>'자료구성'!$B$2+TIME(INT($C$3/10000),INT(MOD($C$3,10000)/100),MOD($C$3,100))+(ROW()-ROW($C$3))/86400</s:f>
        <s:v>46247.34195601852</s:v>
      </s:c>
    </s:row>
    <s:row r="438">
      <s:c r="A438" s="0" t="n">
        <s:v>260813</s:v>
      </s:c>
      <s:c r="B438" s="0" t="inlineStr">
        <s:is>
          <s:t>이종훈</s:t>
        </s:is>
      </s:c>
      <s:c r="C438" s="0" t="n">
        <s:v>80511</s:v>
      </s:c>
      <s:c r="D438" s="0" t="n">
        <s:v>1451</s:v>
      </s:c>
      <s:c r="F438" s="24">
        <s:f>'자료구성'!$B$2+TIME(INT($C$3/10000),INT(MOD($C$3,10000)/100),MOD($C$3,100))+(ROW()-ROW($C$3))/86400</s:f>
        <s:v>46247.34196759259</s:v>
      </s:c>
    </s:row>
    <s:row r="439">
      <s:c r="A439" s="0" t="n">
        <s:v>260813</s:v>
      </s:c>
      <s:c r="B439" s="0" t="inlineStr">
        <s:is>
          <s:t>이종훈</s:t>
        </s:is>
      </s:c>
      <s:c r="C439" s="0" t="n">
        <s:v>80511</s:v>
      </s:c>
      <s:c r="D439" s="0" t="n">
        <s:v>1463</s:v>
      </s:c>
      <s:c r="F439" s="24">
        <s:f>'자료구성'!$B$2+TIME(INT($C$3/10000),INT(MOD($C$3,10000)/100),MOD($C$3,100))+(ROW()-ROW($C$3))/86400</s:f>
        <s:v>46247.34197916667</s:v>
      </s:c>
    </s:row>
    <s:row r="440">
      <s:c r="A440" s="0" t="n">
        <s:v>260813</s:v>
      </s:c>
      <s:c r="B440" s="0" t="inlineStr">
        <s:is>
          <s:t>이종훈</s:t>
        </s:is>
      </s:c>
      <s:c r="C440" s="0" t="n">
        <s:v>80511</s:v>
      </s:c>
      <s:c r="D440" s="0" t="n">
        <s:v>1491</s:v>
      </s:c>
      <s:c r="F440" s="24">
        <s:f>'자료구성'!$B$2+TIME(INT($C$3/10000),INT(MOD($C$3,10000)/100),MOD($C$3,100))+(ROW()-ROW($C$3))/86400</s:f>
        <s:v>46247.341990740744</s:v>
      </s:c>
    </s:row>
    <s:row r="441">
      <s:c r="A441" s="0" t="n">
        <s:v>260813</s:v>
      </s:c>
      <s:c r="B441" s="0" t="inlineStr">
        <s:is>
          <s:t>이종훈</s:t>
        </s:is>
      </s:c>
      <s:c r="C441" s="0" t="n">
        <s:v>80511</s:v>
      </s:c>
      <s:c r="D441" s="0" t="n">
        <s:v>1500</s:v>
      </s:c>
      <s:c r="F441" s="24">
        <s:f>'자료구성'!$B$2+TIME(INT($C$3/10000),INT(MOD($C$3,10000)/100),MOD($C$3,100))+(ROW()-ROW($C$3))/86400</s:f>
        <s:v>46247.342002314814</s:v>
      </s:c>
    </s:row>
    <s:row r="442">
      <s:c r="A442" s="0" t="n">
        <s:v>260813</s:v>
      </s:c>
      <s:c r="B442" s="0" t="inlineStr">
        <s:is>
          <s:t>이종훈</s:t>
        </s:is>
      </s:c>
      <s:c r="C442" s="0" t="n">
        <s:v>80511</s:v>
      </s:c>
      <s:c r="D442" s="0" t="n">
        <s:v>1510</s:v>
      </s:c>
      <s:c r="F442" s="24">
        <s:f>'자료구성'!$B$2+TIME(INT($C$3/10000),INT(MOD($C$3,10000)/100),MOD($C$3,100))+(ROW()-ROW($C$3))/86400</s:f>
        <s:v>46247.34201388889</s:v>
      </s:c>
    </s:row>
    <s:row r="443">
      <s:c r="A443" s="0" t="n">
        <s:v>260813</s:v>
      </s:c>
      <s:c r="B443" s="0" t="inlineStr">
        <s:is>
          <s:t>이종훈</s:t>
        </s:is>
      </s:c>
      <s:c r="C443" s="0" t="n">
        <s:v>80511</s:v>
      </s:c>
      <s:c r="D443" s="0" t="n">
        <s:v>1485</s:v>
      </s:c>
      <s:c r="F443" s="24">
        <s:f>'자료구성'!$B$2+TIME(INT($C$3/10000),INT(MOD($C$3,10000)/100),MOD($C$3,100))+(ROW()-ROW($C$3))/86400</s:f>
        <s:v>46247.34202546296</s:v>
      </s:c>
    </s:row>
    <s:row r="444">
      <s:c r="A444" s="0" t="n">
        <s:v>260813</s:v>
      </s:c>
      <s:c r="B444" s="0" t="inlineStr">
        <s:is>
          <s:t>이종훈</s:t>
        </s:is>
      </s:c>
      <s:c r="C444" s="0" t="n">
        <s:v>80511</s:v>
      </s:c>
      <s:c r="D444" s="0" t="n">
        <s:v>1425</s:v>
      </s:c>
      <s:c r="F444" s="24">
        <s:f>'자료구성'!$B$2+TIME(INT($C$3/10000),INT(MOD($C$3,10000)/100),MOD($C$3,100))+(ROW()-ROW($C$3))/86400</s:f>
        <s:v>46247.34203703704</s:v>
      </s:c>
    </s:row>
    <s:row r="445">
      <s:c r="A445" s="0" t="n">
        <s:v>260813</s:v>
      </s:c>
      <s:c r="B445" s="0" t="inlineStr">
        <s:is>
          <s:t>이종훈</s:t>
        </s:is>
      </s:c>
      <s:c r="C445" s="0" t="n">
        <s:v>80511</s:v>
      </s:c>
      <s:c r="D445" s="0" t="n">
        <s:v>1390</s:v>
      </s:c>
      <s:c r="F445" s="24">
        <s:f>'자료구성'!$B$2+TIME(INT($C$3/10000),INT(MOD($C$3,10000)/100),MOD($C$3,100))+(ROW()-ROW($C$3))/86400</s:f>
        <s:v>46247.34204861111</s:v>
      </s:c>
    </s:row>
    <s:row r="446">
      <s:c r="A446" s="0" t="n">
        <s:v>260813</s:v>
      </s:c>
      <s:c r="B446" s="0" t="inlineStr">
        <s:is>
          <s:t>이종훈</s:t>
        </s:is>
      </s:c>
      <s:c r="C446" s="0" t="n">
        <s:v>80511</s:v>
      </s:c>
      <s:c r="D446" s="0" t="n">
        <s:v>1399</s:v>
      </s:c>
      <s:c r="F446" s="24">
        <s:f>'자료구성'!$B$2+TIME(INT($C$3/10000),INT(MOD($C$3,10000)/100),MOD($C$3,100))+(ROW()-ROW($C$3))/86400</s:f>
        <s:v>46247.34206018518</s:v>
      </s:c>
    </s:row>
    <s:row r="447">
      <s:c r="A447" s="0" t="n">
        <s:v>260813</s:v>
      </s:c>
      <s:c r="B447" s="0" t="inlineStr">
        <s:is>
          <s:t>이종훈</s:t>
        </s:is>
      </s:c>
      <s:c r="C447" s="0" t="n">
        <s:v>80511</s:v>
      </s:c>
      <s:c r="D447" s="0" t="n">
        <s:v>1394</s:v>
      </s:c>
      <s:c r="F447" s="24">
        <s:f>'자료구성'!$B$2+TIME(INT($C$3/10000),INT(MOD($C$3,10000)/100),MOD($C$3,100))+(ROW()-ROW($C$3))/86400</s:f>
        <s:v>46247.34207175926</s:v>
      </s:c>
    </s:row>
    <s:row r="448">
      <s:c r="A448" s="0" t="n">
        <s:v>260813</s:v>
      </s:c>
      <s:c r="B448" s="0" t="inlineStr">
        <s:is>
          <s:t>이종훈</s:t>
        </s:is>
      </s:c>
      <s:c r="C448" s="0" t="n">
        <s:v>80511</s:v>
      </s:c>
      <s:c r="D448" s="0" t="n">
        <s:v>1388</s:v>
      </s:c>
      <s:c r="F448" s="24">
        <s:f>'자료구성'!$B$2+TIME(INT($C$3/10000),INT(MOD($C$3,10000)/100),MOD($C$3,100))+(ROW()-ROW($C$3))/86400</s:f>
        <s:v>46247.34208333334</s:v>
      </s:c>
    </s:row>
    <s:row r="449">
      <s:c r="A449" s="0" t="n">
        <s:v>260813</s:v>
      </s:c>
      <s:c r="B449" s="0" t="inlineStr">
        <s:is>
          <s:t>이종훈</s:t>
        </s:is>
      </s:c>
      <s:c r="C449" s="0" t="n">
        <s:v>80511</s:v>
      </s:c>
      <s:c r="D449" s="0" t="n">
        <s:v>1446</s:v>
      </s:c>
      <s:c r="F449" s="24">
        <s:f>'자료구성'!$B$2+TIME(INT($C$3/10000),INT(MOD($C$3,10000)/100),MOD($C$3,100))+(ROW()-ROW($C$3))/86400</s:f>
        <s:v>46247.342094907406</s:v>
      </s:c>
    </s:row>
    <s:row r="450">
      <s:c r="A450" s="0" t="n">
        <s:v>260813</s:v>
      </s:c>
      <s:c r="B450" s="0" t="inlineStr">
        <s:is>
          <s:t>이종훈</s:t>
        </s:is>
      </s:c>
      <s:c r="C450" s="0" t="n">
        <s:v>80511</s:v>
      </s:c>
      <s:c r="D450" s="0" t="n">
        <s:v>1471</s:v>
      </s:c>
      <s:c r="F450" s="24">
        <s:f>'자료구성'!$B$2+TIME(INT($C$3/10000),INT(MOD($C$3,10000)/100),MOD($C$3,100))+(ROW()-ROW($C$3))/86400</s:f>
        <s:v>46247.34210648148</s:v>
      </s:c>
    </s:row>
    <s:row r="451">
      <s:c r="A451" s="0" t="n">
        <s:v>260813</s:v>
      </s:c>
      <s:c r="B451" s="0" t="inlineStr">
        <s:is>
          <s:t>이종훈</s:t>
        </s:is>
      </s:c>
      <s:c r="C451" s="0" t="n">
        <s:v>80511</s:v>
      </s:c>
      <s:c r="D451" s="0" t="n">
        <s:v>1492</s:v>
      </s:c>
      <s:c r="F451" s="24">
        <s:f>'자료구성'!$B$2+TIME(INT($C$3/10000),INT(MOD($C$3,10000)/100),MOD($C$3,100))+(ROW()-ROW($C$3))/86400</s:f>
        <s:v>46247.34211805555</s:v>
      </s:c>
    </s:row>
    <s:row r="452">
      <s:c r="A452" s="0" t="n">
        <s:v>260813</s:v>
      </s:c>
      <s:c r="B452" s="0" t="inlineStr">
        <s:is>
          <s:t>이종훈</s:t>
        </s:is>
      </s:c>
      <s:c r="C452" s="0" t="n">
        <s:v>80511</s:v>
      </s:c>
      <s:c r="D452" s="0" t="n">
        <s:v>1440</s:v>
      </s:c>
      <s:c r="F452" s="24">
        <s:f>'자료구성'!$B$2+TIME(INT($C$3/10000),INT(MOD($C$3,10000)/100),MOD($C$3,100))+(ROW()-ROW($C$3))/86400</s:f>
        <s:v>46247.34212962963</s:v>
      </s:c>
    </s:row>
    <s:row r="453">
      <s:c r="A453" s="0" t="n">
        <s:v>260813</s:v>
      </s:c>
      <s:c r="B453" s="0" t="inlineStr">
        <s:is>
          <s:t>이종훈</s:t>
        </s:is>
      </s:c>
      <s:c r="C453" s="0" t="n">
        <s:v>80511</s:v>
      </s:c>
      <s:c r="D453" s="0" t="n">
        <s:v>1379</s:v>
      </s:c>
      <s:c r="F453" s="24">
        <s:f>'자료구성'!$B$2+TIME(INT($C$3/10000),INT(MOD($C$3,10000)/100),MOD($C$3,100))+(ROW()-ROW($C$3))/86400</s:f>
        <s:v>46247.342141203706</s:v>
      </s:c>
    </s:row>
    <s:row r="454">
      <s:c r="A454" s="0" t="n">
        <s:v>260813</s:v>
      </s:c>
      <s:c r="B454" s="0" t="inlineStr">
        <s:is>
          <s:t>이종훈</s:t>
        </s:is>
      </s:c>
      <s:c r="C454" s="0" t="n">
        <s:v>80511</s:v>
      </s:c>
      <s:c r="D454" s="0" t="n">
        <s:v>1316</s:v>
      </s:c>
      <s:c r="F454" s="24">
        <s:f>'자료구성'!$B$2+TIME(INT($C$3/10000),INT(MOD($C$3,10000)/100),MOD($C$3,100))+(ROW()-ROW($C$3))/86400</s:f>
        <s:v>46247.342152777775</s:v>
      </s:c>
    </s:row>
    <s:row r="455">
      <s:c r="A455" s="0" t="n">
        <s:v>260813</s:v>
      </s:c>
      <s:c r="B455" s="0" t="inlineStr">
        <s:is>
          <s:t>이종훈</s:t>
        </s:is>
      </s:c>
      <s:c r="C455" s="0" t="n">
        <s:v>80511</s:v>
      </s:c>
      <s:c r="D455" s="0" t="n">
        <s:v>1278</s:v>
      </s:c>
      <s:c r="F455" s="24">
        <s:f>'자료구성'!$B$2+TIME(INT($C$3/10000),INT(MOD($C$3,10000)/100),MOD($C$3,100))+(ROW()-ROW($C$3))/86400</s:f>
        <s:v>46247.34216435185</s:v>
      </s:c>
    </s:row>
    <s:row r="456">
      <s:c r="A456" s="0" t="n">
        <s:v>260813</s:v>
      </s:c>
      <s:c r="B456" s="0" t="inlineStr">
        <s:is>
          <s:t>이종훈</s:t>
        </s:is>
      </s:c>
      <s:c r="C456" s="0" t="n">
        <s:v>80511</s:v>
      </s:c>
      <s:c r="D456" s="0" t="n">
        <s:v>1269</s:v>
      </s:c>
      <s:c r="F456" s="24">
        <s:f>'자료구성'!$B$2+TIME(INT($C$3/10000),INT(MOD($C$3,10000)/100),MOD($C$3,100))+(ROW()-ROW($C$3))/86400</s:f>
        <s:v>46247.34217592593</s:v>
      </s:c>
    </s:row>
    <s:row r="457">
      <s:c r="A457" s="0" t="n">
        <s:v>260813</s:v>
      </s:c>
      <s:c r="B457" s="0" t="inlineStr">
        <s:is>
          <s:t>이종훈</s:t>
        </s:is>
      </s:c>
      <s:c r="C457" s="0" t="n">
        <s:v>80511</s:v>
      </s:c>
      <s:c r="D457" s="0" t="n">
        <s:v>1273</s:v>
      </s:c>
      <s:c r="F457" s="24">
        <s:f>'자료구성'!$B$2+TIME(INT($C$3/10000),INT(MOD($C$3,10000)/100),MOD($C$3,100))+(ROW()-ROW($C$3))/86400</s:f>
        <s:v>46247.3421875</s:v>
      </s:c>
    </s:row>
    <s:row r="458">
      <s:c r="A458" s="0" t="n">
        <s:v>260813</s:v>
      </s:c>
      <s:c r="B458" s="0" t="inlineStr">
        <s:is>
          <s:t>이종훈</s:t>
        </s:is>
      </s:c>
      <s:c r="C458" s="0" t="n">
        <s:v>80511</s:v>
      </s:c>
      <s:c r="D458" s="0" t="n">
        <s:v>1293</s:v>
      </s:c>
      <s:c r="F458" s="24">
        <s:f>'자료구성'!$B$2+TIME(INT($C$3/10000),INT(MOD($C$3,10000)/100),MOD($C$3,100))+(ROW()-ROW($C$3))/86400</s:f>
        <s:v>46247.342199074075</s:v>
      </s:c>
    </s:row>
    <s:row r="459">
      <s:c r="A459" s="0" t="n">
        <s:v>260813</s:v>
      </s:c>
      <s:c r="B459" s="0" t="inlineStr">
        <s:is>
          <s:t>이종훈</s:t>
        </s:is>
      </s:c>
      <s:c r="C459" s="0" t="n">
        <s:v>80511</s:v>
      </s:c>
      <s:c r="D459" s="0" t="n">
        <s:v>1323</s:v>
      </s:c>
      <s:c r="F459" s="24">
        <s:f>'자료구성'!$B$2+TIME(INT($C$3/10000),INT(MOD($C$3,10000)/100),MOD($C$3,100))+(ROW()-ROW($C$3))/86400</s:f>
        <s:v>46247.342210648145</s:v>
      </s:c>
    </s:row>
    <s:row r="460">
      <s:c r="A460" s="0" t="n">
        <s:v>260813</s:v>
      </s:c>
      <s:c r="B460" s="0" t="inlineStr">
        <s:is>
          <s:t>이종훈</s:t>
        </s:is>
      </s:c>
      <s:c r="C460" s="0" t="n">
        <s:v>80511</s:v>
      </s:c>
      <s:c r="D460" s="0" t="n">
        <s:v>1384</s:v>
      </s:c>
      <s:c r="F460" s="24">
        <s:f>'자료구성'!$B$2+TIME(INT($C$3/10000),INT(MOD($C$3,10000)/100),MOD($C$3,100))+(ROW()-ROW($C$3))/86400</s:f>
        <s:v>46247.34222222222</s:v>
      </s:c>
    </s:row>
    <s:row r="461">
      <s:c r="A461" s="0" t="n">
        <s:v>260813</s:v>
      </s:c>
      <s:c r="B461" s="0" t="inlineStr">
        <s:is>
          <s:t>이종훈</s:t>
        </s:is>
      </s:c>
      <s:c r="C461" s="0" t="n">
        <s:v>80511</s:v>
      </s:c>
      <s:c r="D461" s="0" t="n">
        <s:v>1429</s:v>
      </s:c>
      <s:c r="F461" s="24">
        <s:f>'자료구성'!$B$2+TIME(INT($C$3/10000),INT(MOD($C$3,10000)/100),MOD($C$3,100))+(ROW()-ROW($C$3))/86400</s:f>
        <s:v>46247.3422337963</s:v>
      </s:c>
    </s:row>
    <s:row r="462">
      <s:c r="A462" s="0" t="n">
        <s:v>260813</s:v>
      </s:c>
      <s:c r="B462" s="0" t="inlineStr">
        <s:is>
          <s:t>이종훈</s:t>
        </s:is>
      </s:c>
      <s:c r="C462" s="0" t="n">
        <s:v>80511</s:v>
      </s:c>
      <s:c r="D462" s="0" t="n">
        <s:v>1476</s:v>
      </s:c>
      <s:c r="F462" s="24">
        <s:f>'자료구성'!$B$2+TIME(INT($C$3/10000),INT(MOD($C$3,10000)/100),MOD($C$3,100))+(ROW()-ROW($C$3))/86400</s:f>
        <s:v>46247.34224537037</s:v>
      </s:c>
    </s:row>
    <s:row r="463">
      <s:c r="A463" s="0" t="n">
        <s:v>260813</s:v>
      </s:c>
      <s:c r="B463" s="0" t="inlineStr">
        <s:is>
          <s:t>이종훈</s:t>
        </s:is>
      </s:c>
      <s:c r="C463" s="0" t="n">
        <s:v>80511</s:v>
      </s:c>
      <s:c r="D463" s="0" t="n">
        <s:v>1472</s:v>
      </s:c>
      <s:c r="F463" s="24">
        <s:f>'자료구성'!$B$2+TIME(INT($C$3/10000),INT(MOD($C$3,10000)/100),MOD($C$3,100))+(ROW()-ROW($C$3))/86400</s:f>
        <s:v>46247.342256944445</s:v>
      </s:c>
    </s:row>
    <s:row r="464">
      <s:c r="A464" s="0" t="n">
        <s:v>260813</s:v>
      </s:c>
      <s:c r="B464" s="0" t="inlineStr">
        <s:is>
          <s:t>이종훈</s:t>
        </s:is>
      </s:c>
      <s:c r="C464" s="0" t="n">
        <s:v>80511</s:v>
      </s:c>
      <s:c r="D464" s="0" t="n">
        <s:v>1480</s:v>
      </s:c>
      <s:c r="F464" s="24">
        <s:f>'자료구성'!$B$2+TIME(INT($C$3/10000),INT(MOD($C$3,10000)/100),MOD($C$3,100))+(ROW()-ROW($C$3))/86400</s:f>
        <s:v>46247.34226851852</s:v>
      </s:c>
    </s:row>
    <s:row r="465">
      <s:c r="A465" s="0" t="n">
        <s:v>260813</s:v>
      </s:c>
      <s:c r="B465" s="0" t="inlineStr">
        <s:is>
          <s:t>이종훈</s:t>
        </s:is>
      </s:c>
      <s:c r="C465" s="0" t="n">
        <s:v>80511</s:v>
      </s:c>
      <s:c r="D465" s="0" t="n">
        <s:v>1526</s:v>
      </s:c>
      <s:c r="F465" s="24">
        <s:f>'자료구성'!$B$2+TIME(INT($C$3/10000),INT(MOD($C$3,10000)/100),MOD($C$3,100))+(ROW()-ROW($C$3))/86400</s:f>
        <s:v>46247.34228009259</s:v>
      </s:c>
    </s:row>
    <s:row r="466">
      <s:c r="A466" s="0" t="n">
        <s:v>260813</s:v>
      </s:c>
      <s:c r="B466" s="0" t="inlineStr">
        <s:is>
          <s:t>이종훈</s:t>
        </s:is>
      </s:c>
      <s:c r="C466" s="0" t="n">
        <s:v>80511</s:v>
      </s:c>
      <s:c r="D466" s="0" t="n">
        <s:v>1583</s:v>
      </s:c>
      <s:c r="F466" s="24">
        <s:f>'자료구성'!$B$2+TIME(INT($C$3/10000),INT(MOD($C$3,10000)/100),MOD($C$3,100))+(ROW()-ROW($C$3))/86400</s:f>
        <s:v>46247.34229166667</s:v>
      </s:c>
    </s:row>
    <s:row r="467">
      <s:c r="A467" s="0" t="n">
        <s:v>260813</s:v>
      </s:c>
      <s:c r="B467" s="0" t="inlineStr">
        <s:is>
          <s:t>이종훈</s:t>
        </s:is>
      </s:c>
      <s:c r="C467" s="0" t="n">
        <s:v>80511</s:v>
      </s:c>
      <s:c r="D467" s="0" t="n">
        <s:v>1627</s:v>
      </s:c>
      <s:c r="F467" s="24">
        <s:f>'자료구성'!$B$2+TIME(INT($C$3/10000),INT(MOD($C$3,10000)/100),MOD($C$3,100))+(ROW()-ROW($C$3))/86400</s:f>
        <s:v>46247.34230324074</s:v>
      </s:c>
    </s:row>
    <s:row r="468">
      <s:c r="A468" s="0" t="n">
        <s:v>260813</s:v>
      </s:c>
      <s:c r="B468" s="0" t="inlineStr">
        <s:is>
          <s:t>이종훈</s:t>
        </s:is>
      </s:c>
      <s:c r="C468" s="0" t="n">
        <s:v>80511</s:v>
      </s:c>
      <s:c r="D468" s="0" t="n">
        <s:v>1675</s:v>
      </s:c>
      <s:c r="F468" s="24">
        <s:f>'자료구성'!$B$2+TIME(INT($C$3/10000),INT(MOD($C$3,10000)/100),MOD($C$3,100))+(ROW()-ROW($C$3))/86400</s:f>
        <s:v>46247.342314814814</s:v>
      </s:c>
    </s:row>
    <s:row r="469">
      <s:c r="A469" s="0" t="n">
        <s:v>260813</s:v>
      </s:c>
      <s:c r="B469" s="0" t="inlineStr">
        <s:is>
          <s:t>이종훈</s:t>
        </s:is>
      </s:c>
      <s:c r="C469" s="0" t="n">
        <s:v>80511</s:v>
      </s:c>
      <s:c r="D469" s="0" t="n">
        <s:v>1730</s:v>
      </s:c>
      <s:c r="F469" s="24">
        <s:f>'자료구성'!$B$2+TIME(INT($C$3/10000),INT(MOD($C$3,10000)/100),MOD($C$3,100))+(ROW()-ROW($C$3))/86400</s:f>
        <s:v>46247.34232638889</s:v>
      </s:c>
    </s:row>
    <s:row r="470">
      <s:c r="A470" s="0" t="n">
        <s:v>260813</s:v>
      </s:c>
      <s:c r="B470" s="0" t="inlineStr">
        <s:is>
          <s:t>이종훈</s:t>
        </s:is>
      </s:c>
      <s:c r="C470" s="0" t="n">
        <s:v>80511</s:v>
      </s:c>
      <s:c r="D470" s="0" t="n">
        <s:v>1780</s:v>
      </s:c>
      <s:c r="F470" s="24">
        <s:f>'자료구성'!$B$2+TIME(INT($C$3/10000),INT(MOD($C$3,10000)/100),MOD($C$3,100))+(ROW()-ROW($C$3))/86400</s:f>
        <s:v>46247.34233796296</s:v>
      </s:c>
    </s:row>
    <s:row r="471">
      <s:c r="A471" s="0" t="n">
        <s:v>260813</s:v>
      </s:c>
      <s:c r="B471" s="0" t="inlineStr">
        <s:is>
          <s:t>이종훈</s:t>
        </s:is>
      </s:c>
      <s:c r="C471" s="0" t="n">
        <s:v>80511</s:v>
      </s:c>
      <s:c r="D471" s="0" t="n">
        <s:v>1776</s:v>
      </s:c>
      <s:c r="F471" s="24">
        <s:f>'자료구성'!$B$2+TIME(INT($C$3/10000),INT(MOD($C$3,10000)/100),MOD($C$3,100))+(ROW()-ROW($C$3))/86400</s:f>
        <s:v>46247.34234953704</s:v>
      </s:c>
    </s:row>
    <s:row r="472">
      <s:c r="A472" s="0" t="n">
        <s:v>260813</s:v>
      </s:c>
      <s:c r="B472" s="0" t="inlineStr">
        <s:is>
          <s:t>이종훈</s:t>
        </s:is>
      </s:c>
      <s:c r="C472" s="0" t="n">
        <s:v>80511</s:v>
      </s:c>
      <s:c r="D472" s="0" t="n">
        <s:v>1819</s:v>
      </s:c>
      <s:c r="F472" s="24">
        <s:f>'자료구성'!$B$2+TIME(INT($C$3/10000),INT(MOD($C$3,10000)/100),MOD($C$3,100))+(ROW()-ROW($C$3))/86400</s:f>
        <s:v>46247.342361111114</s:v>
      </s:c>
    </s:row>
    <s:row r="473">
      <s:c r="A473" s="0" t="n">
        <s:v>260813</s:v>
      </s:c>
      <s:c r="B473" s="0" t="inlineStr">
        <s:is>
          <s:t>이종훈</s:t>
        </s:is>
      </s:c>
      <s:c r="C473" s="0" t="n">
        <s:v>80511</s:v>
      </s:c>
      <s:c r="D473" s="0" t="n">
        <s:v>1817</s:v>
      </s:c>
      <s:c r="F473" s="24">
        <s:f>'자료구성'!$B$2+TIME(INT($C$3/10000),INT(MOD($C$3,10000)/100),MOD($C$3,100))+(ROW()-ROW($C$3))/86400</s:f>
        <s:v>46247.34237268518</s:v>
      </s:c>
    </s:row>
    <s:row r="474">
      <s:c r="A474" s="0" t="n">
        <s:v>260813</s:v>
      </s:c>
      <s:c r="B474" s="0" t="inlineStr">
        <s:is>
          <s:t>이종훈</s:t>
        </s:is>
      </s:c>
      <s:c r="C474" s="0" t="n">
        <s:v>80511</s:v>
      </s:c>
      <s:c r="D474" s="0" t="n">
        <s:v>1859</s:v>
      </s:c>
      <s:c r="F474" s="24">
        <s:f>'자료구성'!$B$2+TIME(INT($C$3/10000),INT(MOD($C$3,10000)/100),MOD($C$3,100))+(ROW()-ROW($C$3))/86400</s:f>
        <s:v>46247.34238425926</s:v>
      </s:c>
    </s:row>
    <s:row r="475">
      <s:c r="A475" s="0" t="n">
        <s:v>260813</s:v>
      </s:c>
      <s:c r="B475" s="0" t="inlineStr">
        <s:is>
          <s:t>이종훈</s:t>
        </s:is>
      </s:c>
      <s:c r="C475" s="0" t="n">
        <s:v>80511</s:v>
      </s:c>
      <s:c r="D475" s="0" t="n">
        <s:v>1863</s:v>
      </s:c>
      <s:c r="F475" s="24">
        <s:f>'자료구성'!$B$2+TIME(INT($C$3/10000),INT(MOD($C$3,10000)/100),MOD($C$3,100))+(ROW()-ROW($C$3))/86400</s:f>
        <s:v>46247.34239583334</s:v>
      </s:c>
    </s:row>
    <s:row r="476">
      <s:c r="A476" s="0" t="n">
        <s:v>260813</s:v>
      </s:c>
      <s:c r="B476" s="0" t="inlineStr">
        <s:is>
          <s:t>이종훈</s:t>
        </s:is>
      </s:c>
      <s:c r="C476" s="0" t="n">
        <s:v>80511</s:v>
      </s:c>
      <s:c r="D476" s="0" t="n">
        <s:v>1856</s:v>
      </s:c>
      <s:c r="F476" s="24">
        <s:f>'자료구성'!$B$2+TIME(INT($C$3/10000),INT(MOD($C$3,10000)/100),MOD($C$3,100))+(ROW()-ROW($C$3))/86400</s:f>
        <s:v>46247.34240740741</s:v>
      </s:c>
    </s:row>
    <s:row r="477">
      <s:c r="A477" s="0" t="n">
        <s:v>260813</s:v>
      </s:c>
      <s:c r="B477" s="0" t="inlineStr">
        <s:is>
          <s:t>이종훈</s:t>
        </s:is>
      </s:c>
      <s:c r="C477" s="0" t="n">
        <s:v>80511</s:v>
      </s:c>
      <s:c r="D477" s="0" t="n">
        <s:v>1858</s:v>
      </s:c>
      <s:c r="F477" s="24">
        <s:f>'자료구성'!$B$2+TIME(INT($C$3/10000),INT(MOD($C$3,10000)/100),MOD($C$3,100))+(ROW()-ROW($C$3))/86400</s:f>
        <s:v>46247.34241898148</s:v>
      </s:c>
    </s:row>
    <s:row r="478">
      <s:c r="A478" s="0" t="n">
        <s:v>260813</s:v>
      </s:c>
      <s:c r="B478" s="0" t="inlineStr">
        <s:is>
          <s:t>이종훈</s:t>
        </s:is>
      </s:c>
      <s:c r="C478" s="0" t="n">
        <s:v>80511</s:v>
      </s:c>
      <s:c r="D478" s="0" t="n">
        <s:v>1843</s:v>
      </s:c>
      <s:c r="F478" s="24">
        <s:f>'자료구성'!$B$2+TIME(INT($C$3/10000),INT(MOD($C$3,10000)/100),MOD($C$3,100))+(ROW()-ROW($C$3))/86400</s:f>
        <s:v>46247.34243055555</s:v>
      </s:c>
    </s:row>
    <s:row r="479">
      <s:c r="A479" s="0" t="n">
        <s:v>260813</s:v>
      </s:c>
      <s:c r="B479" s="0" t="inlineStr">
        <s:is>
          <s:t>이종훈</s:t>
        </s:is>
      </s:c>
      <s:c r="C479" s="0" t="n">
        <s:v>80511</s:v>
      </s:c>
      <s:c r="D479" s="0" t="n">
        <s:v>1837</s:v>
      </s:c>
      <s:c r="F479" s="24">
        <s:f>'자료구성'!$B$2+TIME(INT($C$3/10000),INT(MOD($C$3,10000)/100),MOD($C$3,100))+(ROW()-ROW($C$3))/86400</s:f>
        <s:v>46247.34244212963</s:v>
      </s:c>
    </s:row>
    <s:row r="480">
      <s:c r="A480" s="0" t="n">
        <s:v>260813</s:v>
      </s:c>
      <s:c r="B480" s="0" t="inlineStr">
        <s:is>
          <s:t>이종훈</s:t>
        </s:is>
      </s:c>
      <s:c r="C480" s="0" t="n">
        <s:v>80511</s:v>
      </s:c>
      <s:c r="D480" s="0" t="n">
        <s:v>1839</s:v>
      </s:c>
      <s:c r="F480" s="24">
        <s:f>'자료구성'!$B$2+TIME(INT($C$3/10000),INT(MOD($C$3,10000)/100),MOD($C$3,100))+(ROW()-ROW($C$3))/86400</s:f>
        <s:v>46247.342453703706</s:v>
      </s:c>
    </s:row>
    <s:row r="481">
      <s:c r="A481" s="0" t="n">
        <s:v>260813</s:v>
      </s:c>
      <s:c r="B481" s="0" t="inlineStr">
        <s:is>
          <s:t>이종훈</s:t>
        </s:is>
      </s:c>
      <s:c r="C481" s="0" t="n">
        <s:v>80511</s:v>
      </s:c>
      <s:c r="D481" s="0" t="n">
        <s:v>1827</s:v>
      </s:c>
      <s:c r="F481" s="24">
        <s:f>'자료구성'!$B$2+TIME(INT($C$3/10000),INT(MOD($C$3,10000)/100),MOD($C$3,100))+(ROW()-ROW($C$3))/86400</s:f>
        <s:v>46247.342465277776</s:v>
      </s:c>
    </s:row>
    <s:row r="482">
      <s:c r="A482" s="0" t="n">
        <s:v>260813</s:v>
      </s:c>
      <s:c r="B482" s="0" t="inlineStr">
        <s:is>
          <s:t>이종훈</s:t>
        </s:is>
      </s:c>
      <s:c r="C482" s="0" t="n">
        <s:v>80511</s:v>
      </s:c>
      <s:c r="D482" s="0" t="n">
        <s:v>1775</s:v>
      </s:c>
      <s:c r="F482" s="24">
        <s:f>'자료구성'!$B$2+TIME(INT($C$3/10000),INT(MOD($C$3,10000)/100),MOD($C$3,100))+(ROW()-ROW($C$3))/86400</s:f>
        <s:v>46247.34247685185</s:v>
      </s:c>
    </s:row>
    <s:row r="483">
      <s:c r="A483" s="0" t="n">
        <s:v>260813</s:v>
      </s:c>
      <s:c r="B483" s="0" t="inlineStr">
        <s:is>
          <s:t>이종훈</s:t>
        </s:is>
      </s:c>
      <s:c r="C483" s="0" t="n">
        <s:v>80511</s:v>
      </s:c>
      <s:c r="D483" s="0" t="n">
        <s:v>1743</s:v>
      </s:c>
      <s:c r="F483" s="24">
        <s:f>'자료구성'!$B$2+TIME(INT($C$3/10000),INT(MOD($C$3,10000)/100),MOD($C$3,100))+(ROW()-ROW($C$3))/86400</s:f>
        <s:v>46247.34248842593</s:v>
      </s:c>
    </s:row>
    <s:row r="484">
      <s:c r="A484" s="0" t="n">
        <s:v>260813</s:v>
      </s:c>
      <s:c r="B484" s="0" t="inlineStr">
        <s:is>
          <s:t>이종훈</s:t>
        </s:is>
      </s:c>
      <s:c r="C484" s="0" t="n">
        <s:v>80511</s:v>
      </s:c>
      <s:c r="D484" s="0" t="n">
        <s:v>1719</s:v>
      </s:c>
      <s:c r="F484" s="24">
        <s:f>'자료구성'!$B$2+TIME(INT($C$3/10000),INT(MOD($C$3,10000)/100),MOD($C$3,100))+(ROW()-ROW($C$3))/86400</s:f>
        <s:v>46247.3425</s:v>
      </s:c>
    </s:row>
    <s:row r="485">
      <s:c r="A485" s="0" t="n">
        <s:v>260813</s:v>
      </s:c>
      <s:c r="B485" s="0" t="inlineStr">
        <s:is>
          <s:t>이종훈</s:t>
        </s:is>
      </s:c>
      <s:c r="C485" s="0" t="n">
        <s:v>80511</s:v>
      </s:c>
      <s:c r="D485" s="0" t="n">
        <s:v>1698</s:v>
      </s:c>
      <s:c r="F485" s="24">
        <s:f>'자료구성'!$B$2+TIME(INT($C$3/10000),INT(MOD($C$3,10000)/100),MOD($C$3,100))+(ROW()-ROW($C$3))/86400</s:f>
        <s:v>46247.342511574076</s:v>
      </s:c>
    </s:row>
    <s:row r="486">
      <s:c r="A486" s="0" t="n">
        <s:v>260813</s:v>
      </s:c>
      <s:c r="B486" s="0" t="inlineStr">
        <s:is>
          <s:t>이종훈</s:t>
        </s:is>
      </s:c>
      <s:c r="C486" s="0" t="n">
        <s:v>80511</s:v>
      </s:c>
      <s:c r="D486" s="0" t="n">
        <s:v>1713</s:v>
      </s:c>
      <s:c r="F486" s="24">
        <s:f>'자료구성'!$B$2+TIME(INT($C$3/10000),INT(MOD($C$3,10000)/100),MOD($C$3,100))+(ROW()-ROW($C$3))/86400</s:f>
        <s:v>46247.342523148145</s:v>
      </s:c>
    </s:row>
    <s:row r="487">
      <s:c r="A487" s="0" t="n">
        <s:v>260813</s:v>
      </s:c>
      <s:c r="B487" s="0" t="inlineStr">
        <s:is>
          <s:t>이종훈</s:t>
        </s:is>
      </s:c>
      <s:c r="C487" s="0" t="n">
        <s:v>80511</s:v>
      </s:c>
      <s:c r="D487" s="0" t="n">
        <s:v>1734</s:v>
      </s:c>
      <s:c r="F487" s="24">
        <s:f>'자료구성'!$B$2+TIME(INT($C$3/10000),INT(MOD($C$3,10000)/100),MOD($C$3,100))+(ROW()-ROW($C$3))/86400</s:f>
        <s:v>46247.34253472222</s:v>
      </s:c>
    </s:row>
    <s:row r="488">
      <s:c r="A488" s="0" t="n">
        <s:v>260813</s:v>
      </s:c>
      <s:c r="B488" s="0" t="inlineStr">
        <s:is>
          <s:t>이종훈</s:t>
        </s:is>
      </s:c>
      <s:c r="C488" s="0" t="n">
        <s:v>80511</s:v>
      </s:c>
      <s:c r="D488" s="0" t="n">
        <s:v>1751</s:v>
      </s:c>
      <s:c r="F488" s="24">
        <s:f>'자료구성'!$B$2+TIME(INT($C$3/10000),INT(MOD($C$3,10000)/100),MOD($C$3,100))+(ROW()-ROW($C$3))/86400</s:f>
        <s:v>46247.3425462963</s:v>
      </s:c>
    </s:row>
    <s:row r="489">
      <s:c r="A489" s="0" t="n">
        <s:v>260813</s:v>
      </s:c>
      <s:c r="B489" s="0" t="inlineStr">
        <s:is>
          <s:t>이종훈</s:t>
        </s:is>
      </s:c>
      <s:c r="C489" s="0" t="n">
        <s:v>80511</s:v>
      </s:c>
      <s:c r="D489" s="0" t="n">
        <s:v>1733</s:v>
      </s:c>
      <s:c r="F489" s="24">
        <s:f>'자료구성'!$B$2+TIME(INT($C$3/10000),INT(MOD($C$3,10000)/100),MOD($C$3,100))+(ROW()-ROW($C$3))/86400</s:f>
        <s:v>46247.34255787037</s:v>
      </s:c>
    </s:row>
    <s:row r="490">
      <s:c r="A490" s="0" t="n">
        <s:v>260813</s:v>
      </s:c>
      <s:c r="B490" s="0" t="inlineStr">
        <s:is>
          <s:t>이종훈</s:t>
        </s:is>
      </s:c>
      <s:c r="C490" s="0" t="n">
        <s:v>80511</s:v>
      </s:c>
      <s:c r="D490" s="0" t="n">
        <s:v>1717</s:v>
      </s:c>
      <s:c r="F490" s="24">
        <s:f>'자료구성'!$B$2+TIME(INT($C$3/10000),INT(MOD($C$3,10000)/100),MOD($C$3,100))+(ROW()-ROW($C$3))/86400</s:f>
        <s:v>46247.342569444445</s:v>
      </s:c>
    </s:row>
    <s:row r="491">
      <s:c r="A491" s="0" t="n">
        <s:v>260813</s:v>
      </s:c>
      <s:c r="B491" s="0" t="inlineStr">
        <s:is>
          <s:t>이종훈</s:t>
        </s:is>
      </s:c>
      <s:c r="C491" s="0" t="n">
        <s:v>80511</s:v>
      </s:c>
      <s:c r="D491" s="0" t="n">
        <s:v>1683</s:v>
      </s:c>
      <s:c r="F491" s="24">
        <s:f>'자료구성'!$B$2+TIME(INT($C$3/10000),INT(MOD($C$3,10000)/100),MOD($C$3,100))+(ROW()-ROW($C$3))/86400</s:f>
        <s:v>46247.34258101852</s:v>
      </s:c>
    </s:row>
    <s:row r="492">
      <s:c r="A492" s="0" t="n">
        <s:v>260813</s:v>
      </s:c>
      <s:c r="B492" s="0" t="inlineStr">
        <s:is>
          <s:t>이종훈</s:t>
        </s:is>
      </s:c>
      <s:c r="C492" s="0" t="n">
        <s:v>80511</s:v>
      </s:c>
      <s:c r="D492" s="0" t="n">
        <s:v>1656</s:v>
      </s:c>
      <s:c r="F492" s="24">
        <s:f>'자료구성'!$B$2+TIME(INT($C$3/10000),INT(MOD($C$3,10000)/100),MOD($C$3,100))+(ROW()-ROW($C$3))/86400</s:f>
        <s:v>46247.34259259259</s:v>
      </s:c>
    </s:row>
    <s:row r="493">
      <s:c r="A493" s="0" t="n">
        <s:v>260813</s:v>
      </s:c>
      <s:c r="B493" s="0" t="inlineStr">
        <s:is>
          <s:t>이종훈</s:t>
        </s:is>
      </s:c>
      <s:c r="C493" s="0" t="n">
        <s:v>80511</s:v>
      </s:c>
      <s:c r="D493" s="0" t="n">
        <s:v>1616</s:v>
      </s:c>
      <s:c r="F493" s="24">
        <s:f>'자료구성'!$B$2+TIME(INT($C$3/10000),INT(MOD($C$3,10000)/100),MOD($C$3,100))+(ROW()-ROW($C$3))/86400</s:f>
        <s:v>46247.34260416667</s:v>
      </s:c>
    </s:row>
    <s:row r="494">
      <s:c r="A494" s="0" t="n">
        <s:v>260813</s:v>
      </s:c>
      <s:c r="B494" s="0" t="inlineStr">
        <s:is>
          <s:t>이종훈</s:t>
        </s:is>
      </s:c>
      <s:c r="C494" s="0" t="n">
        <s:v>80511</s:v>
      </s:c>
      <s:c r="D494" s="0" t="n">
        <s:v>1592</s:v>
      </s:c>
      <s:c r="F494" s="24">
        <s:f>'자료구성'!$B$2+TIME(INT($C$3/10000),INT(MOD($C$3,10000)/100),MOD($C$3,100))+(ROW()-ROW($C$3))/86400</s:f>
        <s:v>46247.34261574074</s:v>
      </s:c>
    </s:row>
    <s:row r="495">
      <s:c r="A495" s="0" t="n">
        <s:v>260813</s:v>
      </s:c>
      <s:c r="B495" s="0" t="inlineStr">
        <s:is>
          <s:t>이종훈</s:t>
        </s:is>
      </s:c>
      <s:c r="C495" s="0" t="n">
        <s:v>80511</s:v>
      </s:c>
      <s:c r="D495" s="0" t="n">
        <s:v>1572</s:v>
      </s:c>
      <s:c r="F495" s="24">
        <s:f>'자료구성'!$B$2+TIME(INT($C$3/10000),INT(MOD($C$3,10000)/100),MOD($C$3,100))+(ROW()-ROW($C$3))/86400</s:f>
        <s:v>46247.342627314814</s:v>
      </s:c>
    </s:row>
    <s:row r="496">
      <s:c r="A496" s="0" t="n">
        <s:v>260813</s:v>
      </s:c>
      <s:c r="B496" s="0" t="inlineStr">
        <s:is>
          <s:t>이종훈</s:t>
        </s:is>
      </s:c>
      <s:c r="C496" s="0" t="n">
        <s:v>80511</s:v>
      </s:c>
      <s:c r="D496" s="0" t="n">
        <s:v>1583</s:v>
      </s:c>
      <s:c r="F496" s="24">
        <s:f>'자료구성'!$B$2+TIME(INT($C$3/10000),INT(MOD($C$3,10000)/100),MOD($C$3,100))+(ROW()-ROW($C$3))/86400</s:f>
        <s:v>46247.34263888889</s:v>
      </s:c>
    </s:row>
    <s:row r="497">
      <s:c r="A497" s="0" t="n">
        <s:v>260813</s:v>
      </s:c>
      <s:c r="B497" s="0" t="inlineStr">
        <s:is>
          <s:t>이종훈</s:t>
        </s:is>
      </s:c>
      <s:c r="C497" s="0" t="n">
        <s:v>80511</s:v>
      </s:c>
      <s:c r="D497" s="0" t="n">
        <s:v>1528</s:v>
      </s:c>
      <s:c r="F497" s="24">
        <s:f>'자료구성'!$B$2+TIME(INT($C$3/10000),INT(MOD($C$3,10000)/100),MOD($C$3,100))+(ROW()-ROW($C$3))/86400</s:f>
        <s:v>46247.34265046296</s:v>
      </s:c>
    </s:row>
    <s:row r="498">
      <s:c r="A498" s="0" t="n">
        <s:v>260813</s:v>
      </s:c>
      <s:c r="B498" s="0" t="inlineStr">
        <s:is>
          <s:t>이종훈</s:t>
        </s:is>
      </s:c>
      <s:c r="C498" s="0" t="n">
        <s:v>80511</s:v>
      </s:c>
      <s:c r="D498" s="0" t="n">
        <s:v>1472</s:v>
      </s:c>
      <s:c r="F498" s="24">
        <s:f>'자료구성'!$B$2+TIME(INT($C$3/10000),INT(MOD($C$3,10000)/100),MOD($C$3,100))+(ROW()-ROW($C$3))/86400</s:f>
        <s:v>46247.34266203704</s:v>
      </s:c>
    </s:row>
    <s:row r="499">
      <s:c r="A499" s="0" t="n">
        <s:v>260813</s:v>
      </s:c>
      <s:c r="B499" s="0" t="inlineStr">
        <s:is>
          <s:t>이종훈</s:t>
        </s:is>
      </s:c>
      <s:c r="C499" s="0" t="n">
        <s:v>80511</s:v>
      </s:c>
      <s:c r="D499" s="0" t="n">
        <s:v>1422</s:v>
      </s:c>
      <s:c r="F499" s="24">
        <s:f>'자료구성'!$B$2+TIME(INT($C$3/10000),INT(MOD($C$3,10000)/100),MOD($C$3,100))+(ROW()-ROW($C$3))/86400</s:f>
        <s:v>46247.342673611114</s:v>
      </s:c>
    </s:row>
    <s:row r="500">
      <s:c r="A500" s="0" t="n">
        <s:v>260813</s:v>
      </s:c>
      <s:c r="B500" s="0" t="inlineStr">
        <s:is>
          <s:t>이종훈</s:t>
        </s:is>
      </s:c>
      <s:c r="C500" s="0" t="n">
        <s:v>80511</s:v>
      </s:c>
      <s:c r="D500" s="0" t="n">
        <s:v>1395</s:v>
      </s:c>
      <s:c r="F500" s="24">
        <s:f>'자료구성'!$B$2+TIME(INT($C$3/10000),INT(MOD($C$3,10000)/100),MOD($C$3,100))+(ROW()-ROW($C$3))/86400</s:f>
        <s:v>46247.342685185184</s:v>
      </s:c>
    </s:row>
    <s:row r="501">
      <s:c r="A501" s="0" t="n">
        <s:v>260813</s:v>
      </s:c>
      <s:c r="B501" s="0" t="inlineStr">
        <s:is>
          <s:t>이종훈</s:t>
        </s:is>
      </s:c>
      <s:c r="C501" s="0" t="n">
        <s:v>80511</s:v>
      </s:c>
      <s:c r="D501" s="0" t="n">
        <s:v>1394</s:v>
      </s:c>
      <s:c r="F501" s="24">
        <s:f>'자료구성'!$B$2+TIME(INT($C$3/10000),INT(MOD($C$3,10000)/100),MOD($C$3,100))+(ROW()-ROW($C$3))/86400</s:f>
        <s:v>46247.34269675926</s:v>
      </s:c>
    </s:row>
    <s:row r="502">
      <s:c r="A502" s="0" t="n">
        <s:v>260813</s:v>
      </s:c>
      <s:c r="B502" s="0" t="inlineStr">
        <s:is>
          <s:t>이종훈</s:t>
        </s:is>
      </s:c>
      <s:c r="C502" s="0" t="n">
        <s:v>80511</s:v>
      </s:c>
      <s:c r="D502" s="0" t="n">
        <s:v>1362</s:v>
      </s:c>
      <s:c r="F502" s="24">
        <s:f>'자료구성'!$B$2+TIME(INT($C$3/10000),INT(MOD($C$3,10000)/100),MOD($C$3,100))+(ROW()-ROW($C$3))/86400</s:f>
        <s:v>46247.34270833333</s:v>
      </s:c>
    </s:row>
    <s:row r="503">
      <s:c r="A503" s="0" t="n">
        <s:v>260813</s:v>
      </s:c>
      <s:c r="B503" s="0" t="inlineStr">
        <s:is>
          <s:t>이종훈</s:t>
        </s:is>
      </s:c>
      <s:c r="C503" s="0" t="n">
        <s:v>80511</s:v>
      </s:c>
      <s:c r="D503" s="0" t="n">
        <s:v>1321</s:v>
      </s:c>
      <s:c r="F503" s="24">
        <s:f>'자료구성'!$B$2+TIME(INT($C$3/10000),INT(MOD($C$3,10000)/100),MOD($C$3,100))+(ROW()-ROW($C$3))/86400</s:f>
        <s:v>46247.34271990741</s:v>
      </s:c>
    </s:row>
    <s:row r="504">
      <s:c r="A504" s="0" t="n">
        <s:v>260813</s:v>
      </s:c>
      <s:c r="B504" s="0" t="inlineStr">
        <s:is>
          <s:t>이종훈</s:t>
        </s:is>
      </s:c>
      <s:c r="C504" s="0" t="n">
        <s:v>80511</s:v>
      </s:c>
      <s:c r="D504" s="0" t="n">
        <s:v>1287</s:v>
      </s:c>
      <s:c r="F504" s="24">
        <s:f>'자료구성'!$B$2+TIME(INT($C$3/10000),INT(MOD($C$3,10000)/100),MOD($C$3,100))+(ROW()-ROW($C$3))/86400</s:f>
        <s:v>46247.34273148148</s:v>
      </s:c>
    </s:row>
    <s:row r="505">
      <s:c r="A505" s="0" t="n">
        <s:v>260813</s:v>
      </s:c>
      <s:c r="B505" s="0" t="inlineStr">
        <s:is>
          <s:t>이종훈</s:t>
        </s:is>
      </s:c>
      <s:c r="C505" s="0" t="n">
        <s:v>80511</s:v>
      </s:c>
      <s:c r="D505" s="0" t="n">
        <s:v>1279</s:v>
      </s:c>
      <s:c r="F505" s="24">
        <s:f>'자료구성'!$B$2+TIME(INT($C$3/10000),INT(MOD($C$3,10000)/100),MOD($C$3,100))+(ROW()-ROW($C$3))/86400</s:f>
        <s:v>46247.34274305555</s:v>
      </s:c>
    </s:row>
    <s:row r="506">
      <s:c r="A506" s="0" t="n">
        <s:v>260813</s:v>
      </s:c>
      <s:c r="B506" s="0" t="inlineStr">
        <s:is>
          <s:t>이종훈</s:t>
        </s:is>
      </s:c>
      <s:c r="C506" s="0" t="n">
        <s:v>80511</s:v>
      </s:c>
      <s:c r="D506" s="0" t="n">
        <s:v>1290</s:v>
      </s:c>
      <s:c r="F506" s="24">
        <s:f>'자료구성'!$B$2+TIME(INT($C$3/10000),INT(MOD($C$3,10000)/100),MOD($C$3,100))+(ROW()-ROW($C$3))/86400</s:f>
        <s:v>46247.34275462963</s:v>
      </s:c>
    </s:row>
    <s:row r="507">
      <s:c r="A507" s="0" t="n">
        <s:v>260813</s:v>
      </s:c>
      <s:c r="B507" s="0" t="inlineStr">
        <s:is>
          <s:t>이종훈</s:t>
        </s:is>
      </s:c>
      <s:c r="C507" s="0" t="n">
        <s:v>80511</s:v>
      </s:c>
      <s:c r="D507" s="0" t="n">
        <s:v>1308</s:v>
      </s:c>
      <s:c r="F507" s="24">
        <s:f>'자료구성'!$B$2+TIME(INT($C$3/10000),INT(MOD($C$3,10000)/100),MOD($C$3,100))+(ROW()-ROW($C$3))/86400</s:f>
        <s:v>46247.34276620371</s:v>
      </s:c>
    </s:row>
    <s:row r="508">
      <s:c r="A508" s="0" t="n">
        <s:v>260813</s:v>
      </s:c>
      <s:c r="B508" s="0" t="inlineStr">
        <s:is>
          <s:t>이종훈</s:t>
        </s:is>
      </s:c>
      <s:c r="C508" s="0" t="n">
        <s:v>80511</s:v>
      </s:c>
      <s:c r="D508" s="0" t="n">
        <s:v>1320</s:v>
      </s:c>
      <s:c r="F508" s="24">
        <s:f>'자료구성'!$B$2+TIME(INT($C$3/10000),INT(MOD($C$3,10000)/100),MOD($C$3,100))+(ROW()-ROW($C$3))/86400</s:f>
        <s:v>46247.342777777776</s:v>
      </s:c>
    </s:row>
    <s:row r="509">
      <s:c r="A509" s="0" t="n">
        <s:v>260813</s:v>
      </s:c>
      <s:c r="B509" s="0" t="inlineStr">
        <s:is>
          <s:t>이종훈</s:t>
        </s:is>
      </s:c>
      <s:c r="C509" s="0" t="n">
        <s:v>80511</s:v>
      </s:c>
      <s:c r="D509" s="0" t="n">
        <s:v>1335</s:v>
      </s:c>
      <s:c r="F509" s="24">
        <s:f>'자료구성'!$B$2+TIME(INT($C$3/10000),INT(MOD($C$3,10000)/100),MOD($C$3,100))+(ROW()-ROW($C$3))/86400</s:f>
        <s:v>46247.34278935185</s:v>
      </s:c>
    </s:row>
    <s:row r="510">
      <s:c r="A510" s="0" t="n">
        <s:v>260813</s:v>
      </s:c>
      <s:c r="B510" s="0" t="inlineStr">
        <s:is>
          <s:t>이종훈</s:t>
        </s:is>
      </s:c>
      <s:c r="C510" s="0" t="n">
        <s:v>80511</s:v>
      </s:c>
      <s:c r="D510" s="0" t="n">
        <s:v>1351</s:v>
      </s:c>
      <s:c r="F510" s="24">
        <s:f>'자료구성'!$B$2+TIME(INT($C$3/10000),INT(MOD($C$3,10000)/100),MOD($C$3,100))+(ROW()-ROW($C$3))/86400</s:f>
        <s:v>46247.34280092592</s:v>
      </s:c>
    </s:row>
    <s:row r="511">
      <s:c r="A511" s="0" t="n">
        <s:v>260813</s:v>
      </s:c>
      <s:c r="B511" s="0" t="inlineStr">
        <s:is>
          <s:t>이종훈</s:t>
        </s:is>
      </s:c>
      <s:c r="C511" s="0" t="n">
        <s:v>80511</s:v>
      </s:c>
      <s:c r="D511" s="0" t="n">
        <s:v>1350</s:v>
      </s:c>
      <s:c r="F511" s="24">
        <s:f>'자료구성'!$B$2+TIME(INT($C$3/10000),INT(MOD($C$3,10000)/100),MOD($C$3,100))+(ROW()-ROW($C$3))/86400</s:f>
        <s:v>46247.3428125</s:v>
      </s:c>
    </s:row>
    <s:row r="512">
      <s:c r="A512" s="0" t="n">
        <s:v>260813</s:v>
      </s:c>
      <s:c r="B512" s="0" t="inlineStr">
        <s:is>
          <s:t>이종훈</s:t>
        </s:is>
      </s:c>
      <s:c r="C512" s="0" t="n">
        <s:v>80511</s:v>
      </s:c>
      <s:c r="D512" s="0" t="n">
        <s:v>1353</s:v>
      </s:c>
      <s:c r="F512" s="24">
        <s:f>'자료구성'!$B$2+TIME(INT($C$3/10000),INT(MOD($C$3,10000)/100),MOD($C$3,100))+(ROW()-ROW($C$3))/86400</s:f>
        <s:v>46247.342824074076</s:v>
      </s:c>
    </s:row>
    <s:row r="513">
      <s:c r="A513" s="0" t="n">
        <s:v>260813</s:v>
      </s:c>
      <s:c r="B513" s="0" t="inlineStr">
        <s:is>
          <s:t>이종훈</s:t>
        </s:is>
      </s:c>
      <s:c r="C513" s="0" t="n">
        <s:v>80511</s:v>
      </s:c>
      <s:c r="D513" s="0" t="n">
        <s:v>1363</s:v>
      </s:c>
      <s:c r="F513" s="24">
        <s:f>'자료구성'!$B$2+TIME(INT($C$3/10000),INT(MOD($C$3,10000)/100),MOD($C$3,100))+(ROW()-ROW($C$3))/86400</s:f>
        <s:v>46247.342835648145</s:v>
      </s:c>
    </s:row>
    <s:row r="514">
      <s:c r="A514" s="0" t="n">
        <s:v>260813</s:v>
      </s:c>
      <s:c r="B514" s="0" t="inlineStr">
        <s:is>
          <s:t>이종훈</s:t>
        </s:is>
      </s:c>
      <s:c r="C514" s="0" t="n">
        <s:v>80511</s:v>
      </s:c>
      <s:c r="D514" s="0" t="n">
        <s:v>1371</s:v>
      </s:c>
      <s:c r="F514" s="24">
        <s:f>'자료구성'!$B$2+TIME(INT($C$3/10000),INT(MOD($C$3,10000)/100),MOD($C$3,100))+(ROW()-ROW($C$3))/86400</s:f>
        <s:v>46247.34284722222</s:v>
      </s:c>
    </s:row>
    <s:row r="515">
      <s:c r="A515" s="0" t="n">
        <s:v>260813</s:v>
      </s:c>
      <s:c r="B515" s="0" t="inlineStr">
        <s:is>
          <s:t>이종훈</s:t>
        </s:is>
      </s:c>
      <s:c r="C515" s="0" t="n">
        <s:v>80511</s:v>
      </s:c>
      <s:c r="D515" s="0" t="n">
        <s:v>1377</s:v>
      </s:c>
      <s:c r="F515" s="24">
        <s:f>'자료구성'!$B$2+TIME(INT($C$3/10000),INT(MOD($C$3,10000)/100),MOD($C$3,100))+(ROW()-ROW($C$3))/86400</s:f>
        <s:v>46247.3428587963</s:v>
      </s:c>
    </s:row>
    <s:row r="516">
      <s:c r="A516" s="0" t="n">
        <s:v>260813</s:v>
      </s:c>
      <s:c r="B516" s="0" t="inlineStr">
        <s:is>
          <s:t>이종훈</s:t>
        </s:is>
      </s:c>
      <s:c r="C516" s="0" t="n">
        <s:v>80511</s:v>
      </s:c>
      <s:c r="D516" s="0" t="n">
        <s:v>1393</s:v>
      </s:c>
      <s:c r="F516" s="24">
        <s:f>'자료구성'!$B$2+TIME(INT($C$3/10000),INT(MOD($C$3,10000)/100),MOD($C$3,100))+(ROW()-ROW($C$3))/86400</s:f>
        <s:v>46247.34287037037</s:v>
      </s:c>
    </s:row>
    <s:row r="517">
      <s:c r="A517" s="0" t="n">
        <s:v>260813</s:v>
      </s:c>
      <s:c r="B517" s="0" t="inlineStr">
        <s:is>
          <s:t>이종훈</s:t>
        </s:is>
      </s:c>
      <s:c r="C517" s="0" t="n">
        <s:v>80511</s:v>
      </s:c>
      <s:c r="D517" s="0" t="n">
        <s:v>1416</s:v>
      </s:c>
      <s:c r="F517" s="24">
        <s:f>'자료구성'!$B$2+TIME(INT($C$3/10000),INT(MOD($C$3,10000)/100),MOD($C$3,100))+(ROW()-ROW($C$3))/86400</s:f>
        <s:v>46247.342881944445</s:v>
      </s:c>
    </s:row>
    <s:row r="518">
      <s:c r="A518" s="0" t="n">
        <s:v>260813</s:v>
      </s:c>
      <s:c r="B518" s="0" t="inlineStr">
        <s:is>
          <s:t>이종훈</s:t>
        </s:is>
      </s:c>
      <s:c r="C518" s="0" t="n">
        <s:v>80511</s:v>
      </s:c>
      <s:c r="D518" s="0" t="n">
        <s:v>1431</s:v>
      </s:c>
      <s:c r="F518" s="24">
        <s:f>'자료구성'!$B$2+TIME(INT($C$3/10000),INT(MOD($C$3,10000)/100),MOD($C$3,100))+(ROW()-ROW($C$3))/86400</s:f>
        <s:v>46247.34289351852</s:v>
      </s:c>
    </s:row>
    <s:row r="519">
      <s:c r="A519" s="0" t="n">
        <s:v>260813</s:v>
      </s:c>
      <s:c r="B519" s="0" t="inlineStr">
        <s:is>
          <s:t>이종훈</s:t>
        </s:is>
      </s:c>
      <s:c r="C519" s="0" t="n">
        <s:v>80511</s:v>
      </s:c>
      <s:c r="D519" s="0" t="n">
        <s:v>1462</s:v>
      </s:c>
      <s:c r="F519" s="24">
        <s:f>'자료구성'!$B$2+TIME(INT($C$3/10000),INT(MOD($C$3,10000)/100),MOD($C$3,100))+(ROW()-ROW($C$3))/86400</s:f>
        <s:v>46247.34290509259</s:v>
      </s:c>
    </s:row>
    <s:row r="520">
      <s:c r="A520" s="0" t="n">
        <s:v>260813</s:v>
      </s:c>
      <s:c r="B520" s="0" t="inlineStr">
        <s:is>
          <s:t>이종훈</s:t>
        </s:is>
      </s:c>
      <s:c r="C520" s="0" t="n">
        <s:v>80511</s:v>
      </s:c>
      <s:c r="D520" s="0" t="n">
        <s:v>1516</s:v>
      </s:c>
      <s:c r="F520" s="24">
        <s:f>'자료구성'!$B$2+TIME(INT($C$3/10000),INT(MOD($C$3,10000)/100),MOD($C$3,100))+(ROW()-ROW($C$3))/86400</s:f>
        <s:v>46247.34291666667</s:v>
      </s:c>
    </s:row>
    <s:row r="521">
      <s:c r="A521" s="0" t="n">
        <s:v>260813</s:v>
      </s:c>
      <s:c r="B521" s="0" t="inlineStr">
        <s:is>
          <s:t>이종훈</s:t>
        </s:is>
      </s:c>
      <s:c r="C521" s="0" t="n">
        <s:v>80511</s:v>
      </s:c>
      <s:c r="D521" s="0" t="n">
        <s:v>1558</s:v>
      </s:c>
      <s:c r="F521" s="24">
        <s:f>'자료구성'!$B$2+TIME(INT($C$3/10000),INT(MOD($C$3,10000)/100),MOD($C$3,100))+(ROW()-ROW($C$3))/86400</s:f>
        <s:v>46247.34292824074</s:v>
      </s:c>
    </s:row>
    <s:row r="522">
      <s:c r="A522" s="0" t="n">
        <s:v>260813</s:v>
      </s:c>
      <s:c r="B522" s="0" t="inlineStr">
        <s:is>
          <s:t>이종훈</s:t>
        </s:is>
      </s:c>
      <s:c r="C522" s="0" t="n">
        <s:v>80511</s:v>
      </s:c>
      <s:c r="D522" s="0" t="n">
        <s:v>1597</s:v>
      </s:c>
      <s:c r="F522" s="24">
        <s:f>'자료구성'!$B$2+TIME(INT($C$3/10000),INT(MOD($C$3,10000)/100),MOD($C$3,100))+(ROW()-ROW($C$3))/86400</s:f>
        <s:v>46247.342939814815</s:v>
      </s:c>
    </s:row>
    <s:row r="523">
      <s:c r="A523" s="0" t="n">
        <s:v>260813</s:v>
      </s:c>
      <s:c r="B523" s="0" t="inlineStr">
        <s:is>
          <s:t>이종훈</s:t>
        </s:is>
      </s:c>
      <s:c r="C523" s="0" t="n">
        <s:v>80511</s:v>
      </s:c>
      <s:c r="D523" s="0" t="n">
        <s:v>1614</s:v>
      </s:c>
      <s:c r="F523" s="24">
        <s:f>'자료구성'!$B$2+TIME(INT($C$3/10000),INT(MOD($C$3,10000)/100),MOD($C$3,100))+(ROW()-ROW($C$3))/86400</s:f>
        <s:v>46247.34295138889</s:v>
      </s:c>
    </s:row>
    <s:row r="524">
      <s:c r="A524" s="0" t="n">
        <s:v>260813</s:v>
      </s:c>
      <s:c r="B524" s="0" t="inlineStr">
        <s:is>
          <s:t>이종훈</s:t>
        </s:is>
      </s:c>
      <s:c r="C524" s="0" t="n">
        <s:v>80511</s:v>
      </s:c>
      <s:c r="D524" s="0" t="n">
        <s:v>1611</s:v>
      </s:c>
      <s:c r="F524" s="24">
        <s:f>'자료구성'!$B$2+TIME(INT($C$3/10000),INT(MOD($C$3,10000)/100),MOD($C$3,100))+(ROW()-ROW($C$3))/86400</s:f>
        <s:v>46247.34296296296</s:v>
      </s:c>
    </s:row>
    <s:row r="525">
      <s:c r="A525" s="0" t="n">
        <s:v>260813</s:v>
      </s:c>
      <s:c r="B525" s="0" t="inlineStr">
        <s:is>
          <s:t>이종훈</s:t>
        </s:is>
      </s:c>
      <s:c r="C525" s="0" t="n">
        <s:v>80511</s:v>
      </s:c>
      <s:c r="D525" s="0" t="n">
        <s:v>1627</s:v>
      </s:c>
      <s:c r="F525" s="24">
        <s:f>'자료구성'!$B$2+TIME(INT($C$3/10000),INT(MOD($C$3,10000)/100),MOD($C$3,100))+(ROW()-ROW($C$3))/86400</s:f>
        <s:v>46247.34297453704</s:v>
      </s:c>
    </s:row>
    <s:row r="526">
      <s:c r="A526" s="0" t="n">
        <s:v>260813</s:v>
      </s:c>
      <s:c r="B526" s="0" t="inlineStr">
        <s:is>
          <s:t>이종훈</s:t>
        </s:is>
      </s:c>
      <s:c r="C526" s="0" t="n">
        <s:v>80511</s:v>
      </s:c>
      <s:c r="D526" s="0" t="n">
        <s:v>1668</s:v>
      </s:c>
      <s:c r="F526" s="24">
        <s:f>'자료구성'!$B$2+TIME(INT($C$3/10000),INT(MOD($C$3,10000)/100),MOD($C$3,100))+(ROW()-ROW($C$3))/86400</s:f>
        <s:v>46247.342986111114</s:v>
      </s:c>
    </s:row>
    <s:row r="527">
      <s:c r="A527" s="0" t="n">
        <s:v>260813</s:v>
      </s:c>
      <s:c r="B527" s="0" t="inlineStr">
        <s:is>
          <s:t>이종훈</s:t>
        </s:is>
      </s:c>
      <s:c r="C527" s="0" t="n">
        <s:v>80511</s:v>
      </s:c>
      <s:c r="D527" s="0" t="n">
        <s:v>1711</s:v>
      </s:c>
      <s:c r="F527" s="24">
        <s:f>'자료구성'!$B$2+TIME(INT($C$3/10000),INT(MOD($C$3,10000)/100),MOD($C$3,100))+(ROW()-ROW($C$3))/86400</s:f>
        <s:v>46247.342997685184</s:v>
      </s:c>
    </s:row>
    <s:row r="528">
      <s:c r="A528" s="0" t="n">
        <s:v>260813</s:v>
      </s:c>
      <s:c r="B528" s="0" t="inlineStr">
        <s:is>
          <s:t>이종훈</s:t>
        </s:is>
      </s:c>
      <s:c r="C528" s="0" t="n">
        <s:v>80511</s:v>
      </s:c>
      <s:c r="D528" s="0" t="n">
        <s:v>1762</s:v>
      </s:c>
      <s:c r="F528" s="24">
        <s:f>'자료구성'!$B$2+TIME(INT($C$3/10000),INT(MOD($C$3,10000)/100),MOD($C$3,100))+(ROW()-ROW($C$3))/86400</s:f>
        <s:v>46247.34300925926</s:v>
      </s:c>
    </s:row>
    <s:row r="529">
      <s:c r="A529" s="0" t="n">
        <s:v>260813</s:v>
      </s:c>
      <s:c r="B529" s="0" t="inlineStr">
        <s:is>
          <s:t>이종훈</s:t>
        </s:is>
      </s:c>
      <s:c r="C529" s="0" t="n">
        <s:v>80511</s:v>
      </s:c>
      <s:c r="D529" s="0" t="n">
        <s:v>1768</s:v>
      </s:c>
      <s:c r="F529" s="24">
        <s:f>'자료구성'!$B$2+TIME(INT($C$3/10000),INT(MOD($C$3,10000)/100),MOD($C$3,100))+(ROW()-ROW($C$3))/86400</s:f>
        <s:v>46247.34302083333</s:v>
      </s:c>
    </s:row>
    <s:row r="530">
      <s:c r="A530" s="0" t="n">
        <s:v>260813</s:v>
      </s:c>
      <s:c r="B530" s="0" t="inlineStr">
        <s:is>
          <s:t>이종훈</s:t>
        </s:is>
      </s:c>
      <s:c r="C530" s="0" t="n">
        <s:v>80511</s:v>
      </s:c>
      <s:c r="D530" s="0" t="n">
        <s:v>1782</s:v>
      </s:c>
      <s:c r="F530" s="24">
        <s:f>'자료구성'!$B$2+TIME(INT($C$3/10000),INT(MOD($C$3,10000)/100),MOD($C$3,100))+(ROW()-ROW($C$3))/86400</s:f>
        <s:v>46247.34303240741</s:v>
      </s:c>
    </s:row>
    <s:row r="531">
      <s:c r="A531" s="0" t="n">
        <s:v>260813</s:v>
      </s:c>
      <s:c r="B531" s="0" t="inlineStr">
        <s:is>
          <s:t>이종훈</s:t>
        </s:is>
      </s:c>
      <s:c r="C531" s="0" t="n">
        <s:v>80511</s:v>
      </s:c>
      <s:c r="D531" s="0" t="n">
        <s:v>1804</s:v>
      </s:c>
      <s:c r="F531" s="24">
        <s:f>'자료구성'!$B$2+TIME(INT($C$3/10000),INT(MOD($C$3,10000)/100),MOD($C$3,100))+(ROW()-ROW($C$3))/86400</s:f>
        <s:v>46247.343043981484</s:v>
      </s:c>
    </s:row>
    <s:row r="532">
      <s:c r="A532" s="0" t="n">
        <s:v>260813</s:v>
      </s:c>
      <s:c r="B532" s="0" t="inlineStr">
        <s:is>
          <s:t>이종훈</s:t>
        </s:is>
      </s:c>
      <s:c r="C532" s="0" t="n">
        <s:v>80511</s:v>
      </s:c>
      <s:c r="D532" s="0" t="n">
        <s:v>1813</s:v>
      </s:c>
      <s:c r="F532" s="24">
        <s:f>'자료구성'!$B$2+TIME(INT($C$3/10000),INT(MOD($C$3,10000)/100),MOD($C$3,100))+(ROW()-ROW($C$3))/86400</s:f>
        <s:v>46247.34305555555</s:v>
      </s:c>
    </s:row>
    <s:row r="533">
      <s:c r="A533" s="0" t="n">
        <s:v>260813</s:v>
      </s:c>
      <s:c r="B533" s="0" t="inlineStr">
        <s:is>
          <s:t>이종훈</s:t>
        </s:is>
      </s:c>
      <s:c r="C533" s="0" t="n">
        <s:v>80511</s:v>
      </s:c>
      <s:c r="D533" s="0" t="n">
        <s:v>1833</s:v>
      </s:c>
      <s:c r="F533" s="24">
        <s:f>'자료구성'!$B$2+TIME(INT($C$3/10000),INT(MOD($C$3,10000)/100),MOD($C$3,100))+(ROW()-ROW($C$3))/86400</s:f>
        <s:v>46247.34306712963</s:v>
      </s:c>
    </s:row>
    <s:row r="534">
      <s:c r="A534" s="0" t="n">
        <s:v>260813</s:v>
      </s:c>
      <s:c r="B534" s="0" t="inlineStr">
        <s:is>
          <s:t>이종훈</s:t>
        </s:is>
      </s:c>
      <s:c r="C534" s="0" t="n">
        <s:v>80511</s:v>
      </s:c>
      <s:c r="D534" s="0" t="n">
        <s:v>1859</s:v>
      </s:c>
      <s:c r="F534" s="24">
        <s:f>'자료구성'!$B$2+TIME(INT($C$3/10000),INT(MOD($C$3,10000)/100),MOD($C$3,100))+(ROW()-ROW($C$3))/86400</s:f>
        <s:v>46247.34307870371</s:v>
      </s:c>
    </s:row>
    <s:row r="535">
      <s:c r="A535" s="0" t="n">
        <s:v>260813</s:v>
      </s:c>
      <s:c r="B535" s="0" t="inlineStr">
        <s:is>
          <s:t>이종훈</s:t>
        </s:is>
      </s:c>
      <s:c r="C535" s="0" t="n">
        <s:v>80511</s:v>
      </s:c>
      <s:c r="D535" s="0" t="n">
        <s:v>1880</s:v>
      </s:c>
      <s:c r="F535" s="24">
        <s:f>'자료구성'!$B$2+TIME(INT($C$3/10000),INT(MOD($C$3,10000)/100),MOD($C$3,100))+(ROW()-ROW($C$3))/86400</s:f>
        <s:v>46247.343090277776</s:v>
      </s:c>
    </s:row>
    <s:row r="536">
      <s:c r="A536" s="0" t="n">
        <s:v>260813</s:v>
      </s:c>
      <s:c r="B536" s="0" t="inlineStr">
        <s:is>
          <s:t>이종훈</s:t>
        </s:is>
      </s:c>
      <s:c r="C536" s="0" t="n">
        <s:v>80511</s:v>
      </s:c>
      <s:c r="D536" s="0" t="n">
        <s:v>1887</s:v>
      </s:c>
      <s:c r="F536" s="24">
        <s:f>'자료구성'!$B$2+TIME(INT($C$3/10000),INT(MOD($C$3,10000)/100),MOD($C$3,100))+(ROW()-ROW($C$3))/86400</s:f>
        <s:v>46247.34310185185</s:v>
      </s:c>
    </s:row>
    <s:row r="537">
      <s:c r="A537" s="0" t="n">
        <s:v>260813</s:v>
      </s:c>
      <s:c r="B537" s="0" t="inlineStr">
        <s:is>
          <s:t>이종훈</s:t>
        </s:is>
      </s:c>
      <s:c r="C537" s="0" t="n">
        <s:v>80511</s:v>
      </s:c>
      <s:c r="D537" s="0" t="n">
        <s:v>1878</s:v>
      </s:c>
      <s:c r="F537" s="24">
        <s:f>'자료구성'!$B$2+TIME(INT($C$3/10000),INT(MOD($C$3,10000)/100),MOD($C$3,100))+(ROW()-ROW($C$3))/86400</s:f>
        <s:v>46247.34311342592</s:v>
      </s:c>
    </s:row>
    <s:row r="538">
      <s:c r="A538" s="0" t="n">
        <s:v>260813</s:v>
      </s:c>
      <s:c r="B538" s="0" t="inlineStr">
        <s:is>
          <s:t>이종훈</s:t>
        </s:is>
      </s:c>
      <s:c r="C538" s="0" t="n">
        <s:v>80511</s:v>
      </s:c>
      <s:c r="D538" s="0" t="n">
        <s:v>1880</s:v>
      </s:c>
      <s:c r="F538" s="24">
        <s:f>'자료구성'!$B$2+TIME(INT($C$3/10000),INT(MOD($C$3,10000)/100),MOD($C$3,100))+(ROW()-ROW($C$3))/86400</s:f>
        <s:v>46247.343125</s:v>
      </s:c>
    </s:row>
    <s:row r="539">
      <s:c r="A539" s="0" t="n">
        <s:v>260813</s:v>
      </s:c>
      <s:c r="B539" s="0" t="inlineStr">
        <s:is>
          <s:t>이종훈</s:t>
        </s:is>
      </s:c>
      <s:c r="C539" s="0" t="n">
        <s:v>80511</s:v>
      </s:c>
      <s:c r="D539" s="0" t="n">
        <s:v>1889</s:v>
      </s:c>
      <s:c r="F539" s="24">
        <s:f>'자료구성'!$B$2+TIME(INT($C$3/10000),INT(MOD($C$3,10000)/100),MOD($C$3,100))+(ROW()-ROW($C$3))/86400</s:f>
        <s:v>46247.343136574076</s:v>
      </s:c>
    </s:row>
    <s:row r="540">
      <s:c r="A540" s="0" t="n">
        <s:v>260813</s:v>
      </s:c>
      <s:c r="B540" s="0" t="inlineStr">
        <s:is>
          <s:t>이종훈</s:t>
        </s:is>
      </s:c>
      <s:c r="C540" s="0" t="n">
        <s:v>80511</s:v>
      </s:c>
      <s:c r="D540" s="0" t="n">
        <s:v>1905</s:v>
      </s:c>
      <s:c r="F540" s="24">
        <s:f>'자료구성'!$B$2+TIME(INT($C$3/10000),INT(MOD($C$3,10000)/100),MOD($C$3,100))+(ROW()-ROW($C$3))/86400</s:f>
        <s:v>46247.343148148146</s:v>
      </s:c>
    </s:row>
    <s:row r="541">
      <s:c r="A541" s="0" t="n">
        <s:v>260813</s:v>
      </s:c>
      <s:c r="B541" s="0" t="inlineStr">
        <s:is>
          <s:t>이종훈</s:t>
        </s:is>
      </s:c>
      <s:c r="C541" s="0" t="n">
        <s:v>80511</s:v>
      </s:c>
      <s:c r="D541" s="0" t="n">
        <s:v>1938</s:v>
      </s:c>
      <s:c r="F541" s="24">
        <s:f>'자료구성'!$B$2+TIME(INT($C$3/10000),INT(MOD($C$3,10000)/100),MOD($C$3,100))+(ROW()-ROW($C$3))/86400</s:f>
        <s:v>46247.34315972222</s:v>
      </s:c>
    </s:row>
    <s:row r="542">
      <s:c r="A542" s="0" t="n">
        <s:v>260813</s:v>
      </s:c>
      <s:c r="B542" s="0" t="inlineStr">
        <s:is>
          <s:t>이종훈</s:t>
        </s:is>
      </s:c>
      <s:c r="C542" s="0" t="n">
        <s:v>80511</s:v>
      </s:c>
      <s:c r="D542" s="0" t="n">
        <s:v>1967</s:v>
      </s:c>
      <s:c r="F542" s="24">
        <s:f>'자료구성'!$B$2+TIME(INT($C$3/10000),INT(MOD($C$3,10000)/100),MOD($C$3,100))+(ROW()-ROW($C$3))/86400</s:f>
        <s:v>46247.3431712963</s:v>
      </s:c>
    </s:row>
    <s:row r="543">
      <s:c r="A543" s="0" t="n">
        <s:v>260813</s:v>
      </s:c>
      <s:c r="B543" s="0" t="inlineStr">
        <s:is>
          <s:t>이종훈</s:t>
        </s:is>
      </s:c>
      <s:c r="C543" s="0" t="n">
        <s:v>80511</s:v>
      </s:c>
      <s:c r="D543" s="0" t="n">
        <s:v>1987</s:v>
      </s:c>
      <s:c r="F543" s="24">
        <s:f>'자료구성'!$B$2+TIME(INT($C$3/10000),INT(MOD($C$3,10000)/100),MOD($C$3,100))+(ROW()-ROW($C$3))/86400</s:f>
        <s:v>46247.34318287037</s:v>
      </s:c>
    </s:row>
    <s:row r="544">
      <s:c r="A544" s="0" t="n">
        <s:v>260813</s:v>
      </s:c>
      <s:c r="B544" s="0" t="inlineStr">
        <s:is>
          <s:t>이종훈</s:t>
        </s:is>
      </s:c>
      <s:c r="C544" s="0" t="n">
        <s:v>80511</s:v>
      </s:c>
      <s:c r="D544" s="0" t="n">
        <s:v>1974</s:v>
      </s:c>
      <s:c r="F544" s="24">
        <s:f>'자료구성'!$B$2+TIME(INT($C$3/10000),INT(MOD($C$3,10000)/100),MOD($C$3,100))+(ROW()-ROW($C$3))/86400</s:f>
        <s:v>46247.343194444446</s:v>
      </s:c>
    </s:row>
    <s:row r="545">
      <s:c r="A545" s="0" t="n">
        <s:v>260813</s:v>
      </s:c>
      <s:c r="B545" s="0" t="inlineStr">
        <s:is>
          <s:t>이종훈</s:t>
        </s:is>
      </s:c>
      <s:c r="C545" s="0" t="n">
        <s:v>80511</s:v>
      </s:c>
      <s:c r="D545" s="0" t="n">
        <s:v>1945</s:v>
      </s:c>
      <s:c r="F545" s="24">
        <s:f>'자료구성'!$B$2+TIME(INT($C$3/10000),INT(MOD($C$3,10000)/100),MOD($C$3,100))+(ROW()-ROW($C$3))/86400</s:f>
        <s:v>46247.343206018515</s:v>
      </s:c>
    </s:row>
    <s:row r="546">
      <s:c r="A546" s="0" t="n">
        <s:v>260813</s:v>
      </s:c>
      <s:c r="B546" s="0" t="inlineStr">
        <s:is>
          <s:t>이종훈</s:t>
        </s:is>
      </s:c>
      <s:c r="C546" s="0" t="n">
        <s:v>80511</s:v>
      </s:c>
      <s:c r="D546" s="0" t="n">
        <s:v>1915</s:v>
      </s:c>
      <s:c r="F546" s="24">
        <s:f>'자료구성'!$B$2+TIME(INT($C$3/10000),INT(MOD($C$3,10000)/100),MOD($C$3,100))+(ROW()-ROW($C$3))/86400</s:f>
        <s:v>46247.34321759259</s:v>
      </s:c>
    </s:row>
    <s:row r="547">
      <s:c r="A547" s="0" t="n">
        <s:v>260813</s:v>
      </s:c>
      <s:c r="B547" s="0" t="inlineStr">
        <s:is>
          <s:t>이종훈</s:t>
        </s:is>
      </s:c>
      <s:c r="C547" s="0" t="n">
        <s:v>80511</s:v>
      </s:c>
      <s:c r="D547" s="0" t="n">
        <s:v>1875</s:v>
      </s:c>
      <s:c r="F547" s="24">
        <s:f>'자료구성'!$B$2+TIME(INT($C$3/10000),INT(MOD($C$3,10000)/100),MOD($C$3,100))+(ROW()-ROW($C$3))/86400</s:f>
        <s:v>46247.34322916667</s:v>
      </s:c>
    </s:row>
    <s:row r="548">
      <s:c r="A548" s="0" t="n">
        <s:v>260813</s:v>
      </s:c>
      <s:c r="B548" s="0" t="inlineStr">
        <s:is>
          <s:t>이종훈</s:t>
        </s:is>
      </s:c>
      <s:c r="C548" s="0" t="n">
        <s:v>80511</s:v>
      </s:c>
      <s:c r="D548" s="0" t="n">
        <s:v>1870</s:v>
      </s:c>
      <s:c r="F548" s="24">
        <s:f>'자료구성'!$B$2+TIME(INT($C$3/10000),INT(MOD($C$3,10000)/100),MOD($C$3,100))+(ROW()-ROW($C$3))/86400</s:f>
        <s:v>46247.34324074074</s:v>
      </s:c>
    </s:row>
    <s:row r="549">
      <s:c r="A549" s="0" t="n">
        <s:v>260813</s:v>
      </s:c>
      <s:c r="B549" s="0" t="inlineStr">
        <s:is>
          <s:t>이종훈</s:t>
        </s:is>
      </s:c>
      <s:c r="C549" s="0" t="n">
        <s:v>80511</s:v>
      </s:c>
      <s:c r="D549" s="0" t="n">
        <s:v>1831</s:v>
      </s:c>
      <s:c r="F549" s="24">
        <s:f>'자료구성'!$B$2+TIME(INT($C$3/10000),INT(MOD($C$3,10000)/100),MOD($C$3,100))+(ROW()-ROW($C$3))/86400</s:f>
        <s:v>46247.343252314815</s:v>
      </s:c>
    </s:row>
    <s:row r="550">
      <s:c r="A550" s="0" t="n">
        <s:v>260813</s:v>
      </s:c>
      <s:c r="B550" s="0" t="inlineStr">
        <s:is>
          <s:t>이종훈</s:t>
        </s:is>
      </s:c>
      <s:c r="C550" s="0" t="n">
        <s:v>80511</s:v>
      </s:c>
      <s:c r="D550" s="0" t="n">
        <s:v>1801</s:v>
      </s:c>
      <s:c r="F550" s="24">
        <s:f>'자료구성'!$B$2+TIME(INT($C$3/10000),INT(MOD($C$3,10000)/100),MOD($C$3,100))+(ROW()-ROW($C$3))/86400</s:f>
        <s:v>46247.34326388889</s:v>
      </s:c>
    </s:row>
    <s:row r="551">
      <s:c r="A551" s="0" t="n">
        <s:v>260813</s:v>
      </s:c>
      <s:c r="B551" s="0" t="inlineStr">
        <s:is>
          <s:t>이종훈</s:t>
        </s:is>
      </s:c>
      <s:c r="C551" s="0" t="n">
        <s:v>80511</s:v>
      </s:c>
      <s:c r="D551" s="0" t="n">
        <s:v>1815</s:v>
      </s:c>
      <s:c r="F551" s="24">
        <s:f>'자료구성'!$B$2+TIME(INT($C$3/10000),INT(MOD($C$3,10000)/100),MOD($C$3,100))+(ROW()-ROW($C$3))/86400</s:f>
        <s:v>46247.34327546296</s:v>
      </s:c>
    </s:row>
    <s:row r="552">
      <s:c r="A552" s="0" t="n">
        <s:v>260813</s:v>
      </s:c>
      <s:c r="B552" s="0" t="inlineStr">
        <s:is>
          <s:t>이종훈</s:t>
        </s:is>
      </s:c>
      <s:c r="C552" s="0" t="n">
        <s:v>80511</s:v>
      </s:c>
      <s:c r="D552" s="0" t="n">
        <s:v>1815</s:v>
      </s:c>
      <s:c r="F552" s="24">
        <s:f>'자료구성'!$B$2+TIME(INT($C$3/10000),INT(MOD($C$3,10000)/100),MOD($C$3,100))+(ROW()-ROW($C$3))/86400</s:f>
        <s:v>46247.34328703704</s:v>
      </s:c>
    </s:row>
    <s:row r="553">
      <s:c r="A553" s="0" t="n">
        <s:v>260813</s:v>
      </s:c>
      <s:c r="B553" s="0" t="inlineStr">
        <s:is>
          <s:t>이종훈</s:t>
        </s:is>
      </s:c>
      <s:c r="C553" s="0" t="n">
        <s:v>80511</s:v>
      </s:c>
      <s:c r="D553" s="0" t="n">
        <s:v>1848</s:v>
      </s:c>
      <s:c r="F553" s="24">
        <s:f>'자료구성'!$B$2+TIME(INT($C$3/10000),INT(MOD($C$3,10000)/100),MOD($C$3,100))+(ROW()-ROW($C$3))/86400</s:f>
        <s:v>46247.343298611115</s:v>
      </s:c>
    </s:row>
    <s:row r="554">
      <s:c r="A554" s="0" t="n">
        <s:v>260813</s:v>
      </s:c>
      <s:c r="B554" s="0" t="inlineStr">
        <s:is>
          <s:t>이종훈</s:t>
        </s:is>
      </s:c>
      <s:c r="C554" s="0" t="n">
        <s:v>80511</s:v>
      </s:c>
      <s:c r="D554" s="0" t="n">
        <s:v>1847</s:v>
      </s:c>
      <s:c r="F554" s="24">
        <s:f>'자료구성'!$B$2+TIME(INT($C$3/10000),INT(MOD($C$3,10000)/100),MOD($C$3,100))+(ROW()-ROW($C$3))/86400</s:f>
        <s:v>46247.343310185184</s:v>
      </s:c>
    </s:row>
    <s:row r="555">
      <s:c r="A555" s="0" t="n">
        <s:v>260813</s:v>
      </s:c>
      <s:c r="B555" s="0" t="inlineStr">
        <s:is>
          <s:t>이종훈</s:t>
        </s:is>
      </s:c>
      <s:c r="C555" s="0" t="n">
        <s:v>80511</s:v>
      </s:c>
      <s:c r="D555" s="0" t="n">
        <s:v>1868</s:v>
      </s:c>
      <s:c r="F555" s="24">
        <s:f>'자료구성'!$B$2+TIME(INT($C$3/10000),INT(MOD($C$3,10000)/100),MOD($C$3,100))+(ROW()-ROW($C$3))/86400</s:f>
        <s:v>46247.34332175926</s:v>
      </s:c>
    </s:row>
    <s:row r="556">
      <s:c r="A556" s="0" t="n">
        <s:v>260813</s:v>
      </s:c>
      <s:c r="B556" s="0" t="inlineStr">
        <s:is>
          <s:t>이종훈</s:t>
        </s:is>
      </s:c>
      <s:c r="C556" s="0" t="n">
        <s:v>80511</s:v>
      </s:c>
      <s:c r="D556" s="0" t="n">
        <s:v>1854</s:v>
      </s:c>
      <s:c r="F556" s="24">
        <s:f>'자료구성'!$B$2+TIME(INT($C$3/10000),INT(MOD($C$3,10000)/100),MOD($C$3,100))+(ROW()-ROW($C$3))/86400</s:f>
        <s:v>46247.34333333333</s:v>
      </s:c>
    </s:row>
    <s:row r="557">
      <s:c r="A557" s="0" t="n">
        <s:v>260813</s:v>
      </s:c>
      <s:c r="B557" s="0" t="inlineStr">
        <s:is>
          <s:t>이종훈</s:t>
        </s:is>
      </s:c>
      <s:c r="C557" s="0" t="n">
        <s:v>80511</s:v>
      </s:c>
      <s:c r="D557" s="0" t="n">
        <s:v>1840</s:v>
      </s:c>
      <s:c r="F557" s="24">
        <s:f>'자료구성'!$B$2+TIME(INT($C$3/10000),INT(MOD($C$3,10000)/100),MOD($C$3,100))+(ROW()-ROW($C$3))/86400</s:f>
        <s:v>46247.34334490741</s:v>
      </s:c>
    </s:row>
    <s:row r="558">
      <s:c r="A558" s="0" t="n">
        <s:v>260813</s:v>
      </s:c>
      <s:c r="B558" s="0" t="inlineStr">
        <s:is>
          <s:t>이종훈</s:t>
        </s:is>
      </s:c>
      <s:c r="C558" s="0" t="n">
        <s:v>80511</s:v>
      </s:c>
      <s:c r="D558" s="0" t="n">
        <s:v>1805</s:v>
      </s:c>
      <s:c r="F558" s="24">
        <s:f>'자료구성'!$B$2+TIME(INT($C$3/10000),INT(MOD($C$3,10000)/100),MOD($C$3,100))+(ROW()-ROW($C$3))/86400</s:f>
        <s:v>46247.343356481484</s:v>
      </s:c>
    </s:row>
    <s:row r="559">
      <s:c r="A559" s="0" t="n">
        <s:v>260813</s:v>
      </s:c>
      <s:c r="B559" s="0" t="inlineStr">
        <s:is>
          <s:t>이종훈</s:t>
        </s:is>
      </s:c>
      <s:c r="C559" s="0" t="n">
        <s:v>80511</s:v>
      </s:c>
      <s:c r="D559" s="0" t="n">
        <s:v>1761</s:v>
      </s:c>
      <s:c r="F559" s="24">
        <s:f>'자료구성'!$B$2+TIME(INT($C$3/10000),INT(MOD($C$3,10000)/100),MOD($C$3,100))+(ROW()-ROW($C$3))/86400</s:f>
        <s:v>46247.34336805555</s:v>
      </s:c>
    </s:row>
    <s:row r="560">
      <s:c r="A560" s="0" t="n">
        <s:v>260813</s:v>
      </s:c>
      <s:c r="B560" s="0" t="inlineStr">
        <s:is>
          <s:t>이종훈</s:t>
        </s:is>
      </s:c>
      <s:c r="C560" s="0" t="n">
        <s:v>80511</s:v>
      </s:c>
      <s:c r="D560" s="0" t="n">
        <s:v>1763</s:v>
      </s:c>
      <s:c r="F560" s="24">
        <s:f>'자료구성'!$B$2+TIME(INT($C$3/10000),INT(MOD($C$3,10000)/100),MOD($C$3,100))+(ROW()-ROW($C$3))/86400</s:f>
        <s:v>46247.34337962963</s:v>
      </s:c>
    </s:row>
    <s:row r="561">
      <s:c r="A561" s="0" t="n">
        <s:v>260813</s:v>
      </s:c>
      <s:c r="B561" s="0" t="inlineStr">
        <s:is>
          <s:t>이종훈</s:t>
        </s:is>
      </s:c>
      <s:c r="C561" s="0" t="n">
        <s:v>80511</s:v>
      </s:c>
      <s:c r="D561" s="0" t="n">
        <s:v>1745</s:v>
      </s:c>
      <s:c r="F561" s="24">
        <s:f>'자료구성'!$B$2+TIME(INT($C$3/10000),INT(MOD($C$3,10000)/100),MOD($C$3,100))+(ROW()-ROW($C$3))/86400</s:f>
        <s:v>46247.34339120371</s:v>
      </s:c>
    </s:row>
    <s:row r="562">
      <s:c r="A562" s="0" t="n">
        <s:v>260813</s:v>
      </s:c>
      <s:c r="B562" s="0" t="inlineStr">
        <s:is>
          <s:t>이종훈</s:t>
        </s:is>
      </s:c>
      <s:c r="C562" s="0" t="n">
        <s:v>80511</s:v>
      </s:c>
      <s:c r="D562" s="0" t="n">
        <s:v>1735</s:v>
      </s:c>
      <s:c r="F562" s="24">
        <s:f>'자료구성'!$B$2+TIME(INT($C$3/10000),INT(MOD($C$3,10000)/100),MOD($C$3,100))+(ROW()-ROW($C$3))/86400</s:f>
        <s:v>46247.34340277778</s:v>
      </s:c>
    </s:row>
    <s:row r="563">
      <s:c r="A563" s="0" t="n">
        <s:v>260813</s:v>
      </s:c>
      <s:c r="B563" s="0" t="inlineStr">
        <s:is>
          <s:t>이종훈</s:t>
        </s:is>
      </s:c>
      <s:c r="C563" s="0" t="n">
        <s:v>80511</s:v>
      </s:c>
      <s:c r="D563" s="0" t="n">
        <s:v>1703</s:v>
      </s:c>
      <s:c r="F563" s="24">
        <s:f>'자료구성'!$B$2+TIME(INT($C$3/10000),INT(MOD($C$3,10000)/100),MOD($C$3,100))+(ROW()-ROW($C$3))/86400</s:f>
        <s:v>46247.34341435185</s:v>
      </s:c>
    </s:row>
    <s:row r="564">
      <s:c r="A564" s="0" t="n">
        <s:v>260813</s:v>
      </s:c>
      <s:c r="B564" s="0" t="inlineStr">
        <s:is>
          <s:t>이종훈</s:t>
        </s:is>
      </s:c>
      <s:c r="C564" s="0" t="n">
        <s:v>80511</s:v>
      </s:c>
      <s:c r="D564" s="0" t="n">
        <s:v>1649</s:v>
      </s:c>
      <s:c r="F564" s="24">
        <s:f>'자료구성'!$B$2+TIME(INT($C$3/10000),INT(MOD($C$3,10000)/100),MOD($C$3,100))+(ROW()-ROW($C$3))/86400</s:f>
        <s:v>46247.34342592592</s:v>
      </s:c>
    </s:row>
    <s:row r="565">
      <s:c r="A565" s="0" t="n">
        <s:v>260813</s:v>
      </s:c>
      <s:c r="B565" s="0" t="inlineStr">
        <s:is>
          <s:t>이종훈</s:t>
        </s:is>
      </s:c>
      <s:c r="C565" s="0" t="n">
        <s:v>80511</s:v>
      </s:c>
      <s:c r="D565" s="0" t="n">
        <s:v>1614</s:v>
      </s:c>
      <s:c r="F565" s="24">
        <s:f>'자료구성'!$B$2+TIME(INT($C$3/10000),INT(MOD($C$3,10000)/100),MOD($C$3,100))+(ROW()-ROW($C$3))/86400</s:f>
        <s:v>46247.3434375</s:v>
      </s:c>
    </s:row>
    <s:row r="566">
      <s:c r="A566" s="0" t="n">
        <s:v>260813</s:v>
      </s:c>
      <s:c r="B566" s="0" t="inlineStr">
        <s:is>
          <s:t>이종훈</s:t>
        </s:is>
      </s:c>
      <s:c r="C566" s="0" t="n">
        <s:v>80511</s:v>
      </s:c>
      <s:c r="D566" s="0" t="n">
        <s:v>1622</s:v>
      </s:c>
      <s:c r="F566" s="24">
        <s:f>'자료구성'!$B$2+TIME(INT($C$3/10000),INT(MOD($C$3,10000)/100),MOD($C$3,100))+(ROW()-ROW($C$3))/86400</s:f>
        <s:v>46247.34344907408</s:v>
      </s:c>
    </s:row>
    <s:row r="567">
      <s:c r="A567" s="0" t="n">
        <s:v>260813</s:v>
      </s:c>
      <s:c r="B567" s="0" t="inlineStr">
        <s:is>
          <s:t>이종훈</s:t>
        </s:is>
      </s:c>
      <s:c r="C567" s="0" t="n">
        <s:v>80511</s:v>
      </s:c>
      <s:c r="D567" s="0" t="n">
        <s:v>1614</s:v>
      </s:c>
      <s:c r="F567" s="24">
        <s:f>'자료구성'!$B$2+TIME(INT($C$3/10000),INT(MOD($C$3,10000)/100),MOD($C$3,100))+(ROW()-ROW($C$3))/86400</s:f>
        <s:v>46247.343460648146</s:v>
      </s:c>
    </s:row>
    <s:row r="568">
      <s:c r="A568" s="0" t="n">
        <s:v>260813</s:v>
      </s:c>
      <s:c r="B568" s="0" t="inlineStr">
        <s:is>
          <s:t>이종훈</s:t>
        </s:is>
      </s:c>
      <s:c r="C568" s="0" t="n">
        <s:v>80511</s:v>
      </s:c>
      <s:c r="D568" s="0" t="n">
        <s:v>1613</s:v>
      </s:c>
      <s:c r="F568" s="24">
        <s:f>'자료구성'!$B$2+TIME(INT($C$3/10000),INT(MOD($C$3,10000)/100),MOD($C$3,100))+(ROW()-ROW($C$3))/86400</s:f>
        <s:v>46247.34347222222</s:v>
      </s:c>
    </s:row>
    <s:row r="569">
      <s:c r="A569" s="0" t="n">
        <s:v>260813</s:v>
      </s:c>
      <s:c r="B569" s="0" t="inlineStr">
        <s:is>
          <s:t>이종훈</s:t>
        </s:is>
      </s:c>
      <s:c r="C569" s="0" t="n">
        <s:v>80511</s:v>
      </s:c>
      <s:c r="D569" s="0" t="n">
        <s:v>1625</s:v>
      </s:c>
      <s:c r="F569" s="24">
        <s:f>'자료구성'!$B$2+TIME(INT($C$3/10000),INT(MOD($C$3,10000)/100),MOD($C$3,100))+(ROW()-ROW($C$3))/86400</s:f>
        <s:v>46247.3434837963</s:v>
      </s:c>
    </s:row>
    <s:row r="570">
      <s:c r="A570" s="0" t="n">
        <s:v>260813</s:v>
      </s:c>
      <s:c r="B570" s="0" t="inlineStr">
        <s:is>
          <s:t>이종훈</s:t>
        </s:is>
      </s:c>
      <s:c r="C570" s="0" t="n">
        <s:v>80511</s:v>
      </s:c>
      <s:c r="D570" s="0" t="n">
        <s:v>1641</s:v>
      </s:c>
      <s:c r="F570" s="24">
        <s:f>'자료구성'!$B$2+TIME(INT($C$3/10000),INT(MOD($C$3,10000)/100),MOD($C$3,100))+(ROW()-ROW($C$3))/86400</s:f>
        <s:v>46247.34349537037</s:v>
      </s:c>
    </s:row>
    <s:row r="571">
      <s:c r="A571" s="0" t="n">
        <s:v>260813</s:v>
      </s:c>
      <s:c r="B571" s="0" t="inlineStr">
        <s:is>
          <s:t>이종훈</s:t>
        </s:is>
      </s:c>
      <s:c r="C571" s="0" t="n">
        <s:v>80511</s:v>
      </s:c>
      <s:c r="D571" s="0" t="n">
        <s:v>1672</s:v>
      </s:c>
      <s:c r="F571" s="24">
        <s:f>'자료구성'!$B$2+TIME(INT($C$3/10000),INT(MOD($C$3,10000)/100),MOD($C$3,100))+(ROW()-ROW($C$3))/86400</s:f>
        <s:v>46247.343506944446</s:v>
      </s:c>
    </s:row>
    <s:row r="572">
      <s:c r="A572" s="0" t="n">
        <s:v>260813</s:v>
      </s:c>
      <s:c r="B572" s="0" t="inlineStr">
        <s:is>
          <s:t>이종훈</s:t>
        </s:is>
      </s:c>
      <s:c r="C572" s="0" t="n">
        <s:v>80511</s:v>
      </s:c>
      <s:c r="D572" s="0" t="n">
        <s:v>1705</s:v>
      </s:c>
      <s:c r="F572" s="24">
        <s:f>'자료구성'!$B$2+TIME(INT($C$3/10000),INT(MOD($C$3,10000)/100),MOD($C$3,100))+(ROW()-ROW($C$3))/86400</s:f>
        <s:v>46247.343518518515</s:v>
      </s:c>
    </s:row>
    <s:row r="573">
      <s:c r="A573" s="0" t="n">
        <s:v>260813</s:v>
      </s:c>
      <s:c r="B573" s="0" t="inlineStr">
        <s:is>
          <s:t>이종훈</s:t>
        </s:is>
      </s:c>
      <s:c r="C573" s="0" t="n">
        <s:v>80511</s:v>
      </s:c>
      <s:c r="D573" s="0" t="n">
        <s:v>1743</s:v>
      </s:c>
      <s:c r="F573" s="24">
        <s:f>'자료구성'!$B$2+TIME(INT($C$3/10000),INT(MOD($C$3,10000)/100),MOD($C$3,100))+(ROW()-ROW($C$3))/86400</s:f>
        <s:v>46247.34353009259</s:v>
      </s:c>
    </s:row>
    <s:row r="574">
      <s:c r="A574" s="0" t="n">
        <s:v>260813</s:v>
      </s:c>
      <s:c r="B574" s="0" t="inlineStr">
        <s:is>
          <s:t>이종훈</s:t>
        </s:is>
      </s:c>
      <s:c r="C574" s="0" t="n">
        <s:v>80511</s:v>
      </s:c>
      <s:c r="D574" s="0" t="n">
        <s:v>1828</s:v>
      </s:c>
      <s:c r="F574" s="24">
        <s:f>'자료구성'!$B$2+TIME(INT($C$3/10000),INT(MOD($C$3,10000)/100),MOD($C$3,100))+(ROW()-ROW($C$3))/86400</s:f>
        <s:v>46247.34354166667</s:v>
      </s:c>
    </s:row>
    <s:row r="575">
      <s:c r="A575" s="0" t="n">
        <s:v>260813</s:v>
      </s:c>
      <s:c r="B575" s="0" t="inlineStr">
        <s:is>
          <s:t>이종훈</s:t>
        </s:is>
      </s:c>
      <s:c r="C575" s="0" t="n">
        <s:v>80511</s:v>
      </s:c>
      <s:c r="D575" s="0" t="n">
        <s:v>1791</s:v>
      </s:c>
      <s:c r="F575" s="24">
        <s:f>'자료구성'!$B$2+TIME(INT($C$3/10000),INT(MOD($C$3,10000)/100),MOD($C$3,100))+(ROW()-ROW($C$3))/86400</s:f>
        <s:v>46247.34355324074</s:v>
      </s:c>
    </s:row>
    <s:row r="576">
      <s:c r="A576" s="0" t="n">
        <s:v>260813</s:v>
      </s:c>
      <s:c r="B576" s="0" t="inlineStr">
        <s:is>
          <s:t>이종훈</s:t>
        </s:is>
      </s:c>
      <s:c r="C576" s="0" t="n">
        <s:v>80511</s:v>
      </s:c>
      <s:c r="D576" s="0" t="n">
        <s:v>1755</s:v>
      </s:c>
      <s:c r="F576" s="24">
        <s:f>'자료구성'!$B$2+TIME(INT($C$3/10000),INT(MOD($C$3,10000)/100),MOD($C$3,100))+(ROW()-ROW($C$3))/86400</s:f>
        <s:v>46247.343564814815</s:v>
      </s:c>
    </s:row>
    <s:row r="577">
      <s:c r="A577" s="0" t="n">
        <s:v>260813</s:v>
      </s:c>
      <s:c r="B577" s="0" t="inlineStr">
        <s:is>
          <s:t>이종훈</s:t>
        </s:is>
      </s:c>
      <s:c r="C577" s="0" t="n">
        <s:v>80511</s:v>
      </s:c>
      <s:c r="D577" s="0" t="n">
        <s:v>1749</s:v>
      </s:c>
      <s:c r="F577" s="24">
        <s:f>'자료구성'!$B$2+TIME(INT($C$3/10000),INT(MOD($C$3,10000)/100),MOD($C$3,100))+(ROW()-ROW($C$3))/86400</s:f>
        <s:v>46247.34357638889</s:v>
      </s:c>
    </s:row>
    <s:row r="578">
      <s:c r="A578" s="0" t="n">
        <s:v>260813</s:v>
      </s:c>
      <s:c r="B578" s="0" t="inlineStr">
        <s:is>
          <s:t>이종훈</s:t>
        </s:is>
      </s:c>
      <s:c r="C578" s="0" t="n">
        <s:v>80511</s:v>
      </s:c>
      <s:c r="D578" s="0" t="n">
        <s:v>1734</s:v>
      </s:c>
      <s:c r="F578" s="24">
        <s:f>'자료구성'!$B$2+TIME(INT($C$3/10000),INT(MOD($C$3,10000)/100),MOD($C$3,100))+(ROW()-ROW($C$3))/86400</s:f>
        <s:v>46247.34358796296</s:v>
      </s:c>
    </s:row>
    <s:row r="579">
      <s:c r="A579" s="0" t="n">
        <s:v>260813</s:v>
      </s:c>
      <s:c r="B579" s="0" t="inlineStr">
        <s:is>
          <s:t>이종훈</s:t>
        </s:is>
      </s:c>
      <s:c r="C579" s="0" t="n">
        <s:v>80511</s:v>
      </s:c>
      <s:c r="D579" s="0" t="n">
        <s:v>1752</s:v>
      </s:c>
      <s:c r="F579" s="24">
        <s:f>'자료구성'!$B$2+TIME(INT($C$3/10000),INT(MOD($C$3,10000)/100),MOD($C$3,100))+(ROW()-ROW($C$3))/86400</s:f>
        <s:v>46247.34359953704</s:v>
      </s:c>
    </s:row>
    <s:row r="580">
      <s:c r="A580" s="0" t="n">
        <s:v>260813</s:v>
      </s:c>
      <s:c r="B580" s="0" t="inlineStr">
        <s:is>
          <s:t>이종훈</s:t>
        </s:is>
      </s:c>
      <s:c r="C580" s="0" t="n">
        <s:v>80511</s:v>
      </s:c>
      <s:c r="D580" s="0" t="n">
        <s:v>1711</s:v>
      </s:c>
      <s:c r="F580" s="24">
        <s:f>'자료구성'!$B$2+TIME(INT($C$3/10000),INT(MOD($C$3,10000)/100),MOD($C$3,100))+(ROW()-ROW($C$3))/86400</s:f>
        <s:v>46247.34361111111</s:v>
      </s:c>
    </s:row>
    <s:row r="581">
      <s:c r="A581" s="0" t="n">
        <s:v>260813</s:v>
      </s:c>
      <s:c r="B581" s="0" t="inlineStr">
        <s:is>
          <s:t>이종훈</s:t>
        </s:is>
      </s:c>
      <s:c r="C581" s="0" t="n">
        <s:v>80511</s:v>
      </s:c>
      <s:c r="D581" s="0" t="n">
        <s:v>1678</s:v>
      </s:c>
      <s:c r="F581" s="24">
        <s:f>'자료구성'!$B$2+TIME(INT($C$3/10000),INT(MOD($C$3,10000)/100),MOD($C$3,100))+(ROW()-ROW($C$3))/86400</s:f>
        <s:v>46247.343622685185</s:v>
      </s:c>
    </s:row>
    <s:row r="582">
      <s:c r="A582" s="0" t="n">
        <s:v>260813</s:v>
      </s:c>
      <s:c r="B582" s="0" t="inlineStr">
        <s:is>
          <s:t>이종훈</s:t>
        </s:is>
      </s:c>
      <s:c r="C582" s="0" t="n">
        <s:v>80511</s:v>
      </s:c>
      <s:c r="D582" s="0" t="n">
        <s:v>1656</s:v>
      </s:c>
      <s:c r="F582" s="24">
        <s:f>'자료구성'!$B$2+TIME(INT($C$3/10000),INT(MOD($C$3,10000)/100),MOD($C$3,100))+(ROW()-ROW($C$3))/86400</s:f>
        <s:v>46247.34363425926</s:v>
      </s:c>
    </s:row>
    <s:row r="583">
      <s:c r="A583" s="0" t="n">
        <s:v>260813</s:v>
      </s:c>
      <s:c r="B583" s="0" t="inlineStr">
        <s:is>
          <s:t>이종훈</s:t>
        </s:is>
      </s:c>
      <s:c r="C583" s="0" t="n">
        <s:v>80511</s:v>
      </s:c>
      <s:c r="D583" s="0" t="n">
        <s:v>1671</s:v>
      </s:c>
      <s:c r="F583" s="24">
        <s:f>'자료구성'!$B$2+TIME(INT($C$3/10000),INT(MOD($C$3,10000)/100),MOD($C$3,100))+(ROW()-ROW($C$3))/86400</s:f>
        <s:v>46247.34364583333</s:v>
      </s:c>
    </s:row>
    <s:row r="584">
      <s:c r="A584" s="0" t="n">
        <s:v>260813</s:v>
      </s:c>
      <s:c r="B584" s="0" t="inlineStr">
        <s:is>
          <s:t>이종훈</s:t>
        </s:is>
      </s:c>
      <s:c r="C584" s="0" t="n">
        <s:v>80511</s:v>
      </s:c>
      <s:c r="D584" s="0" t="n">
        <s:v>1704</s:v>
      </s:c>
      <s:c r="F584" s="24">
        <s:f>'자료구성'!$B$2+TIME(INT($C$3/10000),INT(MOD($C$3,10000)/100),MOD($C$3,100))+(ROW()-ROW($C$3))/86400</s:f>
        <s:v>46247.34365740741</s:v>
      </s:c>
    </s:row>
    <s:row r="585">
      <s:c r="A585" s="0" t="n">
        <s:v>260813</s:v>
      </s:c>
      <s:c r="B585" s="0" t="inlineStr">
        <s:is>
          <s:t>이종훈</s:t>
        </s:is>
      </s:c>
      <s:c r="C585" s="0" t="n">
        <s:v>80511</s:v>
      </s:c>
      <s:c r="D585" s="0" t="n">
        <s:v>1710</s:v>
      </s:c>
      <s:c r="F585" s="24">
        <s:f>'자료구성'!$B$2+TIME(INT($C$3/10000),INT(MOD($C$3,10000)/100),MOD($C$3,100))+(ROW()-ROW($C$3))/86400</s:f>
        <s:v>46247.343668981484</s:v>
      </s:c>
    </s:row>
    <s:row r="586">
      <s:c r="A586" s="0" t="n">
        <s:v>260813</s:v>
      </s:c>
      <s:c r="B586" s="0" t="inlineStr">
        <s:is>
          <s:t>이종훈</s:t>
        </s:is>
      </s:c>
      <s:c r="C586" s="0" t="n">
        <s:v>80511</s:v>
      </s:c>
      <s:c r="D586" s="0" t="n">
        <s:v>1738</s:v>
      </s:c>
      <s:c r="F586" s="24">
        <s:f>'자료구성'!$B$2+TIME(INT($C$3/10000),INT(MOD($C$3,10000)/100),MOD($C$3,100))+(ROW()-ROW($C$3))/86400</s:f>
        <s:v>46247.343680555554</s:v>
      </s:c>
    </s:row>
    <s:row r="587">
      <s:c r="A587" s="0" t="n">
        <s:v>260813</s:v>
      </s:c>
      <s:c r="B587" s="0" t="inlineStr">
        <s:is>
          <s:t>이종훈</s:t>
        </s:is>
      </s:c>
      <s:c r="C587" s="0" t="n">
        <s:v>80511</s:v>
      </s:c>
      <s:c r="D587" s="0" t="n">
        <s:v>1763</s:v>
      </s:c>
      <s:c r="F587" s="24">
        <s:f>'자료구성'!$B$2+TIME(INT($C$3/10000),INT(MOD($C$3,10000)/100),MOD($C$3,100))+(ROW()-ROW($C$3))/86400</s:f>
        <s:v>46247.34369212963</s:v>
      </s:c>
    </s:row>
    <s:row r="588">
      <s:c r="A588" s="0" t="n">
        <s:v>260813</s:v>
      </s:c>
      <s:c r="B588" s="0" t="inlineStr">
        <s:is>
          <s:t>이종훈</s:t>
        </s:is>
      </s:c>
      <s:c r="C588" s="0" t="n">
        <s:v>80511</s:v>
      </s:c>
      <s:c r="D588" s="0" t="n">
        <s:v>1828</s:v>
      </s:c>
      <s:c r="F588" s="24">
        <s:f>'자료구성'!$B$2+TIME(INT($C$3/10000),INT(MOD($C$3,10000)/100),MOD($C$3,100))+(ROW()-ROW($C$3))/86400</s:f>
        <s:v>46247.3437037037</s:v>
      </s:c>
    </s:row>
    <s:row r="589">
      <s:c r="A589" s="0" t="n">
        <s:v>260813</s:v>
      </s:c>
      <s:c r="B589" s="0" t="inlineStr">
        <s:is>
          <s:t>이종훈</s:t>
        </s:is>
      </s:c>
      <s:c r="C589" s="0" t="n">
        <s:v>80511</s:v>
      </s:c>
      <s:c r="D589" s="0" t="n">
        <s:v>1839</s:v>
      </s:c>
      <s:c r="F589" s="24">
        <s:f>'자료구성'!$B$2+TIME(INT($C$3/10000),INT(MOD($C$3,10000)/100),MOD($C$3,100))+(ROW()-ROW($C$3))/86400</s:f>
        <s:v>46247.34371527778</s:v>
      </s:c>
    </s:row>
    <s:row r="590">
      <s:c r="A590" s="0" t="n">
        <s:v>260813</s:v>
      </s:c>
      <s:c r="B590" s="0" t="inlineStr">
        <s:is>
          <s:t>이종훈</s:t>
        </s:is>
      </s:c>
      <s:c r="C590" s="0" t="n">
        <s:v>80511</s:v>
      </s:c>
      <s:c r="D590" s="0" t="n">
        <s:v>1866</s:v>
      </s:c>
      <s:c r="F590" s="24">
        <s:f>'자료구성'!$B$2+TIME(INT($C$3/10000),INT(MOD($C$3,10000)/100),MOD($C$3,100))+(ROW()-ROW($C$3))/86400</s:f>
        <s:v>46247.343726851854</s:v>
      </s:c>
    </s:row>
    <s:row r="591">
      <s:c r="A591" s="0" t="n">
        <s:v>260813</s:v>
      </s:c>
      <s:c r="B591" s="0" t="inlineStr">
        <s:is>
          <s:t>이종훈</s:t>
        </s:is>
      </s:c>
      <s:c r="C591" s="0" t="n">
        <s:v>80511</s:v>
      </s:c>
      <s:c r="D591" s="0" t="n">
        <s:v>1876</s:v>
      </s:c>
      <s:c r="F591" s="24">
        <s:f>'자료구성'!$B$2+TIME(INT($C$3/10000),INT(MOD($C$3,10000)/100),MOD($C$3,100))+(ROW()-ROW($C$3))/86400</s:f>
        <s:v>46247.34373842592</s:v>
      </s:c>
    </s:row>
    <s:row r="592">
      <s:c r="A592" s="0" t="n">
        <s:v>260813</s:v>
      </s:c>
      <s:c r="B592" s="0" t="inlineStr">
        <s:is>
          <s:t>이종훈</s:t>
        </s:is>
      </s:c>
      <s:c r="C592" s="0" t="n">
        <s:v>80511</s:v>
      </s:c>
      <s:c r="D592" s="0" t="n">
        <s:v>1952</s:v>
      </s:c>
      <s:c r="F592" s="24">
        <s:f>'자료구성'!$B$2+TIME(INT($C$3/10000),INT(MOD($C$3,10000)/100),MOD($C$3,100))+(ROW()-ROW($C$3))/86400</s:f>
        <s:v>46247.34375</s:v>
      </s:c>
    </s:row>
    <s:row r="593">
      <s:c r="A593" s="0" t="n">
        <s:v>260813</s:v>
      </s:c>
      <s:c r="B593" s="0" t="inlineStr">
        <s:is>
          <s:t>이종훈</s:t>
        </s:is>
      </s:c>
      <s:c r="C593" s="0" t="n">
        <s:v>80511</s:v>
      </s:c>
      <s:c r="D593" s="0" t="n">
        <s:v>1971</s:v>
      </s:c>
      <s:c r="F593" s="24">
        <s:f>'자료구성'!$B$2+TIME(INT($C$3/10000),INT(MOD($C$3,10000)/100),MOD($C$3,100))+(ROW()-ROW($C$3))/86400</s:f>
        <s:v>46247.34376157408</s:v>
      </s:c>
    </s:row>
    <s:row r="594">
      <s:c r="A594" s="0" t="n">
        <s:v>260813</s:v>
      </s:c>
      <s:c r="B594" s="0" t="inlineStr">
        <s:is>
          <s:t>이종훈</s:t>
        </s:is>
      </s:c>
      <s:c r="C594" s="0" t="n">
        <s:v>80511</s:v>
      </s:c>
      <s:c r="D594" s="0" t="n">
        <s:v>2024</s:v>
      </s:c>
      <s:c r="F594" s="24">
        <s:f>'자료구성'!$B$2+TIME(INT($C$3/10000),INT(MOD($C$3,10000)/100),MOD($C$3,100))+(ROW()-ROW($C$3))/86400</s:f>
        <s:v>46247.343773148146</s:v>
      </s:c>
    </s:row>
    <s:row r="595">
      <s:c r="A595" s="0" t="n">
        <s:v>260813</s:v>
      </s:c>
      <s:c r="B595" s="0" t="inlineStr">
        <s:is>
          <s:t>이종훈</s:t>
        </s:is>
      </s:c>
      <s:c r="C595" s="0" t="n">
        <s:v>80511</s:v>
      </s:c>
      <s:c r="D595" s="0" t="n">
        <s:v>2082</s:v>
      </s:c>
      <s:c r="F595" s="24">
        <s:f>'자료구성'!$B$2+TIME(INT($C$3/10000),INT(MOD($C$3,10000)/100),MOD($C$3,100))+(ROW()-ROW($C$3))/86400</s:f>
        <s:v>46247.34378472222</s:v>
      </s:c>
    </s:row>
    <s:row r="596">
      <s:c r="A596" s="0" t="n">
        <s:v>260813</s:v>
      </s:c>
      <s:c r="B596" s="0" t="inlineStr">
        <s:is>
          <s:t>이종훈</s:t>
        </s:is>
      </s:c>
      <s:c r="C596" s="0" t="n">
        <s:v>80511</s:v>
      </s:c>
      <s:c r="D596" s="0" t="n">
        <s:v>2124</s:v>
      </s:c>
      <s:c r="F596" s="24">
        <s:f>'자료구성'!$B$2+TIME(INT($C$3/10000),INT(MOD($C$3,10000)/100),MOD($C$3,100))+(ROW()-ROW($C$3))/86400</s:f>
        <s:v>46247.3437962963</s:v>
      </s:c>
    </s:row>
    <s:row r="597">
      <s:c r="A597" s="0" t="n">
        <s:v>260813</s:v>
      </s:c>
      <s:c r="B597" s="0" t="inlineStr">
        <s:is>
          <s:t>이종훈</s:t>
        </s:is>
      </s:c>
      <s:c r="C597" s="0" t="n">
        <s:v>80511</s:v>
      </s:c>
      <s:c r="D597" s="0" t="n">
        <s:v>2196</s:v>
      </s:c>
      <s:c r="F597" s="24">
        <s:f>'자료구성'!$B$2+TIME(INT($C$3/10000),INT(MOD($C$3,10000)/100),MOD($C$3,100))+(ROW()-ROW($C$3))/86400</s:f>
        <s:v>46247.34380787037</s:v>
      </s:c>
    </s:row>
    <s:row r="598">
      <s:c r="A598" s="0" t="n">
        <s:v>260813</s:v>
      </s:c>
      <s:c r="B598" s="0" t="inlineStr">
        <s:is>
          <s:t>이종훈</s:t>
        </s:is>
      </s:c>
      <s:c r="C598" s="0" t="n">
        <s:v>80511</s:v>
      </s:c>
      <s:c r="D598" s="0" t="n">
        <s:v>2227</s:v>
      </s:c>
      <s:c r="F598" s="24">
        <s:f>'자료구성'!$B$2+TIME(INT($C$3/10000),INT(MOD($C$3,10000)/100),MOD($C$3,100))+(ROW()-ROW($C$3))/86400</s:f>
        <s:v>46247.343819444446</s:v>
      </s:c>
    </s:row>
    <s:row r="599">
      <s:c r="A599" s="0" t="n">
        <s:v>260813</s:v>
      </s:c>
      <s:c r="B599" s="0" t="inlineStr">
        <s:is>
          <s:t>이종훈</s:t>
        </s:is>
      </s:c>
      <s:c r="C599" s="0" t="n">
        <s:v>80511</s:v>
      </s:c>
      <s:c r="D599" s="0" t="n">
        <s:v>2258</s:v>
      </s:c>
      <s:c r="F599" s="24">
        <s:f>'자료구성'!$B$2+TIME(INT($C$3/10000),INT(MOD($C$3,10000)/100),MOD($C$3,100))+(ROW()-ROW($C$3))/86400</s:f>
        <s:v>46247.343831018516</s:v>
      </s:c>
    </s:row>
    <s:row r="600">
      <s:c r="A600" s="0" t="n">
        <s:v>260813</s:v>
      </s:c>
      <s:c r="B600" s="0" t="inlineStr">
        <s:is>
          <s:t>이종훈</s:t>
        </s:is>
      </s:c>
      <s:c r="C600" s="0" t="n">
        <s:v>80511</s:v>
      </s:c>
      <s:c r="D600" s="0" t="n">
        <s:v>2317</s:v>
      </s:c>
      <s:c r="F600" s="24">
        <s:f>'자료구성'!$B$2+TIME(INT($C$3/10000),INT(MOD($C$3,10000)/100),MOD($C$3,100))+(ROW()-ROW($C$3))/86400</s:f>
        <s:v>46247.34384259259</s:v>
      </s:c>
    </s:row>
    <s:row r="601">
      <s:c r="A601" s="0" t="n">
        <s:v>260813</s:v>
      </s:c>
      <s:c r="B601" s="0" t="inlineStr">
        <s:is>
          <s:t>이종훈</s:t>
        </s:is>
      </s:c>
      <s:c r="C601" s="0" t="n">
        <s:v>80511</s:v>
      </s:c>
      <s:c r="D601" s="0" t="n">
        <s:v>2333</s:v>
      </s:c>
      <s:c r="F601" s="24">
        <s:f>'자료구성'!$B$2+TIME(INT($C$3/10000),INT(MOD($C$3,10000)/100),MOD($C$3,100))+(ROW()-ROW($C$3))/86400</s:f>
        <s:v>46247.34385416667</s:v>
      </s:c>
    </s:row>
    <s:row r="602">
      <s:c r="A602" s="0" t="n">
        <s:v>260813</s:v>
      </s:c>
      <s:c r="B602" s="0" t="inlineStr">
        <s:is>
          <s:t>이종훈</s:t>
        </s:is>
      </s:c>
      <s:c r="C602" s="0" t="n">
        <s:v>80511</s:v>
      </s:c>
      <s:c r="D602" s="0" t="n">
        <s:v>2313</s:v>
      </s:c>
      <s:c r="F602" s="24">
        <s:f>'자료구성'!$B$2+TIME(INT($C$3/10000),INT(MOD($C$3,10000)/100),MOD($C$3,100))+(ROW()-ROW($C$3))/86400</s:f>
        <s:v>46247.34386574074</s:v>
      </s:c>
    </s:row>
    <s:row r="603">
      <s:c r="A603" s="0" t="n">
        <s:v>260813</s:v>
      </s:c>
      <s:c r="B603" s="0" t="inlineStr">
        <s:is>
          <s:t>이종훈</s:t>
        </s:is>
      </s:c>
      <s:c r="C603" s="0" t="n">
        <s:v>80511</s:v>
      </s:c>
      <s:c r="D603" s="0" t="n">
        <s:v>2312</s:v>
      </s:c>
      <s:c r="F603" s="24">
        <s:f>'자료구성'!$B$2+TIME(INT($C$3/10000),INT(MOD($C$3,10000)/100),MOD($C$3,100))+(ROW()-ROW($C$3))/86400</s:f>
        <s:v>46247.343877314815</s:v>
      </s:c>
    </s:row>
    <s:row r="604">
      <s:c r="A604" s="0" t="n">
        <s:v>260813</s:v>
      </s:c>
      <s:c r="B604" s="0" t="inlineStr">
        <s:is>
          <s:t>이종훈</s:t>
        </s:is>
      </s:c>
      <s:c r="C604" s="0" t="n">
        <s:v>80511</s:v>
      </s:c>
      <s:c r="D604" s="0" t="n">
        <s:v>2338</s:v>
      </s:c>
      <s:c r="F604" s="24">
        <s:f>'자료구성'!$B$2+TIME(INT($C$3/10000),INT(MOD($C$3,10000)/100),MOD($C$3,100))+(ROW()-ROW($C$3))/86400</s:f>
        <s:v>46247.34388888889</s:v>
      </s:c>
    </s:row>
    <s:row r="605">
      <s:c r="A605" s="0" t="n">
        <s:v>260813</s:v>
      </s:c>
      <s:c r="B605" s="0" t="inlineStr">
        <s:is>
          <s:t>이종훈</s:t>
        </s:is>
      </s:c>
      <s:c r="C605" s="0" t="n">
        <s:v>80511</s:v>
      </s:c>
      <s:c r="D605" s="0" t="n">
        <s:v>2314</s:v>
      </s:c>
      <s:c r="F605" s="24">
        <s:f>'자료구성'!$B$2+TIME(INT($C$3/10000),INT(MOD($C$3,10000)/100),MOD($C$3,100))+(ROW()-ROW($C$3))/86400</s:f>
        <s:v>46247.34390046296</s:v>
      </s:c>
    </s:row>
    <s:row r="606">
      <s:c r="A606" s="0" t="n">
        <s:v>260813</s:v>
      </s:c>
      <s:c r="B606" s="0" t="inlineStr">
        <s:is>
          <s:t>이종훈</s:t>
        </s:is>
      </s:c>
      <s:c r="C606" s="0" t="n">
        <s:v>80511</s:v>
      </s:c>
      <s:c r="D606" s="0" t="n">
        <s:v>2269</s:v>
      </s:c>
      <s:c r="F606" s="24">
        <s:f>'자료구성'!$B$2+TIME(INT($C$3/10000),INT(MOD($C$3,10000)/100),MOD($C$3,100))+(ROW()-ROW($C$3))/86400</s:f>
        <s:v>46247.34391203704</s:v>
      </s:c>
    </s:row>
    <s:row r="607">
      <s:c r="A607" s="0" t="n">
        <s:v>260813</s:v>
      </s:c>
      <s:c r="B607" s="0" t="inlineStr">
        <s:is>
          <s:t>이종훈</s:t>
        </s:is>
      </s:c>
      <s:c r="C607" s="0" t="n">
        <s:v>80511</s:v>
      </s:c>
      <s:c r="D607" s="0" t="n">
        <s:v>2251</s:v>
      </s:c>
      <s:c r="F607" s="24">
        <s:f>'자료구성'!$B$2+TIME(INT($C$3/10000),INT(MOD($C$3,10000)/100),MOD($C$3,100))+(ROW()-ROW($C$3))/86400</s:f>
        <s:v>46247.34392361111</s:v>
      </s:c>
    </s:row>
    <s:row r="608">
      <s:c r="A608" s="0" t="n">
        <s:v>260813</s:v>
      </s:c>
      <s:c r="B608" s="0" t="inlineStr">
        <s:is>
          <s:t>이종훈</s:t>
        </s:is>
      </s:c>
      <s:c r="C608" s="0" t="n">
        <s:v>80511</s:v>
      </s:c>
      <s:c r="D608" s="0" t="n">
        <s:v>2188</s:v>
      </s:c>
      <s:c r="F608" s="24">
        <s:f>'자료구성'!$B$2+TIME(INT($C$3/10000),INT(MOD($C$3,10000)/100),MOD($C$3,100))+(ROW()-ROW($C$3))/86400</s:f>
        <s:v>46247.343935185185</s:v>
      </s:c>
    </s:row>
    <s:row r="609">
      <s:c r="A609" s="0" t="n">
        <s:v>260813</s:v>
      </s:c>
      <s:c r="B609" s="0" t="inlineStr">
        <s:is>
          <s:t>이종훈</s:t>
        </s:is>
      </s:c>
      <s:c r="C609" s="0" t="n">
        <s:v>80511</s:v>
      </s:c>
      <s:c r="D609" s="0" t="n">
        <s:v>2125</s:v>
      </s:c>
      <s:c r="F609" s="24">
        <s:f>'자료구성'!$B$2+TIME(INT($C$3/10000),INT(MOD($C$3,10000)/100),MOD($C$3,100))+(ROW()-ROW($C$3))/86400</s:f>
        <s:v>46247.34394675926</s:v>
      </s:c>
    </s:row>
    <s:row r="610">
      <s:c r="A610" s="0" t="n">
        <s:v>260813</s:v>
      </s:c>
      <s:c r="B610" s="0" t="inlineStr">
        <s:is>
          <s:t>이종훈</s:t>
        </s:is>
      </s:c>
      <s:c r="C610" s="0" t="n">
        <s:v>80511</s:v>
      </s:c>
      <s:c r="D610" s="0" t="n">
        <s:v>2091</s:v>
      </s:c>
      <s:c r="F610" s="24">
        <s:f>'자료구성'!$B$2+TIME(INT($C$3/10000),INT(MOD($C$3,10000)/100),MOD($C$3,100))+(ROW()-ROW($C$3))/86400</s:f>
        <s:v>46247.34395833333</s:v>
      </s:c>
    </s:row>
    <s:row r="611">
      <s:c r="A611" s="0" t="n">
        <s:v>260813</s:v>
      </s:c>
      <s:c r="B611" s="0" t="inlineStr">
        <s:is>
          <s:t>이종훈</s:t>
        </s:is>
      </s:c>
      <s:c r="C611" s="0" t="n">
        <s:v>80511</s:v>
      </s:c>
      <s:c r="D611" s="0" t="n">
        <s:v>2075</s:v>
      </s:c>
      <s:c r="F611" s="24">
        <s:f>'자료구성'!$B$2+TIME(INT($C$3/10000),INT(MOD($C$3,10000)/100),MOD($C$3,100))+(ROW()-ROW($C$3))/86400</s:f>
        <s:v>46247.34396990741</s:v>
      </s:c>
    </s:row>
    <s:row r="612">
      <s:c r="A612" s="0" t="n">
        <s:v>260813</s:v>
      </s:c>
      <s:c r="B612" s="0" t="inlineStr">
        <s:is>
          <s:t>이종훈</s:t>
        </s:is>
      </s:c>
      <s:c r="C612" s="0" t="n">
        <s:v>80511</s:v>
      </s:c>
      <s:c r="D612" s="0" t="n">
        <s:v>2056</s:v>
      </s:c>
      <s:c r="F612" s="24">
        <s:f>'자료구성'!$B$2+TIME(INT($C$3/10000),INT(MOD($C$3,10000)/100),MOD($C$3,100))+(ROW()-ROW($C$3))/86400</s:f>
        <s:v>46247.343981481485</s:v>
      </s:c>
    </s:row>
    <s:row r="613">
      <s:c r="A613" s="0" t="n">
        <s:v>260813</s:v>
      </s:c>
      <s:c r="B613" s="0" t="inlineStr">
        <s:is>
          <s:t>이종훈</s:t>
        </s:is>
      </s:c>
      <s:c r="C613" s="0" t="n">
        <s:v>80511</s:v>
      </s:c>
      <s:c r="D613" s="0" t="n">
        <s:v>2003</s:v>
      </s:c>
      <s:c r="F613" s="24">
        <s:f>'자료구성'!$B$2+TIME(INT($C$3/10000),INT(MOD($C$3,10000)/100),MOD($C$3,100))+(ROW()-ROW($C$3))/86400</s:f>
        <s:v>46247.343993055554</s:v>
      </s:c>
    </s:row>
    <s:row r="614">
      <s:c r="A614" s="0" t="n">
        <s:v>260813</s:v>
      </s:c>
      <s:c r="B614" s="0" t="inlineStr">
        <s:is>
          <s:t>이종훈</s:t>
        </s:is>
      </s:c>
      <s:c r="C614" s="0" t="n">
        <s:v>80511</s:v>
      </s:c>
      <s:c r="D614" s="0" t="n">
        <s:v>1936</s:v>
      </s:c>
      <s:c r="F614" s="24">
        <s:f>'자료구성'!$B$2+TIME(INT($C$3/10000),INT(MOD($C$3,10000)/100),MOD($C$3,100))+(ROW()-ROW($C$3))/86400</s:f>
        <s:v>46247.34400462963</s:v>
      </s:c>
    </s:row>
    <s:row r="615">
      <s:c r="A615" s="0" t="n">
        <s:v>260813</s:v>
      </s:c>
      <s:c r="B615" s="0" t="inlineStr">
        <s:is>
          <s:t>이종훈</s:t>
        </s:is>
      </s:c>
      <s:c r="C615" s="0" t="n">
        <s:v>80511</s:v>
      </s:c>
      <s:c r="D615" s="0" t="n">
        <s:v>1853</s:v>
      </s:c>
      <s:c r="F615" s="24">
        <s:f>'자료구성'!$B$2+TIME(INT($C$3/10000),INT(MOD($C$3,10000)/100),MOD($C$3,100))+(ROW()-ROW($C$3))/86400</s:f>
        <s:v>46247.3440162037</s:v>
      </s:c>
    </s:row>
    <s:row r="616">
      <s:c r="A616" s="0" t="n">
        <s:v>260813</s:v>
      </s:c>
      <s:c r="B616" s="0" t="inlineStr">
        <s:is>
          <s:t>이종훈</s:t>
        </s:is>
      </s:c>
      <s:c r="C616" s="0" t="n">
        <s:v>80511</s:v>
      </s:c>
      <s:c r="D616" s="0" t="n">
        <s:v>1774</s:v>
      </s:c>
      <s:c r="F616" s="24">
        <s:f>'자료구성'!$B$2+TIME(INT($C$3/10000),INT(MOD($C$3,10000)/100),MOD($C$3,100))+(ROW()-ROW($C$3))/86400</s:f>
        <s:v>46247.34402777778</s:v>
      </s:c>
    </s:row>
    <s:row r="617">
      <s:c r="A617" s="0" t="n">
        <s:v>260813</s:v>
      </s:c>
      <s:c r="B617" s="0" t="inlineStr">
        <s:is>
          <s:t>이종훈</s:t>
        </s:is>
      </s:c>
      <s:c r="C617" s="0" t="n">
        <s:v>80511</s:v>
      </s:c>
      <s:c r="D617" s="0" t="n">
        <s:v>1730</s:v>
      </s:c>
      <s:c r="F617" s="24">
        <s:f>'자료구성'!$B$2+TIME(INT($C$3/10000),INT(MOD($C$3,10000)/100),MOD($C$3,100))+(ROW()-ROW($C$3))/86400</s:f>
        <s:v>46247.344039351854</s:v>
      </s:c>
    </s:row>
    <s:row r="618">
      <s:c r="A618" s="0" t="n">
        <s:v>260813</s:v>
      </s:c>
      <s:c r="B618" s="0" t="inlineStr">
        <s:is>
          <s:t>이종훈</s:t>
        </s:is>
      </s:c>
      <s:c r="C618" s="0" t="n">
        <s:v>80511</s:v>
      </s:c>
      <s:c r="D618" s="0" t="n">
        <s:v>1696</s:v>
      </s:c>
      <s:c r="F618" s="24">
        <s:f>'자료구성'!$B$2+TIME(INT($C$3/10000),INT(MOD($C$3,10000)/100),MOD($C$3,100))+(ROW()-ROW($C$3))/86400</s:f>
        <s:v>46247.34405092592</s:v>
      </s:c>
    </s:row>
    <s:row r="619">
      <s:c r="A619" s="0" t="n">
        <s:v>260813</s:v>
      </s:c>
      <s:c r="B619" s="0" t="inlineStr">
        <s:is>
          <s:t>이종훈</s:t>
        </s:is>
      </s:c>
      <s:c r="C619" s="0" t="n">
        <s:v>80511</s:v>
      </s:c>
      <s:c r="D619" s="0" t="n">
        <s:v>1679</s:v>
      </s:c>
      <s:c r="F619" s="24">
        <s:f>'자료구성'!$B$2+TIME(INT($C$3/10000),INT(MOD($C$3,10000)/100),MOD($C$3,100))+(ROW()-ROW($C$3))/86400</s:f>
        <s:v>46247.3440625</s:v>
      </s:c>
    </s:row>
    <s:row r="620">
      <s:c r="A620" s="0" t="n">
        <s:v>260813</s:v>
      </s:c>
      <s:c r="B620" s="0" t="inlineStr">
        <s:is>
          <s:t>이종훈</s:t>
        </s:is>
      </s:c>
      <s:c r="C620" s="0" t="n">
        <s:v>80511</s:v>
      </s:c>
      <s:c r="D620" s="0" t="n">
        <s:v>1646</s:v>
      </s:c>
      <s:c r="F620" s="24">
        <s:f>'자료구성'!$B$2+TIME(INT($C$3/10000),INT(MOD($C$3,10000)/100),MOD($C$3,100))+(ROW()-ROW($C$3))/86400</s:f>
        <s:v>46247.34407407408</s:v>
      </s:c>
    </s:row>
    <s:row r="621">
      <s:c r="A621" s="0" t="n">
        <s:v>260813</s:v>
      </s:c>
      <s:c r="B621" s="0" t="inlineStr">
        <s:is>
          <s:t>이종훈</s:t>
        </s:is>
      </s:c>
      <s:c r="C621" s="0" t="n">
        <s:v>80511</s:v>
      </s:c>
      <s:c r="D621" s="0" t="n">
        <s:v>1633</s:v>
      </s:c>
      <s:c r="F621" s="24">
        <s:f>'자료구성'!$B$2+TIME(INT($C$3/10000),INT(MOD($C$3,10000)/100),MOD($C$3,100))+(ROW()-ROW($C$3))/86400</s:f>
        <s:v>46247.34408564815</s:v>
      </s:c>
    </s:row>
    <s:row r="622">
      <s:c r="A622" s="0" t="n">
        <s:v>260813</s:v>
      </s:c>
      <s:c r="B622" s="0" t="inlineStr">
        <s:is>
          <s:t>이종훈</s:t>
        </s:is>
      </s:c>
      <s:c r="C622" s="0" t="n">
        <s:v>80511</s:v>
      </s:c>
      <s:c r="D622" s="0" t="n">
        <s:v>1586</s:v>
      </s:c>
      <s:c r="F622" s="24">
        <s:f>'자료구성'!$B$2+TIME(INT($C$3/10000),INT(MOD($C$3,10000)/100),MOD($C$3,100))+(ROW()-ROW($C$3))/86400</s:f>
        <s:v>46247.34409722222</s:v>
      </s:c>
    </s:row>
    <s:row r="623">
      <s:c r="A623" s="0" t="n">
        <s:v>260813</s:v>
      </s:c>
      <s:c r="B623" s="0" t="inlineStr">
        <s:is>
          <s:t>이종훈</s:t>
        </s:is>
      </s:c>
      <s:c r="C623" s="0" t="n">
        <s:v>80511</s:v>
      </s:c>
      <s:c r="D623" s="0" t="n">
        <s:v>1542</s:v>
      </s:c>
      <s:c r="F623" s="24">
        <s:f>'자료구성'!$B$2+TIME(INT($C$3/10000),INT(MOD($C$3,10000)/100),MOD($C$3,100))+(ROW()-ROW($C$3))/86400</s:f>
        <s:v>46247.34410879629</s:v>
      </s:c>
    </s:row>
    <s:row r="624">
      <s:c r="A624" s="0" t="n">
        <s:v>260813</s:v>
      </s:c>
      <s:c r="B624" s="0" t="inlineStr">
        <s:is>
          <s:t>이종훈</s:t>
        </s:is>
      </s:c>
      <s:c r="C624" s="0" t="n">
        <s:v>80511</s:v>
      </s:c>
      <s:c r="D624" s="0" t="n">
        <s:v>1501</s:v>
      </s:c>
      <s:c r="F624" s="24">
        <s:f>'자료구성'!$B$2+TIME(INT($C$3/10000),INT(MOD($C$3,10000)/100),MOD($C$3,100))+(ROW()-ROW($C$3))/86400</s:f>
        <s:v>46247.34412037037</s:v>
      </s:c>
    </s:row>
    <s:row r="625">
      <s:c r="A625" s="0" t="n">
        <s:v>260813</s:v>
      </s:c>
      <s:c r="B625" s="0" t="inlineStr">
        <s:is>
          <s:t>이종훈</s:t>
        </s:is>
      </s:c>
      <s:c r="C625" s="0" t="n">
        <s:v>80511</s:v>
      </s:c>
      <s:c r="D625" s="0" t="n">
        <s:v>1479</s:v>
      </s:c>
      <s:c r="F625" s="24">
        <s:f>'자료구성'!$B$2+TIME(INT($C$3/10000),INT(MOD($C$3,10000)/100),MOD($C$3,100))+(ROW()-ROW($C$3))/86400</s:f>
        <s:v>46247.34413194445</s:v>
      </s:c>
    </s:row>
    <s:row r="626">
      <s:c r="A626" s="0" t="n">
        <s:v>260813</s:v>
      </s:c>
      <s:c r="B626" s="0" t="inlineStr">
        <s:is>
          <s:t>이종훈</s:t>
        </s:is>
      </s:c>
      <s:c r="C626" s="0" t="n">
        <s:v>80511</s:v>
      </s:c>
      <s:c r="D626" s="0" t="n">
        <s:v>1474</s:v>
      </s:c>
      <s:c r="F626" s="24">
        <s:f>'자료구성'!$B$2+TIME(INT($C$3/10000),INT(MOD($C$3,10000)/100),MOD($C$3,100))+(ROW()-ROW($C$3))/86400</s:f>
        <s:v>46247.344143518516</s:v>
      </s:c>
    </s:row>
    <s:row r="627">
      <s:c r="A627" s="0" t="n">
        <s:v>260813</s:v>
      </s:c>
      <s:c r="B627" s="0" t="inlineStr">
        <s:is>
          <s:t>이종훈</s:t>
        </s:is>
      </s:c>
      <s:c r="C627" s="0" t="n">
        <s:v>80511</s:v>
      </s:c>
      <s:c r="D627" s="0" t="n">
        <s:v>1446</s:v>
      </s:c>
      <s:c r="F627" s="24">
        <s:f>'자료구성'!$B$2+TIME(INT($C$3/10000),INT(MOD($C$3,10000)/100),MOD($C$3,100))+(ROW()-ROW($C$3))/86400</s:f>
        <s:v>46247.34415509259</s:v>
      </s:c>
    </s:row>
    <s:row r="628">
      <s:c r="A628" s="0" t="n">
        <s:v>260813</s:v>
      </s:c>
      <s:c r="B628" s="0" t="inlineStr">
        <s:is>
          <s:t>이종훈</s:t>
        </s:is>
      </s:c>
      <s:c r="C628" s="0" t="n">
        <s:v>80511</s:v>
      </s:c>
      <s:c r="D628" s="0" t="n">
        <s:v>1437</s:v>
      </s:c>
      <s:c r="F628" s="24">
        <s:f>'자료구성'!$B$2+TIME(INT($C$3/10000),INT(MOD($C$3,10000)/100),MOD($C$3,100))+(ROW()-ROW($C$3))/86400</s:f>
        <s:v>46247.34416666667</s:v>
      </s:c>
    </s:row>
    <s:row r="629">
      <s:c r="A629" s="0" t="n">
        <s:v>260813</s:v>
      </s:c>
      <s:c r="B629" s="0" t="inlineStr">
        <s:is>
          <s:t>이종훈</s:t>
        </s:is>
      </s:c>
      <s:c r="C629" s="0" t="n">
        <s:v>80511</s:v>
      </s:c>
      <s:c r="D629" s="0" t="n">
        <s:v>1457</s:v>
      </s:c>
      <s:c r="F629" s="24">
        <s:f>'자료구성'!$B$2+TIME(INT($C$3/10000),INT(MOD($C$3,10000)/100),MOD($C$3,100))+(ROW()-ROW($C$3))/86400</s:f>
        <s:v>46247.34417824074</s:v>
      </s:c>
    </s:row>
    <s:row r="630">
      <s:c r="A630" s="0" t="n">
        <s:v>260813</s:v>
      </s:c>
      <s:c r="B630" s="0" t="inlineStr">
        <s:is>
          <s:t>이종훈</s:t>
        </s:is>
      </s:c>
      <s:c r="C630" s="0" t="n">
        <s:v>80511</s:v>
      </s:c>
      <s:c r="D630" s="0" t="n">
        <s:v>1468</s:v>
      </s:c>
      <s:c r="F630" s="24">
        <s:f>'자료구성'!$B$2+TIME(INT($C$3/10000),INT(MOD($C$3,10000)/100),MOD($C$3,100))+(ROW()-ROW($C$3))/86400</s:f>
        <s:v>46247.344189814816</s:v>
      </s:c>
    </s:row>
    <s:row r="631">
      <s:c r="A631" s="0" t="n">
        <s:v>260813</s:v>
      </s:c>
      <s:c r="B631" s="0" t="inlineStr">
        <s:is>
          <s:t>이종훈</s:t>
        </s:is>
      </s:c>
      <s:c r="C631" s="0" t="n">
        <s:v>80511</s:v>
      </s:c>
      <s:c r="D631" s="0" t="n">
        <s:v>1468</s:v>
      </s:c>
      <s:c r="F631" s="24">
        <s:f>'자료구성'!$B$2+TIME(INT($C$3/10000),INT(MOD($C$3,10000)/100),MOD($C$3,100))+(ROW()-ROW($C$3))/86400</s:f>
        <s:v>46247.344201388885</s:v>
      </s:c>
    </s:row>
    <s:row r="632">
      <s:c r="A632" s="0" t="n">
        <s:v>260813</s:v>
      </s:c>
      <s:c r="B632" s="0" t="inlineStr">
        <s:is>
          <s:t>이종훈</s:t>
        </s:is>
      </s:c>
      <s:c r="C632" s="0" t="n">
        <s:v>80511</s:v>
      </s:c>
      <s:c r="D632" s="0" t="n">
        <s:v>1473</s:v>
      </s:c>
      <s:c r="F632" s="24">
        <s:f>'자료구성'!$B$2+TIME(INT($C$3/10000),INT(MOD($C$3,10000)/100),MOD($C$3,100))+(ROW()-ROW($C$3))/86400</s:f>
        <s:v>46247.34421296296</s:v>
      </s:c>
    </s:row>
    <s:row r="633">
      <s:c r="A633" s="0" t="n">
        <s:v>260813</s:v>
      </s:c>
      <s:c r="B633" s="0" t="inlineStr">
        <s:is>
          <s:t>이종훈</s:t>
        </s:is>
      </s:c>
      <s:c r="C633" s="0" t="n">
        <s:v>80511</s:v>
      </s:c>
      <s:c r="D633" s="0" t="n">
        <s:v>1499</s:v>
      </s:c>
      <s:c r="F633" s="24">
        <s:f>'자료구성'!$B$2+TIME(INT($C$3/10000),INT(MOD($C$3,10000)/100),MOD($C$3,100))+(ROW()-ROW($C$3))/86400</s:f>
        <s:v>46247.34422453704</s:v>
      </s:c>
    </s:row>
    <s:row r="634">
      <s:c r="A634" s="0" t="n">
        <s:v>260813</s:v>
      </s:c>
      <s:c r="B634" s="0" t="inlineStr">
        <s:is>
          <s:t>이종훈</s:t>
        </s:is>
      </s:c>
      <s:c r="C634" s="0" t="n">
        <s:v>80511</s:v>
      </s:c>
      <s:c r="D634" s="0" t="n">
        <s:v>1495</s:v>
      </s:c>
      <s:c r="F634" s="24">
        <s:f>'자료구성'!$B$2+TIME(INT($C$3/10000),INT(MOD($C$3,10000)/100),MOD($C$3,100))+(ROW()-ROW($C$3))/86400</s:f>
        <s:v>46247.34423611111</s:v>
      </s:c>
    </s:row>
    <s:row r="635">
      <s:c r="A635" s="0" t="n">
        <s:v>260813</s:v>
      </s:c>
      <s:c r="B635" s="0" t="inlineStr">
        <s:is>
          <s:t>이종훈</s:t>
        </s:is>
      </s:c>
      <s:c r="C635" s="0" t="n">
        <s:v>80511</s:v>
      </s:c>
      <s:c r="D635" s="0" t="n">
        <s:v>1506</s:v>
      </s:c>
      <s:c r="F635" s="24">
        <s:f>'자료구성'!$B$2+TIME(INT($C$3/10000),INT(MOD($C$3,10000)/100),MOD($C$3,100))+(ROW()-ROW($C$3))/86400</s:f>
        <s:v>46247.344247685185</s:v>
      </s:c>
    </s:row>
    <s:row r="636">
      <s:c r="A636" s="0" t="n">
        <s:v>260813</s:v>
      </s:c>
      <s:c r="B636" s="0" t="inlineStr">
        <s:is>
          <s:t>이종훈</s:t>
        </s:is>
      </s:c>
      <s:c r="C636" s="0" t="n">
        <s:v>80511</s:v>
      </s:c>
      <s:c r="D636" s="0" t="n">
        <s:v>1511</s:v>
      </s:c>
      <s:c r="F636" s="24">
        <s:f>'자료구성'!$B$2+TIME(INT($C$3/10000),INT(MOD($C$3,10000)/100),MOD($C$3,100))+(ROW()-ROW($C$3))/86400</s:f>
        <s:v>46247.34425925926</s:v>
      </s:c>
    </s:row>
    <s:row r="637">
      <s:c r="A637" s="0" t="n">
        <s:v>260813</s:v>
      </s:c>
      <s:c r="B637" s="0" t="inlineStr">
        <s:is>
          <s:t>이종훈</s:t>
        </s:is>
      </s:c>
      <s:c r="C637" s="0" t="n">
        <s:v>80511</s:v>
      </s:c>
      <s:c r="D637" s="0" t="n">
        <s:v>1513</s:v>
      </s:c>
      <s:c r="F637" s="24">
        <s:f>'자료구성'!$B$2+TIME(INT($C$3/10000),INT(MOD($C$3,10000)/100),MOD($C$3,100))+(ROW()-ROW($C$3))/86400</s:f>
        <s:v>46247.34427083333</s:v>
      </s:c>
    </s:row>
    <s:row r="638">
      <s:c r="A638" s="0" t="n">
        <s:v>260813</s:v>
      </s:c>
      <s:c r="B638" s="0" t="inlineStr">
        <s:is>
          <s:t>이종훈</s:t>
        </s:is>
      </s:c>
      <s:c r="C638" s="0" t="n">
        <s:v>80511</s:v>
      </s:c>
      <s:c r="D638" s="0" t="n">
        <s:v>1502</s:v>
      </s:c>
      <s:c r="F638" s="24">
        <s:f>'자료구성'!$B$2+TIME(INT($C$3/10000),INT(MOD($C$3,10000)/100),MOD($C$3,100))+(ROW()-ROW($C$3))/86400</s:f>
        <s:v>46247.34428240741</s:v>
      </s:c>
    </s:row>
    <s:row r="639">
      <s:c r="A639" s="0" t="n">
        <s:v>260813</s:v>
      </s:c>
      <s:c r="B639" s="0" t="inlineStr">
        <s:is>
          <s:t>이종훈</s:t>
        </s:is>
      </s:c>
      <s:c r="C639" s="0" t="n">
        <s:v>80511</s:v>
      </s:c>
      <s:c r="D639" s="0" t="n">
        <s:v>1515</s:v>
      </s:c>
      <s:c r="F639" s="24">
        <s:f>'자료구성'!$B$2+TIME(INT($C$3/10000),INT(MOD($C$3,10000)/100),MOD($C$3,100))+(ROW()-ROW($C$3))/86400</s:f>
        <s:v>46247.344293981485</s:v>
      </s:c>
    </s:row>
    <s:row r="640">
      <s:c r="A640" s="0" t="n">
        <s:v>260813</s:v>
      </s:c>
      <s:c r="B640" s="0" t="inlineStr">
        <s:is>
          <s:t>이종훈</s:t>
        </s:is>
      </s:c>
      <s:c r="C640" s="0" t="n">
        <s:v>80511</s:v>
      </s:c>
      <s:c r="D640" s="0" t="n">
        <s:v>1539</s:v>
      </s:c>
      <s:c r="F640" s="24">
        <s:f>'자료구성'!$B$2+TIME(INT($C$3/10000),INT(MOD($C$3,10000)/100),MOD($C$3,100))+(ROW()-ROW($C$3))/86400</s:f>
        <s:v>46247.344305555554</s:v>
      </s:c>
    </s:row>
    <s:row r="641">
      <s:c r="A641" s="0" t="n">
        <s:v>260813</s:v>
      </s:c>
      <s:c r="B641" s="0" t="inlineStr">
        <s:is>
          <s:t>이종훈</s:t>
        </s:is>
      </s:c>
      <s:c r="C641" s="0" t="n">
        <s:v>80511</s:v>
      </s:c>
      <s:c r="D641" s="0" t="n">
        <s:v>1568</s:v>
      </s:c>
      <s:c r="F641" s="24">
        <s:f>'자료구성'!$B$2+TIME(INT($C$3/10000),INT(MOD($C$3,10000)/100),MOD($C$3,100))+(ROW()-ROW($C$3))/86400</s:f>
        <s:v>46247.34431712963</s:v>
      </s:c>
    </s:row>
    <s:row r="642">
      <s:c r="A642" s="0" t="n">
        <s:v>260813</s:v>
      </s:c>
      <s:c r="B642" s="0" t="inlineStr">
        <s:is>
          <s:t>이종훈</s:t>
        </s:is>
      </s:c>
      <s:c r="C642" s="0" t="n">
        <s:v>80511</s:v>
      </s:c>
      <s:c r="D642" s="0" t="n">
        <s:v>1571</s:v>
      </s:c>
      <s:c r="F642" s="24">
        <s:f>'자료구성'!$B$2+TIME(INT($C$3/10000),INT(MOD($C$3,10000)/100),MOD($C$3,100))+(ROW()-ROW($C$3))/86400</s:f>
        <s:v>46247.3443287037</s:v>
      </s:c>
    </s:row>
    <s:row r="643">
      <s:c r="A643" s="0" t="n">
        <s:v>260813</s:v>
      </s:c>
      <s:c r="B643" s="0" t="inlineStr">
        <s:is>
          <s:t>이종훈</s:t>
        </s:is>
      </s:c>
      <s:c r="C643" s="0" t="n">
        <s:v>80511</s:v>
      </s:c>
      <s:c r="D643" s="0" t="n">
        <s:v>1578</s:v>
      </s:c>
      <s:c r="F643" s="24">
        <s:f>'자료구성'!$B$2+TIME(INT($C$3/10000),INT(MOD($C$3,10000)/100),MOD($C$3,100))+(ROW()-ROW($C$3))/86400</s:f>
        <s:v>46247.34434027778</s:v>
      </s:c>
    </s:row>
    <s:row r="644">
      <s:c r="A644" s="0" t="n">
        <s:v>260813</s:v>
      </s:c>
      <s:c r="B644" s="0" t="inlineStr">
        <s:is>
          <s:t>이종훈</s:t>
        </s:is>
      </s:c>
      <s:c r="C644" s="0" t="n">
        <s:v>80511</s:v>
      </s:c>
      <s:c r="D644" s="0" t="n">
        <s:v>1602</s:v>
      </s:c>
      <s:c r="F644" s="24">
        <s:f>'자료구성'!$B$2+TIME(INT($C$3/10000),INT(MOD($C$3,10000)/100),MOD($C$3,100))+(ROW()-ROW($C$3))/86400</s:f>
        <s:v>46247.344351851854</s:v>
      </s:c>
    </s:row>
    <s:row r="645">
      <s:c r="A645" s="0" t="n">
        <s:v>260813</s:v>
      </s:c>
      <s:c r="B645" s="0" t="inlineStr">
        <s:is>
          <s:t>이종훈</s:t>
        </s:is>
      </s:c>
      <s:c r="C645" s="0" t="n">
        <s:v>80511</s:v>
      </s:c>
      <s:c r="D645" s="0" t="n">
        <s:v>1610</s:v>
      </s:c>
      <s:c r="F645" s="24">
        <s:f>'자료구성'!$B$2+TIME(INT($C$3/10000),INT(MOD($C$3,10000)/100),MOD($C$3,100))+(ROW()-ROW($C$3))/86400</s:f>
        <s:v>46247.344363425924</s:v>
      </s:c>
    </s:row>
    <s:row r="646">
      <s:c r="A646" s="0" t="n">
        <s:v>260813</s:v>
      </s:c>
      <s:c r="B646" s="0" t="inlineStr">
        <s:is>
          <s:t>이종훈</s:t>
        </s:is>
      </s:c>
      <s:c r="C646" s="0" t="n">
        <s:v>80511</s:v>
      </s:c>
      <s:c r="D646" s="0" t="n">
        <s:v>1580</s:v>
      </s:c>
      <s:c r="F646" s="24">
        <s:f>'자료구성'!$B$2+TIME(INT($C$3/10000),INT(MOD($C$3,10000)/100),MOD($C$3,100))+(ROW()-ROW($C$3))/86400</s:f>
        <s:v>46247.344375</s:v>
      </s:c>
    </s:row>
    <s:row r="647">
      <s:c r="A647" s="0" t="n">
        <s:v>260813</s:v>
      </s:c>
      <s:c r="B647" s="0" t="inlineStr">
        <s:is>
          <s:t>이종훈</s:t>
        </s:is>
      </s:c>
      <s:c r="C647" s="0" t="n">
        <s:v>80511</s:v>
      </s:c>
      <s:c r="D647" s="0" t="n">
        <s:v>1554</s:v>
      </s:c>
      <s:c r="F647" s="24">
        <s:f>'자료구성'!$B$2+TIME(INT($C$3/10000),INT(MOD($C$3,10000)/100),MOD($C$3,100))+(ROW()-ROW($C$3))/86400</s:f>
        <s:v>46247.34438657408</s:v>
      </s:c>
    </s:row>
    <s:row r="648">
      <s:c r="A648" s="0" t="n">
        <s:v>260813</s:v>
      </s:c>
      <s:c r="B648" s="0" t="inlineStr">
        <s:is>
          <s:t>이종훈</s:t>
        </s:is>
      </s:c>
      <s:c r="C648" s="0" t="n">
        <s:v>80511</s:v>
      </s:c>
      <s:c r="D648" s="0" t="n">
        <s:v>1550</s:v>
      </s:c>
      <s:c r="F648" s="24">
        <s:f>'자료구성'!$B$2+TIME(INT($C$3/10000),INT(MOD($C$3,10000)/100),MOD($C$3,100))+(ROW()-ROW($C$3))/86400</s:f>
        <s:v>46247.34439814815</s:v>
      </s:c>
    </s:row>
    <s:row r="649">
      <s:c r="A649" s="0" t="n">
        <s:v>260813</s:v>
      </s:c>
      <s:c r="B649" s="0" t="inlineStr">
        <s:is>
          <s:t>이종훈</s:t>
        </s:is>
      </s:c>
      <s:c r="C649" s="0" t="n">
        <s:v>80511</s:v>
      </s:c>
      <s:c r="D649" s="0" t="n">
        <s:v>1557</s:v>
      </s:c>
      <s:c r="F649" s="24">
        <s:f>'자료구성'!$B$2+TIME(INT($C$3/10000),INT(MOD($C$3,10000)/100),MOD($C$3,100))+(ROW()-ROW($C$3))/86400</s:f>
        <s:v>46247.344409722224</s:v>
      </s:c>
    </s:row>
    <s:row r="650">
      <s:c r="A650" s="0" t="n">
        <s:v>260813</s:v>
      </s:c>
      <s:c r="B650" s="0" t="inlineStr">
        <s:is>
          <s:t>이종훈</s:t>
        </s:is>
      </s:c>
      <s:c r="C650" s="0" t="n">
        <s:v>80511</s:v>
      </s:c>
      <s:c r="D650" s="0" t="n">
        <s:v>1558</s:v>
      </s:c>
      <s:c r="F650" s="24">
        <s:f>'자료구성'!$B$2+TIME(INT($C$3/10000),INT(MOD($C$3,10000)/100),MOD($C$3,100))+(ROW()-ROW($C$3))/86400</s:f>
        <s:v>46247.34442129629</s:v>
      </s:c>
    </s:row>
    <s:row r="651">
      <s:c r="A651" s="0" t="n">
        <s:v>260813</s:v>
      </s:c>
      <s:c r="B651" s="0" t="inlineStr">
        <s:is>
          <s:t>이종훈</s:t>
        </s:is>
      </s:c>
      <s:c r="C651" s="0" t="n">
        <s:v>80511</s:v>
      </s:c>
      <s:c r="D651" s="0" t="n">
        <s:v>1556</s:v>
      </s:c>
      <s:c r="F651" s="24">
        <s:f>'자료구성'!$B$2+TIME(INT($C$3/10000),INT(MOD($C$3,10000)/100),MOD($C$3,100))+(ROW()-ROW($C$3))/86400</s:f>
        <s:v>46247.34443287037</s:v>
      </s:c>
    </s:row>
    <s:row r="652">
      <s:c r="A652" s="0" t="n">
        <s:v>260813</s:v>
      </s:c>
      <s:c r="B652" s="0" t="inlineStr">
        <s:is>
          <s:t>이종훈</s:t>
        </s:is>
      </s:c>
      <s:c r="C652" s="0" t="n">
        <s:v>80511</s:v>
      </s:c>
      <s:c r="D652" s="0" t="n">
        <s:v>1567</s:v>
      </s:c>
      <s:c r="F652" s="24">
        <s:f>'자료구성'!$B$2+TIME(INT($C$3/10000),INT(MOD($C$3,10000)/100),MOD($C$3,100))+(ROW()-ROW($C$3))/86400</s:f>
        <s:v>46247.34444444445</s:v>
      </s:c>
    </s:row>
    <s:row r="653">
      <s:c r="A653" s="0" t="n">
        <s:v>260813</s:v>
      </s:c>
      <s:c r="B653" s="0" t="inlineStr">
        <s:is>
          <s:t>이종훈</s:t>
        </s:is>
      </s:c>
      <s:c r="C653" s="0" t="n">
        <s:v>80511</s:v>
      </s:c>
      <s:c r="D653" s="0" t="n">
        <s:v>1570</s:v>
      </s:c>
      <s:c r="F653" s="24">
        <s:f>'자료구성'!$B$2+TIME(INT($C$3/10000),INT(MOD($C$3,10000)/100),MOD($C$3,100))+(ROW()-ROW($C$3))/86400</s:f>
        <s:v>46247.344456018516</s:v>
      </s:c>
    </s:row>
    <s:row r="654">
      <s:c r="A654" s="0" t="n">
        <s:v>260813</s:v>
      </s:c>
      <s:c r="B654" s="0" t="inlineStr">
        <s:is>
          <s:t>이종훈</s:t>
        </s:is>
      </s:c>
      <s:c r="C654" s="0" t="n">
        <s:v>80511</s:v>
      </s:c>
      <s:c r="D654" s="0" t="n">
        <s:v>1564</s:v>
      </s:c>
      <s:c r="F654" s="24">
        <s:f>'자료구성'!$B$2+TIME(INT($C$3/10000),INT(MOD($C$3,10000)/100),MOD($C$3,100))+(ROW()-ROW($C$3))/86400</s:f>
        <s:v>46247.34446759259</s:v>
      </s:c>
    </s:row>
    <s:row r="655">
      <s:c r="A655" s="0" t="n">
        <s:v>260813</s:v>
      </s:c>
      <s:c r="B655" s="0" t="inlineStr">
        <s:is>
          <s:t>이종훈</s:t>
        </s:is>
      </s:c>
      <s:c r="C655" s="0" t="n">
        <s:v>80511</s:v>
      </s:c>
      <s:c r="D655" s="0" t="n">
        <s:v>1571</s:v>
      </s:c>
      <s:c r="F655" s="24">
        <s:f>'자료구성'!$B$2+TIME(INT($C$3/10000),INT(MOD($C$3,10000)/100),MOD($C$3,100))+(ROW()-ROW($C$3))/86400</s:f>
        <s:v>46247.34447916667</s:v>
      </s:c>
    </s:row>
    <s:row r="656">
      <s:c r="A656" s="0" t="n">
        <s:v>260813</s:v>
      </s:c>
      <s:c r="B656" s="0" t="inlineStr">
        <s:is>
          <s:t>이종훈</s:t>
        </s:is>
      </s:c>
      <s:c r="C656" s="0" t="n">
        <s:v>80511</s:v>
      </s:c>
      <s:c r="D656" s="0" t="n">
        <s:v>1563</s:v>
      </s:c>
      <s:c r="F656" s="24">
        <s:f>'자료구성'!$B$2+TIME(INT($C$3/10000),INT(MOD($C$3,10000)/100),MOD($C$3,100))+(ROW()-ROW($C$3))/86400</s:f>
        <s:v>46247.34449074074</s:v>
      </s:c>
    </s:row>
    <s:row r="657">
      <s:c r="A657" s="0" t="n">
        <s:v>260813</s:v>
      </s:c>
      <s:c r="B657" s="0" t="inlineStr">
        <s:is>
          <s:t>이종훈</s:t>
        </s:is>
      </s:c>
      <s:c r="C657" s="0" t="n">
        <s:v>80511</s:v>
      </s:c>
      <s:c r="D657" s="0" t="n">
        <s:v>1558</s:v>
      </s:c>
      <s:c r="F657" s="24">
        <s:f>'자료구성'!$B$2+TIME(INT($C$3/10000),INT(MOD($C$3,10000)/100),MOD($C$3,100))+(ROW()-ROW($C$3))/86400</s:f>
        <s:v>46247.344502314816</s:v>
      </s:c>
    </s:row>
    <s:row r="658">
      <s:c r="A658" s="0" t="n">
        <s:v>260813</s:v>
      </s:c>
      <s:c r="B658" s="0" t="inlineStr">
        <s:is>
          <s:t>이종훈</s:t>
        </s:is>
      </s:c>
      <s:c r="C658" s="0" t="n">
        <s:v>80511</s:v>
      </s:c>
      <s:c r="D658" s="0" t="n">
        <s:v>1575</s:v>
      </s:c>
      <s:c r="F658" s="24">
        <s:f>'자료구성'!$B$2+TIME(INT($C$3/10000),INT(MOD($C$3,10000)/100),MOD($C$3,100))+(ROW()-ROW($C$3))/86400</s:f>
        <s:v>46247.344513888886</s:v>
      </s:c>
    </s:row>
    <s:row r="659">
      <s:c r="A659" s="0" t="n">
        <s:v>260813</s:v>
      </s:c>
      <s:c r="B659" s="0" t="inlineStr">
        <s:is>
          <s:t>이종훈</s:t>
        </s:is>
      </s:c>
      <s:c r="C659" s="0" t="n">
        <s:v>80511</s:v>
      </s:c>
      <s:c r="D659" s="0" t="n">
        <s:v>1607</s:v>
      </s:c>
      <s:c r="F659" s="24">
        <s:f>'자료구성'!$B$2+TIME(INT($C$3/10000),INT(MOD($C$3,10000)/100),MOD($C$3,100))+(ROW()-ROW($C$3))/86400</s:f>
        <s:v>46247.34452546296</s:v>
      </s:c>
    </s:row>
    <s:row r="660">
      <s:c r="A660" s="0" t="n">
        <s:v>260813</s:v>
      </s:c>
      <s:c r="B660" s="0" t="inlineStr">
        <s:is>
          <s:t>이종훈</s:t>
        </s:is>
      </s:c>
      <s:c r="C660" s="0" t="n">
        <s:v>80511</s:v>
      </s:c>
      <s:c r="D660" s="0" t="n">
        <s:v>1636</s:v>
      </s:c>
      <s:c r="F660" s="24">
        <s:f>'자료구성'!$B$2+TIME(INT($C$3/10000),INT(MOD($C$3,10000)/100),MOD($C$3,100))+(ROW()-ROW($C$3))/86400</s:f>
        <s:v>46247.34453703704</s:v>
      </s:c>
    </s:row>
    <s:row r="661">
      <s:c r="A661" s="0" t="n">
        <s:v>260813</s:v>
      </s:c>
      <s:c r="B661" s="0" t="inlineStr">
        <s:is>
          <s:t>이종훈</s:t>
        </s:is>
      </s:c>
      <s:c r="C661" s="0" t="n">
        <s:v>80511</s:v>
      </s:c>
      <s:c r="D661" s="0" t="n">
        <s:v>1661</s:v>
      </s:c>
      <s:c r="F661" s="24">
        <s:f>'자료구성'!$B$2+TIME(INT($C$3/10000),INT(MOD($C$3,10000)/100),MOD($C$3,100))+(ROW()-ROW($C$3))/86400</s:f>
        <s:v>46247.34454861111</s:v>
      </s:c>
    </s:row>
    <s:row r="662">
      <s:c r="A662" s="0" t="n">
        <s:v>260813</s:v>
      </s:c>
      <s:c r="B662" s="0" t="inlineStr">
        <s:is>
          <s:t>이종훈</s:t>
        </s:is>
      </s:c>
      <s:c r="C662" s="0" t="n">
        <s:v>80511</s:v>
      </s:c>
      <s:c r="D662" s="0" t="n">
        <s:v>1680</s:v>
      </s:c>
      <s:c r="F662" s="24">
        <s:f>'자료구성'!$B$2+TIME(INT($C$3/10000),INT(MOD($C$3,10000)/100),MOD($C$3,100))+(ROW()-ROW($C$3))/86400</s:f>
        <s:v>46247.344560185185</s:v>
      </s:c>
    </s:row>
    <s:row r="663">
      <s:c r="A663" s="0" t="n">
        <s:v>260813</s:v>
      </s:c>
      <s:c r="B663" s="0" t="inlineStr">
        <s:is>
          <s:t>이종훈</s:t>
        </s:is>
      </s:c>
      <s:c r="C663" s="0" t="n">
        <s:v>80511</s:v>
      </s:c>
      <s:c r="D663" s="0" t="n">
        <s:v>1690</s:v>
      </s:c>
      <s:c r="F663" s="24">
        <s:f>'자료구성'!$B$2+TIME(INT($C$3/10000),INT(MOD($C$3,10000)/100),MOD($C$3,100))+(ROW()-ROW($C$3))/86400</s:f>
        <s:v>46247.34457175926</s:v>
      </s:c>
    </s:row>
    <s:row r="664">
      <s:c r="A664" s="0" t="n">
        <s:v>260813</s:v>
      </s:c>
      <s:c r="B664" s="0" t="inlineStr">
        <s:is>
          <s:t>이종훈</s:t>
        </s:is>
      </s:c>
      <s:c r="C664" s="0" t="n">
        <s:v>80511</s:v>
      </s:c>
      <s:c r="D664" s="0" t="n">
        <s:v>1707</s:v>
      </s:c>
      <s:c r="F664" s="24">
        <s:f>'자료구성'!$B$2+TIME(INT($C$3/10000),INT(MOD($C$3,10000)/100),MOD($C$3,100))+(ROW()-ROW($C$3))/86400</s:f>
        <s:v>46247.34458333333</s:v>
      </s:c>
    </s:row>
    <s:row r="665">
      <s:c r="A665" s="0" t="n">
        <s:v>260813</s:v>
      </s:c>
      <s:c r="B665" s="0" t="inlineStr">
        <s:is>
          <s:t>이종훈</s:t>
        </s:is>
      </s:c>
      <s:c r="C665" s="0" t="n">
        <s:v>80511</s:v>
      </s:c>
      <s:c r="D665" s="0" t="n">
        <s:v>1734</s:v>
      </s:c>
      <s:c r="F665" s="24">
        <s:f>'자료구성'!$B$2+TIME(INT($C$3/10000),INT(MOD($C$3,10000)/100),MOD($C$3,100))+(ROW()-ROW($C$3))/86400</s:f>
        <s:v>46247.34459490741</s:v>
      </s:c>
    </s:row>
    <s:row r="666">
      <s:c r="A666" s="0" t="n">
        <s:v>260813</s:v>
      </s:c>
      <s:c r="B666" s="0" t="inlineStr">
        <s:is>
          <s:t>이종훈</s:t>
        </s:is>
      </s:c>
      <s:c r="C666" s="0" t="n">
        <s:v>80511</s:v>
      </s:c>
      <s:c r="D666" s="0" t="n">
        <s:v>1766</s:v>
      </s:c>
      <s:c r="F666" s="24">
        <s:f>'자료구성'!$B$2+TIME(INT($C$3/10000),INT(MOD($C$3,10000)/100),MOD($C$3,100))+(ROW()-ROW($C$3))/86400</s:f>
        <s:v>46247.34460648148</s:v>
      </s:c>
    </s:row>
    <s:row r="667">
      <s:c r="A667" s="0" t="n">
        <s:v>260813</s:v>
      </s:c>
      <s:c r="B667" s="0" t="inlineStr">
        <s:is>
          <s:t>이종훈</s:t>
        </s:is>
      </s:c>
      <s:c r="C667" s="0" t="n">
        <s:v>80511</s:v>
      </s:c>
      <s:c r="D667" s="0" t="n">
        <s:v>1779</s:v>
      </s:c>
      <s:c r="F667" s="24">
        <s:f>'자료구성'!$B$2+TIME(INT($C$3/10000),INT(MOD($C$3,10000)/100),MOD($C$3,100))+(ROW()-ROW($C$3))/86400</s:f>
        <s:v>46247.344618055555</s:v>
      </s:c>
    </s:row>
    <s:row r="668">
      <s:c r="A668" s="0" t="n">
        <s:v>260813</s:v>
      </s:c>
      <s:c r="B668" s="0" t="inlineStr">
        <s:is>
          <s:t>이종훈</s:t>
        </s:is>
      </s:c>
      <s:c r="C668" s="0" t="n">
        <s:v>80511</s:v>
      </s:c>
      <s:c r="D668" s="0" t="n">
        <s:v>1785</s:v>
      </s:c>
      <s:c r="F668" s="24">
        <s:f>'자료구성'!$B$2+TIME(INT($C$3/10000),INT(MOD($C$3,10000)/100),MOD($C$3,100))+(ROW()-ROW($C$3))/86400</s:f>
        <s:v>46247.34462962963</s:v>
      </s:c>
    </s:row>
    <s:row r="669">
      <s:c r="A669" s="0" t="n">
        <s:v>260813</s:v>
      </s:c>
      <s:c r="B669" s="0" t="inlineStr">
        <s:is>
          <s:t>이종훈</s:t>
        </s:is>
      </s:c>
      <s:c r="C669" s="0" t="n">
        <s:v>80511</s:v>
      </s:c>
      <s:c r="D669" s="0" t="n">
        <s:v>1842</s:v>
      </s:c>
      <s:c r="F669" s="24">
        <s:f>'자료구성'!$B$2+TIME(INT($C$3/10000),INT(MOD($C$3,10000)/100),MOD($C$3,100))+(ROW()-ROW($C$3))/86400</s:f>
        <s:v>46247.3446412037</s:v>
      </s:c>
    </s:row>
    <s:row r="670">
      <s:c r="A670" s="0" t="n">
        <s:v>260813</s:v>
      </s:c>
      <s:c r="B670" s="0" t="inlineStr">
        <s:is>
          <s:t>이종훈</s:t>
        </s:is>
      </s:c>
      <s:c r="C670" s="0" t="n">
        <s:v>80511</s:v>
      </s:c>
      <s:c r="D670" s="0" t="n">
        <s:v>1863</s:v>
      </s:c>
      <s:c r="F670" s="24">
        <s:f>'자료구성'!$B$2+TIME(INT($C$3/10000),INT(MOD($C$3,10000)/100),MOD($C$3,100))+(ROW()-ROW($C$3))/86400</s:f>
        <s:v>46247.34465277778</s:v>
      </s:c>
    </s:row>
    <s:row r="671">
      <s:c r="A671" s="0" t="n">
        <s:v>260813</s:v>
      </s:c>
      <s:c r="B671" s="0" t="inlineStr">
        <s:is>
          <s:t>이종훈</s:t>
        </s:is>
      </s:c>
      <s:c r="C671" s="0" t="n">
        <s:v>80511</s:v>
      </s:c>
      <s:c r="D671" s="0" t="n">
        <s:v>1887</s:v>
      </s:c>
      <s:c r="F671" s="24">
        <s:f>'자료구성'!$B$2+TIME(INT($C$3/10000),INT(MOD($C$3,10000)/100),MOD($C$3,100))+(ROW()-ROW($C$3))/86400</s:f>
        <s:v>46247.344664351855</s:v>
      </s:c>
    </s:row>
    <s:row r="672">
      <s:c r="A672" s="0" t="n">
        <s:v>260813</s:v>
      </s:c>
      <s:c r="B672" s="0" t="inlineStr">
        <s:is>
          <s:t>이종훈</s:t>
        </s:is>
      </s:c>
      <s:c r="C672" s="0" t="n">
        <s:v>80511</s:v>
      </s:c>
      <s:c r="D672" s="0" t="n">
        <s:v>1895</s:v>
      </s:c>
      <s:c r="F672" s="24">
        <s:f>'자료구성'!$B$2+TIME(INT($C$3/10000),INT(MOD($C$3,10000)/100),MOD($C$3,100))+(ROW()-ROW($C$3))/86400</s:f>
        <s:v>46247.344675925924</s:v>
      </s:c>
    </s:row>
    <s:row r="673">
      <s:c r="A673" s="0" t="n">
        <s:v>260813</s:v>
      </s:c>
      <s:c r="B673" s="0" t="inlineStr">
        <s:is>
          <s:t>이종훈</s:t>
        </s:is>
      </s:c>
      <s:c r="C673" s="0" t="n">
        <s:v>80511</s:v>
      </s:c>
      <s:c r="D673" s="0" t="n">
        <s:v>1906</s:v>
      </s:c>
      <s:c r="F673" s="24">
        <s:f>'자료구성'!$B$2+TIME(INT($C$3/10000),INT(MOD($C$3,10000)/100),MOD($C$3,100))+(ROW()-ROW($C$3))/86400</s:f>
        <s:v>46247.3446875</s:v>
      </s:c>
    </s:row>
    <s:row r="674">
      <s:c r="A674" s="0" t="n">
        <s:v>260813</s:v>
      </s:c>
      <s:c r="B674" s="0" t="inlineStr">
        <s:is>
          <s:t>이종훈</s:t>
        </s:is>
      </s:c>
      <s:c r="C674" s="0" t="n">
        <s:v>80511</s:v>
      </s:c>
      <s:c r="D674" s="0" t="n">
        <s:v>1921</s:v>
      </s:c>
      <s:c r="F674" s="24">
        <s:f>'자료구성'!$B$2+TIME(INT($C$3/10000),INT(MOD($C$3,10000)/100),MOD($C$3,100))+(ROW()-ROW($C$3))/86400</s:f>
        <s:v>46247.34469907408</s:v>
      </s:c>
    </s:row>
    <s:row r="675">
      <s:c r="A675" s="0" t="n">
        <s:v>260813</s:v>
      </s:c>
      <s:c r="B675" s="0" t="inlineStr">
        <s:is>
          <s:t>이종훈</s:t>
        </s:is>
      </s:c>
      <s:c r="C675" s="0" t="n">
        <s:v>80511</s:v>
      </s:c>
      <s:c r="D675" s="0" t="n">
        <s:v>1957</s:v>
      </s:c>
      <s:c r="F675" s="24">
        <s:f>'자료구성'!$B$2+TIME(INT($C$3/10000),INT(MOD($C$3,10000)/100),MOD($C$3,100))+(ROW()-ROW($C$3))/86400</s:f>
        <s:v>46247.34471064815</s:v>
      </s:c>
    </s:row>
    <s:row r="676">
      <s:c r="A676" s="0" t="n">
        <s:v>260813</s:v>
      </s:c>
      <s:c r="B676" s="0" t="inlineStr">
        <s:is>
          <s:t>이종훈</s:t>
        </s:is>
      </s:c>
      <s:c r="C676" s="0" t="n">
        <s:v>80511</s:v>
      </s:c>
      <s:c r="D676" s="0" t="n">
        <s:v>1993</s:v>
      </s:c>
      <s:c r="F676" s="24">
        <s:f>'자료구성'!$B$2+TIME(INT($C$3/10000),INT(MOD($C$3,10000)/100),MOD($C$3,100))+(ROW()-ROW($C$3))/86400</s:f>
        <s:v>46247.344722222224</s:v>
      </s:c>
    </s:row>
    <s:row r="677">
      <s:c r="A677" s="0" t="n">
        <s:v>260813</s:v>
      </s:c>
      <s:c r="B677" s="0" t="inlineStr">
        <s:is>
          <s:t>이종훈</s:t>
        </s:is>
      </s:c>
      <s:c r="C677" s="0" t="n">
        <s:v>80511</s:v>
      </s:c>
      <s:c r="D677" s="0" t="n">
        <s:v>2053</s:v>
      </s:c>
      <s:c r="F677" s="24">
        <s:f>'자료구성'!$B$2+TIME(INT($C$3/10000),INT(MOD($C$3,10000)/100),MOD($C$3,100))+(ROW()-ROW($C$3))/86400</s:f>
        <s:v>46247.34473379629</s:v>
      </s:c>
    </s:row>
    <s:row r="678">
      <s:c r="A678" s="0" t="n">
        <s:v>260813</s:v>
      </s:c>
      <s:c r="B678" s="0" t="inlineStr">
        <s:is>
          <s:t>이종훈</s:t>
        </s:is>
      </s:c>
      <s:c r="C678" s="0" t="n">
        <s:v>80511</s:v>
      </s:c>
      <s:c r="D678" s="0" t="n">
        <s:v>2085</s:v>
      </s:c>
      <s:c r="F678" s="24">
        <s:f>'자료구성'!$B$2+TIME(INT($C$3/10000),INT(MOD($C$3,10000)/100),MOD($C$3,100))+(ROW()-ROW($C$3))/86400</s:f>
        <s:v>46247.34474537037</s:v>
      </s:c>
    </s:row>
    <s:row r="679">
      <s:c r="A679" s="0" t="n">
        <s:v>260813</s:v>
      </s:c>
      <s:c r="B679" s="0" t="inlineStr">
        <s:is>
          <s:t>이종훈</s:t>
        </s:is>
      </s:c>
      <s:c r="C679" s="0" t="n">
        <s:v>80511</s:v>
      </s:c>
      <s:c r="D679" s="0" t="n">
        <s:v>2107</s:v>
      </s:c>
      <s:c r="F679" s="24">
        <s:f>'자료구성'!$B$2+TIME(INT($C$3/10000),INT(MOD($C$3,10000)/100),MOD($C$3,100))+(ROW()-ROW($C$3))/86400</s:f>
        <s:v>46247.34475694445</s:v>
      </s:c>
    </s:row>
    <s:row r="680">
      <s:c r="A680" s="0" t="n">
        <s:v>260813</s:v>
      </s:c>
      <s:c r="B680" s="0" t="inlineStr">
        <s:is>
          <s:t>이종훈</s:t>
        </s:is>
      </s:c>
      <s:c r="C680" s="0" t="n">
        <s:v>80511</s:v>
      </s:c>
      <s:c r="D680" s="0" t="n">
        <s:v>2154</s:v>
      </s:c>
      <s:c r="F680" s="24">
        <s:f>'자료구성'!$B$2+TIME(INT($C$3/10000),INT(MOD($C$3,10000)/100),MOD($C$3,100))+(ROW()-ROW($C$3))/86400</s:f>
        <s:v>46247.34476851852</s:v>
      </s:c>
    </s:row>
    <s:row r="681">
      <s:c r="A681" s="0" t="n">
        <s:v>260813</s:v>
      </s:c>
      <s:c r="B681" s="0" t="inlineStr">
        <s:is>
          <s:t>이종훈</s:t>
        </s:is>
      </s:c>
      <s:c r="C681" s="0" t="n">
        <s:v>80511</s:v>
      </s:c>
      <s:c r="D681" s="0" t="n">
        <s:v>2200</s:v>
      </s:c>
      <s:c r="F681" s="24">
        <s:f>'자료구성'!$B$2+TIME(INT($C$3/10000),INT(MOD($C$3,10000)/100),MOD($C$3,100))+(ROW()-ROW($C$3))/86400</s:f>
        <s:v>46247.34478009259</s:v>
      </s:c>
    </s:row>
    <s:row r="682">
      <s:c r="A682" s="0" t="n">
        <s:v>260813</s:v>
      </s:c>
      <s:c r="B682" s="0" t="inlineStr">
        <s:is>
          <s:t>이종훈</s:t>
        </s:is>
      </s:c>
      <s:c r="C682" s="0" t="n">
        <s:v>80511</s:v>
      </s:c>
      <s:c r="D682" s="0" t="n">
        <s:v>2268</s:v>
      </s:c>
      <s:c r="F682" s="24">
        <s:f>'자료구성'!$B$2+TIME(INT($C$3/10000),INT(MOD($C$3,10000)/100),MOD($C$3,100))+(ROW()-ROW($C$3))/86400</s:f>
        <s:v>46247.34479166667</s:v>
      </s:c>
    </s:row>
    <s:row r="683">
      <s:c r="A683" s="0" t="n">
        <s:v>260813</s:v>
      </s:c>
      <s:c r="B683" s="0" t="inlineStr">
        <s:is>
          <s:t>이종훈</s:t>
        </s:is>
      </s:c>
      <s:c r="C683" s="0" t="n">
        <s:v>80511</s:v>
      </s:c>
      <s:c r="D683" s="0" t="n">
        <s:v>2349</s:v>
      </s:c>
      <s:c r="F683" s="24">
        <s:f>'자료구성'!$B$2+TIME(INT($C$3/10000),INT(MOD($C$3,10000)/100),MOD($C$3,100))+(ROW()-ROW($C$3))/86400</s:f>
        <s:v>46247.34480324074</s:v>
      </s:c>
    </s:row>
    <s:row r="684">
      <s:c r="A684" s="0" t="n">
        <s:v>260813</s:v>
      </s:c>
      <s:c r="B684" s="0" t="inlineStr">
        <s:is>
          <s:t>이종훈</s:t>
        </s:is>
      </s:c>
      <s:c r="C684" s="0" t="n">
        <s:v>80511</s:v>
      </s:c>
      <s:c r="D684" s="0" t="n">
        <s:v>2408</s:v>
      </s:c>
      <s:c r="F684" s="24">
        <s:f>'자료구성'!$B$2+TIME(INT($C$3/10000),INT(MOD($C$3,10000)/100),MOD($C$3,100))+(ROW()-ROW($C$3))/86400</s:f>
        <s:v>46247.344814814816</s:v>
      </s:c>
    </s:row>
    <s:row r="685">
      <s:c r="A685" s="0" t="n">
        <s:v>260813</s:v>
      </s:c>
      <s:c r="B685" s="0" t="inlineStr">
        <s:is>
          <s:t>이종훈</s:t>
        </s:is>
      </s:c>
      <s:c r="C685" s="0" t="n">
        <s:v>80511</s:v>
      </s:c>
      <s:c r="D685" s="0" t="n">
        <s:v>2405</s:v>
      </s:c>
      <s:c r="F685" s="24">
        <s:f>'자료구성'!$B$2+TIME(INT($C$3/10000),INT(MOD($C$3,10000)/100),MOD($C$3,100))+(ROW()-ROW($C$3))/86400</s:f>
        <s:v>46247.344826388886</s:v>
      </s:c>
    </s:row>
    <s:row r="686">
      <s:c r="A686" s="0" t="n">
        <s:v>260813</s:v>
      </s:c>
      <s:c r="B686" s="0" t="inlineStr">
        <s:is>
          <s:t>이종훈</s:t>
        </s:is>
      </s:c>
      <s:c r="C686" s="0" t="n">
        <s:v>80511</s:v>
      </s:c>
      <s:c r="D686" s="0" t="n">
        <s:v>2398</s:v>
      </s:c>
      <s:c r="F686" s="24">
        <s:f>'자료구성'!$B$2+TIME(INT($C$3/10000),INT(MOD($C$3,10000)/100),MOD($C$3,100))+(ROW()-ROW($C$3))/86400</s:f>
        <s:v>46247.34483796296</s:v>
      </s:c>
    </s:row>
    <s:row r="687">
      <s:c r="A687" s="0" t="n">
        <s:v>260813</s:v>
      </s:c>
      <s:c r="B687" s="0" t="inlineStr">
        <s:is>
          <s:t>이종훈</s:t>
        </s:is>
      </s:c>
      <s:c r="C687" s="0" t="n">
        <s:v>80511</s:v>
      </s:c>
      <s:c r="D687" s="0" t="n">
        <s:v>2395</s:v>
      </s:c>
      <s:c r="F687" s="24">
        <s:f>'자료구성'!$B$2+TIME(INT($C$3/10000),INT(MOD($C$3,10000)/100),MOD($C$3,100))+(ROW()-ROW($C$3))/86400</s:f>
        <s:v>46247.34484953704</s:v>
      </s:c>
    </s:row>
    <s:row r="688">
      <s:c r="A688" s="0" t="n">
        <s:v>260813</s:v>
      </s:c>
      <s:c r="B688" s="0" t="inlineStr">
        <s:is>
          <s:t>이종훈</s:t>
        </s:is>
      </s:c>
      <s:c r="C688" s="0" t="n">
        <s:v>80511</s:v>
      </s:c>
      <s:c r="D688" s="0" t="n">
        <s:v>2294</s:v>
      </s:c>
      <s:c r="F688" s="24">
        <s:f>'자료구성'!$B$2+TIME(INT($C$3/10000),INT(MOD($C$3,10000)/100),MOD($C$3,100))+(ROW()-ROW($C$3))/86400</s:f>
        <s:v>46247.34486111111</s:v>
      </s:c>
    </s:row>
    <s:row r="689">
      <s:c r="A689" s="0" t="n">
        <s:v>260813</s:v>
      </s:c>
      <s:c r="B689" s="0" t="inlineStr">
        <s:is>
          <s:t>이종훈</s:t>
        </s:is>
      </s:c>
      <s:c r="C689" s="0" t="n">
        <s:v>80511</s:v>
      </s:c>
      <s:c r="D689" s="0" t="n">
        <s:v>2175</s:v>
      </s:c>
      <s:c r="F689" s="24">
        <s:f>'자료구성'!$B$2+TIME(INT($C$3/10000),INT(MOD($C$3,10000)/100),MOD($C$3,100))+(ROW()-ROW($C$3))/86400</s:f>
        <s:v>46247.344872685186</s:v>
      </s:c>
    </s:row>
    <s:row r="690">
      <s:c r="A690" s="0" t="n">
        <s:v>260813</s:v>
      </s:c>
      <s:c r="B690" s="0" t="inlineStr">
        <s:is>
          <s:t>이종훈</s:t>
        </s:is>
      </s:c>
      <s:c r="C690" s="0" t="n">
        <s:v>80511</s:v>
      </s:c>
      <s:c r="D690" s="0" t="n">
        <s:v>2092</s:v>
      </s:c>
      <s:c r="F690" s="24">
        <s:f>'자료구성'!$B$2+TIME(INT($C$3/10000),INT(MOD($C$3,10000)/100),MOD($C$3,100))+(ROW()-ROW($C$3))/86400</s:f>
        <s:v>46247.34488425926</s:v>
      </s:c>
    </s:row>
    <s:row r="691">
      <s:c r="A691" s="0" t="n">
        <s:v>260813</s:v>
      </s:c>
      <s:c r="B691" s="0" t="inlineStr">
        <s:is>
          <s:t>이종훈</s:t>
        </s:is>
      </s:c>
      <s:c r="C691" s="0" t="n">
        <s:v>80511</s:v>
      </s:c>
      <s:c r="D691" s="0" t="n">
        <s:v>2025</s:v>
      </s:c>
      <s:c r="F691" s="24">
        <s:f>'자료구성'!$B$2+TIME(INT($C$3/10000),INT(MOD($C$3,10000)/100),MOD($C$3,100))+(ROW()-ROW($C$3))/86400</s:f>
        <s:v>46247.34489583333</s:v>
      </s:c>
    </s:row>
    <s:row r="692">
      <s:c r="A692" s="0" t="n">
        <s:v>260813</s:v>
      </s:c>
      <s:c r="B692" s="0" t="inlineStr">
        <s:is>
          <s:t>이종훈</s:t>
        </s:is>
      </s:c>
      <s:c r="C692" s="0" t="n">
        <s:v>80511</s:v>
      </s:c>
      <s:c r="D692" s="0" t="n">
        <s:v>1967</s:v>
      </s:c>
      <s:c r="F692" s="24">
        <s:f>'자료구성'!$B$2+TIME(INT($C$3/10000),INT(MOD($C$3,10000)/100),MOD($C$3,100))+(ROW()-ROW($C$3))/86400</s:f>
        <s:v>46247.34490740741</s:v>
      </s:c>
    </s:row>
    <s:row r="693">
      <s:c r="A693" s="0" t="n">
        <s:v>260813</s:v>
      </s:c>
      <s:c r="B693" s="0" t="inlineStr">
        <s:is>
          <s:t>이종훈</s:t>
        </s:is>
      </s:c>
      <s:c r="C693" s="0" t="n">
        <s:v>80511</s:v>
      </s:c>
      <s:c r="D693" s="0" t="n">
        <s:v>1912</s:v>
      </s:c>
      <s:c r="F693" s="24">
        <s:f>'자료구성'!$B$2+TIME(INT($C$3/10000),INT(MOD($C$3,10000)/100),MOD($C$3,100))+(ROW()-ROW($C$3))/86400</s:f>
        <s:v>46247.34491898148</s:v>
      </s:c>
    </s:row>
    <s:row r="694">
      <s:c r="A694" s="0" t="n">
        <s:v>260813</s:v>
      </s:c>
      <s:c r="B694" s="0" t="inlineStr">
        <s:is>
          <s:t>이종훈</s:t>
        </s:is>
      </s:c>
      <s:c r="C694" s="0" t="n">
        <s:v>80511</s:v>
      </s:c>
      <s:c r="D694" s="0" t="n">
        <s:v>1883</s:v>
      </s:c>
      <s:c r="F694" s="24">
        <s:f>'자료구성'!$B$2+TIME(INT($C$3/10000),INT(MOD($C$3,10000)/100),MOD($C$3,100))+(ROW()-ROW($C$3))/86400</s:f>
        <s:v>46247.344930555555</s:v>
      </s:c>
    </s:row>
    <s:row r="695">
      <s:c r="A695" s="0" t="n">
        <s:v>260813</s:v>
      </s:c>
      <s:c r="B695" s="0" t="inlineStr">
        <s:is>
          <s:t>이종훈</s:t>
        </s:is>
      </s:c>
      <s:c r="C695" s="0" t="n">
        <s:v>80511</s:v>
      </s:c>
      <s:c r="D695" s="0" t="n">
        <s:v>1885</s:v>
      </s:c>
      <s:c r="F695" s="24">
        <s:f>'자료구성'!$B$2+TIME(INT($C$3/10000),INT(MOD($C$3,10000)/100),MOD($C$3,100))+(ROW()-ROW($C$3))/86400</s:f>
        <s:v>46247.34494212963</s:v>
      </s:c>
    </s:row>
    <s:row r="696">
      <s:c r="A696" s="0" t="n">
        <s:v>260813</s:v>
      </s:c>
      <s:c r="B696" s="0" t="inlineStr">
        <s:is>
          <s:t>이종훈</s:t>
        </s:is>
      </s:c>
      <s:c r="C696" s="0" t="n">
        <s:v>80511</s:v>
      </s:c>
      <s:c r="D696" s="0" t="n">
        <s:v>1885</s:v>
      </s:c>
      <s:c r="F696" s="24">
        <s:f>'자료구성'!$B$2+TIME(INT($C$3/10000),INT(MOD($C$3,10000)/100),MOD($C$3,100))+(ROW()-ROW($C$3))/86400</s:f>
        <s:v>46247.3449537037</s:v>
      </s:c>
    </s:row>
    <s:row r="697">
      <s:c r="A697" s="0" t="n">
        <s:v>260813</s:v>
      </s:c>
      <s:c r="B697" s="0" t="inlineStr">
        <s:is>
          <s:t>이종훈</s:t>
        </s:is>
      </s:c>
      <s:c r="C697" s="0" t="n">
        <s:v>80511</s:v>
      </s:c>
      <s:c r="D697" s="0" t="n">
        <s:v>1874</s:v>
      </s:c>
      <s:c r="F697" s="24">
        <s:f>'자료구성'!$B$2+TIME(INT($C$3/10000),INT(MOD($C$3,10000)/100),MOD($C$3,100))+(ROW()-ROW($C$3))/86400</s:f>
        <s:v>46247.34496527778</s:v>
      </s:c>
    </s:row>
    <s:row r="698">
      <s:c r="A698" s="0" t="n">
        <s:v>260813</s:v>
      </s:c>
      <s:c r="B698" s="0" t="inlineStr">
        <s:is>
          <s:t>이종훈</s:t>
        </s:is>
      </s:c>
      <s:c r="C698" s="0" t="n">
        <s:v>80511</s:v>
      </s:c>
      <s:c r="D698" s="0" t="n">
        <s:v>1879</s:v>
      </s:c>
      <s:c r="F698" s="24">
        <s:f>'자료구성'!$B$2+TIME(INT($C$3/10000),INT(MOD($C$3,10000)/100),MOD($C$3,100))+(ROW()-ROW($C$3))/86400</s:f>
        <s:v>46247.344976851855</s:v>
      </s:c>
    </s:row>
    <s:row r="699">
      <s:c r="A699" s="0" t="n">
        <s:v>260813</s:v>
      </s:c>
      <s:c r="B699" s="0" t="inlineStr">
        <s:is>
          <s:t>이종훈</s:t>
        </s:is>
      </s:c>
      <s:c r="C699" s="0" t="n">
        <s:v>80511</s:v>
      </s:c>
      <s:c r="D699" s="0" t="n">
        <s:v>1897</s:v>
      </s:c>
      <s:c r="F699" s="24">
        <s:f>'자료구성'!$B$2+TIME(INT($C$3/10000),INT(MOD($C$3,10000)/100),MOD($C$3,100))+(ROW()-ROW($C$3))/86400</s:f>
        <s:v>46247.344988425924</s:v>
      </s:c>
    </s:row>
    <s:row r="700">
      <s:c r="A700" s="0" t="n">
        <s:v>260813</s:v>
      </s:c>
      <s:c r="B700" s="0" t="inlineStr">
        <s:is>
          <s:t>이종훈</s:t>
        </s:is>
      </s:c>
      <s:c r="C700" s="0" t="n">
        <s:v>80511</s:v>
      </s:c>
      <s:c r="D700" s="0" t="n">
        <s:v>1931</s:v>
      </s:c>
      <s:c r="F700" s="24">
        <s:f>'자료구성'!$B$2+TIME(INT($C$3/10000),INT(MOD($C$3,10000)/100),MOD($C$3,100))+(ROW()-ROW($C$3))/86400</s:f>
        <s:v>46247.345</s:v>
      </s:c>
    </s:row>
    <s:row r="701">
      <s:c r="A701" s="0" t="n">
        <s:v>260813</s:v>
      </s:c>
      <s:c r="B701" s="0" t="inlineStr">
        <s:is>
          <s:t>이종훈</s:t>
        </s:is>
      </s:c>
      <s:c r="C701" s="0" t="n">
        <s:v>80511</s:v>
      </s:c>
      <s:c r="D701" s="0" t="n">
        <s:v>1967</s:v>
      </s:c>
      <s:c r="F701" s="24">
        <s:f>'자료구성'!$B$2+TIME(INT($C$3/10000),INT(MOD($C$3,10000)/100),MOD($C$3,100))+(ROW()-ROW($C$3))/86400</s:f>
        <s:v>46247.34501157407</s:v>
      </s:c>
    </s:row>
    <s:row r="702">
      <s:c r="A702" s="0" t="n">
        <s:v>260813</s:v>
      </s:c>
      <s:c r="B702" s="0" t="inlineStr">
        <s:is>
          <s:t>이종훈</s:t>
        </s:is>
      </s:c>
      <s:c r="C702" s="0" t="n">
        <s:v>80511</s:v>
      </s:c>
      <s:c r="D702" s="0" t="n">
        <s:v>1948</s:v>
      </s:c>
      <s:c r="F702" s="24">
        <s:f>'자료구성'!$B$2+TIME(INT($C$3/10000),INT(MOD($C$3,10000)/100),MOD($C$3,100))+(ROW()-ROW($C$3))/86400</s:f>
        <s:v>46247.34502314815</s:v>
      </s:c>
    </s:row>
    <s:row r="703">
      <s:c r="A703" s="0" t="n">
        <s:v>260813</s:v>
      </s:c>
      <s:c r="B703" s="0" t="inlineStr">
        <s:is>
          <s:t>이종훈</s:t>
        </s:is>
      </s:c>
      <s:c r="C703" s="0" t="n">
        <s:v>80511</s:v>
      </s:c>
      <s:c r="D703" s="0" t="n">
        <s:v>1950</s:v>
      </s:c>
      <s:c r="F703" s="24">
        <s:f>'자료구성'!$B$2+TIME(INT($C$3/10000),INT(MOD($C$3,10000)/100),MOD($C$3,100))+(ROW()-ROW($C$3))/86400</s:f>
        <s:v>46247.345034722224</s:v>
      </s:c>
    </s:row>
    <s:row r="704">
      <s:c r="A704" s="0" t="n">
        <s:v>260813</s:v>
      </s:c>
      <s:c r="B704" s="0" t="inlineStr">
        <s:is>
          <s:t>이종훈</s:t>
        </s:is>
      </s:c>
      <s:c r="C704" s="0" t="n">
        <s:v>80511</s:v>
      </s:c>
      <s:c r="D704" s="0" t="n">
        <s:v>1948</s:v>
      </s:c>
      <s:c r="F704" s="24">
        <s:f>'자료구성'!$B$2+TIME(INT($C$3/10000),INT(MOD($C$3,10000)/100),MOD($C$3,100))+(ROW()-ROW($C$3))/86400</s:f>
        <s:v>46247.345046296294</s:v>
      </s:c>
    </s:row>
    <s:row r="705">
      <s:c r="A705" s="0" t="n">
        <s:v>260813</s:v>
      </s:c>
      <s:c r="B705" s="0" t="inlineStr">
        <s:is>
          <s:t>이종훈</s:t>
        </s:is>
      </s:c>
      <s:c r="C705" s="0" t="n">
        <s:v>80511</s:v>
      </s:c>
      <s:c r="D705" s="0" t="n">
        <s:v>1944</s:v>
      </s:c>
      <s:c r="F705" s="24">
        <s:f>'자료구성'!$B$2+TIME(INT($C$3/10000),INT(MOD($C$3,10000)/100),MOD($C$3,100))+(ROW()-ROW($C$3))/86400</s:f>
        <s:v>46247.34505787037</s:v>
      </s:c>
    </s:row>
    <s:row r="706">
      <s:c r="A706" s="0" t="n">
        <s:v>260813</s:v>
      </s:c>
      <s:c r="B706" s="0" t="inlineStr">
        <s:is>
          <s:t>이종훈</s:t>
        </s:is>
      </s:c>
      <s:c r="C706" s="0" t="n">
        <s:v>80511</s:v>
      </s:c>
      <s:c r="D706" s="0" t="n">
        <s:v>1937</s:v>
      </s:c>
      <s:c r="F706" s="24">
        <s:f>'자료구성'!$B$2+TIME(INT($C$3/10000),INT(MOD($C$3,10000)/100),MOD($C$3,100))+(ROW()-ROW($C$3))/86400</s:f>
        <s:v>46247.34506944445</s:v>
      </s:c>
    </s:row>
    <s:row r="707">
      <s:c r="A707" s="0" t="n">
        <s:v>260813</s:v>
      </s:c>
      <s:c r="B707" s="0" t="inlineStr">
        <s:is>
          <s:t>이종훈</s:t>
        </s:is>
      </s:c>
      <s:c r="C707" s="0" t="n">
        <s:v>80511</s:v>
      </s:c>
      <s:c r="D707" s="0" t="n">
        <s:v>1915</s:v>
      </s:c>
      <s:c r="F707" s="24">
        <s:f>'자료구성'!$B$2+TIME(INT($C$3/10000),INT(MOD($C$3,10000)/100),MOD($C$3,100))+(ROW()-ROW($C$3))/86400</s:f>
        <s:v>46247.34508101852</s:v>
      </s:c>
    </s:row>
    <s:row r="708">
      <s:c r="A708" s="0" t="n">
        <s:v>260813</s:v>
      </s:c>
      <s:c r="B708" s="0" t="inlineStr">
        <s:is>
          <s:t>이종훈</s:t>
        </s:is>
      </s:c>
      <s:c r="C708" s="0" t="n">
        <s:v>80511</s:v>
      </s:c>
      <s:c r="D708" s="0" t="n">
        <s:v>1922</s:v>
      </s:c>
      <s:c r="F708" s="24">
        <s:f>'자료구성'!$B$2+TIME(INT($C$3/10000),INT(MOD($C$3,10000)/100),MOD($C$3,100))+(ROW()-ROW($C$3))/86400</s:f>
        <s:v>46247.34509259259</s:v>
      </s:c>
    </s:row>
    <s:row r="709">
      <s:c r="A709" s="0" t="n">
        <s:v>260813</s:v>
      </s:c>
      <s:c r="B709" s="0" t="inlineStr">
        <s:is>
          <s:t>이종훈</s:t>
        </s:is>
      </s:c>
      <s:c r="C709" s="0" t="n">
        <s:v>80511</s:v>
      </s:c>
      <s:c r="D709" s="0" t="n">
        <s:v>1914</s:v>
      </s:c>
      <s:c r="F709" s="24">
        <s:f>'자료구성'!$B$2+TIME(INT($C$3/10000),INT(MOD($C$3,10000)/100),MOD($C$3,100))+(ROW()-ROW($C$3))/86400</s:f>
        <s:v>46247.34510416666</s:v>
      </s:c>
    </s:row>
    <s:row r="710">
      <s:c r="A710" s="0" t="n">
        <s:v>260813</s:v>
      </s:c>
      <s:c r="B710" s="0" t="inlineStr">
        <s:is>
          <s:t>이종훈</s:t>
        </s:is>
      </s:c>
      <s:c r="C710" s="0" t="n">
        <s:v>80511</s:v>
      </s:c>
      <s:c r="D710" s="0" t="n">
        <s:v>1885</s:v>
      </s:c>
      <s:c r="F710" s="24">
        <s:f>'자료구성'!$B$2+TIME(INT($C$3/10000),INT(MOD($C$3,10000)/100),MOD($C$3,100))+(ROW()-ROW($C$3))/86400</s:f>
        <s:v>46247.34511574074</s:v>
      </s:c>
    </s:row>
    <s:row r="711">
      <s:c r="A711" s="0" t="n">
        <s:v>260813</s:v>
      </s:c>
      <s:c r="B711" s="0" t="inlineStr">
        <s:is>
          <s:t>이종훈</s:t>
        </s:is>
      </s:c>
      <s:c r="C711" s="0" t="n">
        <s:v>80511</s:v>
      </s:c>
      <s:c r="D711" s="0" t="n">
        <s:v>1856</s:v>
      </s:c>
      <s:c r="F711" s="24">
        <s:f>'자료구성'!$B$2+TIME(INT($C$3/10000),INT(MOD($C$3,10000)/100),MOD($C$3,100))+(ROW()-ROW($C$3))/86400</s:f>
        <s:v>46247.34512731482</s:v>
      </s:c>
    </s:row>
    <s:row r="712">
      <s:c r="A712" s="0" t="n">
        <s:v>260813</s:v>
      </s:c>
      <s:c r="B712" s="0" t="inlineStr">
        <s:is>
          <s:t>이종훈</s:t>
        </s:is>
      </s:c>
      <s:c r="C712" s="0" t="n">
        <s:v>80511</s:v>
      </s:c>
      <s:c r="D712" s="0" t="n">
        <s:v>1850</s:v>
      </s:c>
      <s:c r="F712" s="24">
        <s:f>'자료구성'!$B$2+TIME(INT($C$3/10000),INT(MOD($C$3,10000)/100),MOD($C$3,100))+(ROW()-ROW($C$3))/86400</s:f>
        <s:v>46247.345138888886</s:v>
      </s:c>
    </s:row>
    <s:row r="713">
      <s:c r="A713" s="0" t="n">
        <s:v>260813</s:v>
      </s:c>
      <s:c r="B713" s="0" t="inlineStr">
        <s:is>
          <s:t>이종훈</s:t>
        </s:is>
      </s:c>
      <s:c r="C713" s="0" t="n">
        <s:v>80511</s:v>
      </s:c>
      <s:c r="D713" s="0" t="n">
        <s:v>1862</s:v>
      </s:c>
      <s:c r="F713" s="24">
        <s:f>'자료구성'!$B$2+TIME(INT($C$3/10000),INT(MOD($C$3,10000)/100),MOD($C$3,100))+(ROW()-ROW($C$3))/86400</s:f>
        <s:v>46247.34515046296</s:v>
      </s:c>
    </s:row>
    <s:row r="714">
      <s:c r="A714" s="0" t="n">
        <s:v>260813</s:v>
      </s:c>
      <s:c r="B714" s="0" t="inlineStr">
        <s:is>
          <s:t>이종훈</s:t>
        </s:is>
      </s:c>
      <s:c r="C714" s="0" t="n">
        <s:v>80511</s:v>
      </s:c>
      <s:c r="D714" s="0" t="n">
        <s:v>1866</s:v>
      </s:c>
      <s:c r="F714" s="24">
        <s:f>'자료구성'!$B$2+TIME(INT($C$3/10000),INT(MOD($C$3,10000)/100),MOD($C$3,100))+(ROW()-ROW($C$3))/86400</s:f>
        <s:v>46247.34516203704</s:v>
      </s:c>
    </s:row>
    <s:row r="715">
      <s:c r="A715" s="0" t="n">
        <s:v>260813</s:v>
      </s:c>
      <s:c r="B715" s="0" t="inlineStr">
        <s:is>
          <s:t>이종훈</s:t>
        </s:is>
      </s:c>
      <s:c r="C715" s="0" t="n">
        <s:v>80511</s:v>
      </s:c>
      <s:c r="D715" s="0" t="n">
        <s:v>1859</s:v>
      </s:c>
      <s:c r="F715" s="24">
        <s:f>'자료구성'!$B$2+TIME(INT($C$3/10000),INT(MOD($C$3,10000)/100),MOD($C$3,100))+(ROW()-ROW($C$3))/86400</s:f>
        <s:v>46247.34517361111</s:v>
      </s:c>
    </s:row>
    <s:row r="716">
      <s:c r="A716" s="0" t="n">
        <s:v>260813</s:v>
      </s:c>
      <s:c r="B716" s="0" t="inlineStr">
        <s:is>
          <s:t>이종훈</s:t>
        </s:is>
      </s:c>
      <s:c r="C716" s="0" t="n">
        <s:v>80511</s:v>
      </s:c>
      <s:c r="D716" s="0" t="n">
        <s:v>1867</s:v>
      </s:c>
      <s:c r="F716" s="24">
        <s:f>'자료구성'!$B$2+TIME(INT($C$3/10000),INT(MOD($C$3,10000)/100),MOD($C$3,100))+(ROW()-ROW($C$3))/86400</s:f>
        <s:v>46247.345185185186</s:v>
      </s:c>
    </s:row>
    <s:row r="717">
      <s:c r="A717" s="0" t="n">
        <s:v>260813</s:v>
      </s:c>
      <s:c r="B717" s="0" t="inlineStr">
        <s:is>
          <s:t>이종훈</s:t>
        </s:is>
      </s:c>
      <s:c r="C717" s="0" t="n">
        <s:v>80511</s:v>
      </s:c>
      <s:c r="D717" s="0" t="n">
        <s:v>1877</s:v>
      </s:c>
      <s:c r="F717" s="24">
        <s:f>'자료구성'!$B$2+TIME(INT($C$3/10000),INT(MOD($C$3,10000)/100),MOD($C$3,100))+(ROW()-ROW($C$3))/86400</s:f>
        <s:v>46247.34519675926</s:v>
      </s:c>
    </s:row>
    <s:row r="718">
      <s:c r="A718" s="0" t="n">
        <s:v>260813</s:v>
      </s:c>
      <s:c r="B718" s="0" t="inlineStr">
        <s:is>
          <s:t>이종훈</s:t>
        </s:is>
      </s:c>
      <s:c r="C718" s="0" t="n">
        <s:v>80511</s:v>
      </s:c>
      <s:c r="D718" s="0" t="n">
        <s:v>1851</s:v>
      </s:c>
      <s:c r="F718" s="24">
        <s:f>'자료구성'!$B$2+TIME(INT($C$3/10000),INT(MOD($C$3,10000)/100),MOD($C$3,100))+(ROW()-ROW($C$3))/86400</s:f>
        <s:v>46247.34520833333</s:v>
      </s:c>
    </s:row>
    <s:row r="719">
      <s:c r="A719" s="0" t="n">
        <s:v>260813</s:v>
      </s:c>
      <s:c r="B719" s="0" t="inlineStr">
        <s:is>
          <s:t>이종훈</s:t>
        </s:is>
      </s:c>
      <s:c r="C719" s="0" t="n">
        <s:v>80511</s:v>
      </s:c>
      <s:c r="D719" s="0" t="n">
        <s:v>1824</s:v>
      </s:c>
      <s:c r="F719" s="24">
        <s:f>'자료구성'!$B$2+TIME(INT($C$3/10000),INT(MOD($C$3,10000)/100),MOD($C$3,100))+(ROW()-ROW($C$3))/86400</s:f>
        <s:v>46247.34521990741</s:v>
      </s:c>
    </s:row>
    <s:row r="720">
      <s:c r="A720" s="0" t="n">
        <s:v>260813</s:v>
      </s:c>
      <s:c r="B720" s="0" t="inlineStr">
        <s:is>
          <s:t>이종훈</s:t>
        </s:is>
      </s:c>
      <s:c r="C720" s="0" t="n">
        <s:v>80511</s:v>
      </s:c>
      <s:c r="D720" s="0" t="n">
        <s:v>1787</s:v>
      </s:c>
      <s:c r="F720" s="24">
        <s:f>'자료구성'!$B$2+TIME(INT($C$3/10000),INT(MOD($C$3,10000)/100),MOD($C$3,100))+(ROW()-ROW($C$3))/86400</s:f>
        <s:v>46247.34523148148</s:v>
      </s:c>
    </s:row>
    <s:row r="721">
      <s:c r="A721" s="0" t="n">
        <s:v>260813</s:v>
      </s:c>
      <s:c r="B721" s="0" t="inlineStr">
        <s:is>
          <s:t>이종훈</s:t>
        </s:is>
      </s:c>
      <s:c r="C721" s="0" t="n">
        <s:v>80511</s:v>
      </s:c>
      <s:c r="D721" s="0" t="n">
        <s:v>1759</s:v>
      </s:c>
      <s:c r="F721" s="24">
        <s:f>'자료구성'!$B$2+TIME(INT($C$3/10000),INT(MOD($C$3,10000)/100),MOD($C$3,100))+(ROW()-ROW($C$3))/86400</s:f>
        <s:v>46247.345243055555</s:v>
      </s:c>
    </s:row>
    <s:row r="722">
      <s:c r="A722" s="0" t="n">
        <s:v>260813</s:v>
      </s:c>
      <s:c r="B722" s="0" t="inlineStr">
        <s:is>
          <s:t>이종훈</s:t>
        </s:is>
      </s:c>
      <s:c r="C722" s="0" t="n">
        <s:v>80511</s:v>
      </s:c>
      <s:c r="D722" s="0" t="n">
        <s:v>1724</s:v>
      </s:c>
      <s:c r="F722" s="24">
        <s:f>'자료구성'!$B$2+TIME(INT($C$3/10000),INT(MOD($C$3,10000)/100),MOD($C$3,100))+(ROW()-ROW($C$3))/86400</s:f>
        <s:v>46247.34525462963</s:v>
      </s:c>
    </s:row>
    <s:row r="723">
      <s:c r="A723" s="0" t="n">
        <s:v>260813</s:v>
      </s:c>
      <s:c r="B723" s="0" t="inlineStr">
        <s:is>
          <s:t>이종훈</s:t>
        </s:is>
      </s:c>
      <s:c r="C723" s="0" t="n">
        <s:v>80511</s:v>
      </s:c>
      <s:c r="D723" s="0" t="n">
        <s:v>1686</s:v>
      </s:c>
      <s:c r="F723" s="24">
        <s:f>'자료구성'!$B$2+TIME(INT($C$3/10000),INT(MOD($C$3,10000)/100),MOD($C$3,100))+(ROW()-ROW($C$3))/86400</s:f>
        <s:v>46247.3452662037</s:v>
      </s:c>
    </s:row>
    <s:row r="724">
      <s:c r="A724" s="0" t="n">
        <s:v>260813</s:v>
      </s:c>
      <s:c r="B724" s="0" t="inlineStr">
        <s:is>
          <s:t>이종훈</s:t>
        </s:is>
      </s:c>
      <s:c r="C724" s="0" t="n">
        <s:v>80511</s:v>
      </s:c>
      <s:c r="D724" s="0" t="n">
        <s:v>1644</s:v>
      </s:c>
      <s:c r="F724" s="24">
        <s:f>'자료구성'!$B$2+TIME(INT($C$3/10000),INT(MOD($C$3,10000)/100),MOD($C$3,100))+(ROW()-ROW($C$3))/86400</s:f>
        <s:v>46247.34527777778</s:v>
      </s:c>
    </s:row>
    <s:row r="725">
      <s:c r="A725" s="0" t="n">
        <s:v>260813</s:v>
      </s:c>
      <s:c r="B725" s="0" t="inlineStr">
        <s:is>
          <s:t>이종훈</s:t>
        </s:is>
      </s:c>
      <s:c r="C725" s="0" t="n">
        <s:v>80511</s:v>
      </s:c>
      <s:c r="D725" s="0" t="n">
        <s:v>1605</s:v>
      </s:c>
      <s:c r="F725" s="24">
        <s:f>'자료구성'!$B$2+TIME(INT($C$3/10000),INT(MOD($C$3,10000)/100),MOD($C$3,100))+(ROW()-ROW($C$3))/86400</s:f>
        <s:v>46247.345289351855</s:v>
      </s:c>
    </s:row>
    <s:row r="726">
      <s:c r="A726" s="0" t="n">
        <s:v>260813</s:v>
      </s:c>
      <s:c r="B726" s="0" t="inlineStr">
        <s:is>
          <s:t>이종훈</s:t>
        </s:is>
      </s:c>
      <s:c r="C726" s="0" t="n">
        <s:v>80511</s:v>
      </s:c>
      <s:c r="D726" s="0" t="n">
        <s:v>1594</s:v>
      </s:c>
      <s:c r="F726" s="24">
        <s:f>'자료구성'!$B$2+TIME(INT($C$3/10000),INT(MOD($C$3,10000)/100),MOD($C$3,100))+(ROW()-ROW($C$3))/86400</s:f>
        <s:v>46247.345300925925</s:v>
      </s:c>
    </s:row>
    <s:row r="727">
      <s:c r="A727" s="0" t="n">
        <s:v>260813</s:v>
      </s:c>
      <s:c r="B727" s="0" t="inlineStr">
        <s:is>
          <s:t>이종훈</s:t>
        </s:is>
      </s:c>
      <s:c r="C727" s="0" t="n">
        <s:v>80511</s:v>
      </s:c>
      <s:c r="D727" s="0" t="n">
        <s:v>1589</s:v>
      </s:c>
      <s:c r="F727" s="24">
        <s:f>'자료구성'!$B$2+TIME(INT($C$3/10000),INT(MOD($C$3,10000)/100),MOD($C$3,100))+(ROW()-ROW($C$3))/86400</s:f>
        <s:v>46247.3453125</s:v>
      </s:c>
    </s:row>
    <s:row r="728">
      <s:c r="A728" s="0" t="n">
        <s:v>260813</s:v>
      </s:c>
      <s:c r="B728" s="0" t="inlineStr">
        <s:is>
          <s:t>이종훈</s:t>
        </s:is>
      </s:c>
      <s:c r="C728" s="0" t="n">
        <s:v>80511</s:v>
      </s:c>
      <s:c r="D728" s="0" t="n">
        <s:v>1597</s:v>
      </s:c>
      <s:c r="F728" s="24">
        <s:f>'자료구성'!$B$2+TIME(INT($C$3/10000),INT(MOD($C$3,10000)/100),MOD($C$3,100))+(ROW()-ROW($C$3))/86400</s:f>
        <s:v>46247.34532407407</s:v>
      </s:c>
    </s:row>
    <s:row r="729">
      <s:c r="A729" s="0" t="n">
        <s:v>260813</s:v>
      </s:c>
      <s:c r="B729" s="0" t="inlineStr">
        <s:is>
          <s:t>이종훈</s:t>
        </s:is>
      </s:c>
      <s:c r="C729" s="0" t="n">
        <s:v>80511</s:v>
      </s:c>
      <s:c r="D729" s="0" t="n">
        <s:v>1599</s:v>
      </s:c>
      <s:c r="F729" s="24">
        <s:f>'자료구성'!$B$2+TIME(INT($C$3/10000),INT(MOD($C$3,10000)/100),MOD($C$3,100))+(ROW()-ROW($C$3))/86400</s:f>
        <s:v>46247.34533564815</s:v>
      </s:c>
    </s:row>
    <s:row r="730">
      <s:c r="A730" s="0" t="n">
        <s:v>260813</s:v>
      </s:c>
      <s:c r="B730" s="0" t="inlineStr">
        <s:is>
          <s:t>이종훈</s:t>
        </s:is>
      </s:c>
      <s:c r="C730" s="0" t="n">
        <s:v>80511</s:v>
      </s:c>
      <s:c r="D730" s="0" t="n">
        <s:v>1618</s:v>
      </s:c>
      <s:c r="F730" s="24">
        <s:f>'자료구성'!$B$2+TIME(INT($C$3/10000),INT(MOD($C$3,10000)/100),MOD($C$3,100))+(ROW()-ROW($C$3))/86400</s:f>
        <s:v>46247.345347222225</s:v>
      </s:c>
    </s:row>
    <s:row r="731">
      <s:c r="A731" s="0" t="n">
        <s:v>260813</s:v>
      </s:c>
      <s:c r="B731" s="0" t="inlineStr">
        <s:is>
          <s:t>이종훈</s:t>
        </s:is>
      </s:c>
      <s:c r="C731" s="0" t="n">
        <s:v>80511</s:v>
      </s:c>
      <s:c r="D731" s="0" t="n">
        <s:v>1656</s:v>
      </s:c>
      <s:c r="F731" s="24">
        <s:f>'자료구성'!$B$2+TIME(INT($C$3/10000),INT(MOD($C$3,10000)/100),MOD($C$3,100))+(ROW()-ROW($C$3))/86400</s:f>
        <s:v>46247.345358796294</s:v>
      </s:c>
    </s:row>
    <s:row r="732">
      <s:c r="A732" s="0" t="n">
        <s:v>260813</s:v>
      </s:c>
      <s:c r="B732" s="0" t="inlineStr">
        <s:is>
          <s:t>이종훈</s:t>
        </s:is>
      </s:c>
      <s:c r="C732" s="0" t="n">
        <s:v>80511</s:v>
      </s:c>
      <s:c r="D732" s="0" t="n">
        <s:v>1709</s:v>
      </s:c>
      <s:c r="F732" s="24">
        <s:f>'자료구성'!$B$2+TIME(INT($C$3/10000),INT(MOD($C$3,10000)/100),MOD($C$3,100))+(ROW()-ROW($C$3))/86400</s:f>
        <s:v>46247.34537037037</s:v>
      </s:c>
    </s:row>
    <s:row r="733">
      <s:c r="A733" s="0" t="n">
        <s:v>260813</s:v>
      </s:c>
      <s:c r="B733" s="0" t="inlineStr">
        <s:is>
          <s:t>이종훈</s:t>
        </s:is>
      </s:c>
      <s:c r="C733" s="0" t="n">
        <s:v>80511</s:v>
      </s:c>
      <s:c r="D733" s="0" t="n">
        <s:v>1720</s:v>
      </s:c>
      <s:c r="F733" s="24">
        <s:f>'자료구성'!$B$2+TIME(INT($C$3/10000),INT(MOD($C$3,10000)/100),MOD($C$3,100))+(ROW()-ROW($C$3))/86400</s:f>
        <s:v>46247.34538194445</s:v>
      </s:c>
    </s:row>
    <s:row r="734">
      <s:c r="A734" s="0" t="n">
        <s:v>260813</s:v>
      </s:c>
      <s:c r="B734" s="0" t="inlineStr">
        <s:is>
          <s:t>이종훈</s:t>
        </s:is>
      </s:c>
      <s:c r="C734" s="0" t="n">
        <s:v>80511</s:v>
      </s:c>
      <s:c r="D734" s="0" t="n">
        <s:v>1749</s:v>
      </s:c>
      <s:c r="F734" s="24">
        <s:f>'자료구성'!$B$2+TIME(INT($C$3/10000),INT(MOD($C$3,10000)/100),MOD($C$3,100))+(ROW()-ROW($C$3))/86400</s:f>
        <s:v>46247.34539351852</s:v>
      </s:c>
    </s:row>
    <s:row r="735">
      <s:c r="A735" s="0" t="n">
        <s:v>260813</s:v>
      </s:c>
      <s:c r="B735" s="0" t="inlineStr">
        <s:is>
          <s:t>이종훈</s:t>
        </s:is>
      </s:c>
      <s:c r="C735" s="0" t="n">
        <s:v>80511</s:v>
      </s:c>
      <s:c r="D735" s="0" t="n">
        <s:v>1756</s:v>
      </s:c>
      <s:c r="F735" s="24">
        <s:f>'자료구성'!$B$2+TIME(INT($C$3/10000),INT(MOD($C$3,10000)/100),MOD($C$3,100))+(ROW()-ROW($C$3))/86400</s:f>
        <s:v>46247.345405092594</s:v>
      </s:c>
    </s:row>
    <s:row r="736">
      <s:c r="A736" s="0" t="n">
        <s:v>260813</s:v>
      </s:c>
      <s:c r="B736" s="0" t="inlineStr">
        <s:is>
          <s:t>이종훈</s:t>
        </s:is>
      </s:c>
      <s:c r="C736" s="0" t="n">
        <s:v>80511</s:v>
      </s:c>
      <s:c r="D736" s="0" t="n">
        <s:v>1774</s:v>
      </s:c>
      <s:c r="F736" s="24">
        <s:f>'자료구성'!$B$2+TIME(INT($C$3/10000),INT(MOD($C$3,10000)/100),MOD($C$3,100))+(ROW()-ROW($C$3))/86400</s:f>
        <s:v>46247.34541666666</s:v>
      </s:c>
    </s:row>
    <s:row r="737">
      <s:c r="A737" s="0" t="n">
        <s:v>260813</s:v>
      </s:c>
      <s:c r="B737" s="0" t="inlineStr">
        <s:is>
          <s:t>이종훈</s:t>
        </s:is>
      </s:c>
      <s:c r="C737" s="0" t="n">
        <s:v>80511</s:v>
      </s:c>
      <s:c r="D737" s="0" t="n">
        <s:v>1766</s:v>
      </s:c>
      <s:c r="F737" s="24">
        <s:f>'자료구성'!$B$2+TIME(INT($C$3/10000),INT(MOD($C$3,10000)/100),MOD($C$3,100))+(ROW()-ROW($C$3))/86400</s:f>
        <s:v>46247.34542824074</s:v>
      </s:c>
    </s:row>
    <s:row r="738">
      <s:c r="A738" s="0" t="n">
        <s:v>260813</s:v>
      </s:c>
      <s:c r="B738" s="0" t="inlineStr">
        <s:is>
          <s:t>이종훈</s:t>
        </s:is>
      </s:c>
      <s:c r="C738" s="0" t="n">
        <s:v>80511</s:v>
      </s:c>
      <s:c r="D738" s="0" t="n">
        <s:v>1737</s:v>
      </s:c>
      <s:c r="F738" s="24">
        <s:f>'자료구성'!$B$2+TIME(INT($C$3/10000),INT(MOD($C$3,10000)/100),MOD($C$3,100))+(ROW()-ROW($C$3))/86400</s:f>
        <s:v>46247.34543981482</s:v>
      </s:c>
    </s:row>
    <s:row r="739">
      <s:c r="A739" s="0" t="n">
        <s:v>260813</s:v>
      </s:c>
      <s:c r="B739" s="0" t="inlineStr">
        <s:is>
          <s:t>이종훈</s:t>
        </s:is>
      </s:c>
      <s:c r="C739" s="0" t="n">
        <s:v>80511</s:v>
      </s:c>
      <s:c r="D739" s="0" t="n">
        <s:v>1693</s:v>
      </s:c>
      <s:c r="F739" s="24">
        <s:f>'자료구성'!$B$2+TIME(INT($C$3/10000),INT(MOD($C$3,10000)/100),MOD($C$3,100))+(ROW()-ROW($C$3))/86400</s:f>
        <s:v>46247.34545138889</s:v>
      </s:c>
    </s:row>
    <s:row r="740">
      <s:c r="A740" s="0" t="n">
        <s:v>260813</s:v>
      </s:c>
      <s:c r="B740" s="0" t="inlineStr">
        <s:is>
          <s:t>이종훈</s:t>
        </s:is>
      </s:c>
      <s:c r="C740" s="0" t="n">
        <s:v>80511</s:v>
      </s:c>
      <s:c r="D740" s="0" t="n">
        <s:v>1679</s:v>
      </s:c>
      <s:c r="F740" s="24">
        <s:f>'자료구성'!$B$2+TIME(INT($C$3/10000),INT(MOD($C$3,10000)/100),MOD($C$3,100))+(ROW()-ROW($C$3))/86400</s:f>
        <s:v>46247.34546296296</s:v>
      </s:c>
    </s:row>
    <s:row r="741">
      <s:c r="A741" s="0" t="n">
        <s:v>260813</s:v>
      </s:c>
      <s:c r="B741" s="0" t="inlineStr">
        <s:is>
          <s:t>이종훈</s:t>
        </s:is>
      </s:c>
      <s:c r="C741" s="0" t="n">
        <s:v>80511</s:v>
      </s:c>
      <s:c r="D741" s="0" t="n">
        <s:v>1665</s:v>
      </s:c>
      <s:c r="F741" s="24">
        <s:f>'자료구성'!$B$2+TIME(INT($C$3/10000),INT(MOD($C$3,10000)/100),MOD($C$3,100))+(ROW()-ROW($C$3))/86400</s:f>
        <s:v>46247.34547453704</s:v>
      </s:c>
    </s:row>
    <s:row r="742">
      <s:c r="A742" s="0" t="n">
        <s:v>260813</s:v>
      </s:c>
      <s:c r="B742" s="0" t="inlineStr">
        <s:is>
          <s:t>이종훈</s:t>
        </s:is>
      </s:c>
      <s:c r="C742" s="0" t="n">
        <s:v>80511</s:v>
      </s:c>
      <s:c r="D742" s="0" t="n">
        <s:v>1640</s:v>
      </s:c>
      <s:c r="F742" s="24">
        <s:f>'자료구성'!$B$2+TIME(INT($C$3/10000),INT(MOD($C$3,10000)/100),MOD($C$3,100))+(ROW()-ROW($C$3))/86400</s:f>
        <s:v>46247.34548611111</s:v>
      </s:c>
    </s:row>
    <s:row r="743">
      <s:c r="A743" s="0" t="n">
        <s:v>260813</s:v>
      </s:c>
      <s:c r="B743" s="0" t="inlineStr">
        <s:is>
          <s:t>이종훈</s:t>
        </s:is>
      </s:c>
      <s:c r="C743" s="0" t="n">
        <s:v>80511</s:v>
      </s:c>
      <s:c r="D743" s="0" t="n">
        <s:v>1608</s:v>
      </s:c>
      <s:c r="F743" s="24">
        <s:f>'자료구성'!$B$2+TIME(INT($C$3/10000),INT(MOD($C$3,10000)/100),MOD($C$3,100))+(ROW()-ROW($C$3))/86400</s:f>
        <s:v>46247.345497685186</s:v>
      </s:c>
    </s:row>
    <s:row r="744">
      <s:c r="A744" s="0" t="n">
        <s:v>260813</s:v>
      </s:c>
      <s:c r="B744" s="0" t="inlineStr">
        <s:is>
          <s:t>이종훈</s:t>
        </s:is>
      </s:c>
      <s:c r="C744" s="0" t="n">
        <s:v>80511</s:v>
      </s:c>
      <s:c r="D744" s="0" t="n">
        <s:v>1591</s:v>
      </s:c>
      <s:c r="F744" s="24">
        <s:f>'자료구성'!$B$2+TIME(INT($C$3/10000),INT(MOD($C$3,10000)/100),MOD($C$3,100))+(ROW()-ROW($C$3))/86400</s:f>
        <s:v>46247.345509259256</s:v>
      </s:c>
    </s:row>
    <s:row r="745">
      <s:c r="A745" s="0" t="n">
        <s:v>260813</s:v>
      </s:c>
      <s:c r="B745" s="0" t="inlineStr">
        <s:is>
          <s:t>이종훈</s:t>
        </s:is>
      </s:c>
      <s:c r="C745" s="0" t="n">
        <s:v>80511</s:v>
      </s:c>
      <s:c r="D745" s="0" t="n">
        <s:v>1585</s:v>
      </s:c>
      <s:c r="F745" s="24">
        <s:f>'자료구성'!$B$2+TIME(INT($C$3/10000),INT(MOD($C$3,10000)/100),MOD($C$3,100))+(ROW()-ROW($C$3))/86400</s:f>
        <s:v>46247.34552083333</s:v>
      </s:c>
    </s:row>
    <s:row r="746">
      <s:c r="A746" s="0" t="n">
        <s:v>260813</s:v>
      </s:c>
      <s:c r="B746" s="0" t="inlineStr">
        <s:is>
          <s:t>이종훈</s:t>
        </s:is>
      </s:c>
      <s:c r="C746" s="0" t="n">
        <s:v>80511</s:v>
      </s:c>
      <s:c r="D746" s="0" t="n">
        <s:v>1610</s:v>
      </s:c>
      <s:c r="F746" s="24">
        <s:f>'자료구성'!$B$2+TIME(INT($C$3/10000),INT(MOD($C$3,10000)/100),MOD($C$3,100))+(ROW()-ROW($C$3))/86400</s:f>
        <s:v>46247.34553240741</s:v>
      </s:c>
    </s:row>
    <s:row r="747">
      <s:c r="A747" s="0" t="n">
        <s:v>260813</s:v>
      </s:c>
      <s:c r="B747" s="0" t="inlineStr">
        <s:is>
          <s:t>이종훈</s:t>
        </s:is>
      </s:c>
      <s:c r="C747" s="0" t="n">
        <s:v>80511</s:v>
      </s:c>
      <s:c r="D747" s="0" t="n">
        <s:v>1635</s:v>
      </s:c>
      <s:c r="F747" s="24">
        <s:f>'자료구성'!$B$2+TIME(INT($C$3/10000),INT(MOD($C$3,10000)/100),MOD($C$3,100))+(ROW()-ROW($C$3))/86400</s:f>
        <s:v>46247.34554398148</s:v>
      </s:c>
    </s:row>
    <s:row r="748">
      <s:c r="A748" s="0" t="n">
        <s:v>260813</s:v>
      </s:c>
      <s:c r="B748" s="0" t="inlineStr">
        <s:is>
          <s:t>이종훈</s:t>
        </s:is>
      </s:c>
      <s:c r="C748" s="0" t="n">
        <s:v>80511</s:v>
      </s:c>
      <s:c r="D748" s="0" t="n">
        <s:v>1622</s:v>
      </s:c>
      <s:c r="F748" s="24">
        <s:f>'자료구성'!$B$2+TIME(INT($C$3/10000),INT(MOD($C$3,10000)/100),MOD($C$3,100))+(ROW()-ROW($C$3))/86400</s:f>
        <s:v>46247.345555555556</s:v>
      </s:c>
    </s:row>
    <s:row r="749">
      <s:c r="A749" s="0" t="n">
        <s:v>260813</s:v>
      </s:c>
      <s:c r="B749" s="0" t="inlineStr">
        <s:is>
          <s:t>이종훈</s:t>
        </s:is>
      </s:c>
      <s:c r="C749" s="0" t="n">
        <s:v>80511</s:v>
      </s:c>
      <s:c r="D749" s="0" t="n">
        <s:v>1635</s:v>
      </s:c>
      <s:c r="F749" s="24">
        <s:f>'자료구성'!$B$2+TIME(INT($C$3/10000),INT(MOD($C$3,10000)/100),MOD($C$3,100))+(ROW()-ROW($C$3))/86400</s:f>
        <s:v>46247.34556712963</s:v>
      </s:c>
    </s:row>
    <s:row r="750">
      <s:c r="A750" s="0" t="n">
        <s:v>260813</s:v>
      </s:c>
      <s:c r="B750" s="0" t="inlineStr">
        <s:is>
          <s:t>이종훈</s:t>
        </s:is>
      </s:c>
      <s:c r="C750" s="0" t="n">
        <s:v>80511</s:v>
      </s:c>
      <s:c r="D750" s="0" t="n">
        <s:v>1677</s:v>
      </s:c>
      <s:c r="F750" s="24">
        <s:f>'자료구성'!$B$2+TIME(INT($C$3/10000),INT(MOD($C$3,10000)/100),MOD($C$3,100))+(ROW()-ROW($C$3))/86400</s:f>
        <s:v>46247.3455787037</s:v>
      </s:c>
    </s:row>
    <s:row r="751">
      <s:c r="A751" s="0" t="n">
        <s:v>260813</s:v>
      </s:c>
      <s:c r="B751" s="0" t="inlineStr">
        <s:is>
          <s:t>이종훈</s:t>
        </s:is>
      </s:c>
      <s:c r="C751" s="0" t="n">
        <s:v>80511</s:v>
      </s:c>
      <s:c r="D751" s="0" t="n">
        <s:v>1682</s:v>
      </s:c>
      <s:c r="F751" s="24">
        <s:f>'자료구성'!$B$2+TIME(INT($C$3/10000),INT(MOD($C$3,10000)/100),MOD($C$3,100))+(ROW()-ROW($C$3))/86400</s:f>
        <s:v>46247.34559027778</s:v>
      </s:c>
    </s:row>
    <s:row r="752">
      <s:c r="A752" s="0" t="n">
        <s:v>260813</s:v>
      </s:c>
      <s:c r="B752" s="0" t="inlineStr">
        <s:is>
          <s:t>이종훈</s:t>
        </s:is>
      </s:c>
      <s:c r="C752" s="0" t="n">
        <s:v>80511</s:v>
      </s:c>
      <s:c r="D752" s="0" t="n">
        <s:v>1736</s:v>
      </s:c>
      <s:c r="F752" s="24">
        <s:f>'자료구성'!$B$2+TIME(INT($C$3/10000),INT(MOD($C$3,10000)/100),MOD($C$3,100))+(ROW()-ROW($C$3))/86400</s:f>
        <s:v>46247.345601851855</s:v>
      </s:c>
    </s:row>
    <s:row r="753">
      <s:c r="A753" s="0" t="n">
        <s:v>260813</s:v>
      </s:c>
      <s:c r="B753" s="0" t="inlineStr">
        <s:is>
          <s:t>이종훈</s:t>
        </s:is>
      </s:c>
      <s:c r="C753" s="0" t="n">
        <s:v>80511</s:v>
      </s:c>
      <s:c r="D753" s="0" t="n">
        <s:v>1733</s:v>
      </s:c>
      <s:c r="F753" s="24">
        <s:f>'자료구성'!$B$2+TIME(INT($C$3/10000),INT(MOD($C$3,10000)/100),MOD($C$3,100))+(ROW()-ROW($C$3))/86400</s:f>
        <s:v>46247.345613425925</s:v>
      </s:c>
    </s:row>
    <s:row r="754">
      <s:c r="A754" s="0" t="n">
        <s:v>260813</s:v>
      </s:c>
      <s:c r="B754" s="0" t="inlineStr">
        <s:is>
          <s:t>이종훈</s:t>
        </s:is>
      </s:c>
      <s:c r="C754" s="0" t="n">
        <s:v>80511</s:v>
      </s:c>
      <s:c r="D754" s="0" t="n">
        <s:v>1734</s:v>
      </s:c>
      <s:c r="F754" s="24">
        <s:f>'자료구성'!$B$2+TIME(INT($C$3/10000),INT(MOD($C$3,10000)/100),MOD($C$3,100))+(ROW()-ROW($C$3))/86400</s:f>
        <s:v>46247.345625</s:v>
      </s:c>
    </s:row>
    <s:row r="755">
      <s:c r="A755" s="0" t="n">
        <s:v>260813</s:v>
      </s:c>
      <s:c r="B755" s="0" t="inlineStr">
        <s:is>
          <s:t>이종훈</s:t>
        </s:is>
      </s:c>
      <s:c r="C755" s="0" t="n">
        <s:v>80511</s:v>
      </s:c>
      <s:c r="D755" s="0" t="n">
        <s:v>1731</s:v>
      </s:c>
      <s:c r="F755" s="24">
        <s:f>'자료구성'!$B$2+TIME(INT($C$3/10000),INT(MOD($C$3,10000)/100),MOD($C$3,100))+(ROW()-ROW($C$3))/86400</s:f>
        <s:v>46247.34563657407</s:v>
      </s:c>
    </s:row>
    <s:row r="756">
      <s:c r="A756" s="0" t="n">
        <s:v>260813</s:v>
      </s:c>
      <s:c r="B756" s="0" t="inlineStr">
        <s:is>
          <s:t>이종훈</s:t>
        </s:is>
      </s:c>
      <s:c r="C756" s="0" t="n">
        <s:v>80511</s:v>
      </s:c>
      <s:c r="D756" s="0" t="n">
        <s:v>1728</s:v>
      </s:c>
      <s:c r="F756" s="24">
        <s:f>'자료구성'!$B$2+TIME(INT($C$3/10000),INT(MOD($C$3,10000)/100),MOD($C$3,100))+(ROW()-ROW($C$3))/86400</s:f>
        <s:v>46247.34564814815</s:v>
      </s:c>
    </s:row>
    <s:row r="757">
      <s:c r="A757" s="0" t="n">
        <s:v>260813</s:v>
      </s:c>
      <s:c r="B757" s="0" t="inlineStr">
        <s:is>
          <s:t>이종훈</s:t>
        </s:is>
      </s:c>
      <s:c r="C757" s="0" t="n">
        <s:v>80511</s:v>
      </s:c>
      <s:c r="D757" s="0" t="n">
        <s:v>1733</s:v>
      </s:c>
      <s:c r="F757" s="24">
        <s:f>'자료구성'!$B$2+TIME(INT($C$3/10000),INT(MOD($C$3,10000)/100),MOD($C$3,100))+(ROW()-ROW($C$3))/86400</s:f>
        <s:v>46247.345659722225</s:v>
      </s:c>
    </s:row>
    <s:row r="758">
      <s:c r="A758" s="0" t="n">
        <s:v>260813</s:v>
      </s:c>
      <s:c r="B758" s="0" t="inlineStr">
        <s:is>
          <s:t>이종훈</s:t>
        </s:is>
      </s:c>
      <s:c r="C758" s="0" t="n">
        <s:v>80511</s:v>
      </s:c>
      <s:c r="D758" s="0" t="n">
        <s:v>1749</s:v>
      </s:c>
      <s:c r="F758" s="24">
        <s:f>'자료구성'!$B$2+TIME(INT($C$3/10000),INT(MOD($C$3,10000)/100),MOD($C$3,100))+(ROW()-ROW($C$3))/86400</s:f>
        <s:v>46247.345671296294</s:v>
      </s:c>
    </s:row>
    <s:row r="759">
      <s:c r="A759" s="0" t="n">
        <s:v>260813</s:v>
      </s:c>
      <s:c r="B759" s="0" t="inlineStr">
        <s:is>
          <s:t>이종훈</s:t>
        </s:is>
      </s:c>
      <s:c r="C759" s="0" t="n">
        <s:v>80511</s:v>
      </s:c>
      <s:c r="D759" s="0" t="n">
        <s:v>1772</s:v>
      </s:c>
      <s:c r="F759" s="24">
        <s:f>'자료구성'!$B$2+TIME(INT($C$3/10000),INT(MOD($C$3,10000)/100),MOD($C$3,100))+(ROW()-ROW($C$3))/86400</s:f>
        <s:v>46247.34568287037</s:v>
      </s:c>
    </s:row>
    <s:row r="760">
      <s:c r="A760" s="0" t="n">
        <s:v>260813</s:v>
      </s:c>
      <s:c r="B760" s="0" t="inlineStr">
        <s:is>
          <s:t>이종훈</s:t>
        </s:is>
      </s:c>
      <s:c r="C760" s="0" t="n">
        <s:v>80511</s:v>
      </s:c>
      <s:c r="D760" s="0" t="n">
        <s:v>1855</s:v>
      </s:c>
      <s:c r="F760" s="24">
        <s:f>'자료구성'!$B$2+TIME(INT($C$3/10000),INT(MOD($C$3,10000)/100),MOD($C$3,100))+(ROW()-ROW($C$3))/86400</s:f>
        <s:v>46247.34569444445</s:v>
      </s:c>
    </s:row>
    <s:row r="761">
      <s:c r="A761" s="0" t="n">
        <s:v>260813</s:v>
      </s:c>
      <s:c r="B761" s="0" t="inlineStr">
        <s:is>
          <s:t>이종훈</s:t>
        </s:is>
      </s:c>
      <s:c r="C761" s="0" t="n">
        <s:v>80511</s:v>
      </s:c>
      <s:c r="D761" s="0" t="n">
        <s:v>1889</s:v>
      </s:c>
      <s:c r="F761" s="24">
        <s:f>'자료구성'!$B$2+TIME(INT($C$3/10000),INT(MOD($C$3,10000)/100),MOD($C$3,100))+(ROW()-ROW($C$3))/86400</s:f>
        <s:v>46247.34570601852</s:v>
      </s:c>
    </s:row>
    <s:row r="762">
      <s:c r="A762" s="0" t="n">
        <s:v>260813</s:v>
      </s:c>
      <s:c r="B762" s="0" t="inlineStr">
        <s:is>
          <s:t>이종훈</s:t>
        </s:is>
      </s:c>
      <s:c r="C762" s="0" t="n">
        <s:v>80511</s:v>
      </s:c>
      <s:c r="D762" s="0" t="n">
        <s:v>1941</s:v>
      </s:c>
      <s:c r="F762" s="24">
        <s:f>'자료구성'!$B$2+TIME(INT($C$3/10000),INT(MOD($C$3,10000)/100),MOD($C$3,100))+(ROW()-ROW($C$3))/86400</s:f>
        <s:v>46247.345717592594</s:v>
      </s:c>
    </s:row>
    <s:row r="763">
      <s:c r="A763" s="0" t="n">
        <s:v>260813</s:v>
      </s:c>
      <s:c r="B763" s="0" t="inlineStr">
        <s:is>
          <s:t>이종훈</s:t>
        </s:is>
      </s:c>
      <s:c r="C763" s="0" t="n">
        <s:v>80511</s:v>
      </s:c>
      <s:c r="D763" s="0" t="n">
        <s:v>2011</s:v>
      </s:c>
      <s:c r="F763" s="24">
        <s:f>'자료구성'!$B$2+TIME(INT($C$3/10000),INT(MOD($C$3,10000)/100),MOD($C$3,100))+(ROW()-ROW($C$3))/86400</s:f>
        <s:v>46247.345729166664</s:v>
      </s:c>
    </s:row>
    <s:row r="764">
      <s:c r="A764" s="0" t="n">
        <s:v>260813</s:v>
      </s:c>
      <s:c r="B764" s="0" t="inlineStr">
        <s:is>
          <s:t>이종훈</s:t>
        </s:is>
      </s:c>
      <s:c r="C764" s="0" t="n">
        <s:v>80511</s:v>
      </s:c>
      <s:c r="D764" s="0" t="n">
        <s:v>2064</s:v>
      </s:c>
      <s:c r="F764" s="24">
        <s:f>'자료구성'!$B$2+TIME(INT($C$3/10000),INT(MOD($C$3,10000)/100),MOD($C$3,100))+(ROW()-ROW($C$3))/86400</s:f>
        <s:v>46247.34574074074</s:v>
      </s:c>
    </s:row>
    <s:row r="765">
      <s:c r="A765" s="0" t="n">
        <s:v>260813</s:v>
      </s:c>
      <s:c r="B765" s="0" t="inlineStr">
        <s:is>
          <s:t>이종훈</s:t>
        </s:is>
      </s:c>
      <s:c r="C765" s="0" t="n">
        <s:v>80511</s:v>
      </s:c>
      <s:c r="D765" s="0" t="n">
        <s:v>2142</s:v>
      </s:c>
      <s:c r="F765" s="24">
        <s:f>'자료구성'!$B$2+TIME(INT($C$3/10000),INT(MOD($C$3,10000)/100),MOD($C$3,100))+(ROW()-ROW($C$3))/86400</s:f>
        <s:v>46247.34575231482</s:v>
      </s:c>
    </s:row>
    <s:row r="766">
      <s:c r="A766" s="0" t="n">
        <s:v>260813</s:v>
      </s:c>
      <s:c r="B766" s="0" t="inlineStr">
        <s:is>
          <s:t>이종훈</s:t>
        </s:is>
      </s:c>
      <s:c r="C766" s="0" t="n">
        <s:v>80511</s:v>
      </s:c>
      <s:c r="D766" s="0" t="n">
        <s:v>2211</s:v>
      </s:c>
      <s:c r="F766" s="24">
        <s:f>'자료구성'!$B$2+TIME(INT($C$3/10000),INT(MOD($C$3,10000)/100),MOD($C$3,100))+(ROW()-ROW($C$3))/86400</s:f>
        <s:v>46247.34576388889</s:v>
      </s:c>
    </s:row>
    <s:row r="767">
      <s:c r="A767" s="0" t="n">
        <s:v>260813</s:v>
      </s:c>
      <s:c r="B767" s="0" t="inlineStr">
        <s:is>
          <s:t>이종훈</s:t>
        </s:is>
      </s:c>
      <s:c r="C767" s="0" t="n">
        <s:v>80511</s:v>
      </s:c>
      <s:c r="D767" s="0" t="n">
        <s:v>2272</s:v>
      </s:c>
      <s:c r="F767" s="24">
        <s:f>'자료구성'!$B$2+TIME(INT($C$3/10000),INT(MOD($C$3,10000)/100),MOD($C$3,100))+(ROW()-ROW($C$3))/86400</s:f>
        <s:v>46247.34577546296</s:v>
      </s:c>
    </s:row>
    <s:row r="768">
      <s:c r="A768" s="0" t="n">
        <s:v>260813</s:v>
      </s:c>
      <s:c r="B768" s="0" t="inlineStr">
        <s:is>
          <s:t>이종훈</s:t>
        </s:is>
      </s:c>
      <s:c r="C768" s="0" t="n">
        <s:v>80511</s:v>
      </s:c>
      <s:c r="D768" s="0" t="n">
        <s:v>2318</s:v>
      </s:c>
      <s:c r="F768" s="24">
        <s:f>'자료구성'!$B$2+TIME(INT($C$3/10000),INT(MOD($C$3,10000)/100),MOD($C$3,100))+(ROW()-ROW($C$3))/86400</s:f>
        <s:v>46247.34578703704</s:v>
      </s:c>
    </s:row>
    <s:row r="769">
      <s:c r="A769" s="0" t="n">
        <s:v>260813</s:v>
      </s:c>
      <s:c r="B769" s="0" t="inlineStr">
        <s:is>
          <s:t>이종훈</s:t>
        </s:is>
      </s:c>
      <s:c r="C769" s="0" t="n">
        <s:v>80511</s:v>
      </s:c>
      <s:c r="D769" s="0" t="n">
        <s:v>2374</s:v>
      </s:c>
      <s:c r="F769" s="24">
        <s:f>'자료구성'!$B$2+TIME(INT($C$3/10000),INT(MOD($C$3,10000)/100),MOD($C$3,100))+(ROW()-ROW($C$3))/86400</s:f>
        <s:v>46247.34579861111</s:v>
      </s:c>
    </s:row>
    <s:row r="770">
      <s:c r="A770" s="0" t="n">
        <s:v>260813</s:v>
      </s:c>
      <s:c r="B770" s="0" t="inlineStr">
        <s:is>
          <s:t>이종훈</s:t>
        </s:is>
      </s:c>
      <s:c r="C770" s="0" t="n">
        <s:v>80511</s:v>
      </s:c>
      <s:c r="D770" s="0" t="n">
        <s:v>2405</s:v>
      </s:c>
      <s:c r="F770" s="24">
        <s:f>'자료구성'!$B$2+TIME(INT($C$3/10000),INT(MOD($C$3,10000)/100),MOD($C$3,100))+(ROW()-ROW($C$3))/86400</s:f>
        <s:v>46247.34581018519</s:v>
      </s:c>
    </s:row>
    <s:row r="771">
      <s:c r="A771" s="0" t="n">
        <s:v>260813</s:v>
      </s:c>
      <s:c r="B771" s="0" t="inlineStr">
        <s:is>
          <s:t>이종훈</s:t>
        </s:is>
      </s:c>
      <s:c r="C771" s="0" t="n">
        <s:v>80511</s:v>
      </s:c>
      <s:c r="D771" s="0" t="n">
        <s:v>2484</s:v>
      </s:c>
      <s:c r="F771" s="24">
        <s:f>'자료구성'!$B$2+TIME(INT($C$3/10000),INT(MOD($C$3,10000)/100),MOD($C$3,100))+(ROW()-ROW($C$3))/86400</s:f>
        <s:v>46247.345821759256</s:v>
      </s:c>
    </s:row>
    <s:row r="772">
      <s:c r="A772" s="0" t="n">
        <s:v>260813</s:v>
      </s:c>
      <s:c r="B772" s="0" t="inlineStr">
        <s:is>
          <s:t>이종훈</s:t>
        </s:is>
      </s:c>
      <s:c r="C772" s="0" t="n">
        <s:v>80511</s:v>
      </s:c>
      <s:c r="D772" s="0" t="n">
        <s:v>2513</s:v>
      </s:c>
      <s:c r="F772" s="24">
        <s:f>'자료구성'!$B$2+TIME(INT($C$3/10000),INT(MOD($C$3,10000)/100),MOD($C$3,100))+(ROW()-ROW($C$3))/86400</s:f>
        <s:v>46247.34583333333</s:v>
      </s:c>
    </s:row>
    <s:row r="773">
      <s:c r="A773" s="0" t="n">
        <s:v>260813</s:v>
      </s:c>
      <s:c r="B773" s="0" t="inlineStr">
        <s:is>
          <s:t>이종훈</s:t>
        </s:is>
      </s:c>
      <s:c r="C773" s="0" t="n">
        <s:v>80511</s:v>
      </s:c>
      <s:c r="D773" s="0" t="n">
        <s:v>2524</s:v>
      </s:c>
      <s:c r="F773" s="24">
        <s:f>'자료구성'!$B$2+TIME(INT($C$3/10000),INT(MOD($C$3,10000)/100),MOD($C$3,100))+(ROW()-ROW($C$3))/86400</s:f>
        <s:v>46247.34584490741</s:v>
      </s:c>
    </s:row>
    <s:row r="774">
      <s:c r="A774" s="0" t="n">
        <s:v>260813</s:v>
      </s:c>
      <s:c r="B774" s="0" t="inlineStr">
        <s:is>
          <s:t>이종훈</s:t>
        </s:is>
      </s:c>
      <s:c r="C774" s="0" t="n">
        <s:v>80511</s:v>
      </s:c>
      <s:c r="D774" s="0" t="n">
        <s:v>2562</s:v>
      </s:c>
      <s:c r="F774" s="24">
        <s:f>'자료구성'!$B$2+TIME(INT($C$3/10000),INT(MOD($C$3,10000)/100),MOD($C$3,100))+(ROW()-ROW($C$3))/86400</s:f>
        <s:v>46247.34585648148</s:v>
      </s:c>
    </s:row>
    <s:row r="775">
      <s:c r="A775" s="0" t="n">
        <s:v>260813</s:v>
      </s:c>
      <s:c r="B775" s="0" t="inlineStr">
        <s:is>
          <s:t>이종훈</s:t>
        </s:is>
      </s:c>
      <s:c r="C775" s="0" t="n">
        <s:v>80511</s:v>
      </s:c>
      <s:c r="D775" s="0" t="n">
        <s:v>2562</s:v>
      </s:c>
      <s:c r="F775" s="24">
        <s:f>'자료구성'!$B$2+TIME(INT($C$3/10000),INT(MOD($C$3,10000)/100),MOD($C$3,100))+(ROW()-ROW($C$3))/86400</s:f>
        <s:v>46247.345868055556</s:v>
      </s:c>
    </s:row>
    <s:row r="776">
      <s:c r="A776" s="0" t="n">
        <s:v>260813</s:v>
      </s:c>
      <s:c r="B776" s="0" t="inlineStr">
        <s:is>
          <s:t>이종훈</s:t>
        </s:is>
      </s:c>
      <s:c r="C776" s="0" t="n">
        <s:v>80511</s:v>
      </s:c>
      <s:c r="D776" s="0" t="n">
        <s:v>2531</s:v>
      </s:c>
      <s:c r="F776" s="24">
        <s:f>'자료구성'!$B$2+TIME(INT($C$3/10000),INT(MOD($C$3,10000)/100),MOD($C$3,100))+(ROW()-ROW($C$3))/86400</s:f>
        <s:v>46247.34587962963</s:v>
      </s:c>
    </s:row>
    <s:row r="777">
      <s:c r="A777" s="0" t="n">
        <s:v>260813</s:v>
      </s:c>
      <s:c r="B777" s="0" t="inlineStr">
        <s:is>
          <s:t>이종훈</s:t>
        </s:is>
      </s:c>
      <s:c r="C777" s="0" t="n">
        <s:v>80511</s:v>
      </s:c>
      <s:c r="D777" s="0" t="n">
        <s:v>2571</s:v>
      </s:c>
      <s:c r="F777" s="24">
        <s:f>'자료구성'!$B$2+TIME(INT($C$3/10000),INT(MOD($C$3,10000)/100),MOD($C$3,100))+(ROW()-ROW($C$3))/86400</s:f>
        <s:v>46247.3458912037</s:v>
      </s:c>
    </s:row>
    <s:row r="778">
      <s:c r="A778" s="0" t="n">
        <s:v>260813</s:v>
      </s:c>
      <s:c r="B778" s="0" t="inlineStr">
        <s:is>
          <s:t>이종훈</s:t>
        </s:is>
      </s:c>
      <s:c r="C778" s="0" t="n">
        <s:v>80511</s:v>
      </s:c>
      <s:c r="D778" s="0" t="n">
        <s:v>2590</s:v>
      </s:c>
      <s:c r="F778" s="24">
        <s:f>'자료구성'!$B$2+TIME(INT($C$3/10000),INT(MOD($C$3,10000)/100),MOD($C$3,100))+(ROW()-ROW($C$3))/86400</s:f>
        <s:v>46247.34590277778</s:v>
      </s:c>
    </s:row>
    <s:row r="779">
      <s:c r="A779" s="0" t="n">
        <s:v>260813</s:v>
      </s:c>
      <s:c r="B779" s="0" t="inlineStr">
        <s:is>
          <s:t>이종훈</s:t>
        </s:is>
      </s:c>
      <s:c r="C779" s="0" t="n">
        <s:v>80511</s:v>
      </s:c>
      <s:c r="D779" s="0" t="n">
        <s:v>2612</s:v>
      </s:c>
      <s:c r="F779" s="24">
        <s:f>'자료구성'!$B$2+TIME(INT($C$3/10000),INT(MOD($C$3,10000)/100),MOD($C$3,100))+(ROW()-ROW($C$3))/86400</s:f>
        <s:v>46247.34591435185</s:v>
      </s:c>
    </s:row>
    <s:row r="780">
      <s:c r="A780" s="0" t="n">
        <s:v>260813</s:v>
      </s:c>
      <s:c r="B780" s="0" t="inlineStr">
        <s:is>
          <s:t>이종훈</s:t>
        </s:is>
      </s:c>
      <s:c r="C780" s="0" t="n">
        <s:v>80511</s:v>
      </s:c>
      <s:c r="D780" s="0" t="n">
        <s:v>2609</s:v>
      </s:c>
      <s:c r="F780" s="24">
        <s:f>'자료구성'!$B$2+TIME(INT($C$3/10000),INT(MOD($C$3,10000)/100),MOD($C$3,100))+(ROW()-ROW($C$3))/86400</s:f>
        <s:v>46247.345925925925</s:v>
      </s:c>
    </s:row>
    <s:row r="781">
      <s:c r="A781" s="0" t="n">
        <s:v>260813</s:v>
      </s:c>
      <s:c r="B781" s="0" t="inlineStr">
        <s:is>
          <s:t>이종훈</s:t>
        </s:is>
      </s:c>
      <s:c r="C781" s="0" t="n">
        <s:v>80511</s:v>
      </s:c>
      <s:c r="D781" s="0" t="n">
        <s:v>2584</s:v>
      </s:c>
      <s:c r="F781" s="24">
        <s:f>'자료구성'!$B$2+TIME(INT($C$3/10000),INT(MOD($C$3,10000)/100),MOD($C$3,100))+(ROW()-ROW($C$3))/86400</s:f>
        <s:v>46247.3459375</s:v>
      </s:c>
    </s:row>
    <s:row r="782">
      <s:c r="A782" s="0" t="n">
        <s:v>260813</s:v>
      </s:c>
      <s:c r="B782" s="0" t="inlineStr">
        <s:is>
          <s:t>이종훈</s:t>
        </s:is>
      </s:c>
      <s:c r="C782" s="0" t="n">
        <s:v>80511</s:v>
      </s:c>
      <s:c r="D782" s="0" t="n">
        <s:v>2569</s:v>
      </s:c>
      <s:c r="F782" s="24">
        <s:f>'자료구성'!$B$2+TIME(INT($C$3/10000),INT(MOD($C$3,10000)/100),MOD($C$3,100))+(ROW()-ROW($C$3))/86400</s:f>
        <s:v>46247.34594907407</s:v>
      </s:c>
    </s:row>
    <s:row r="783">
      <s:c r="A783" s="0" t="n">
        <s:v>260813</s:v>
      </s:c>
      <s:c r="B783" s="0" t="inlineStr">
        <s:is>
          <s:t>이종훈</s:t>
        </s:is>
      </s:c>
      <s:c r="C783" s="0" t="n">
        <s:v>80511</s:v>
      </s:c>
      <s:c r="D783" s="0" t="n">
        <s:v>2583</s:v>
      </s:c>
      <s:c r="F783" s="24">
        <s:f>'자료구성'!$B$2+TIME(INT($C$3/10000),INT(MOD($C$3,10000)/100),MOD($C$3,100))+(ROW()-ROW($C$3))/86400</s:f>
        <s:v>46247.34596064815</s:v>
      </s:c>
    </s:row>
    <s:row r="784">
      <s:c r="A784" s="0" t="n">
        <s:v>260813</s:v>
      </s:c>
      <s:c r="B784" s="0" t="inlineStr">
        <s:is>
          <s:t>이종훈</s:t>
        </s:is>
      </s:c>
      <s:c r="C784" s="0" t="n">
        <s:v>80511</s:v>
      </s:c>
      <s:c r="D784" s="0" t="n">
        <s:v>2645</s:v>
      </s:c>
      <s:c r="F784" s="24">
        <s:f>'자료구성'!$B$2+TIME(INT($C$3/10000),INT(MOD($C$3,10000)/100),MOD($C$3,100))+(ROW()-ROW($C$3))/86400</s:f>
        <s:v>46247.345972222225</s:v>
      </s:c>
    </s:row>
    <s:row r="785">
      <s:c r="A785" s="0" t="n">
        <s:v>260813</s:v>
      </s:c>
      <s:c r="B785" s="0" t="inlineStr">
        <s:is>
          <s:t>이종훈</s:t>
        </s:is>
      </s:c>
      <s:c r="C785" s="0" t="n">
        <s:v>80511</s:v>
      </s:c>
      <s:c r="D785" s="0" t="n">
        <s:v>2726</s:v>
      </s:c>
      <s:c r="F785" s="24">
        <s:f>'자료구성'!$B$2+TIME(INT($C$3/10000),INT(MOD($C$3,10000)/100),MOD($C$3,100))+(ROW()-ROW($C$3))/86400</s:f>
        <s:v>46247.345983796295</s:v>
      </s:c>
    </s:row>
    <s:row r="786">
      <s:c r="A786" s="0" t="n">
        <s:v>260813</s:v>
      </s:c>
      <s:c r="B786" s="0" t="inlineStr">
        <s:is>
          <s:t>이종훈</s:t>
        </s:is>
      </s:c>
      <s:c r="C786" s="0" t="n">
        <s:v>80511</s:v>
      </s:c>
      <s:c r="D786" s="0" t="n">
        <s:v>2726</s:v>
      </s:c>
      <s:c r="F786" s="24">
        <s:f>'자료구성'!$B$2+TIME(INT($C$3/10000),INT(MOD($C$3,10000)/100),MOD($C$3,100))+(ROW()-ROW($C$3))/86400</s:f>
        <s:v>46247.34599537037</s:v>
      </s:c>
    </s:row>
    <s:row r="787">
      <s:c r="A787" s="0" t="n">
        <s:v>260813</s:v>
      </s:c>
      <s:c r="B787" s="0" t="inlineStr">
        <s:is>
          <s:t>이종훈</s:t>
        </s:is>
      </s:c>
      <s:c r="C787" s="0" t="n">
        <s:v>80511</s:v>
      </s:c>
      <s:c r="D787" s="0" t="n">
        <s:v>2730</s:v>
      </s:c>
      <s:c r="F787" s="24">
        <s:f>'자료구성'!$B$2+TIME(INT($C$3/10000),INT(MOD($C$3,10000)/100),MOD($C$3,100))+(ROW()-ROW($C$3))/86400</s:f>
        <s:v>46247.34600694444</s:v>
      </s:c>
    </s:row>
    <s:row r="788">
      <s:c r="A788" s="0" t="n">
        <s:v>260813</s:v>
      </s:c>
      <s:c r="B788" s="0" t="inlineStr">
        <s:is>
          <s:t>이종훈</s:t>
        </s:is>
      </s:c>
      <s:c r="C788" s="0" t="n">
        <s:v>80511</s:v>
      </s:c>
      <s:c r="D788" s="0" t="n">
        <s:v>2737</s:v>
      </s:c>
      <s:c r="F788" s="24">
        <s:f>'자료구성'!$B$2+TIME(INT($C$3/10000),INT(MOD($C$3,10000)/100),MOD($C$3,100))+(ROW()-ROW($C$3))/86400</s:f>
        <s:v>46247.34601851852</s:v>
      </s:c>
    </s:row>
    <s:row r="789">
      <s:c r="A789" s="0" t="n">
        <s:v>260813</s:v>
      </s:c>
      <s:c r="B789" s="0" t="inlineStr">
        <s:is>
          <s:t>이종훈</s:t>
        </s:is>
      </s:c>
      <s:c r="C789" s="0" t="n">
        <s:v>80511</s:v>
      </s:c>
      <s:c r="D789" s="0" t="n">
        <s:v>2649</s:v>
      </s:c>
      <s:c r="F789" s="24">
        <s:f>'자료구성'!$B$2+TIME(INT($C$3/10000),INT(MOD($C$3,10000)/100),MOD($C$3,100))+(ROW()-ROW($C$3))/86400</s:f>
        <s:v>46247.346030092594</s:v>
      </s:c>
    </s:row>
    <s:row r="790">
      <s:c r="A790" s="0" t="n">
        <s:v>260813</s:v>
      </s:c>
      <s:c r="B790" s="0" t="inlineStr">
        <s:is>
          <s:t>이종훈</s:t>
        </s:is>
      </s:c>
      <s:c r="C790" s="0" t="n">
        <s:v>80511</s:v>
      </s:c>
      <s:c r="D790" s="0" t="n">
        <s:v>2522</s:v>
      </s:c>
      <s:c r="F790" s="24">
        <s:f>'자료구성'!$B$2+TIME(INT($C$3/10000),INT(MOD($C$3,10000)/100),MOD($C$3,100))+(ROW()-ROW($C$3))/86400</s:f>
        <s:v>46247.346041666664</s:v>
      </s:c>
    </s:row>
    <s:row r="791">
      <s:c r="A791" s="0" t="n">
        <s:v>260813</s:v>
      </s:c>
      <s:c r="B791" s="0" t="inlineStr">
        <s:is>
          <s:t>이종훈</s:t>
        </s:is>
      </s:c>
      <s:c r="C791" s="0" t="n">
        <s:v>80511</s:v>
      </s:c>
      <s:c r="D791" s="0" t="n">
        <s:v>2498</s:v>
      </s:c>
      <s:c r="F791" s="24">
        <s:f>'자료구성'!$B$2+TIME(INT($C$3/10000),INT(MOD($C$3,10000)/100),MOD($C$3,100))+(ROW()-ROW($C$3))/86400</s:f>
        <s:v>46247.34605324074</s:v>
      </s:c>
    </s:row>
    <s:row r="792">
      <s:c r="A792" s="0" t="n">
        <s:v>260813</s:v>
      </s:c>
      <s:c r="B792" s="0" t="inlineStr">
        <s:is>
          <s:t>이종훈</s:t>
        </s:is>
      </s:c>
      <s:c r="C792" s="0" t="n">
        <s:v>80511</s:v>
      </s:c>
      <s:c r="D792" s="0" t="n">
        <s:v>2423</s:v>
      </s:c>
      <s:c r="F792" s="24">
        <s:f>'자료구성'!$B$2+TIME(INT($C$3/10000),INT(MOD($C$3,10000)/100),MOD($C$3,100))+(ROW()-ROW($C$3))/86400</s:f>
        <s:v>46247.34606481482</s:v>
      </s:c>
    </s:row>
    <s:row r="793">
      <s:c r="A793" s="0" t="n">
        <s:v>260813</s:v>
      </s:c>
      <s:c r="B793" s="0" t="inlineStr">
        <s:is>
          <s:t>이종훈</s:t>
        </s:is>
      </s:c>
      <s:c r="C793" s="0" t="n">
        <s:v>80511</s:v>
      </s:c>
      <s:c r="D793" s="0" t="n">
        <s:v>2332</s:v>
      </s:c>
      <s:c r="F793" s="24">
        <s:f>'자료구성'!$B$2+TIME(INT($C$3/10000),INT(MOD($C$3,10000)/100),MOD($C$3,100))+(ROW()-ROW($C$3))/86400</s:f>
        <s:v>46247.34607638889</s:v>
      </s:c>
    </s:row>
    <s:row r="794">
      <s:c r="A794" s="0" t="n">
        <s:v>260813</s:v>
      </s:c>
      <s:c r="B794" s="0" t="inlineStr">
        <s:is>
          <s:t>이종훈</s:t>
        </s:is>
      </s:c>
      <s:c r="C794" s="0" t="n">
        <s:v>80511</s:v>
      </s:c>
      <s:c r="D794" s="0" t="n">
        <s:v>2267</s:v>
      </s:c>
      <s:c r="F794" s="24">
        <s:f>'자료구성'!$B$2+TIME(INT($C$3/10000),INT(MOD($C$3,10000)/100),MOD($C$3,100))+(ROW()-ROW($C$3))/86400</s:f>
        <s:v>46247.346087962964</s:v>
      </s:c>
    </s:row>
    <s:row r="795">
      <s:c r="A795" s="0" t="n">
        <s:v>260813</s:v>
      </s:c>
      <s:c r="B795" s="0" t="inlineStr">
        <s:is>
          <s:t>이종훈</s:t>
        </s:is>
      </s:c>
      <s:c r="C795" s="0" t="n">
        <s:v>80511</s:v>
      </s:c>
      <s:c r="D795" s="0" t="n">
        <s:v>2248</s:v>
      </s:c>
      <s:c r="F795" s="24">
        <s:f>'자료구성'!$B$2+TIME(INT($C$3/10000),INT(MOD($C$3,10000)/100),MOD($C$3,100))+(ROW()-ROW($C$3))/86400</s:f>
        <s:v>46247.34609953704</s:v>
      </s:c>
    </s:row>
    <s:row r="796">
      <s:c r="A796" s="0" t="n">
        <s:v>260813</s:v>
      </s:c>
      <s:c r="B796" s="0" t="inlineStr">
        <s:is>
          <s:t>이종훈</s:t>
        </s:is>
      </s:c>
      <s:c r="C796" s="0" t="n">
        <s:v>80511</s:v>
      </s:c>
      <s:c r="D796" s="0" t="n">
        <s:v>2214</s:v>
      </s:c>
      <s:c r="F796" s="24">
        <s:f>'자료구성'!$B$2+TIME(INT($C$3/10000),INT(MOD($C$3,10000)/100),MOD($C$3,100))+(ROW()-ROW($C$3))/86400</s:f>
        <s:v>46247.34611111111</s:v>
      </s:c>
    </s:row>
    <s:row r="797">
      <s:c r="A797" s="0" t="n">
        <s:v>260813</s:v>
      </s:c>
      <s:c r="B797" s="0" t="inlineStr">
        <s:is>
          <s:t>이종훈</s:t>
        </s:is>
      </s:c>
      <s:c r="C797" s="0" t="n">
        <s:v>80511</s:v>
      </s:c>
      <s:c r="D797" s="0" t="n">
        <s:v>2168</s:v>
      </s:c>
      <s:c r="F797" s="24">
        <s:f>'자료구성'!$B$2+TIME(INT($C$3/10000),INT(MOD($C$3,10000)/100),MOD($C$3,100))+(ROW()-ROW($C$3))/86400</s:f>
        <s:v>46247.34612268519</s:v>
      </s:c>
    </s:row>
    <s:row r="798">
      <s:c r="A798" s="0" t="n">
        <s:v>260813</s:v>
      </s:c>
      <s:c r="B798" s="0" t="inlineStr">
        <s:is>
          <s:t>이종훈</s:t>
        </s:is>
      </s:c>
      <s:c r="C798" s="0" t="n">
        <s:v>80511</s:v>
      </s:c>
      <s:c r="D798" s="0" t="n">
        <s:v>2161</s:v>
      </s:c>
      <s:c r="F798" s="24">
        <s:f>'자료구성'!$B$2+TIME(INT($C$3/10000),INT(MOD($C$3,10000)/100),MOD($C$3,100))+(ROW()-ROW($C$3))/86400</s:f>
        <s:v>46247.346134259256</s:v>
      </s:c>
    </s:row>
    <s:row r="799">
      <s:c r="A799" s="0" t="n">
        <s:v>260813</s:v>
      </s:c>
      <s:c r="B799" s="0" t="inlineStr">
        <s:is>
          <s:t>이종훈</s:t>
        </s:is>
      </s:c>
      <s:c r="C799" s="0" t="n">
        <s:v>80511</s:v>
      </s:c>
      <s:c r="D799" s="0" t="n">
        <s:v>2112</s:v>
      </s:c>
      <s:c r="F799" s="24">
        <s:f>'자료구성'!$B$2+TIME(INT($C$3/10000),INT(MOD($C$3,10000)/100),MOD($C$3,100))+(ROW()-ROW($C$3))/86400</s:f>
        <s:v>46247.34614583333</s:v>
      </s:c>
    </s:row>
    <s:row r="800">
      <s:c r="A800" s="0" t="n">
        <s:v>260813</s:v>
      </s:c>
      <s:c r="B800" s="0" t="inlineStr">
        <s:is>
          <s:t>이종훈</s:t>
        </s:is>
      </s:c>
      <s:c r="C800" s="0" t="n">
        <s:v>80511</s:v>
      </s:c>
      <s:c r="D800" s="0" t="n">
        <s:v>2096</s:v>
      </s:c>
      <s:c r="F800" s="24">
        <s:f>'자료구성'!$B$2+TIME(INT($C$3/10000),INT(MOD($C$3,10000)/100),MOD($C$3,100))+(ROW()-ROW($C$3))/86400</s:f>
        <s:v>46247.34615740741</s:v>
      </s:c>
    </s:row>
    <s:row r="801">
      <s:c r="A801" s="0" t="n">
        <s:v>260813</s:v>
      </s:c>
      <s:c r="B801" s="0" t="inlineStr">
        <s:is>
          <s:t>이종훈</s:t>
        </s:is>
      </s:c>
      <s:c r="C801" s="0" t="n">
        <s:v>80511</s:v>
      </s:c>
      <s:c r="D801" s="0" t="n">
        <s:v>2095</s:v>
      </s:c>
      <s:c r="F801" s="24">
        <s:f>'자료구성'!$B$2+TIME(INT($C$3/10000),INT(MOD($C$3,10000)/100),MOD($C$3,100))+(ROW()-ROW($C$3))/86400</s:f>
        <s:v>46247.34616898148</s:v>
      </s:c>
    </s:row>
    <s:row r="802">
      <s:c r="A802" s="0" t="n">
        <s:v>260813</s:v>
      </s:c>
      <s:c r="B802" s="0" t="inlineStr">
        <s:is>
          <s:t>이종훈</s:t>
        </s:is>
      </s:c>
      <s:c r="C802" s="0" t="n">
        <s:v>80511</s:v>
      </s:c>
      <s:c r="D802" s="0" t="n">
        <s:v>2075</s:v>
      </s:c>
      <s:c r="F802" s="24">
        <s:f>'자료구성'!$B$2+TIME(INT($C$3/10000),INT(MOD($C$3,10000)/100),MOD($C$3,100))+(ROW()-ROW($C$3))/86400</s:f>
        <s:v>46247.346180555556</s:v>
      </s:c>
    </s:row>
    <s:row r="803">
      <s:c r="A803" s="0" t="n">
        <s:v>260813</s:v>
      </s:c>
      <s:c r="B803" s="0" t="inlineStr">
        <s:is>
          <s:t>이종훈</s:t>
        </s:is>
      </s:c>
      <s:c r="C803" s="0" t="n">
        <s:v>80511</s:v>
      </s:c>
      <s:c r="D803" s="0" t="n">
        <s:v>2035</s:v>
      </s:c>
      <s:c r="F803" s="24">
        <s:f>'자료구성'!$B$2+TIME(INT($C$3/10000),INT(MOD($C$3,10000)/100),MOD($C$3,100))+(ROW()-ROW($C$3))/86400</s:f>
        <s:v>46247.34619212963</s:v>
      </s:c>
    </s:row>
    <s:row r="804">
      <s:c r="A804" s="0" t="n">
        <s:v>260813</s:v>
      </s:c>
      <s:c r="B804" s="0" t="inlineStr">
        <s:is>
          <s:t>이종훈</s:t>
        </s:is>
      </s:c>
      <s:c r="C804" s="0" t="n">
        <s:v>80511</s:v>
      </s:c>
      <s:c r="D804" s="0" t="n">
        <s:v>2027</s:v>
      </s:c>
      <s:c r="F804" s="24">
        <s:f>'자료구성'!$B$2+TIME(INT($C$3/10000),INT(MOD($C$3,10000)/100),MOD($C$3,100))+(ROW()-ROW($C$3))/86400</s:f>
        <s:v>46247.3462037037</s:v>
      </s:c>
    </s:row>
    <s:row r="805">
      <s:c r="A805" s="0" t="n">
        <s:v>260813</s:v>
      </s:c>
      <s:c r="B805" s="0" t="inlineStr">
        <s:is>
          <s:t>이종훈</s:t>
        </s:is>
      </s:c>
      <s:c r="C805" s="0" t="n">
        <s:v>80511</s:v>
      </s:c>
      <s:c r="D805" s="0" t="n">
        <s:v>1982</s:v>
      </s:c>
      <s:c r="F805" s="24">
        <s:f>'자료구성'!$B$2+TIME(INT($C$3/10000),INT(MOD($C$3,10000)/100),MOD($C$3,100))+(ROW()-ROW($C$3))/86400</s:f>
        <s:v>46247.34621527778</s:v>
      </s:c>
    </s:row>
    <s:row r="806">
      <s:c r="A806" s="0" t="n">
        <s:v>260813</s:v>
      </s:c>
      <s:c r="B806" s="0" t="inlineStr">
        <s:is>
          <s:t>이종훈</s:t>
        </s:is>
      </s:c>
      <s:c r="C806" s="0" t="n">
        <s:v>80511</s:v>
      </s:c>
      <s:c r="D806" s="0" t="n">
        <s:v>1954</s:v>
      </s:c>
      <s:c r="F806" s="24">
        <s:f>'자료구성'!$B$2+TIME(INT($C$3/10000),INT(MOD($C$3,10000)/100),MOD($C$3,100))+(ROW()-ROW($C$3))/86400</s:f>
        <s:v>46247.34622685185</s:v>
      </s:c>
    </s:row>
    <s:row r="807">
      <s:c r="A807" s="0" t="n">
        <s:v>260813</s:v>
      </s:c>
      <s:c r="B807" s="0" t="inlineStr">
        <s:is>
          <s:t>이종훈</s:t>
        </s:is>
      </s:c>
      <s:c r="C807" s="0" t="n">
        <s:v>80511</s:v>
      </s:c>
      <s:c r="D807" s="0" t="n">
        <s:v>1931</s:v>
      </s:c>
      <s:c r="F807" s="24">
        <s:f>'자료구성'!$B$2+TIME(INT($C$3/10000),INT(MOD($C$3,10000)/100),MOD($C$3,100))+(ROW()-ROW($C$3))/86400</s:f>
        <s:v>46247.346238425926</s:v>
      </s:c>
    </s:row>
    <s:row r="808">
      <s:c r="A808" s="0" t="n">
        <s:v>260813</s:v>
      </s:c>
      <s:c r="B808" s="0" t="inlineStr">
        <s:is>
          <s:t>이종훈</s:t>
        </s:is>
      </s:c>
      <s:c r="C808" s="0" t="n">
        <s:v>80511</s:v>
      </s:c>
      <s:c r="D808" s="0" t="n">
        <s:v>1929</s:v>
      </s:c>
      <s:c r="F808" s="24">
        <s:f>'자료구성'!$B$2+TIME(INT($C$3/10000),INT(MOD($C$3,10000)/100),MOD($C$3,100))+(ROW()-ROW($C$3))/86400</s:f>
        <s:v>46247.34625</s:v>
      </s:c>
    </s:row>
    <s:row r="809">
      <s:c r="A809" s="0" t="n">
        <s:v>260813</s:v>
      </s:c>
      <s:c r="B809" s="0" t="inlineStr">
        <s:is>
          <s:t>이종훈</s:t>
        </s:is>
      </s:c>
      <s:c r="C809" s="0" t="n">
        <s:v>80511</s:v>
      </s:c>
      <s:c r="D809" s="0" t="n">
        <s:v>1932</s:v>
      </s:c>
      <s:c r="F809" s="24">
        <s:f>'자료구성'!$B$2+TIME(INT($C$3/10000),INT(MOD($C$3,10000)/100),MOD($C$3,100))+(ROW()-ROW($C$3))/86400</s:f>
        <s:v>46247.34626157407</s:v>
      </s:c>
    </s:row>
    <s:row r="810">
      <s:c r="A810" s="0" t="n">
        <s:v>260813</s:v>
      </s:c>
      <s:c r="B810" s="0" t="inlineStr">
        <s:is>
          <s:t>이종훈</s:t>
        </s:is>
      </s:c>
      <s:c r="C810" s="0" t="n">
        <s:v>80511</s:v>
      </s:c>
      <s:c r="D810" s="0" t="n">
        <s:v>1943</s:v>
      </s:c>
      <s:c r="F810" s="24">
        <s:f>'자료구성'!$B$2+TIME(INT($C$3/10000),INT(MOD($C$3,10000)/100),MOD($C$3,100))+(ROW()-ROW($C$3))/86400</s:f>
        <s:v>46247.34627314815</s:v>
      </s:c>
    </s:row>
    <s:row r="811">
      <s:c r="A811" s="0" t="n">
        <s:v>260813</s:v>
      </s:c>
      <s:c r="B811" s="0" t="inlineStr">
        <s:is>
          <s:t>이종훈</s:t>
        </s:is>
      </s:c>
      <s:c r="C811" s="0" t="n">
        <s:v>80511</s:v>
      </s:c>
      <s:c r="D811" s="0" t="n">
        <s:v>1932</s:v>
      </s:c>
      <s:c r="F811" s="24">
        <s:f>'자료구성'!$B$2+TIME(INT($C$3/10000),INT(MOD($C$3,10000)/100),MOD($C$3,100))+(ROW()-ROW($C$3))/86400</s:f>
        <s:v>46247.346284722225</s:v>
      </s:c>
    </s:row>
    <s:row r="812">
      <s:c r="A812" s="0" t="n">
        <s:v>260813</s:v>
      </s:c>
      <s:c r="B812" s="0" t="inlineStr">
        <s:is>
          <s:t>이종훈</s:t>
        </s:is>
      </s:c>
      <s:c r="C812" s="0" t="n">
        <s:v>80511</s:v>
      </s:c>
      <s:c r="D812" s="0" t="n">
        <s:v>1951</s:v>
      </s:c>
      <s:c r="F812" s="24">
        <s:f>'자료구성'!$B$2+TIME(INT($C$3/10000),INT(MOD($C$3,10000)/100),MOD($C$3,100))+(ROW()-ROW($C$3))/86400</s:f>
        <s:v>46247.346296296295</s:v>
      </s:c>
    </s:row>
    <s:row r="813">
      <s:c r="A813" s="0" t="n">
        <s:v>260813</s:v>
      </s:c>
      <s:c r="B813" s="0" t="inlineStr">
        <s:is>
          <s:t>이종훈</s:t>
        </s:is>
      </s:c>
      <s:c r="C813" s="0" t="n">
        <s:v>80511</s:v>
      </s:c>
      <s:c r="D813" s="0" t="n">
        <s:v>1940</s:v>
      </s:c>
      <s:c r="F813" s="24">
        <s:f>'자료구성'!$B$2+TIME(INT($C$3/10000),INT(MOD($C$3,10000)/100),MOD($C$3,100))+(ROW()-ROW($C$3))/86400</s:f>
        <s:v>46247.34630787037</s:v>
      </s:c>
    </s:row>
    <s:row r="814">
      <s:c r="A814" s="0" t="n">
        <s:v>260813</s:v>
      </s:c>
      <s:c r="B814" s="0" t="inlineStr">
        <s:is>
          <s:t>이종훈</s:t>
        </s:is>
      </s:c>
      <s:c r="C814" s="0" t="n">
        <s:v>80511</s:v>
      </s:c>
      <s:c r="D814" s="0" t="n">
        <s:v>1919</s:v>
      </s:c>
      <s:c r="F814" s="24">
        <s:f>'자료구성'!$B$2+TIME(INT($C$3/10000),INT(MOD($C$3,10000)/100),MOD($C$3,100))+(ROW()-ROW($C$3))/86400</s:f>
        <s:v>46247.34631944444</s:v>
      </s:c>
    </s:row>
    <s:row r="815">
      <s:c r="A815" s="0" t="n">
        <s:v>260813</s:v>
      </s:c>
      <s:c r="B815" s="0" t="inlineStr">
        <s:is>
          <s:t>이종훈</s:t>
        </s:is>
      </s:c>
      <s:c r="C815" s="0" t="n">
        <s:v>80511</s:v>
      </s:c>
      <s:c r="D815" s="0" t="n">
        <s:v>1893</s:v>
      </s:c>
      <s:c r="F815" s="24">
        <s:f>'자료구성'!$B$2+TIME(INT($C$3/10000),INT(MOD($C$3,10000)/100),MOD($C$3,100))+(ROW()-ROW($C$3))/86400</s:f>
        <s:v>46247.34633101852</s:v>
      </s:c>
    </s:row>
    <s:row r="816">
      <s:c r="A816" s="0" t="n">
        <s:v>260813</s:v>
      </s:c>
      <s:c r="B816" s="0" t="inlineStr">
        <s:is>
          <s:t>이종훈</s:t>
        </s:is>
      </s:c>
      <s:c r="C816" s="0" t="n">
        <s:v>80511</s:v>
      </s:c>
      <s:c r="D816" s="0" t="n">
        <s:v>1878</s:v>
      </s:c>
      <s:c r="F816" s="24">
        <s:f>'자료구성'!$B$2+TIME(INT($C$3/10000),INT(MOD($C$3,10000)/100),MOD($C$3,100))+(ROW()-ROW($C$3))/86400</s:f>
        <s:v>46247.346342592595</s:v>
      </s:c>
    </s:row>
    <s:row r="817">
      <s:c r="A817" s="0" t="n">
        <s:v>260813</s:v>
      </s:c>
      <s:c r="B817" s="0" t="inlineStr">
        <s:is>
          <s:t>이종훈</s:t>
        </s:is>
      </s:c>
      <s:c r="C817" s="0" t="n">
        <s:v>80511</s:v>
      </s:c>
      <s:c r="D817" s="0" t="n">
        <s:v>1864</s:v>
      </s:c>
      <s:c r="F817" s="24">
        <s:f>'자료구성'!$B$2+TIME(INT($C$3/10000),INT(MOD($C$3,10000)/100),MOD($C$3,100))+(ROW()-ROW($C$3))/86400</s:f>
        <s:v>46247.346354166664</s:v>
      </s:c>
    </s:row>
    <s:row r="818">
      <s:c r="A818" s="0" t="n">
        <s:v>260813</s:v>
      </s:c>
      <s:c r="B818" s="0" t="inlineStr">
        <s:is>
          <s:t>이종훈</s:t>
        </s:is>
      </s:c>
      <s:c r="C818" s="0" t="n">
        <s:v>80511</s:v>
      </s:c>
      <s:c r="D818" s="0" t="n">
        <s:v>1827</s:v>
      </s:c>
      <s:c r="F818" s="24">
        <s:f>'자료구성'!$B$2+TIME(INT($C$3/10000),INT(MOD($C$3,10000)/100),MOD($C$3,100))+(ROW()-ROW($C$3))/86400</s:f>
        <s:v>46247.34636574074</s:v>
      </s:c>
    </s:row>
    <s:row r="819">
      <s:c r="A819" s="0" t="n">
        <s:v>260813</s:v>
      </s:c>
      <s:c r="B819" s="0" t="inlineStr">
        <s:is>
          <s:t>이종훈</s:t>
        </s:is>
      </s:c>
      <s:c r="C819" s="0" t="n">
        <s:v>80511</s:v>
      </s:c>
      <s:c r="D819" s="0" t="n">
        <s:v>1807</s:v>
      </s:c>
      <s:c r="F819" s="24">
        <s:f>'자료구성'!$B$2+TIME(INT($C$3/10000),INT(MOD($C$3,10000)/100),MOD($C$3,100))+(ROW()-ROW($C$3))/86400</s:f>
        <s:v>46247.34637731482</s:v>
      </s:c>
    </s:row>
    <s:row r="820">
      <s:c r="A820" s="0" t="n">
        <s:v>260813</s:v>
      </s:c>
      <s:c r="B820" s="0" t="inlineStr">
        <s:is>
          <s:t>이종훈</s:t>
        </s:is>
      </s:c>
      <s:c r="C820" s="0" t="n">
        <s:v>80511</s:v>
      </s:c>
      <s:c r="D820" s="0" t="n">
        <s:v>1768</s:v>
      </s:c>
      <s:c r="F820" s="24">
        <s:f>'자료구성'!$B$2+TIME(INT($C$3/10000),INT(MOD($C$3,10000)/100),MOD($C$3,100))+(ROW()-ROW($C$3))/86400</s:f>
        <s:v>46247.34638888889</s:v>
      </s:c>
    </s:row>
    <s:row r="821">
      <s:c r="A821" s="0" t="n">
        <s:v>260813</s:v>
      </s:c>
      <s:c r="B821" s="0" t="inlineStr">
        <s:is>
          <s:t>이종훈</s:t>
        </s:is>
      </s:c>
      <s:c r="C821" s="0" t="n">
        <s:v>80511</s:v>
      </s:c>
      <s:c r="D821" s="0" t="n">
        <s:v>1737</s:v>
      </s:c>
      <s:c r="F821" s="24">
        <s:f>'자료구성'!$B$2+TIME(INT($C$3/10000),INT(MOD($C$3,10000)/100),MOD($C$3,100))+(ROW()-ROW($C$3))/86400</s:f>
        <s:v>46247.346400462964</s:v>
      </s:c>
    </s:row>
    <s:row r="822">
      <s:c r="A822" s="0" t="n">
        <s:v>260813</s:v>
      </s:c>
      <s:c r="B822" s="0" t="inlineStr">
        <s:is>
          <s:t>이종훈</s:t>
        </s:is>
      </s:c>
      <s:c r="C822" s="0" t="n">
        <s:v>80511</s:v>
      </s:c>
      <s:c r="D822" s="0" t="n">
        <s:v>1706</s:v>
      </s:c>
      <s:c r="F822" s="24">
        <s:f>'자료구성'!$B$2+TIME(INT($C$3/10000),INT(MOD($C$3,10000)/100),MOD($C$3,100))+(ROW()-ROW($C$3))/86400</s:f>
        <s:v>46247.34641203703</s:v>
      </s:c>
    </s:row>
    <s:row r="823">
      <s:c r="A823" s="0" t="n">
        <s:v>260813</s:v>
      </s:c>
      <s:c r="B823" s="0" t="inlineStr">
        <s:is>
          <s:t>이종훈</s:t>
        </s:is>
      </s:c>
      <s:c r="C823" s="0" t="n">
        <s:v>80511</s:v>
      </s:c>
      <s:c r="D823" s="0" t="n">
        <s:v>1699</s:v>
      </s:c>
      <s:c r="F823" s="24">
        <s:f>'자료구성'!$B$2+TIME(INT($C$3/10000),INT(MOD($C$3,10000)/100),MOD($C$3,100))+(ROW()-ROW($C$3))/86400</s:f>
        <s:v>46247.34642361111</s:v>
      </s:c>
    </s:row>
    <s:row r="824">
      <s:c r="A824" s="0" t="n">
        <s:v>260813</s:v>
      </s:c>
      <s:c r="B824" s="0" t="inlineStr">
        <s:is>
          <s:t>이종훈</s:t>
        </s:is>
      </s:c>
      <s:c r="C824" s="0" t="n">
        <s:v>80511</s:v>
      </s:c>
      <s:c r="D824" s="0" t="n">
        <s:v>1671</s:v>
      </s:c>
      <s:c r="F824" s="24">
        <s:f>'자료구성'!$B$2+TIME(INT($C$3/10000),INT(MOD($C$3,10000)/100),MOD($C$3,100))+(ROW()-ROW($C$3))/86400</s:f>
        <s:v>46247.34643518519</s:v>
      </s:c>
    </s:row>
    <s:row r="825">
      <s:c r="A825" s="0" t="n">
        <s:v>260813</s:v>
      </s:c>
      <s:c r="B825" s="0" t="inlineStr">
        <s:is>
          <s:t>이종훈</s:t>
        </s:is>
      </s:c>
      <s:c r="C825" s="0" t="n">
        <s:v>80511</s:v>
      </s:c>
      <s:c r="D825" s="0" t="n">
        <s:v>1740</s:v>
      </s:c>
      <s:c r="F825" s="24">
        <s:f>'자료구성'!$B$2+TIME(INT($C$3/10000),INT(MOD($C$3,10000)/100),MOD($C$3,100))+(ROW()-ROW($C$3))/86400</s:f>
        <s:v>46247.34644675926</s:v>
      </s:c>
    </s:row>
    <s:row r="826">
      <s:c r="A826" s="0" t="n">
        <s:v>260813</s:v>
      </s:c>
      <s:c r="B826" s="0" t="inlineStr">
        <s:is>
          <s:t>이종훈</s:t>
        </s:is>
      </s:c>
      <s:c r="C826" s="0" t="n">
        <s:v>80511</s:v>
      </s:c>
      <s:c r="D826" s="0" t="n">
        <s:v>1783</s:v>
      </s:c>
      <s:c r="F826" s="24">
        <s:f>'자료구성'!$B$2+TIME(INT($C$3/10000),INT(MOD($C$3,10000)/100),MOD($C$3,100))+(ROW()-ROW($C$3))/86400</s:f>
        <s:v>46247.34645833333</s:v>
      </s:c>
    </s:row>
    <s:row r="827">
      <s:c r="A827" s="0" t="n">
        <s:v>260813</s:v>
      </s:c>
      <s:c r="B827" s="0" t="inlineStr">
        <s:is>
          <s:t>이종훈</s:t>
        </s:is>
      </s:c>
      <s:c r="C827" s="0" t="n">
        <s:v>80511</s:v>
      </s:c>
      <s:c r="D827" s="0" t="n">
        <s:v>1831</s:v>
      </s:c>
      <s:c r="F827" s="24">
        <s:f>'자료구성'!$B$2+TIME(INT($C$3/10000),INT(MOD($C$3,10000)/100),MOD($C$3,100))+(ROW()-ROW($C$3))/86400</s:f>
        <s:v>46247.34646990741</s:v>
      </s:c>
    </s:row>
    <s:row r="828">
      <s:c r="A828" s="0" t="n">
        <s:v>260813</s:v>
      </s:c>
      <s:c r="B828" s="0" t="inlineStr">
        <s:is>
          <s:t>이종훈</s:t>
        </s:is>
      </s:c>
      <s:c r="C828" s="0" t="n">
        <s:v>80511</s:v>
      </s:c>
      <s:c r="D828" s="0" t="n">
        <s:v>1904</s:v>
      </s:c>
      <s:c r="F828" s="24">
        <s:f>'자료구성'!$B$2+TIME(INT($C$3/10000),INT(MOD($C$3,10000)/100),MOD($C$3,100))+(ROW()-ROW($C$3))/86400</s:f>
        <s:v>46247.34648148148</s:v>
      </s:c>
    </s:row>
    <s:row r="829">
      <s:c r="A829" s="0" t="n">
        <s:v>260813</s:v>
      </s:c>
      <s:c r="B829" s="0" t="inlineStr">
        <s:is>
          <s:t>이종훈</s:t>
        </s:is>
      </s:c>
      <s:c r="C829" s="0" t="n">
        <s:v>80511</s:v>
      </s:c>
      <s:c r="D829" s="0" t="n">
        <s:v>1926</s:v>
      </s:c>
      <s:c r="F829" s="24">
        <s:f>'자료구성'!$B$2+TIME(INT($C$3/10000),INT(MOD($C$3,10000)/100),MOD($C$3,100))+(ROW()-ROW($C$3))/86400</s:f>
        <s:v>46247.34649305556</s:v>
      </s:c>
    </s:row>
    <s:row r="830">
      <s:c r="A830" s="0" t="n">
        <s:v>260813</s:v>
      </s:c>
      <s:c r="B830" s="0" t="inlineStr">
        <s:is>
          <s:t>이종훈</s:t>
        </s:is>
      </s:c>
      <s:c r="C830" s="0" t="n">
        <s:v>80511</s:v>
      </s:c>
      <s:c r="D830" s="0" t="n">
        <s:v>1927</s:v>
      </s:c>
      <s:c r="F830" s="24">
        <s:f>'자료구성'!$B$2+TIME(INT($C$3/10000),INT(MOD($C$3,10000)/100),MOD($C$3,100))+(ROW()-ROW($C$3))/86400</s:f>
        <s:v>46247.346504629626</s:v>
      </s:c>
    </s:row>
    <s:row r="831">
      <s:c r="A831" s="0" t="n">
        <s:v>260813</s:v>
      </s:c>
      <s:c r="B831" s="0" t="inlineStr">
        <s:is>
          <s:t>이종훈</s:t>
        </s:is>
      </s:c>
      <s:c r="C831" s="0" t="n">
        <s:v>80511</s:v>
      </s:c>
      <s:c r="D831" s="0" t="n">
        <s:v>1888</s:v>
      </s:c>
      <s:c r="F831" s="24">
        <s:f>'자료구성'!$B$2+TIME(INT($C$3/10000),INT(MOD($C$3,10000)/100),MOD($C$3,100))+(ROW()-ROW($C$3))/86400</s:f>
        <s:v>46247.3465162037</s:v>
      </s:c>
    </s:row>
    <s:row r="832">
      <s:c r="A832" s="0" t="n">
        <s:v>260813</s:v>
      </s:c>
      <s:c r="B832" s="0" t="inlineStr">
        <s:is>
          <s:t>이종훈</s:t>
        </s:is>
      </s:c>
      <s:c r="C832" s="0" t="n">
        <s:v>80511</s:v>
      </s:c>
      <s:c r="D832" s="0" t="n">
        <s:v>1841</s:v>
      </s:c>
      <s:c r="F832" s="24">
        <s:f>'자료구성'!$B$2+TIME(INT($C$3/10000),INT(MOD($C$3,10000)/100),MOD($C$3,100))+(ROW()-ROW($C$3))/86400</s:f>
        <s:v>46247.34652777778</s:v>
      </s:c>
    </s:row>
    <s:row r="833">
      <s:c r="A833" s="0" t="n">
        <s:v>260813</s:v>
      </s:c>
      <s:c r="B833" s="0" t="inlineStr">
        <s:is>
          <s:t>이종훈</s:t>
        </s:is>
      </s:c>
      <s:c r="C833" s="0" t="n">
        <s:v>80511</s:v>
      </s:c>
      <s:c r="D833" s="0" t="n">
        <s:v>1812</s:v>
      </s:c>
      <s:c r="F833" s="24">
        <s:f>'자료구성'!$B$2+TIME(INT($C$3/10000),INT(MOD($C$3,10000)/100),MOD($C$3,100))+(ROW()-ROW($C$3))/86400</s:f>
        <s:v>46247.34653935185</s:v>
      </s:c>
    </s:row>
    <s:row r="834">
      <s:c r="A834" s="0" t="n">
        <s:v>260813</s:v>
      </s:c>
      <s:c r="B834" s="0" t="inlineStr">
        <s:is>
          <s:t>이종훈</s:t>
        </s:is>
      </s:c>
      <s:c r="C834" s="0" t="n">
        <s:v>80511</s:v>
      </s:c>
      <s:c r="D834" s="0" t="n">
        <s:v>1766</s:v>
      </s:c>
      <s:c r="F834" s="24">
        <s:f>'자료구성'!$B$2+TIME(INT($C$3/10000),INT(MOD($C$3,10000)/100),MOD($C$3,100))+(ROW()-ROW($C$3))/86400</s:f>
        <s:v>46247.346550925926</s:v>
      </s:c>
    </s:row>
    <s:row r="835">
      <s:c r="A835" s="0" t="n">
        <s:v>260813</s:v>
      </s:c>
      <s:c r="B835" s="0" t="inlineStr">
        <s:is>
          <s:t>이종훈</s:t>
        </s:is>
      </s:c>
      <s:c r="C835" s="0" t="n">
        <s:v>80511</s:v>
      </s:c>
      <s:c r="D835" s="0" t="n">
        <s:v>1695</s:v>
      </s:c>
      <s:c r="F835" s="24">
        <s:f>'자료구성'!$B$2+TIME(INT($C$3/10000),INT(MOD($C$3,10000)/100),MOD($C$3,100))+(ROW()-ROW($C$3))/86400</s:f>
        <s:v>46247.3465625</s:v>
      </s:c>
    </s:row>
    <s:row r="836">
      <s:c r="A836" s="0" t="n">
        <s:v>260813</s:v>
      </s:c>
      <s:c r="B836" s="0" t="inlineStr">
        <s:is>
          <s:t>이종훈</s:t>
        </s:is>
      </s:c>
      <s:c r="C836" s="0" t="n">
        <s:v>80511</s:v>
      </s:c>
      <s:c r="D836" s="0" t="n">
        <s:v>1605</s:v>
      </s:c>
      <s:c r="F836" s="24">
        <s:f>'자료구성'!$B$2+TIME(INT($C$3/10000),INT(MOD($C$3,10000)/100),MOD($C$3,100))+(ROW()-ROW($C$3))/86400</s:f>
        <s:v>46247.34657407407</s:v>
      </s:c>
    </s:row>
    <s:row r="837">
      <s:c r="A837" s="0" t="n">
        <s:v>260813</s:v>
      </s:c>
      <s:c r="B837" s="0" t="inlineStr">
        <s:is>
          <s:t>이종훈</s:t>
        </s:is>
      </s:c>
      <s:c r="C837" s="0" t="n">
        <s:v>80511</s:v>
      </s:c>
      <s:c r="D837" s="0" t="n">
        <s:v>1530</s:v>
      </s:c>
      <s:c r="F837" s="24">
        <s:f>'자료구성'!$B$2+TIME(INT($C$3/10000),INT(MOD($C$3,10000)/100),MOD($C$3,100))+(ROW()-ROW($C$3))/86400</s:f>
        <s:v>46247.34658564815</s:v>
      </s:c>
    </s:row>
    <s:row r="838">
      <s:c r="A838" s="0" t="n">
        <s:v>260813</s:v>
      </s:c>
      <s:c r="B838" s="0" t="inlineStr">
        <s:is>
          <s:t>이종훈</s:t>
        </s:is>
      </s:c>
      <s:c r="C838" s="0" t="n">
        <s:v>80511</s:v>
      </s:c>
      <s:c r="D838" s="0" t="n">
        <s:v>1475</s:v>
      </s:c>
      <s:c r="F838" s="24">
        <s:f>'자료구성'!$B$2+TIME(INT($C$3/10000),INT(MOD($C$3,10000)/100),MOD($C$3,100))+(ROW()-ROW($C$3))/86400</s:f>
        <s:v>46247.346597222226</s:v>
      </s:c>
    </s:row>
    <s:row r="839">
      <s:c r="A839" s="0" t="n">
        <s:v>260813</s:v>
      </s:c>
      <s:c r="B839" s="0" t="inlineStr">
        <s:is>
          <s:t>이종훈</s:t>
        </s:is>
      </s:c>
      <s:c r="C839" s="0" t="n">
        <s:v>80511</s:v>
      </s:c>
      <s:c r="D839" s="0" t="n">
        <s:v>1454</s:v>
      </s:c>
      <s:c r="F839" s="24">
        <s:f>'자료구성'!$B$2+TIME(INT($C$3/10000),INT(MOD($C$3,10000)/100),MOD($C$3,100))+(ROW()-ROW($C$3))/86400</s:f>
        <s:v>46247.346608796295</s:v>
      </s:c>
    </s:row>
    <s:row r="840">
      <s:c r="A840" s="0" t="n">
        <s:v>260813</s:v>
      </s:c>
      <s:c r="B840" s="0" t="inlineStr">
        <s:is>
          <s:t>이종훈</s:t>
        </s:is>
      </s:c>
      <s:c r="C840" s="0" t="n">
        <s:v>80511</s:v>
      </s:c>
      <s:c r="D840" s="0" t="n">
        <s:v>1454</s:v>
      </s:c>
      <s:c r="F840" s="24">
        <s:f>'자료구성'!$B$2+TIME(INT($C$3/10000),INT(MOD($C$3,10000)/100),MOD($C$3,100))+(ROW()-ROW($C$3))/86400</s:f>
        <s:v>46247.34662037037</s:v>
      </s:c>
    </s:row>
    <s:row r="841">
      <s:c r="A841" s="0" t="n">
        <s:v>260813</s:v>
      </s:c>
      <s:c r="B841" s="0" t="inlineStr">
        <s:is>
          <s:t>이종훈</s:t>
        </s:is>
      </s:c>
      <s:c r="C841" s="0" t="n">
        <s:v>80511</s:v>
      </s:c>
      <s:c r="D841" s="0" t="n">
        <s:v>1401</s:v>
      </s:c>
      <s:c r="F841" s="24">
        <s:f>'자료구성'!$B$2+TIME(INT($C$3/10000),INT(MOD($C$3,10000)/100),MOD($C$3,100))+(ROW()-ROW($C$3))/86400</s:f>
        <s:v>46247.34663194444</s:v>
      </s:c>
    </s:row>
    <s:row r="842">
      <s:c r="A842" s="0" t="n">
        <s:v>260813</s:v>
      </s:c>
      <s:c r="B842" s="0" t="inlineStr">
        <s:is>
          <s:t>이종훈</s:t>
        </s:is>
      </s:c>
      <s:c r="C842" s="0" t="n">
        <s:v>80511</s:v>
      </s:c>
      <s:c r="D842" s="0" t="n">
        <s:v>1350</s:v>
      </s:c>
      <s:c r="F842" s="24">
        <s:f>'자료구성'!$B$2+TIME(INT($C$3/10000),INT(MOD($C$3,10000)/100),MOD($C$3,100))+(ROW()-ROW($C$3))/86400</s:f>
        <s:v>46247.34664351852</s:v>
      </s:c>
    </s:row>
    <s:row r="843">
      <s:c r="A843" s="0" t="n">
        <s:v>260813</s:v>
      </s:c>
      <s:c r="B843" s="0" t="inlineStr">
        <s:is>
          <s:t>이종훈</s:t>
        </s:is>
      </s:c>
      <s:c r="C843" s="0" t="n">
        <s:v>80511</s:v>
      </s:c>
      <s:c r="D843" s="0" t="n">
        <s:v>1314</s:v>
      </s:c>
      <s:c r="F843" s="24">
        <s:f>'자료구성'!$B$2+TIME(INT($C$3/10000),INT(MOD($C$3,10000)/100),MOD($C$3,100))+(ROW()-ROW($C$3))/86400</s:f>
        <s:v>46247.346655092595</s:v>
      </s:c>
    </s:row>
    <s:row r="844">
      <s:c r="A844" s="0" t="n">
        <s:v>260813</s:v>
      </s:c>
      <s:c r="B844" s="0" t="inlineStr">
        <s:is>
          <s:t>이종훈</s:t>
        </s:is>
      </s:c>
      <s:c r="C844" s="0" t="n">
        <s:v>80511</s:v>
      </s:c>
      <s:c r="D844" s="0" t="n">
        <s:v>1301</s:v>
      </s:c>
      <s:c r="F844" s="24">
        <s:f>'자료구성'!$B$2+TIME(INT($C$3/10000),INT(MOD($C$3,10000)/100),MOD($C$3,100))+(ROW()-ROW($C$3))/86400</s:f>
        <s:v>46247.346666666665</s:v>
      </s:c>
    </s:row>
    <s:row r="845">
      <s:c r="A845" s="0" t="n">
        <s:v>260813</s:v>
      </s:c>
      <s:c r="B845" s="0" t="inlineStr">
        <s:is>
          <s:t>이종훈</s:t>
        </s:is>
      </s:c>
      <s:c r="C845" s="0" t="n">
        <s:v>80511</s:v>
      </s:c>
      <s:c r="D845" s="0" t="n">
        <s:v>1269</s:v>
      </s:c>
      <s:c r="F845" s="24">
        <s:f>'자료구성'!$B$2+TIME(INT($C$3/10000),INT(MOD($C$3,10000)/100),MOD($C$3,100))+(ROW()-ROW($C$3))/86400</s:f>
        <s:v>46247.34667824074</s:v>
      </s:c>
    </s:row>
    <s:row r="846">
      <s:c r="A846" s="0" t="n">
        <s:v>260813</s:v>
      </s:c>
      <s:c r="B846" s="0" t="inlineStr">
        <s:is>
          <s:t>이종훈</s:t>
        </s:is>
      </s:c>
      <s:c r="C846" s="0" t="n">
        <s:v>80511</s:v>
      </s:c>
      <s:c r="D846" s="0" t="n">
        <s:v>1241</s:v>
      </s:c>
      <s:c r="F846" s="24">
        <s:f>'자료구성'!$B$2+TIME(INT($C$3/10000),INT(MOD($C$3,10000)/100),MOD($C$3,100))+(ROW()-ROW($C$3))/86400</s:f>
        <s:v>46247.34668981482</s:v>
      </s:c>
    </s:row>
    <s:row r="847">
      <s:c r="A847" s="0" t="n">
        <s:v>260813</s:v>
      </s:c>
      <s:c r="B847" s="0" t="inlineStr">
        <s:is>
          <s:t>이종훈</s:t>
        </s:is>
      </s:c>
      <s:c r="C847" s="0" t="n">
        <s:v>80511</s:v>
      </s:c>
      <s:c r="D847" s="0" t="n">
        <s:v>1241</s:v>
      </s:c>
      <s:c r="F847" s="24">
        <s:f>'자료구성'!$B$2+TIME(INT($C$3/10000),INT(MOD($C$3,10000)/100),MOD($C$3,100))+(ROW()-ROW($C$3))/86400</s:f>
        <s:v>46247.34670138889</s:v>
      </s:c>
    </s:row>
    <s:row r="848">
      <s:c r="A848" s="0" t="n">
        <s:v>260813</s:v>
      </s:c>
      <s:c r="B848" s="0" t="inlineStr">
        <s:is>
          <s:t>이종훈</s:t>
        </s:is>
      </s:c>
      <s:c r="C848" s="0" t="n">
        <s:v>80511</s:v>
      </s:c>
      <s:c r="D848" s="0" t="n">
        <s:v>1262</s:v>
      </s:c>
      <s:c r="F848" s="24">
        <s:f>'자료구성'!$B$2+TIME(INT($C$3/10000),INT(MOD($C$3,10000)/100),MOD($C$3,100))+(ROW()-ROW($C$3))/86400</s:f>
        <s:v>46247.346712962964</s:v>
      </s:c>
    </s:row>
    <s:row r="849">
      <s:c r="A849" s="0" t="n">
        <s:v>260813</s:v>
      </s:c>
      <s:c r="B849" s="0" t="inlineStr">
        <s:is>
          <s:t>이종훈</s:t>
        </s:is>
      </s:c>
      <s:c r="C849" s="0" t="n">
        <s:v>80511</s:v>
      </s:c>
      <s:c r="D849" s="0" t="n">
        <s:v>1296</s:v>
      </s:c>
      <s:c r="F849" s="24">
        <s:f>'자료구성'!$B$2+TIME(INT($C$3/10000),INT(MOD($C$3,10000)/100),MOD($C$3,100))+(ROW()-ROW($C$3))/86400</s:f>
        <s:v>46247.346724537034</s:v>
      </s:c>
    </s:row>
    <s:row r="850">
      <s:c r="A850" s="0" t="n">
        <s:v>260813</s:v>
      </s:c>
      <s:c r="B850" s="0" t="inlineStr">
        <s:is>
          <s:t>이종훈</s:t>
        </s:is>
      </s:c>
      <s:c r="C850" s="0" t="n">
        <s:v>80511</s:v>
      </s:c>
      <s:c r="D850" s="0" t="n">
        <s:v>1347</s:v>
      </s:c>
      <s:c r="F850" s="24">
        <s:f>'자료구성'!$B$2+TIME(INT($C$3/10000),INT(MOD($C$3,10000)/100),MOD($C$3,100))+(ROW()-ROW($C$3))/86400</s:f>
        <s:v>46247.34673611111</s:v>
      </s:c>
    </s:row>
    <s:row r="851">
      <s:c r="A851" s="0" t="n">
        <s:v>260813</s:v>
      </s:c>
      <s:c r="B851" s="0" t="inlineStr">
        <s:is>
          <s:t>이종훈</s:t>
        </s:is>
      </s:c>
      <s:c r="C851" s="0" t="n">
        <s:v>80511</s:v>
      </s:c>
      <s:c r="D851" s="0" t="n">
        <s:v>1363</s:v>
      </s:c>
      <s:c r="F851" s="24">
        <s:f>'자료구성'!$B$2+TIME(INT($C$3/10000),INT(MOD($C$3,10000)/100),MOD($C$3,100))+(ROW()-ROW($C$3))/86400</s:f>
        <s:v>46247.34674768519</s:v>
      </s:c>
    </s:row>
    <s:row r="852">
      <s:c r="A852" s="0" t="n">
        <s:v>260813</s:v>
      </s:c>
      <s:c r="B852" s="0" t="inlineStr">
        <s:is>
          <s:t>이종훈</s:t>
        </s:is>
      </s:c>
      <s:c r="C852" s="0" t="n">
        <s:v>80511</s:v>
      </s:c>
      <s:c r="D852" s="0" t="n">
        <s:v>1373</s:v>
      </s:c>
      <s:c r="F852" s="24">
        <s:f>'자료구성'!$B$2+TIME(INT($C$3/10000),INT(MOD($C$3,10000)/100),MOD($C$3,100))+(ROW()-ROW($C$3))/86400</s:f>
        <s:v>46247.34675925926</s:v>
      </s:c>
    </s:row>
    <s:row r="853">
      <s:c r="A853" s="0" t="n">
        <s:v>260813</s:v>
      </s:c>
      <s:c r="B853" s="0" t="inlineStr">
        <s:is>
          <s:t>이종훈</s:t>
        </s:is>
      </s:c>
      <s:c r="C853" s="0" t="n">
        <s:v>80511</s:v>
      </s:c>
      <s:c r="D853" s="0" t="n">
        <s:v>1390</s:v>
      </s:c>
      <s:c r="F853" s="24">
        <s:f>'자료구성'!$B$2+TIME(INT($C$3/10000),INT(MOD($C$3,10000)/100),MOD($C$3,100))+(ROW()-ROW($C$3))/86400</s:f>
        <s:v>46247.346770833334</s:v>
      </s:c>
    </s:row>
    <s:row r="854">
      <s:c r="A854" s="0" t="n">
        <s:v>260813</s:v>
      </s:c>
      <s:c r="B854" s="0" t="inlineStr">
        <s:is>
          <s:t>이종훈</s:t>
        </s:is>
      </s:c>
      <s:c r="C854" s="0" t="n">
        <s:v>80511</s:v>
      </s:c>
      <s:c r="D854" s="0" t="n">
        <s:v>1394</s:v>
      </s:c>
      <s:c r="F854" s="24">
        <s:f>'자료구성'!$B$2+TIME(INT($C$3/10000),INT(MOD($C$3,10000)/100),MOD($C$3,100))+(ROW()-ROW($C$3))/86400</s:f>
        <s:v>46247.34678240741</s:v>
      </s:c>
    </s:row>
    <s:row r="855">
      <s:c r="A855" s="0" t="n">
        <s:v>260813</s:v>
      </s:c>
      <s:c r="B855" s="0" t="inlineStr">
        <s:is>
          <s:t>이종훈</s:t>
        </s:is>
      </s:c>
      <s:c r="C855" s="0" t="n">
        <s:v>80511</s:v>
      </s:c>
      <s:c r="D855" s="0" t="n">
        <s:v>1390</s:v>
      </s:c>
      <s:c r="F855" s="24">
        <s:f>'자료구성'!$B$2+TIME(INT($C$3/10000),INT(MOD($C$3,10000)/100),MOD($C$3,100))+(ROW()-ROW($C$3))/86400</s:f>
        <s:v>46247.34679398148</s:v>
      </s:c>
    </s:row>
    <s:row r="856">
      <s:c r="A856" s="0" t="n">
        <s:v>260813</s:v>
      </s:c>
      <s:c r="B856" s="0" t="inlineStr">
        <s:is>
          <s:t>이종훈</s:t>
        </s:is>
      </s:c>
      <s:c r="C856" s="0" t="n">
        <s:v>80511</s:v>
      </s:c>
      <s:c r="D856" s="0" t="n">
        <s:v>1388</s:v>
      </s:c>
      <s:c r="F856" s="24">
        <s:f>'자료구성'!$B$2+TIME(INT($C$3/10000),INT(MOD($C$3,10000)/100),MOD($C$3,100))+(ROW()-ROW($C$3))/86400</s:f>
        <s:v>46247.34680555556</s:v>
      </s:c>
    </s:row>
    <s:row r="857">
      <s:c r="A857" s="0" t="n">
        <s:v>260813</s:v>
      </s:c>
      <s:c r="B857" s="0" t="inlineStr">
        <s:is>
          <s:t>이종훈</s:t>
        </s:is>
      </s:c>
      <s:c r="C857" s="0" t="n">
        <s:v>80511</s:v>
      </s:c>
      <s:c r="D857" s="0" t="n">
        <s:v>1377</s:v>
      </s:c>
      <s:c r="F857" s="24">
        <s:f>'자료구성'!$B$2+TIME(INT($C$3/10000),INT(MOD($C$3,10000)/100),MOD($C$3,100))+(ROW()-ROW($C$3))/86400</s:f>
        <s:v>46247.346817129626</s:v>
      </s:c>
    </s:row>
    <s:row r="858">
      <s:c r="A858" s="0" t="n">
        <s:v>260813</s:v>
      </s:c>
      <s:c r="B858" s="0" t="inlineStr">
        <s:is>
          <s:t>이종훈</s:t>
        </s:is>
      </s:c>
      <s:c r="C858" s="0" t="n">
        <s:v>80511</s:v>
      </s:c>
      <s:c r="D858" s="0" t="n">
        <s:v>1368</s:v>
      </s:c>
      <s:c r="F858" s="24">
        <s:f>'자료구성'!$B$2+TIME(INT($C$3/10000),INT(MOD($C$3,10000)/100),MOD($C$3,100))+(ROW()-ROW($C$3))/86400</s:f>
        <s:v>46247.3468287037</s:v>
      </s:c>
    </s:row>
    <s:row r="859">
      <s:c r="A859" s="0" t="n">
        <s:v>260813</s:v>
      </s:c>
      <s:c r="B859" s="0" t="inlineStr">
        <s:is>
          <s:t>이종훈</s:t>
        </s:is>
      </s:c>
      <s:c r="C859" s="0" t="n">
        <s:v>80511</s:v>
      </s:c>
      <s:c r="D859" s="0" t="n">
        <s:v>1394</s:v>
      </s:c>
      <s:c r="F859" s="24">
        <s:f>'자료구성'!$B$2+TIME(INT($C$3/10000),INT(MOD($C$3,10000)/100),MOD($C$3,100))+(ROW()-ROW($C$3))/86400</s:f>
        <s:v>46247.34684027778</s:v>
      </s:c>
    </s:row>
    <s:row r="860">
      <s:c r="A860" s="0" t="n">
        <s:v>260813</s:v>
      </s:c>
      <s:c r="B860" s="0" t="inlineStr">
        <s:is>
          <s:t>이종훈</s:t>
        </s:is>
      </s:c>
      <s:c r="C860" s="0" t="n">
        <s:v>80511</s:v>
      </s:c>
      <s:c r="D860" s="0" t="n">
        <s:v>1374</s:v>
      </s:c>
      <s:c r="F860" s="24">
        <s:f>'자료구성'!$B$2+TIME(INT($C$3/10000),INT(MOD($C$3,10000)/100),MOD($C$3,100))+(ROW()-ROW($C$3))/86400</s:f>
        <s:v>46247.34685185185</s:v>
      </s:c>
    </s:row>
    <s:row r="861">
      <s:c r="A861" s="0" t="n">
        <s:v>260813</s:v>
      </s:c>
      <s:c r="B861" s="0" t="inlineStr">
        <s:is>
          <s:t>이종훈</s:t>
        </s:is>
      </s:c>
      <s:c r="C861" s="0" t="n">
        <s:v>80511</s:v>
      </s:c>
      <s:c r="D861" s="0" t="n">
        <s:v>1361</s:v>
      </s:c>
      <s:c r="F861" s="24">
        <s:f>'자료구성'!$B$2+TIME(INT($C$3/10000),INT(MOD($C$3,10000)/100),MOD($C$3,100))+(ROW()-ROW($C$3))/86400</s:f>
        <s:v>46247.346863425926</s:v>
      </s:c>
    </s:row>
    <s:row r="862">
      <s:c r="A862" s="0" t="n">
        <s:v>260813</s:v>
      </s:c>
      <s:c r="B862" s="0" t="inlineStr">
        <s:is>
          <s:t>이종훈</s:t>
        </s:is>
      </s:c>
      <s:c r="C862" s="0" t="n">
        <s:v>80511</s:v>
      </s:c>
      <s:c r="D862" s="0" t="n">
        <s:v>1343</s:v>
      </s:c>
      <s:c r="F862" s="24">
        <s:f>'자료구성'!$B$2+TIME(INT($C$3/10000),INT(MOD($C$3,10000)/100),MOD($C$3,100))+(ROW()-ROW($C$3))/86400</s:f>
        <s:v>46247.346875</s:v>
      </s:c>
    </s:row>
    <s:row r="863">
      <s:c r="A863" s="0" t="n">
        <s:v>260813</s:v>
      </s:c>
      <s:c r="B863" s="0" t="inlineStr">
        <s:is>
          <s:t>이종훈</s:t>
        </s:is>
      </s:c>
      <s:c r="C863" s="0" t="n">
        <s:v>80511</s:v>
      </s:c>
      <s:c r="D863" s="0" t="n">
        <s:v>1334</s:v>
      </s:c>
      <s:c r="F863" s="24">
        <s:f>'자료구성'!$B$2+TIME(INT($C$3/10000),INT(MOD($C$3,10000)/100),MOD($C$3,100))+(ROW()-ROW($C$3))/86400</s:f>
        <s:v>46247.34688657407</s:v>
      </s:c>
    </s:row>
    <s:row r="864">
      <s:c r="A864" s="0" t="n">
        <s:v>260813</s:v>
      </s:c>
      <s:c r="B864" s="0" t="inlineStr">
        <s:is>
          <s:t>이종훈</s:t>
        </s:is>
      </s:c>
      <s:c r="C864" s="0" t="n">
        <s:v>80511</s:v>
      </s:c>
      <s:c r="D864" s="0" t="n">
        <s:v>1337</s:v>
      </s:c>
      <s:c r="F864" s="24">
        <s:f>'자료구성'!$B$2+TIME(INT($C$3/10000),INT(MOD($C$3,10000)/100),MOD($C$3,100))+(ROW()-ROW($C$3))/86400</s:f>
        <s:v>46247.34689814815</s:v>
      </s:c>
    </s:row>
    <s:row r="865">
      <s:c r="A865" s="0" t="n">
        <s:v>260813</s:v>
      </s:c>
      <s:c r="B865" s="0" t="inlineStr">
        <s:is>
          <s:t>이종훈</s:t>
        </s:is>
      </s:c>
      <s:c r="C865" s="0" t="n">
        <s:v>80511</s:v>
      </s:c>
      <s:c r="D865" s="0" t="n">
        <s:v>1341</s:v>
      </s:c>
      <s:c r="F865" s="24">
        <s:f>'자료구성'!$B$2+TIME(INT($C$3/10000),INT(MOD($C$3,10000)/100),MOD($C$3,100))+(ROW()-ROW($C$3))/86400</s:f>
        <s:v>46247.34690972222</s:v>
      </s:c>
    </s:row>
    <s:row r="866">
      <s:c r="A866" s="0" t="n">
        <s:v>260813</s:v>
      </s:c>
      <s:c r="B866" s="0" t="inlineStr">
        <s:is>
          <s:t>이종훈</s:t>
        </s:is>
      </s:c>
      <s:c r="C866" s="0" t="n">
        <s:v>80511</s:v>
      </s:c>
      <s:c r="D866" s="0" t="n">
        <s:v>1337</s:v>
      </s:c>
      <s:c r="F866" s="24">
        <s:f>'자료구성'!$B$2+TIME(INT($C$3/10000),INT(MOD($C$3,10000)/100),MOD($C$3,100))+(ROW()-ROW($C$3))/86400</s:f>
        <s:v>46247.346921296295</s:v>
      </s:c>
    </s:row>
    <s:row r="867">
      <s:c r="A867" s="0" t="n">
        <s:v>260813</s:v>
      </s:c>
      <s:c r="B867" s="0" t="inlineStr">
        <s:is>
          <s:t>이종훈</s:t>
        </s:is>
      </s:c>
      <s:c r="C867" s="0" t="n">
        <s:v>80511</s:v>
      </s:c>
      <s:c r="D867" s="0" t="n">
        <s:v>1332</s:v>
      </s:c>
      <s:c r="F867" s="24">
        <s:f>'자료구성'!$B$2+TIME(INT($C$3/10000),INT(MOD($C$3,10000)/100),MOD($C$3,100))+(ROW()-ROW($C$3))/86400</s:f>
        <s:v>46247.34693287037</s:v>
      </s:c>
    </s:row>
    <s:row r="868">
      <s:c r="A868" s="0" t="n">
        <s:v>260813</s:v>
      </s:c>
      <s:c r="B868" s="0" t="inlineStr">
        <s:is>
          <s:t>이종훈</s:t>
        </s:is>
      </s:c>
      <s:c r="C868" s="0" t="n">
        <s:v>80511</s:v>
      </s:c>
      <s:c r="D868" s="0" t="n">
        <s:v>1330</s:v>
      </s:c>
      <s:c r="F868" s="24">
        <s:f>'자료구성'!$B$2+TIME(INT($C$3/10000),INT(MOD($C$3,10000)/100),MOD($C$3,100))+(ROW()-ROW($C$3))/86400</s:f>
        <s:v>46247.34694444444</s:v>
      </s:c>
    </s:row>
    <s:row r="869">
      <s:c r="A869" s="0" t="n">
        <s:v>260813</s:v>
      </s:c>
      <s:c r="B869" s="0" t="inlineStr">
        <s:is>
          <s:t>이종훈</s:t>
        </s:is>
      </s:c>
      <s:c r="C869" s="0" t="n">
        <s:v>80511</s:v>
      </s:c>
      <s:c r="D869" s="0" t="n">
        <s:v>1336</s:v>
      </s:c>
      <s:c r="F869" s="24">
        <s:f>'자료구성'!$B$2+TIME(INT($C$3/10000),INT(MOD($C$3,10000)/100),MOD($C$3,100))+(ROW()-ROW($C$3))/86400</s:f>
        <s:v>46247.34695601852</s:v>
      </s:c>
    </s:row>
    <s:row r="870">
      <s:c r="A870" s="0" t="n">
        <s:v>260813</s:v>
      </s:c>
      <s:c r="B870" s="0" t="inlineStr">
        <s:is>
          <s:t>이종훈</s:t>
        </s:is>
      </s:c>
      <s:c r="C870" s="0" t="n">
        <s:v>80511</s:v>
      </s:c>
      <s:c r="D870" s="0" t="n">
        <s:v>1332</s:v>
      </s:c>
      <s:c r="F870" s="24">
        <s:f>'자료구성'!$B$2+TIME(INT($C$3/10000),INT(MOD($C$3,10000)/100),MOD($C$3,100))+(ROW()-ROW($C$3))/86400</s:f>
        <s:v>46247.346967592595</s:v>
      </s:c>
    </s:row>
    <s:row r="871">
      <s:c r="A871" s="0" t="n">
        <s:v>260813</s:v>
      </s:c>
      <s:c r="B871" s="0" t="inlineStr">
        <s:is>
          <s:t>이종훈</s:t>
        </s:is>
      </s:c>
      <s:c r="C871" s="0" t="n">
        <s:v>80511</s:v>
      </s:c>
      <s:c r="D871" s="0" t="n">
        <s:v>1319</s:v>
      </s:c>
      <s:c r="F871" s="24">
        <s:f>'자료구성'!$B$2+TIME(INT($C$3/10000),INT(MOD($C$3,10000)/100),MOD($C$3,100))+(ROW()-ROW($C$3))/86400</s:f>
        <s:v>46247.346979166665</s:v>
      </s:c>
    </s:row>
    <s:row r="872">
      <s:c r="A872" s="0" t="n">
        <s:v>260813</s:v>
      </s:c>
      <s:c r="B872" s="0" t="inlineStr">
        <s:is>
          <s:t>이종훈</s:t>
        </s:is>
      </s:c>
      <s:c r="C872" s="0" t="n">
        <s:v>80511</s:v>
      </s:c>
      <s:c r="D872" s="0" t="n">
        <s:v>1305</s:v>
      </s:c>
      <s:c r="F872" s="24">
        <s:f>'자료구성'!$B$2+TIME(INT($C$3/10000),INT(MOD($C$3,10000)/100),MOD($C$3,100))+(ROW()-ROW($C$3))/86400</s:f>
        <s:v>46247.34699074074</s:v>
      </s:c>
    </s:row>
    <s:row r="873">
      <s:c r="A873" s="0" t="n">
        <s:v>260813</s:v>
      </s:c>
      <s:c r="B873" s="0" t="inlineStr">
        <s:is>
          <s:t>이종훈</s:t>
        </s:is>
      </s:c>
      <s:c r="C873" s="0" t="n">
        <s:v>80511</s:v>
      </s:c>
      <s:c r="D873" s="0" t="n">
        <s:v>1303</s:v>
      </s:c>
      <s:c r="F873" s="24">
        <s:f>'자료구성'!$B$2+TIME(INT($C$3/10000),INT(MOD($C$3,10000)/100),MOD($C$3,100))+(ROW()-ROW($C$3))/86400</s:f>
        <s:v>46247.34700231482</s:v>
      </s:c>
    </s:row>
    <s:row r="874">
      <s:c r="A874" s="0" t="n">
        <s:v>260813</s:v>
      </s:c>
      <s:c r="B874" s="0" t="inlineStr">
        <s:is>
          <s:t>이종훈</s:t>
        </s:is>
      </s:c>
      <s:c r="C874" s="0" t="n">
        <s:v>80511</s:v>
      </s:c>
      <s:c r="D874" s="0" t="n">
        <s:v>1285</s:v>
      </s:c>
      <s:c r="F874" s="24">
        <s:f>'자료구성'!$B$2+TIME(INT($C$3/10000),INT(MOD($C$3,10000)/100),MOD($C$3,100))+(ROW()-ROW($C$3))/86400</s:f>
        <s:v>46247.34701388889</s:v>
      </s:c>
    </s:row>
    <s:row r="875">
      <s:c r="A875" s="0" t="n">
        <s:v>260813</s:v>
      </s:c>
      <s:c r="B875" s="0" t="inlineStr">
        <s:is>
          <s:t>이종훈</s:t>
        </s:is>
      </s:c>
      <s:c r="C875" s="0" t="n">
        <s:v>80511</s:v>
      </s:c>
      <s:c r="D875" s="0" t="n">
        <s:v>1275</s:v>
      </s:c>
      <s:c r="F875" s="24">
        <s:f>'자료구성'!$B$2+TIME(INT($C$3/10000),INT(MOD($C$3,10000)/100),MOD($C$3,100))+(ROW()-ROW($C$3))/86400</s:f>
        <s:v>46247.347025462965</s:v>
      </s:c>
    </s:row>
    <s:row r="876">
      <s:c r="A876" s="0" t="n">
        <s:v>260813</s:v>
      </s:c>
      <s:c r="B876" s="0" t="inlineStr">
        <s:is>
          <s:t>이종훈</s:t>
        </s:is>
      </s:c>
      <s:c r="C876" s="0" t="n">
        <s:v>80511</s:v>
      </s:c>
      <s:c r="D876" s="0" t="n">
        <s:v>1266</s:v>
      </s:c>
      <s:c r="F876" s="24">
        <s:f>'자료구성'!$B$2+TIME(INT($C$3/10000),INT(MOD($C$3,10000)/100),MOD($C$3,100))+(ROW()-ROW($C$3))/86400</s:f>
        <s:v>46247.347037037034</s:v>
      </s:c>
    </s:row>
    <s:row r="877">
      <s:c r="A877" s="0" t="n">
        <s:v>260813</s:v>
      </s:c>
      <s:c r="B877" s="0" t="inlineStr">
        <s:is>
          <s:t>이종훈</s:t>
        </s:is>
      </s:c>
      <s:c r="C877" s="0" t="n">
        <s:v>80511</s:v>
      </s:c>
      <s:c r="D877" s="0" t="n">
        <s:v>1294</s:v>
      </s:c>
      <s:c r="F877" s="24">
        <s:f>'자료구성'!$B$2+TIME(INT($C$3/10000),INT(MOD($C$3,10000)/100),MOD($C$3,100))+(ROW()-ROW($C$3))/86400</s:f>
        <s:v>46247.34704861111</s:v>
      </s:c>
    </s:row>
    <s:row r="878">
      <s:c r="A878" s="0" t="n">
        <s:v>260813</s:v>
      </s:c>
      <s:c r="B878" s="0" t="inlineStr">
        <s:is>
          <s:t>이종훈</s:t>
        </s:is>
      </s:c>
      <s:c r="C878" s="0" t="n">
        <s:v>80511</s:v>
      </s:c>
      <s:c r="D878" s="0" t="n">
        <s:v>1277</s:v>
      </s:c>
      <s:c r="F878" s="24">
        <s:f>'자료구성'!$B$2+TIME(INT($C$3/10000),INT(MOD($C$3,10000)/100),MOD($C$3,100))+(ROW()-ROW($C$3))/86400</s:f>
        <s:v>46247.34706018519</s:v>
      </s:c>
    </s:row>
    <s:row r="879">
      <s:c r="A879" s="0" t="n">
        <s:v>260813</s:v>
      </s:c>
      <s:c r="B879" s="0" t="inlineStr">
        <s:is>
          <s:t>이종훈</s:t>
        </s:is>
      </s:c>
      <s:c r="C879" s="0" t="n">
        <s:v>80511</s:v>
      </s:c>
      <s:c r="D879" s="0" t="n">
        <s:v>1267</s:v>
      </s:c>
      <s:c r="F879" s="24">
        <s:f>'자료구성'!$B$2+TIME(INT($C$3/10000),INT(MOD($C$3,10000)/100),MOD($C$3,100))+(ROW()-ROW($C$3))/86400</s:f>
        <s:v>46247.34707175926</s:v>
      </s:c>
    </s:row>
    <s:row r="880">
      <s:c r="A880" s="0" t="n">
        <s:v>260813</s:v>
      </s:c>
      <s:c r="B880" s="0" t="inlineStr">
        <s:is>
          <s:t>이종훈</s:t>
        </s:is>
      </s:c>
      <s:c r="C880" s="0" t="n">
        <s:v>80511</s:v>
      </s:c>
      <s:c r="D880" s="0" t="n">
        <s:v>1266</s:v>
      </s:c>
      <s:c r="F880" s="24">
        <s:f>'자료구성'!$B$2+TIME(INT($C$3/10000),INT(MOD($C$3,10000)/100),MOD($C$3,100))+(ROW()-ROW($C$3))/86400</s:f>
        <s:v>46247.347083333334</s:v>
      </s:c>
    </s:row>
    <s:row r="881">
      <s:c r="A881" s="0" t="n">
        <s:v>260813</s:v>
      </s:c>
      <s:c r="B881" s="0" t="inlineStr">
        <s:is>
          <s:t>이종훈</s:t>
        </s:is>
      </s:c>
      <s:c r="C881" s="0" t="n">
        <s:v>80511</s:v>
      </s:c>
      <s:c r="D881" s="0" t="n">
        <s:v>1306</s:v>
      </s:c>
      <s:c r="F881" s="24">
        <s:f>'자료구성'!$B$2+TIME(INT($C$3/10000),INT(MOD($C$3,10000)/100),MOD($C$3,100))+(ROW()-ROW($C$3))/86400</s:f>
        <s:v>46247.34709490741</s:v>
      </s:c>
    </s:row>
    <s:row r="882">
      <s:c r="A882" s="0" t="n">
        <s:v>260813</s:v>
      </s:c>
      <s:c r="B882" s="0" t="inlineStr">
        <s:is>
          <s:t>이종훈</s:t>
        </s:is>
      </s:c>
      <s:c r="C882" s="0" t="n">
        <s:v>80511</s:v>
      </s:c>
      <s:c r="D882" s="0" t="n">
        <s:v>1335</s:v>
      </s:c>
      <s:c r="F882" s="24">
        <s:f>'자료구성'!$B$2+TIME(INT($C$3/10000),INT(MOD($C$3,10000)/100),MOD($C$3,100))+(ROW()-ROW($C$3))/86400</s:f>
        <s:v>46247.34710648148</s:v>
      </s:c>
    </s:row>
    <s:row r="883">
      <s:c r="A883" s="0" t="n">
        <s:v>260813</s:v>
      </s:c>
      <s:c r="B883" s="0" t="inlineStr">
        <s:is>
          <s:t>이종훈</s:t>
        </s:is>
      </s:c>
      <s:c r="C883" s="0" t="n">
        <s:v>80511</s:v>
      </s:c>
      <s:c r="D883" s="0" t="n">
        <s:v>1350</s:v>
      </s:c>
      <s:c r="F883" s="24">
        <s:f>'자료구성'!$B$2+TIME(INT($C$3/10000),INT(MOD($C$3,10000)/100),MOD($C$3,100))+(ROW()-ROW($C$3))/86400</s:f>
        <s:v>46247.34711805556</s:v>
      </s:c>
    </s:row>
    <s:row r="884">
      <s:c r="A884" s="0" t="n">
        <s:v>260813</s:v>
      </s:c>
      <s:c r="B884" s="0" t="inlineStr">
        <s:is>
          <s:t>이종훈</s:t>
        </s:is>
      </s:c>
      <s:c r="C884" s="0" t="n">
        <s:v>80511</s:v>
      </s:c>
      <s:c r="D884" s="0" t="n">
        <s:v>1406</s:v>
      </s:c>
      <s:c r="F884" s="24">
        <s:f>'자료구성'!$B$2+TIME(INT($C$3/10000),INT(MOD($C$3,10000)/100),MOD($C$3,100))+(ROW()-ROW($C$3))/86400</s:f>
        <s:v>46247.34712962963</s:v>
      </s:c>
    </s:row>
    <s:row r="885">
      <s:c r="A885" s="0" t="n">
        <s:v>260813</s:v>
      </s:c>
      <s:c r="B885" s="0" t="inlineStr">
        <s:is>
          <s:t>이종훈</s:t>
        </s:is>
      </s:c>
      <s:c r="C885" s="0" t="n">
        <s:v>80511</s:v>
      </s:c>
      <s:c r="D885" s="0" t="n">
        <s:v>1419</s:v>
      </s:c>
      <s:c r="F885" s="24">
        <s:f>'자료구성'!$B$2+TIME(INT($C$3/10000),INT(MOD($C$3,10000)/100),MOD($C$3,100))+(ROW()-ROW($C$3))/86400</s:f>
        <s:v>46247.3471412037</s:v>
      </s:c>
    </s:row>
    <s:row r="886">
      <s:c r="A886" s="0" t="n">
        <s:v>260813</s:v>
      </s:c>
      <s:c r="B886" s="0" t="inlineStr">
        <s:is>
          <s:t>이종훈</s:t>
        </s:is>
      </s:c>
      <s:c r="C886" s="0" t="n">
        <s:v>80511</s:v>
      </s:c>
      <s:c r="D886" s="0" t="n">
        <s:v>1424</s:v>
      </s:c>
      <s:c r="F886" s="24">
        <s:f>'자료구성'!$B$2+TIME(INT($C$3/10000),INT(MOD($C$3,10000)/100),MOD($C$3,100))+(ROW()-ROW($C$3))/86400</s:f>
        <s:v>46247.34715277778</s:v>
      </s:c>
    </s:row>
    <s:row r="887">
      <s:c r="A887" s="0" t="n">
        <s:v>260813</s:v>
      </s:c>
      <s:c r="B887" s="0" t="inlineStr">
        <s:is>
          <s:t>이종훈</s:t>
        </s:is>
      </s:c>
      <s:c r="C887" s="0" t="n">
        <s:v>80511</s:v>
      </s:c>
      <s:c r="D887" s="0" t="n">
        <s:v>1449</s:v>
      </s:c>
      <s:c r="F887" s="24">
        <s:f>'자료구성'!$B$2+TIME(INT($C$3/10000),INT(MOD($C$3,10000)/100),MOD($C$3,100))+(ROW()-ROW($C$3))/86400</s:f>
        <s:v>46247.34716435185</s:v>
      </s:c>
    </s:row>
    <s:row r="888">
      <s:c r="A888" s="0" t="n">
        <s:v>260813</s:v>
      </s:c>
      <s:c r="B888" s="0" t="inlineStr">
        <s:is>
          <s:t>이종훈</s:t>
        </s:is>
      </s:c>
      <s:c r="C888" s="0" t="n">
        <s:v>80511</s:v>
      </s:c>
      <s:c r="D888" s="0" t="n">
        <s:v>1493</s:v>
      </s:c>
      <s:c r="F888" s="24">
        <s:f>'자료구성'!$B$2+TIME(INT($C$3/10000),INT(MOD($C$3,10000)/100),MOD($C$3,100))+(ROW()-ROW($C$3))/86400</s:f>
        <s:v>46247.34717592593</s:v>
      </s:c>
    </s:row>
    <s:row r="889">
      <s:c r="A889" s="0" t="n">
        <s:v>260813</s:v>
      </s:c>
      <s:c r="B889" s="0" t="inlineStr">
        <s:is>
          <s:t>이종훈</s:t>
        </s:is>
      </s:c>
      <s:c r="C889" s="0" t="n">
        <s:v>80511</s:v>
      </s:c>
      <s:c r="D889" s="0" t="n">
        <s:v>1518</s:v>
      </s:c>
      <s:c r="F889" s="24">
        <s:f>'자료구성'!$B$2+TIME(INT($C$3/10000),INT(MOD($C$3,10000)/100),MOD($C$3,100))+(ROW()-ROW($C$3))/86400</s:f>
        <s:v>46247.3471875</s:v>
      </s:c>
    </s:row>
    <s:row r="890">
      <s:c r="A890" s="0" t="n">
        <s:v>260813</s:v>
      </s:c>
      <s:c r="B890" s="0" t="inlineStr">
        <s:is>
          <s:t>이종훈</s:t>
        </s:is>
      </s:c>
      <s:c r="C890" s="0" t="n">
        <s:v>80511</s:v>
      </s:c>
      <s:c r="D890" s="0" t="n">
        <s:v>1558</s:v>
      </s:c>
      <s:c r="F890" s="24">
        <s:f>'자료구성'!$B$2+TIME(INT($C$3/10000),INT(MOD($C$3,10000)/100),MOD($C$3,100))+(ROW()-ROW($C$3))/86400</s:f>
        <s:v>46247.34719907407</s:v>
      </s:c>
    </s:row>
    <s:row r="891">
      <s:c r="A891" s="0" t="n">
        <s:v>260813</s:v>
      </s:c>
      <s:c r="B891" s="0" t="inlineStr">
        <s:is>
          <s:t>이종훈</s:t>
        </s:is>
      </s:c>
      <s:c r="C891" s="0" t="n">
        <s:v>80511</s:v>
      </s:c>
      <s:c r="D891" s="0" t="n">
        <s:v>1598</s:v>
      </s:c>
      <s:c r="F891" s="24">
        <s:f>'자료구성'!$B$2+TIME(INT($C$3/10000),INT(MOD($C$3,10000)/100),MOD($C$3,100))+(ROW()-ROW($C$3))/86400</s:f>
        <s:v>46247.34721064815</s:v>
      </s:c>
    </s:row>
    <s:row r="892">
      <s:c r="A892" s="0" t="n">
        <s:v>260813</s:v>
      </s:c>
      <s:c r="B892" s="0" t="inlineStr">
        <s:is>
          <s:t>이종훈</s:t>
        </s:is>
      </s:c>
      <s:c r="C892" s="0" t="n">
        <s:v>80511</s:v>
      </s:c>
      <s:c r="D892" s="0" t="n">
        <s:v>1611</s:v>
      </s:c>
      <s:c r="F892" s="24">
        <s:f>'자료구성'!$B$2+TIME(INT($C$3/10000),INT(MOD($C$3,10000)/100),MOD($C$3,100))+(ROW()-ROW($C$3))/86400</s:f>
        <s:v>46247.34722222222</s:v>
      </s:c>
    </s:row>
    <s:row r="893">
      <s:c r="A893" s="0" t="n">
        <s:v>260813</s:v>
      </s:c>
      <s:c r="B893" s="0" t="inlineStr">
        <s:is>
          <s:t>이종훈</s:t>
        </s:is>
      </s:c>
      <s:c r="C893" s="0" t="n">
        <s:v>80511</s:v>
      </s:c>
      <s:c r="D893" s="0" t="n">
        <s:v>1602</s:v>
      </s:c>
      <s:c r="F893" s="24">
        <s:f>'자료구성'!$B$2+TIME(INT($C$3/10000),INT(MOD($C$3,10000)/100),MOD($C$3,100))+(ROW()-ROW($C$3))/86400</s:f>
        <s:v>46247.347233796296</s:v>
      </s:c>
    </s:row>
    <s:row r="894">
      <s:c r="A894" s="0" t="n">
        <s:v>260813</s:v>
      </s:c>
      <s:c r="B894" s="0" t="inlineStr">
        <s:is>
          <s:t>이종훈</s:t>
        </s:is>
      </s:c>
      <s:c r="C894" s="0" t="n">
        <s:v>80511</s:v>
      </s:c>
      <s:c r="D894" s="0" t="n">
        <s:v>1611</s:v>
      </s:c>
      <s:c r="F894" s="24">
        <s:f>'자료구성'!$B$2+TIME(INT($C$3/10000),INT(MOD($C$3,10000)/100),MOD($C$3,100))+(ROW()-ROW($C$3))/86400</s:f>
        <s:v>46247.34724537037</s:v>
      </s:c>
    </s:row>
    <s:row r="895">
      <s:c r="A895" s="0" t="n">
        <s:v>260813</s:v>
      </s:c>
      <s:c r="B895" s="0" t="inlineStr">
        <s:is>
          <s:t>이종훈</s:t>
        </s:is>
      </s:c>
      <s:c r="C895" s="0" t="n">
        <s:v>80511</s:v>
      </s:c>
      <s:c r="D895" s="0" t="n">
        <s:v>1612</s:v>
      </s:c>
      <s:c r="F895" s="24">
        <s:f>'자료구성'!$B$2+TIME(INT($C$3/10000),INT(MOD($C$3,10000)/100),MOD($C$3,100))+(ROW()-ROW($C$3))/86400</s:f>
        <s:v>46247.34725694444</s:v>
      </s:c>
    </s:row>
    <s:row r="896">
      <s:c r="A896" s="0" t="n">
        <s:v>260813</s:v>
      </s:c>
      <s:c r="B896" s="0" t="inlineStr">
        <s:is>
          <s:t>이종훈</s:t>
        </s:is>
      </s:c>
      <s:c r="C896" s="0" t="n">
        <s:v>80511</s:v>
      </s:c>
      <s:c r="D896" s="0" t="n">
        <s:v>1608</s:v>
      </s:c>
      <s:c r="F896" s="24">
        <s:f>'자료구성'!$B$2+TIME(INT($C$3/10000),INT(MOD($C$3,10000)/100),MOD($C$3,100))+(ROW()-ROW($C$3))/86400</s:f>
        <s:v>46247.34726851852</s:v>
      </s:c>
    </s:row>
    <s:row r="897">
      <s:c r="A897" s="0" t="n">
        <s:v>260813</s:v>
      </s:c>
      <s:c r="B897" s="0" t="inlineStr">
        <s:is>
          <s:t>이종훈</s:t>
        </s:is>
      </s:c>
      <s:c r="C897" s="0" t="n">
        <s:v>80511</s:v>
      </s:c>
      <s:c r="D897" s="0" t="n">
        <s:v>1621</s:v>
      </s:c>
      <s:c r="F897" s="24">
        <s:f>'자료구성'!$B$2+TIME(INT($C$3/10000),INT(MOD($C$3,10000)/100),MOD($C$3,100))+(ROW()-ROW($C$3))/86400</s:f>
        <s:v>46247.347280092596</s:v>
      </s:c>
    </s:row>
    <s:row r="898">
      <s:c r="A898" s="0" t="n">
        <s:v>260813</s:v>
      </s:c>
      <s:c r="B898" s="0" t="inlineStr">
        <s:is>
          <s:t>이종훈</s:t>
        </s:is>
      </s:c>
      <s:c r="C898" s="0" t="n">
        <s:v>80511</s:v>
      </s:c>
      <s:c r="D898" s="0" t="n">
        <s:v>1680</s:v>
      </s:c>
      <s:c r="F898" s="24">
        <s:f>'자료구성'!$B$2+TIME(INT($C$3/10000),INT(MOD($C$3,10000)/100),MOD($C$3,100))+(ROW()-ROW($C$3))/86400</s:f>
        <s:v>46247.347291666665</s:v>
      </s:c>
    </s:row>
    <s:row r="899">
      <s:c r="A899" s="0" t="n">
        <s:v>260813</s:v>
      </s:c>
      <s:c r="B899" s="0" t="inlineStr">
        <s:is>
          <s:t>이종훈</s:t>
        </s:is>
      </s:c>
      <s:c r="C899" s="0" t="n">
        <s:v>80511</s:v>
      </s:c>
      <s:c r="D899" s="0" t="n">
        <s:v>1676</s:v>
      </s:c>
      <s:c r="F899" s="24">
        <s:f>'자료구성'!$B$2+TIME(INT($C$3/10000),INT(MOD($C$3,10000)/100),MOD($C$3,100))+(ROW()-ROW($C$3))/86400</s:f>
        <s:v>46247.34730324074</s:v>
      </s:c>
    </s:row>
    <s:row r="900">
      <s:c r="A900" s="0" t="n">
        <s:v>260813</s:v>
      </s:c>
      <s:c r="B900" s="0" t="inlineStr">
        <s:is>
          <s:t>이종훈</s:t>
        </s:is>
      </s:c>
      <s:c r="C900" s="0" t="n">
        <s:v>80511</s:v>
      </s:c>
      <s:c r="D900" s="0" t="n">
        <s:v>1645</s:v>
      </s:c>
      <s:c r="F900" s="24">
        <s:f>'자료구성'!$B$2+TIME(INT($C$3/10000),INT(MOD($C$3,10000)/100),MOD($C$3,100))+(ROW()-ROW($C$3))/86400</s:f>
        <s:v>46247.34731481481</s:v>
      </s:c>
    </s:row>
    <s:row r="901">
      <s:c r="A901" s="0" t="n">
        <s:v>260813</s:v>
      </s:c>
      <s:c r="B901" s="0" t="inlineStr">
        <s:is>
          <s:t>이종훈</s:t>
        </s:is>
      </s:c>
      <s:c r="C901" s="0" t="n">
        <s:v>80511</s:v>
      </s:c>
      <s:c r="D901" s="0" t="n">
        <s:v>1607</s:v>
      </s:c>
      <s:c r="F901" s="24">
        <s:f>'자료구성'!$B$2+TIME(INT($C$3/10000),INT(MOD($C$3,10000)/100),MOD($C$3,100))+(ROW()-ROW($C$3))/86400</s:f>
        <s:v>46247.34732638889</s:v>
      </s:c>
    </s:row>
    <s:row r="902">
      <s:c r="A902" s="0" t="n">
        <s:v>260813</s:v>
      </s:c>
      <s:c r="B902" s="0" t="inlineStr">
        <s:is>
          <s:t>이종훈</s:t>
        </s:is>
      </s:c>
      <s:c r="C902" s="0" t="n">
        <s:v>80511</s:v>
      </s:c>
      <s:c r="D902" s="0" t="n">
        <s:v>1568</s:v>
      </s:c>
      <s:c r="F902" s="24">
        <s:f>'자료구성'!$B$2+TIME(INT($C$3/10000),INT(MOD($C$3,10000)/100),MOD($C$3,100))+(ROW()-ROW($C$3))/86400</s:f>
        <s:v>46247.347337962965</s:v>
      </s:c>
    </s:row>
  </s:sheetData>
  <s:mergeCells count="1">
    <s:mergeCell ref="A1:E1"/>
  </s:mergeCells>
  <s:pageMargins left="0.7" right="0.7" top="0.75" bottom="0.75" header="0.3" footer="0.3"/>
  <s:legacyDrawing r:id="anysvml"/>
</s:worksheet>
</file>

<file path=xl/worksheets/sheet12.xml><?xml version="1.0" encoding="utf-8"?>
<s:worksheet xmlns:s="http://schemas.openxmlformats.org/spreadsheetml/2006/main">
  <s:sheetPr>
    <s:outlinePr summaryBelow="1" summaryRight="1"/>
    <s:pageSetUpPr/>
  </s:sheetPr>
  <s:dimension ref="A1:M11"/>
  <s:sheetViews>
    <s:sheetView workbookViewId="0">
      <s:pane xSplit="2" ySplit="1" topLeftCell="C2" activePane="bottomRight" state="frozen"/>
      <s:selection pane="topRight" activeCell="A1" sqref="A1"/>
      <s:selection pane="bottomLeft" activeCell="A1" sqref="A1"/>
      <s:selection pane="bottomRight" activeCell="A1" sqref="A1"/>
    </s:sheetView>
  </s:sheetViews>
  <s:sheetFormatPr baseColWidth="8" defaultRowHeight="15"/>
  <s:cols>
    <s:col width="8" customWidth="1" style="7" min="1" max="1"/>
    <s:col width="24" customWidth="1" style="7" min="2" max="2"/>
    <s:col width="12" customWidth="1" style="7" min="3" max="3"/>
    <s:col width="14" customWidth="1" style="7" min="4" max="4"/>
    <s:col width="14" customWidth="1" style="7" min="5" max="5"/>
    <s:col width="14" customWidth="1" style="7" min="6" max="6"/>
    <s:col width="14" customWidth="1" style="7" min="7" max="7"/>
    <s:col width="14" customWidth="1" style="7" min="8" max="8"/>
    <s:col width="14" customWidth="1" style="7" min="9" max="9"/>
    <s:col width="16" customWidth="1" style="7" min="10" max="10"/>
    <s:col width="16" customWidth="1" style="7" min="11" max="11"/>
    <s:col width="12" customWidth="1" style="7" min="12" max="12"/>
    <s:col width="12" customWidth="1" style="7" min="13" max="13"/>
  </s:cols>
  <s:sheetData>
    <s:row r="1" ht="34" customHeight="1" s="7">
      <s:c r="A1" s="12" t="inlineStr">
        <s:is>
          <s:t>지점</s:t>
        </s:is>
      </s:c>
      <s:c r="B1" s="12" t="inlineStr">
        <s:is>
          <s:t>조사지점</s:t>
        </s:is>
      </s:c>
      <s:c r="C1" s="12" t="inlineStr">
        <s:is>
          <s:t>측정수</s:t>
        </s:is>
      </s:c>
      <s:c r="D1" s="12" t="inlineStr">
        <s:is>
          <s:t>평균</s:t>
        </s:is>
      </s:c>
      <s:c r="E1" s="12" t="inlineStr">
        <s:is>
          <s:t>중앙값</s:t>
        </s:is>
      </s:c>
      <s:c r="F1" s="12" t="inlineStr">
        <s:is>
          <s:t>표준편차</s:t>
        </s:is>
      </s:c>
      <s:c r="G1" s="12" t="inlineStr">
        <s:is>
          <s:t>변동계수</s:t>
        </s:is>
      </s:c>
      <s:c r="H1" s="12" t="inlineStr">
        <s:is>
          <s:t>최솟값</s:t>
        </s:is>
      </s:c>
      <s:c r="I1" s="12" t="inlineStr">
        <s:is>
          <s:t>최댓값</s:t>
        </s:is>
      </s:c>
      <s:c r="J1" s="12" t="inlineStr">
        <s:is>
          <s:t>제1사분위수</s:t>
        </s:is>
      </s:c>
      <s:c r="K1" s="12" t="inlineStr">
        <s:is>
          <s:t>제3사분위수</s:t>
        </s:is>
      </s:c>
      <s:c r="L1" s="12" t="inlineStr">
        <s:is>
          <s:t>평균 순위</s:t>
        </s:is>
      </s:c>
      <s:c r="M1" s="12" t="inlineStr">
        <s:is>
          <s:t>비수치 수</s:t>
        </s:is>
      </s:c>
    </s:row>
    <s:row r="2">
      <s:c r="A2" s="13" t="n">
        <s:v>1</s:v>
      </s:c>
      <s:c r="B2" s="13" t="inlineStr">
        <s:is>
          <s:t>리기다소나무림</s:t>
        </s:is>
      </s:c>
      <s:c r="C2" s="14">
        <s:f>COUNT('1'!D3:D902)</s:f>
        <s:v>900.0</s:v>
      </s:c>
      <s:c r="D2" s="15">
        <s:f>AVERAGE('1'!D3:D902)</s:f>
        <s:v>1734.5244444444445</s:v>
      </s:c>
      <s:c r="E2" s="15">
        <s:f>MEDIAN('1'!D3:D902)</s:f>
        <s:v>1746.5</s:v>
      </s:c>
      <s:c r="F2" s="15">
        <s:f>STDEV('1'!D3:D902)</s:f>
        <s:v>274.8901256126033</s:v>
      </s:c>
      <s:c r="G2" s="16">
        <s:f>F2/D2</s:f>
        <s:v>0.15848155181269216</s:v>
      </s:c>
      <s:c r="H2" s="15">
        <s:f>MIN('1'!D3:D902)</s:f>
        <s:v>1138.0</s:v>
      </s:c>
      <s:c r="I2" s="15">
        <s:f>MAX('1'!D3:D902)</s:f>
        <s:v>2392.0</s:v>
      </s:c>
      <s:c r="J2" s="15">
        <s:f>QUARTILE('1'!D3:D902,1)</s:f>
        <s:v>1472.0</s:v>
      </s:c>
      <s:c r="K2" s="15">
        <s:f>QUARTILE('1'!D3:D902,3)</s:f>
        <s:v>1950.0</s:v>
      </s:c>
      <s:c r="L2" s="14">
        <s:f>RANK(D2,$D$2:$D$11,0)</s:f>
        <s:v>7.0</s:v>
      </s:c>
      <s:c r="M2" s="15">
        <s:f>ROWS('1'!D3:D902)-COUNT('1'!D3:D902)</s:f>
        <s:v>0.0</s:v>
      </s:c>
    </s:row>
    <s:row r="3">
      <s:c r="A3" s="13" t="n">
        <s:v>2</s:v>
      </s:c>
      <s:c r="B3" s="13" t="inlineStr">
        <s:is>
          <s:t>잣나무림 a</s:t>
        </s:is>
      </s:c>
      <s:c r="C3" s="14">
        <s:f>COUNT('2'!D3:D902)</s:f>
        <s:v>900.0</s:v>
      </s:c>
      <s:c r="D3" s="15">
        <s:f>AVERAGE('2'!D3:D902)</s:f>
        <s:v>1226.44</s:v>
      </s:c>
      <s:c r="E3" s="15">
        <s:f>MEDIAN('2'!D3:D902)</s:f>
        <s:v>1187.5</s:v>
      </s:c>
      <s:c r="F3" s="15">
        <s:f>STDEV('2'!D3:D902)</s:f>
        <s:v>296.4122504257325</s:v>
      </s:c>
      <s:c r="G3" s="16">
        <s:f>F3/D3</s:f>
        <s:v>0.24168508074241912</s:v>
      </s:c>
      <s:c r="H3" s="15">
        <s:f>MIN('2'!D3:D902)</s:f>
        <s:v>718.0</s:v>
      </s:c>
      <s:c r="I3" s="15">
        <s:f>MAX('2'!D3:D902)</s:f>
        <s:v>2051.0</s:v>
      </s:c>
      <s:c r="J3" s="15">
        <s:f>QUARTILE('2'!D3:D902,1)</s:f>
        <s:v>976.5</s:v>
      </s:c>
      <s:c r="K3" s="15">
        <s:f>QUARTILE('2'!D3:D902,3)</s:f>
        <s:v>1447.0</s:v>
      </s:c>
      <s:c r="L3" s="14">
        <s:f>RANK(D3,$D$2:$D$11,0)</s:f>
        <s:v>9.0</s:v>
      </s:c>
      <s:c r="M3" s="15">
        <s:f>ROWS('2'!D3:D902)-COUNT('2'!D3:D902)</s:f>
        <s:v>0.0</s:v>
      </s:c>
    </s:row>
    <s:row r="4">
      <s:c r="A4" s="13" t="n">
        <s:v>3</s:v>
      </s:c>
      <s:c r="B4" s="13" t="inlineStr">
        <s:is>
          <s:t>버드나무림 a</s:t>
        </s:is>
      </s:c>
      <s:c r="C4" s="14">
        <s:f>COUNT('3'!D3:D902)</s:f>
        <s:v>899.0</s:v>
      </s:c>
      <s:c r="D4" s="15">
        <s:f>AVERAGE('3'!D3:D902)</s:f>
        <s:v>2445.1446051167964</s:v>
      </s:c>
      <s:c r="E4" s="15">
        <s:f>MEDIAN('3'!D3:D902)</s:f>
        <s:v>2090.0</s:v>
      </s:c>
      <s:c r="F4" s="15">
        <s:f>STDEV('3'!D3:D902)</s:f>
        <s:v>1025.5513130847528</s:v>
      </s:c>
      <s:c r="G4" s="16">
        <s:f>F4/D4</s:f>
        <s:v>0.41942358375805167</s:v>
      </s:c>
      <s:c r="H4" s="15">
        <s:f>MIN('3'!D3:D902)</s:f>
        <s:v>1020.0</s:v>
      </s:c>
      <s:c r="I4" s="15">
        <s:f>MAX('3'!D3:D902)</s:f>
        <s:v>6105.0</s:v>
      </s:c>
      <s:c r="J4" s="15">
        <s:f>QUARTILE('3'!D3:D902,1)</s:f>
        <s:v>1834.0</s:v>
      </s:c>
      <s:c r="K4" s="15">
        <s:f>QUARTILE('3'!D3:D902,3)</s:f>
        <s:v>2766.5</s:v>
      </s:c>
      <s:c r="L4" s="14">
        <s:f>RANK(D4,$D$2:$D$11,0)</s:f>
        <s:v>4.0</s:v>
      </s:c>
      <s:c r="M4" s="15">
        <s:f>ROWS('3'!D3:D902)-COUNT('3'!D3:D902)</s:f>
        <s:v>1.0</s:v>
      </s:c>
    </s:row>
    <s:row r="5">
      <s:c r="A5" s="13" t="n">
        <s:v>4</s:v>
      </s:c>
      <s:c r="B5" s="13" t="inlineStr">
        <s:is>
          <s:t>밭(대조구)</s:t>
        </s:is>
      </s:c>
      <s:c r="C5" s="14">
        <s:f>COUNT('4'!D3:D902)</s:f>
        <s:v>900.0</s:v>
      </s:c>
      <s:c r="D5" s="15">
        <s:f>AVERAGE('4'!D3:D902)</s:f>
        <s:v>470.9411111111111</s:v>
      </s:c>
      <s:c r="E5" s="15">
        <s:f>MEDIAN('4'!D3:D902)</s:f>
        <s:v>506.5</s:v>
      </s:c>
      <s:c r="F5" s="15">
        <s:f>STDEV('4'!D3:D902)</s:f>
        <s:v>303.826142177762</s:v>
      </s:c>
      <s:c r="G5" s="16">
        <s:f>F5/D5</s:f>
        <s:v>0.64514678164523</s:v>
      </s:c>
      <s:c r="H5" s="15">
        <s:f>MIN('4'!D3:D902)</s:f>
        <s:v>0.0</s:v>
      </s:c>
      <s:c r="I5" s="15">
        <s:f>MAX('4'!D3:D902)</s:f>
        <s:v>998.0</s:v>
      </s:c>
      <s:c r="J5" s="15">
        <s:f>QUARTILE('4'!D3:D902,1)</s:f>
        <s:v>176.75</s:v>
      </s:c>
      <s:c r="K5" s="15">
        <s:f>QUARTILE('4'!D3:D902,3)</s:f>
        <s:v>737.0</s:v>
      </s:c>
      <s:c r="L5" s="14">
        <s:f>RANK(D5,$D$2:$D$11,0)</s:f>
        <s:v>10.0</s:v>
      </s:c>
      <s:c r="M5" s="15">
        <s:f>ROWS('4'!D3:D902)-COUNT('4'!D3:D902)</s:f>
        <s:v>0.0</s:v>
      </s:c>
    </s:row>
    <s:row r="6">
      <s:c r="A6" s="13" t="n">
        <s:v>5</s:v>
      </s:c>
      <s:c r="B6" s="13" t="inlineStr">
        <s:is>
          <s:t>주차장(대조구)</s:t>
        </s:is>
      </s:c>
      <s:c r="C6" s="14">
        <s:f>COUNT('5'!D3:D902)</s:f>
        <s:v>900.0</s:v>
      </s:c>
      <s:c r="D6" s="15">
        <s:f>AVERAGE('5'!D3:D902)</s:f>
        <s:v>1326.0522222222223</s:v>
      </s:c>
      <s:c r="E6" s="15">
        <s:f>MEDIAN('5'!D3:D902)</s:f>
        <s:v>1345.0</s:v>
      </s:c>
      <s:c r="F6" s="15">
        <s:f>STDEV('5'!D3:D902)</s:f>
        <s:v>176.11799104364604</s:v>
      </s:c>
      <s:c r="G6" s="16">
        <s:f>F6/D6</s:f>
        <s:v>0.13281376712940032</s:v>
      </s:c>
      <s:c r="H6" s="15">
        <s:f>MIN('5'!D3:D902)</s:f>
        <s:v>977.0</s:v>
      </s:c>
      <s:c r="I6" s="15">
        <s:f>MAX('5'!D3:D902)</s:f>
        <s:v>1689.0</s:v>
      </s:c>
      <s:c r="J6" s="15">
        <s:f>QUARTILE('5'!D3:D902,1)</s:f>
        <s:v>1163.0</s:v>
      </s:c>
      <s:c r="K6" s="15">
        <s:f>QUARTILE('5'!D3:D902,3)</s:f>
        <s:v>1465.0</s:v>
      </s:c>
      <s:c r="L6" s="14">
        <s:f>RANK(D6,$D$2:$D$11,0)</s:f>
        <s:v>8.0</s:v>
      </s:c>
      <s:c r="M6" s="15">
        <s:f>ROWS('5'!D3:D902)-COUNT('5'!D3:D902)</s:f>
        <s:v>0.0</s:v>
      </s:c>
    </s:row>
    <s:row r="7">
      <s:c r="A7" s="13" t="n">
        <s:v>6</s:v>
      </s:c>
      <s:c r="B7" s="13" t="inlineStr">
        <s:is>
          <s:t>소나무림</s:t>
        </s:is>
      </s:c>
      <s:c r="C7" s="14">
        <s:f>COUNT('6'!D3:D902)</s:f>
        <s:v>900.0</s:v>
      </s:c>
      <s:c r="D7" s="15">
        <s:f>AVERAGE('6'!D3:D902)</s:f>
        <s:v>3500.188888888889</s:v>
      </s:c>
      <s:c r="E7" s="15">
        <s:f>MEDIAN('6'!D3:D902)</s:f>
        <s:v>3388.5</s:v>
      </s:c>
      <s:c r="F7" s="15">
        <s:f>STDEV('6'!D3:D902)</s:f>
        <s:v>690.777426239202</s:v>
      </s:c>
      <s:c r="G7" s="16">
        <s:f>F7/D7</s:f>
        <s:v>0.19735432805698797</s:v>
      </s:c>
      <s:c r="H7" s="15">
        <s:f>MIN('6'!D3:D902)</s:f>
        <s:v>2218.0</s:v>
      </s:c>
      <s:c r="I7" s="15">
        <s:f>MAX('6'!D3:D902)</s:f>
        <s:v>5524.0</s:v>
      </s:c>
      <s:c r="J7" s="15">
        <s:f>QUARTILE('6'!D3:D902,1)</s:f>
        <s:v>2980.5</s:v>
      </s:c>
      <s:c r="K7" s="15">
        <s:f>QUARTILE('6'!D3:D902,3)</s:f>
        <s:v>3977.0</s:v>
      </s:c>
      <s:c r="L7" s="14">
        <s:f>RANK(D7,$D$2:$D$11,0)</s:f>
        <s:v>2.0</s:v>
      </s:c>
      <s:c r="M7" s="15">
        <s:f>ROWS('6'!D3:D902)-COUNT('6'!D3:D902)</s:f>
        <s:v>0.0</s:v>
      </s:c>
    </s:row>
    <s:row r="8">
      <s:c r="A8" s="13" t="n">
        <s:v>7</s:v>
      </s:c>
      <s:c r="B8" s="13" t="inlineStr">
        <s:is>
          <s:t>일본잎갈나무림 a</s:t>
        </s:is>
      </s:c>
      <s:c r="C8" s="14">
        <s:f>COUNT('7'!D3:D902)</s:f>
        <s:v>898.0</s:v>
      </s:c>
      <s:c r="D8" s="15">
        <s:f>AVERAGE('7'!D3:D902)</s:f>
        <s:v>3057.902004454343</s:v>
      </s:c>
      <s:c r="E8" s="15">
        <s:f>MEDIAN('7'!D3:D902)</s:f>
        <s:v>2876.0</s:v>
      </s:c>
      <s:c r="F8" s="15">
        <s:f>STDEV('7'!D3:D902)</s:f>
        <s:v>1042.9540924665062</s:v>
      </s:c>
      <s:c r="G8" s="16">
        <s:f>F8/D8</s:f>
        <s:v>0.34106851395082965</s:v>
      </s:c>
      <s:c r="H8" s="15">
        <s:f>MIN('7'!D3:D902)</s:f>
        <s:v>1502.0</s:v>
      </s:c>
      <s:c r="I8" s="15">
        <s:f>MAX('7'!D3:D902)</s:f>
        <s:v>6903.0</s:v>
      </s:c>
      <s:c r="J8" s="15">
        <s:f>QUARTILE('7'!D3:D902,1)</s:f>
        <s:v>2239.5</s:v>
      </s:c>
      <s:c r="K8" s="15">
        <s:f>QUARTILE('7'!D3:D902,3)</s:f>
        <s:v>3810.75</s:v>
      </s:c>
      <s:c r="L8" s="14">
        <s:f>RANK(D8,$D$2:$D$11,0)</s:f>
        <s:v>3.0</s:v>
      </s:c>
      <s:c r="M8" s="15">
        <s:f>ROWS('7'!D3:D902)-COUNT('7'!D3:D902)</s:f>
        <s:v>2.0</s:v>
      </s:c>
    </s:row>
    <s:row r="9">
      <s:c r="A9" s="13" t="n">
        <s:v>8</s:v>
      </s:c>
      <s:c r="B9" s="13" t="inlineStr">
        <s:is>
          <s:t>버드나무림 b</s:t>
        </s:is>
      </s:c>
      <s:c r="C9" s="14">
        <s:f>COUNT('8'!D3:D902)</s:f>
        <s:v>900.0</s:v>
      </s:c>
      <s:c r="D9" s="15">
        <s:f>AVERAGE('8'!D3:D902)</s:f>
        <s:v>4866.343333333333</s:v>
      </s:c>
      <s:c r="E9" s="15">
        <s:f>MEDIAN('8'!D3:D902)</s:f>
        <s:v>4569.0</s:v>
      </s:c>
      <s:c r="F9" s="15">
        <s:f>STDEV('8'!D3:D902)</s:f>
        <s:v>1412.0554346454248</s:v>
      </s:c>
      <s:c r="G9" s="16">
        <s:f>F9/D9</s:f>
        <s:v>0.2901676552439631</s:v>
      </s:c>
      <s:c r="H9" s="15">
        <s:f>MIN('8'!D3:D902)</s:f>
        <s:v>2167.0</s:v>
      </s:c>
      <s:c r="I9" s="15">
        <s:f>MAX('8'!D3:D902)</s:f>
        <s:v>8645.0</s:v>
      </s:c>
      <s:c r="J9" s="15">
        <s:f>QUARTILE('8'!D3:D902,1)</s:f>
        <s:v>3874.0</s:v>
      </s:c>
      <s:c r="K9" s="15">
        <s:f>QUARTILE('8'!D3:D902,3)</s:f>
        <s:v>5517.25</s:v>
      </s:c>
      <s:c r="L9" s="14">
        <s:f>RANK(D9,$D$2:$D$11,0)</s:f>
        <s:v>1.0</s:v>
      </s:c>
      <s:c r="M9" s="15">
        <s:f>ROWS('8'!D3:D902)-COUNT('8'!D3:D902)</s:f>
        <s:v>0.0</s:v>
      </s:c>
    </s:row>
    <s:row r="10">
      <s:c r="A10" s="13" t="n">
        <s:v>9</s:v>
      </s:c>
      <s:c r="B10" s="13" t="inlineStr">
        <s:is>
          <s:t>일본잎갈나무림 b</s:t>
        </s:is>
      </s:c>
      <s:c r="C10" s="14">
        <s:f>COUNT('9'!D3:D902)</s:f>
        <s:v>900.0</s:v>
      </s:c>
      <s:c r="D10" s="15">
        <s:f>AVERAGE('9'!D3:D902)</s:f>
        <s:v>1847.5444444444445</s:v>
      </s:c>
      <s:c r="E10" s="15">
        <s:f>MEDIAN('9'!D3:D902)</s:f>
        <s:v>1700.5</s:v>
      </s:c>
      <s:c r="F10" s="15">
        <s:f>STDEV('9'!D3:D902)</s:f>
        <s:v>523.0689420678461</s:v>
      </s:c>
      <s:c r="G10" s="16">
        <s:f>F10/D10</s:f>
        <s:v>0.28311575596501154</s:v>
      </s:c>
      <s:c r="H10" s="15">
        <s:f>MIN('9'!D3:D902)</s:f>
        <s:v>1081.0</s:v>
      </s:c>
      <s:c r="I10" s="15">
        <s:f>MAX('9'!D3:D902)</s:f>
        <s:v>3228.0</s:v>
      </s:c>
      <s:c r="J10" s="15">
        <s:f>QUARTILE('9'!D3:D902,1)</s:f>
        <s:v>1389.75</s:v>
      </s:c>
      <s:c r="K10" s="15">
        <s:f>QUARTILE('9'!D3:D902,3)</s:f>
        <s:v>2270.5</s:v>
      </s:c>
      <s:c r="L10" s="14">
        <s:f>RANK(D10,$D$2:$D$11,0)</s:f>
        <s:v>5.0</s:v>
      </s:c>
      <s:c r="M10" s="15">
        <s:f>ROWS('9'!D3:D902)-COUNT('9'!D3:D902)</s:f>
        <s:v>0.0</s:v>
      </s:c>
    </s:row>
    <s:row r="11">
      <s:c r="A11" s="13" t="n">
        <s:v>10</s:v>
      </s:c>
      <s:c r="B11" s="13" t="inlineStr">
        <s:is>
          <s:t>잣나무림 b</s:t>
        </s:is>
      </s:c>
      <s:c r="C11" s="14">
        <s:f>COUNT('10'!D3:D902)</s:f>
        <s:v>899.0</s:v>
      </s:c>
      <s:c r="D11" s="15">
        <s:f>AVERAGE('10'!D3:D902)</s:f>
        <s:v>1816.0011123470522</s:v>
      </s:c>
      <s:c r="E11" s="15">
        <s:f>MEDIAN('10'!D3:D902)</s:f>
        <s:v>1779.0</s:v>
      </s:c>
      <s:c r="F11" s="15">
        <s:f>STDEV('10'!D3:D902)</s:f>
        <s:v>318.59907536402983</s:v>
      </s:c>
      <s:c r="G11" s="16">
        <s:f>F11/D11</s:f>
        <s:v>0.175439912012093</s:v>
      </s:c>
      <s:c r="H11" s="15">
        <s:f>MIN('10'!D3:D902)</s:f>
        <s:v>1241.0</s:v>
      </s:c>
      <s:c r="I11" s="15">
        <s:f>MAX('10'!D3:D902)</s:f>
        <s:v>2737.0</s:v>
      </s:c>
      <s:c r="J11" s="15">
        <s:f>QUARTILE('10'!D3:D902,1)</s:f>
        <s:v>1598.5</s:v>
      </s:c>
      <s:c r="K11" s="15">
        <s:f>QUARTILE('10'!D3:D902,3)</s:f>
        <s:v>1974.5</s:v>
      </s:c>
      <s:c r="L11" s="14">
        <s:f>RANK(D11,$D$2:$D$11,0)</s:f>
        <s:v>6.0</s:v>
      </s:c>
      <s:c r="M11" s="15">
        <s:f>ROWS('10'!D3:D902)-COUNT('10'!D3:D902)</s:f>
        <s:v>1.0</s:v>
      </s:c>
    </s:row>
  </s:sheetData>
  <s:autoFilter ref="A1:M11"/>
  <s:pageMargins left="0.75" right="0.75" top="1" bottom="1" header="0.5" footer="0.5"/>
</s:worksheet>
</file>

<file path=xl/worksheets/sheet13.xml><?xml version="1.0" encoding="utf-8"?>
<s:worksheet xmlns:s="http://schemas.openxmlformats.org/spreadsheetml/2006/main">
  <s:sheetPr>
    <s:outlinePr summaryBelow="1" summaryRight="1"/>
    <s:pageSetUpPr/>
  </s:sheetPr>
  <s:dimension ref="A1:J11"/>
  <s:sheetViews>
    <s:sheetView workbookViewId="0">
      <s:pane xSplit="2" ySplit="1" topLeftCell="C2" activePane="bottomRight" state="frozen"/>
      <s:selection pane="topRight" activeCell="A1" sqref="A1"/>
      <s:selection pane="bottomLeft" activeCell="A1" sqref="A1"/>
      <s:selection pane="bottomRight" activeCell="A1" sqref="A1"/>
    </s:sheetView>
  </s:sheetViews>
  <s:sheetFormatPr baseColWidth="8" defaultRowHeight="15"/>
  <s:cols>
    <s:col width="8" customWidth="1" style="7" min="1" max="1"/>
    <s:col width="24" customWidth="1" style="7" min="2" max="2"/>
    <s:col width="25" customWidth="1" style="7" min="3" max="3"/>
    <s:col width="25" customWidth="1" style="7" min="4" max="4"/>
    <s:col width="19" customWidth="1" style="7" min="5" max="5"/>
    <s:col width="19" customWidth="1" style="7" min="6" max="6"/>
    <s:col width="19" customWidth="1" style="7" min="7" max="7"/>
    <s:col width="14" customWidth="1" style="7" min="8" max="8"/>
    <s:col width="20" customWidth="1" style="7" min="9" max="9"/>
    <s:col width="18" customWidth="1" style="7" min="10" max="10"/>
  </s:cols>
  <s:sheetData>
    <s:row r="1" ht="34" customHeight="1" s="7">
      <s:c r="A1" s="12" t="inlineStr">
        <s:is>
          <s:t>지점</s:t>
        </s:is>
      </s:c>
      <s:c r="B1" s="12" t="inlineStr">
        <s:is>
          <s:t>조사지점</s:t>
        </s:is>
      </s:c>
      <s:c r="C1" s="12" t="inlineStr">
        <s:is>
          <s:t>시작일시</s:t>
        </s:is>
      </s:c>
      <s:c r="D1" s="12" t="inlineStr">
        <s:is>
          <s:t>종료일시</s:t>
        </s:is>
      </s:c>
      <s:c r="E1" s="12" t="inlineStr">
        <s:is>
          <s:t>최초 60초 평균</s:t>
        </s:is>
      </s:c>
      <s:c r="F1" s="12" t="inlineStr">
        <s:is>
          <s:t>최종 60초 평균</s:t>
        </s:is>
      </s:c>
      <s:c r="G1" s="12" t="inlineStr">
        <s:is>
          <s:t>최종-최초 차이</s:t>
        </s:is>
      </s:c>
      <s:c r="H1" s="12" t="inlineStr">
        <s:is>
          <s:t>변화율</s:t>
        </s:is>
      </s:c>
      <s:c r="I1" s="12" t="inlineStr">
        <s:is>
          <s:t>선형기울기 /분</s:t>
        </s:is>
      </s:c>
      <s:c r="J1" s="12" t="inlineStr">
        <s:is>
          <s:t>1초 지연 상관</s:t>
        </s:is>
      </s:c>
    </s:row>
    <s:row r="2">
      <s:c r="A2" s="13" t="n">
        <s:v>1</s:v>
      </s:c>
      <s:c r="B2" s="13" t="inlineStr">
        <s:is>
          <s:t>리기다소나무림</s:t>
        </s:is>
      </s:c>
      <s:c r="C2" s="25">
        <s:f>'1'!F3</s:f>
        <s:v>46247.56017361111</s:v>
      </s:c>
      <s:c r="D2" s="25">
        <s:f>'1'!F902</s:f>
        <s:v>46247.5705787037</s:v>
      </s:c>
      <s:c r="E2" s="15">
        <s:f>AVERAGE('1'!D3:D62)</s:f>
        <s:v>1888.7166666666667</s:v>
      </s:c>
      <s:c r="F2" s="15">
        <s:f>AVERAGE('1'!D843:D902)</s:f>
        <s:v>1962.5666666666666</s:v>
      </s:c>
      <s:c r="G2" s="15">
        <s:f>F2-E2</s:f>
        <s:v>73.84999999999991</s:v>
      </s:c>
      <s:c r="H2" s="16">
        <s:f>F2/E2-1</s:f>
        <s:v>0.03910062388041258</s:v>
      </s:c>
      <s:c r="I2" s="15">
        <s:f>SLOPE('1'!D3:D902,'1'!F3:F902)/1440</s:f>
        <s:v>14.578431825224564</s:v>
      </s:c>
      <s:c r="J2" s="18">
        <s:f>CORREL('1'!D3:D901,'1'!D4:D902)</s:f>
        <s:v>0.9923624243009387</s:v>
      </s:c>
    </s:row>
    <s:row r="3">
      <s:c r="A3" s="13" t="n">
        <s:v>2</s:v>
      </s:c>
      <s:c r="B3" s="13" t="inlineStr">
        <s:is>
          <s:t>잣나무림 a</s:t>
        </s:is>
      </s:c>
      <s:c r="C3" s="25">
        <s:f>'2'!F3</s:f>
        <s:v>46247.541909722226</s:v>
      </s:c>
      <s:c r="D3" s="25">
        <s:f>'2'!F902</s:f>
        <s:v>46247.55231481481</s:v>
      </s:c>
      <s:c r="E3" s="15">
        <s:f>AVERAGE('2'!D3:D62)</s:f>
        <s:v>1594.85</s:v>
      </s:c>
      <s:c r="F3" s="15">
        <s:f>AVERAGE('2'!D843:D902)</s:f>
        <s:v>1382.2166666666667</s:v>
      </s:c>
      <s:c r="G3" s="15">
        <s:f>F3-E3</s:f>
        <s:v>-212.6333333333332</s:v>
      </s:c>
      <s:c r="H3" s="16">
        <s:f>F3/E3-1</s:f>
        <s:v>-0.1333249730904682</s:v>
      </s:c>
      <s:c r="I3" s="15">
        <s:f>SLOPE('2'!D3:D902,'2'!F3:F902)/1440</s:f>
        <s:v>3.0173360707852943</s:v>
      </s:c>
      <s:c r="J3" s="18">
        <s:f>CORREL('2'!D3:D901,'2'!D4:D902)</s:f>
        <s:v>0.9955875161713704</s:v>
      </s:c>
    </s:row>
    <s:row r="4">
      <s:c r="A4" s="13" t="n">
        <s:v>3</s:v>
      </s:c>
      <s:c r="B4" s="13" t="inlineStr">
        <s:is>
          <s:t>버드나무림 a</s:t>
        </s:is>
      </s:c>
      <s:c r="C4" s="25">
        <s:f>'3'!F3</s:f>
        <s:v>46247.524502314816</s:v>
      </s:c>
      <s:c r="D4" s="25">
        <s:f>'3'!F902</s:f>
        <s:v>46247.534907407404</s:v>
      </s:c>
      <s:c r="E4" s="15">
        <s:f>AVERAGE('3'!D3:D62)</s:f>
        <s:v>1637.45</s:v>
      </s:c>
      <s:c r="F4" s="15">
        <s:f>AVERAGE('3'!D843:D902)</s:f>
        <s:v>1535.1166666666666</s:v>
      </s:c>
      <s:c r="G4" s="15">
        <s:f>F4-E4</s:f>
        <s:v>-102.33333333333348</s:v>
      </s:c>
      <s:c r="H4" s="16">
        <s:f>F4/E4-1</s:f>
        <s:v>-0.06249554693782011</s:v>
      </s:c>
      <s:c r="I4" s="15">
        <s:f>SLOPE('3'!D3:D902,'3'!F3:F902)/1440</s:f>
        <s:v>44.40596302779911</s:v>
      </s:c>
      <s:c r="J4" s="18">
        <s:f>CORREL('3'!D3:D901,'3'!D4:D902)</s:f>
        <s:v>0.9980081587048457</s:v>
      </s:c>
    </s:row>
    <s:row r="5">
      <s:c r="A5" s="13" t="n">
        <s:v>4</s:v>
      </s:c>
      <s:c r="B5" s="13" t="inlineStr">
        <s:is>
          <s:t>밭(대조구)</s:t>
        </s:is>
      </s:c>
      <s:c r="C5" s="25">
        <s:f>'4'!F3</s:f>
        <s:v>46247.47861111111</s:v>
      </s:c>
      <s:c r="D5" s="25">
        <s:f>'4'!F902</s:f>
        <s:v>46247.489016203705</s:v>
      </s:c>
      <s:c r="E5" s="15">
        <s:f>AVERAGE('4'!D3:D62)</s:f>
        <s:v>613.4833333333333</s:v>
      </s:c>
      <s:c r="F5" s="15">
        <s:f>AVERAGE('4'!D843:D902)</s:f>
        <s:v>296.53333333333336</s:v>
      </s:c>
      <s:c r="G5" s="15">
        <s:f>F5-E5</s:f>
        <s:v>-316.95</s:v>
      </s:c>
      <s:c r="H5" s="16">
        <s:f>F5/E5-1</s:f>
        <s:v>-0.5166399521856068</s:v>
      </s:c>
      <s:c r="I5" s="15">
        <s:f>SLOPE('4'!D3:D902,'4'!F3:F902)/1440</s:f>
        <s:v>-18.365395019006176</s:v>
      </s:c>
      <s:c r="J5" s="18">
        <s:f>CORREL('4'!D3:D901,'4'!D4:D902)</s:f>
        <s:v>0.8538798198734531</s:v>
      </s:c>
    </s:row>
    <s:row r="6">
      <s:c r="A6" s="13" t="n">
        <s:v>5</s:v>
      </s:c>
      <s:c r="B6" s="13" t="inlineStr">
        <s:is>
          <s:t>주차장(대조구)</s:t>
        </s:is>
      </s:c>
      <s:c r="C6" s="25">
        <s:f>'5'!F3</s:f>
        <s:v>46247.450266203705</s:v>
      </s:c>
      <s:c r="D6" s="25">
        <s:f>'5'!F902</s:f>
        <s:v>46247.4606712963</s:v>
      </s:c>
      <s:c r="E6" s="15">
        <s:f>AVERAGE('5'!D3:D62)</s:f>
        <s:v>1093.15</s:v>
      </s:c>
      <s:c r="F6" s="15">
        <s:f>AVERAGE('5'!D843:D902)</s:f>
        <s:v>1541.8</s:v>
      </s:c>
      <s:c r="G6" s="15">
        <s:f>F6-E6</s:f>
        <s:v>448.64999999999986</s:v>
      </s:c>
      <s:c r="H6" s="16">
        <s:f>F6/E6-1</s:f>
        <s:v>0.41041943008736204</s:v>
      </s:c>
      <s:c r="I6" s="15">
        <s:f>SLOPE('5'!D3:D902,'5'!F3:F902)/1440</s:f>
        <s:v>20.080026271637333</s:v>
      </s:c>
      <s:c r="J6" s="18">
        <s:f>CORREL('5'!D3:D901,'5'!D4:D902)</s:f>
        <s:v>0.9946079361180198</s:v>
      </s:c>
    </s:row>
    <s:row r="7">
      <s:c r="A7" s="13" t="n">
        <s:v>6</s:v>
      </s:c>
      <s:c r="B7" s="13" t="inlineStr">
        <s:is>
          <s:t>소나무림</s:t>
        </s:is>
      </s:c>
      <s:c r="C7" s="25">
        <s:f>'6'!F3</s:f>
        <s:v>46247.430810185186</s:v>
      </s:c>
      <s:c r="D7" s="25">
        <s:f>'6'!F902</s:f>
        <s:v>46247.44121527778</s:v>
      </s:c>
      <s:c r="E7" s="15">
        <s:f>AVERAGE('6'!D3:D62)</s:f>
        <s:v>3282.733333333333</s:v>
      </s:c>
      <s:c r="F7" s="15">
        <s:f>AVERAGE('6'!D843:D902)</s:f>
        <s:v>2676.35</s:v>
      </s:c>
      <s:c r="G7" s="15">
        <s:f>F7-E7</s:f>
        <s:v>-606.3833333333332</s:v>
      </s:c>
      <s:c r="H7" s="16">
        <s:f>F7/E7-1</s:f>
        <s:v>-0.1847190349505493</s:v>
      </s:c>
      <s:c r="I7" s="15">
        <s:f>SLOPE('6'!D3:D902,'6'!F3:F902)/1440</s:f>
        <s:v>-59.042540052518355</s:v>
      </s:c>
      <s:c r="J7" s="18">
        <s:f>CORREL('6'!D3:D901,'6'!D4:D902)</s:f>
        <s:v>0.9944711706037915</s:v>
      </s:c>
    </s:row>
    <s:row r="8">
      <s:c r="A8" s="13" t="n">
        <s:v>7</s:v>
      </s:c>
      <s:c r="B8" s="13" t="inlineStr">
        <s:is>
          <s:t>일본잎갈나무림 a</s:t>
        </s:is>
      </s:c>
      <s:c r="C8" s="25">
        <s:f>'7'!F3</s:f>
        <s:v>46247.408159722225</s:v>
      </s:c>
      <s:c r="D8" s="25">
        <s:f>'7'!F902</s:f>
        <s:v>46247.41856481481</s:v>
      </s:c>
      <s:c r="E8" s="15">
        <s:f>AVERAGE('7'!D3:D62)</s:f>
        <s:v>2599.9333333333334</s:v>
      </s:c>
      <s:c r="F8" s="15">
        <s:f>AVERAGE('7'!D843:D902)</s:f>
        <s:v>3776.6833333333334</s:v>
      </s:c>
      <s:c r="G8" s="15">
        <s:f>F8-E8</s:f>
        <s:v>1176.75</s:v>
      </s:c>
      <s:c r="H8" s="16">
        <s:f>F8/E8-1</s:f>
        <s:v>0.4526077591733122</s:v>
      </s:c>
      <s:c r="I8" s="15">
        <s:f>SLOPE('7'!D3:D902,'7'!F3:F902)/1440</s:f>
        <s:v>-67.28066727348381</s:v>
      </s:c>
      <s:c r="J8" s="18">
        <s:f>CORREL('7'!D3:D901,'7'!D4:D902)</s:f>
        <s:v>0.9949019329677299</s:v>
      </s:c>
    </s:row>
    <s:row r="9">
      <s:c r="A9" s="13" t="n">
        <s:v>8</s:v>
      </s:c>
      <s:c r="B9" s="13" t="inlineStr">
        <s:is>
          <s:t>버드나무림 b</s:t>
        </s:is>
      </s:c>
      <s:c r="C9" s="25">
        <s:f>'8'!F3</s:f>
        <s:v>46247.38396990741</s:v>
      </s:c>
      <s:c r="D9" s="25">
        <s:f>'8'!F902</s:f>
        <s:v>46247.394375</s:v>
      </s:c>
      <s:c r="E9" s="15">
        <s:f>AVERAGE('8'!D3:D62)</s:f>
        <s:v>5389.433333333333</s:v>
      </s:c>
      <s:c r="F9" s="15">
        <s:f>AVERAGE('8'!D843:D902)</s:f>
        <s:v>3618.3166666666666</s:v>
      </s:c>
      <s:c r="G9" s="15">
        <s:f>F9-E9</s:f>
        <s:v>-1771.1166666666668</s:v>
      </s:c>
      <s:c r="H9" s="16">
        <s:f>F9/E9-1</s:f>
        <s:v>-0.32862762318858507</s:v>
      </s:c>
      <s:c r="I9" s="15">
        <s:f>SLOPE('8'!D3:D902,'8'!F3:F902)/1440</s:f>
        <s:v>-25.962047360552244</s:v>
      </s:c>
      <s:c r="J9" s="18">
        <s:f>CORREL('8'!D3:D901,'8'!D4:D902)</s:f>
        <s:v>0.9960188268559484</s:v>
      </s:c>
    </s:row>
    <s:row r="10">
      <s:c r="A10" s="13" t="n">
        <s:v>9</s:v>
      </s:c>
      <s:c r="B10" s="13" t="inlineStr">
        <s:is>
          <s:t>일본잎갈나무림 b</s:t>
        </s:is>
      </s:c>
      <s:c r="C10" s="25">
        <s:f>'9'!F3</s:f>
        <s:v>46247.36615740741</s:v>
      </s:c>
      <s:c r="D10" s="25">
        <s:f>'9'!F902</s:f>
        <s:v>46247.3765625</s:v>
      </s:c>
      <s:c r="E10" s="15">
        <s:f>AVERAGE('9'!D3:D62)</s:f>
        <s:v>1216.8666666666666</s:v>
      </s:c>
      <s:c r="F10" s="15">
        <s:f>AVERAGE('9'!D843:D902)</s:f>
        <s:v>1582.5666666666666</s:v>
      </s:c>
      <s:c r="G10" s="15">
        <s:f>F10-E10</s:f>
        <s:v>365.70000000000005</s:v>
      </s:c>
      <s:c r="H10" s="16">
        <s:f>F10/E10-1</s:f>
        <s:v>0.3005259409412151</s:v>
      </s:c>
      <s:c r="I10" s="15">
        <s:f>SLOPE('9'!D3:D902,'9'!F3:F902)/1440</s:f>
        <s:v>57.48585961217238</s:v>
      </s:c>
      <s:c r="J10" s="18">
        <s:f>CORREL('9'!D3:D901,'9'!D4:D902)</s:f>
        <s:v>0.997989106490701</s:v>
      </s:c>
    </s:row>
    <s:row r="11">
      <s:c r="A11" s="13" t="n">
        <s:v>10</s:v>
      </s:c>
      <s:c r="B11" s="13" t="inlineStr">
        <s:is>
          <s:t>잣나무림 b</s:t>
        </s:is>
      </s:c>
      <s:c r="C11" s="25">
        <s:f>'10'!F3</s:f>
        <s:v>46247.33693287037</s:v>
      </s:c>
      <s:c r="D11" s="25">
        <s:f>'10'!F902</s:f>
        <s:v>46247.347337962965</s:v>
      </s:c>
      <s:c r="E11" s="15">
        <s:f>AVERAGE('10'!D3:D62)</s:f>
        <s:v>1770.8666666666666</s:v>
      </s:c>
      <s:c r="F11" s="15">
        <s:f>AVERAGE('10'!D843:D902)</s:f>
        <s:v>1400.3166666666666</s:v>
      </s:c>
      <s:c r="G11" s="15">
        <s:f>F11-E11</s:f>
        <s:v>-370.54999999999995</s:v>
      </s:c>
      <s:c r="H11" s="16">
        <s:f>F11/E11-1</s:f>
        <s:v>-0.20924782592327673</s:v>
      </s:c>
      <s:c r="I11" s="15">
        <s:f>SLOPE('10'!D3:D902,'10'!F3:F902)/1440</s:f>
        <s:v>-16.693099153933286</s:v>
      </s:c>
      <s:c r="J11" s="18">
        <s:f>CORREL('10'!D3:D901,'10'!D4:D902)</s:f>
        <s:v>0.9948954443420299</s:v>
      </s:c>
    </s:row>
  </s:sheetData>
  <s:autoFilter ref="A1:J11"/>
  <s:pageMargins left="0.75" right="0.75" top="1" bottom="1" header="0.5" footer="0.5"/>
</s:worksheet>
</file>

<file path=xl/worksheets/sheet14.xml><?xml version="1.0" encoding="utf-8"?>
<s:worksheet xmlns:s="http://schemas.openxmlformats.org/spreadsheetml/2006/main">
  <s:sheetPr>
    <s:outlinePr summaryBelow="1" summaryRight="1"/>
    <s:pageSetUpPr/>
  </s:sheetPr>
  <s:dimension ref="A1:L16"/>
  <s:sheetViews>
    <s:sheetView workbookViewId="0">
      <s:pane xSplit="2" ySplit="1" topLeftCell="C2" activePane="bottomRight" state="frozen"/>
      <s:selection pane="topRight" activeCell="A1" sqref="A1"/>
      <s:selection pane="bottomLeft" activeCell="A1" sqref="A1"/>
      <s:selection pane="bottomRight" activeCell="A1" sqref="A1"/>
    </s:sheetView>
  </s:sheetViews>
  <s:sheetFormatPr baseColWidth="8" defaultRowHeight="15"/>
  <s:cols>
    <s:col width="8" customWidth="1" style="7" min="1" max="1"/>
    <s:col width="22" customWidth="1" style="7" min="2" max="2"/>
    <s:col width="23" customWidth="1" style="7" min="3" max="3"/>
    <s:col width="23" customWidth="1" style="7" min="4" max="4"/>
    <s:col width="23" customWidth="1" style="7" min="5" max="5"/>
    <s:col width="23" customWidth="1" style="7" min="6" max="6"/>
    <s:col width="23" customWidth="1" style="7" min="7" max="7"/>
    <s:col width="23" customWidth="1" style="7" min="8" max="8"/>
    <s:col width="23" customWidth="1" style="7" min="9" max="9"/>
    <s:col width="23" customWidth="1" style="7" min="10" max="10"/>
    <s:col width="23" customWidth="1" style="7" min="11" max="11"/>
    <s:col width="23" customWidth="1" style="7" min="12" max="12"/>
  </s:cols>
  <s:sheetData>
    <s:row r="1" ht="34" customHeight="1" s="7">
      <s:c r="A1" s="12" t="inlineStr">
        <s:is>
          <s:t>구간</s:t>
        </s:is>
      </s:c>
      <s:c r="B1" s="12" t="inlineStr">
        <s:is>
          <s:t>경과시간 시작(초)</s:t>
        </s:is>
      </s:c>
      <s:c r="C1" s="12" t="inlineStr">
        <s:is>
          <s:t>리기다소나무림</s:t>
        </s:is>
      </s:c>
      <s:c r="D1" s="12" t="inlineStr">
        <s:is>
          <s:t>잣나무림 a</s:t>
        </s:is>
      </s:c>
      <s:c r="E1" s="12" t="inlineStr">
        <s:is>
          <s:t>버드나무림 a</s:t>
        </s:is>
      </s:c>
      <s:c r="F1" s="12" t="inlineStr">
        <s:is>
          <s:t>밭(대조구)</s:t>
        </s:is>
      </s:c>
      <s:c r="G1" s="12" t="inlineStr">
        <s:is>
          <s:t>주차장(대조구)</s:t>
        </s:is>
      </s:c>
      <s:c r="H1" s="12" t="inlineStr">
        <s:is>
          <s:t>소나무림</s:t>
        </s:is>
      </s:c>
      <s:c r="I1" s="12" t="inlineStr">
        <s:is>
          <s:t>일본잎갈나무림 a</s:t>
        </s:is>
      </s:c>
      <s:c r="J1" s="12" t="inlineStr">
        <s:is>
          <s:t>버드나무림 b</s:t>
        </s:is>
      </s:c>
      <s:c r="K1" s="12" t="inlineStr">
        <s:is>
          <s:t>일본잎갈나무림 b</s:t>
        </s:is>
      </s:c>
      <s:c r="L1" s="12" t="inlineStr">
        <s:is>
          <s:t>잣나무림 b</s:t>
        </s:is>
      </s:c>
    </s:row>
    <s:row r="2">
      <s:c r="A2" s="13" t="n">
        <s:v>1</s:v>
      </s:c>
      <s:c r="B2" s="13" t="n">
        <s:v>0</s:v>
      </s:c>
      <s:c r="C2" s="15">
        <s:f>AVERAGE('1'!D3:D62)</s:f>
        <s:v>1888.7166666666667</s:v>
      </s:c>
      <s:c r="D2" s="15">
        <s:f>AVERAGE('2'!D3:D62)</s:f>
        <s:v>1594.85</s:v>
      </s:c>
      <s:c r="E2" s="15">
        <s:f>AVERAGE('3'!D3:D62)</s:f>
        <s:v>1637.45</s:v>
      </s:c>
      <s:c r="F2" s="15">
        <s:f>AVERAGE('4'!D3:D62)</s:f>
        <s:v>613.4833333333333</s:v>
      </s:c>
      <s:c r="G2" s="15">
        <s:f>AVERAGE('5'!D3:D62)</s:f>
        <s:v>1093.15</s:v>
      </s:c>
      <s:c r="H2" s="15">
        <s:f>AVERAGE('6'!D3:D62)</s:f>
        <s:v>3282.733333333333</s:v>
      </s:c>
      <s:c r="I2" s="15">
        <s:f>AVERAGE('7'!D3:D62)</s:f>
        <s:v>2599.9333333333334</s:v>
      </s:c>
      <s:c r="J2" s="15">
        <s:f>AVERAGE('8'!D3:D62)</s:f>
        <s:v>5389.433333333333</s:v>
      </s:c>
      <s:c r="K2" s="15">
        <s:f>AVERAGE('9'!D3:D62)</s:f>
        <s:v>1216.8666666666666</s:v>
      </s:c>
      <s:c r="L2" s="15">
        <s:f>AVERAGE('10'!D3:D62)</s:f>
        <s:v>1770.8666666666666</s:v>
      </s:c>
    </s:row>
    <s:row r="3">
      <s:c r="A3" s="13" t="n">
        <s:v>2</s:v>
      </s:c>
      <s:c r="B3" s="13" t="n">
        <s:v>60</s:v>
      </s:c>
      <s:c r="C3" s="15">
        <s:f>AVERAGE('1'!D63:D122)</s:f>
        <s:v>1558.7166666666667</s:v>
      </s:c>
      <s:c r="D3" s="15">
        <s:f>AVERAGE('2'!D63:D122)</s:f>
        <s:v>1132.1666666666667</s:v>
      </s:c>
      <s:c r="E3" s="15">
        <s:f>AVERAGE('3'!D63:D122)</s:f>
        <s:v>2086.65</s:v>
      </s:c>
      <s:c r="F3" s="15">
        <s:f>AVERAGE('4'!D63:D122)</s:f>
        <s:v>592.9333333333333</s:v>
      </s:c>
      <s:c r="G3" s="15">
        <s:f>AVERAGE('5'!D63:D122)</s:f>
        <s:v>1335.0166666666667</s:v>
      </s:c>
      <s:c r="H3" s="15">
        <s:f>AVERAGE('6'!D63:D122)</s:f>
        <s:v>3989.3333333333335</s:v>
      </s:c>
      <s:c r="I3" s="15">
        <s:f>AVERAGE('7'!D63:D122)</s:f>
        <s:v>3290.4333333333334</s:v>
      </s:c>
      <s:c r="J3" s="15">
        <s:f>AVERAGE('8'!D63:D122)</s:f>
        <s:v>3970.116666666667</s:v>
      </s:c>
      <s:c r="K3" s="15">
        <s:f>AVERAGE('9'!D63:D122)</s:f>
        <s:v>1211.3833333333334</s:v>
      </s:c>
      <s:c r="L3" s="15">
        <s:f>AVERAGE('10'!D63:D122)</s:f>
        <s:v>2021.2</s:v>
      </s:c>
    </s:row>
    <s:row r="4">
      <s:c r="A4" s="13" t="n">
        <s:v>3</s:v>
      </s:c>
      <s:c r="B4" s="13" t="n">
        <s:v>120</s:v>
      </s:c>
      <s:c r="C4" s="15">
        <s:f>AVERAGE('1'!D123:D182)</s:f>
        <s:v>1594.3</s:v>
      </s:c>
      <s:c r="D4" s="15">
        <s:f>AVERAGE('2'!D123:D182)</s:f>
        <s:v>994.6666666666666</s:v>
      </s:c>
      <s:c r="E4" s="15">
        <s:f>AVERAGE('3'!D123:D182)</s:f>
        <s:v>1688.1833333333334</s:v>
      </s:c>
      <s:c r="F4" s="15">
        <s:f>AVERAGE('4'!D123:D182)</s:f>
        <s:v>654.6333333333333</s:v>
      </s:c>
      <s:c r="G4" s="15">
        <s:f>AVERAGE('5'!D123:D182)</s:f>
        <s:v>1306.7666666666667</s:v>
      </s:c>
      <s:c r="H4" s="15">
        <s:f>AVERAGE('6'!D123:D182)</s:f>
        <s:v>3441.45</s:v>
      </s:c>
      <s:c r="I4" s="15">
        <s:f>AVERAGE('7'!D123:D182)</s:f>
        <s:v>4139.733333333334</s:v>
      </s:c>
      <s:c r="J4" s="15">
        <s:f>AVERAGE('8'!D123:D182)</s:f>
        <s:v>3615.15</s:v>
      </s:c>
      <s:c r="K4" s="15">
        <s:f>AVERAGE('9'!D123:D182)</s:f>
        <s:v>1419.1666666666667</s:v>
      </s:c>
      <s:c r="L4" s="15">
        <s:f>AVERAGE('10'!D123:D182)</s:f>
        <s:v>1946.85</s:v>
      </s:c>
    </s:row>
    <s:row r="5">
      <s:c r="A5" s="13" t="n">
        <s:v>4</s:v>
      </s:c>
      <s:c r="B5" s="13" t="n">
        <s:v>180</s:v>
      </s:c>
      <s:c r="C5" s="15">
        <s:f>AVERAGE('1'!D183:D242)</s:f>
        <s:v>1551.1666666666667</s:v>
      </s:c>
      <s:c r="D5" s="15">
        <s:f>AVERAGE('2'!D183:D242)</s:f>
        <s:v>878.2333333333333</s:v>
      </s:c>
      <s:c r="E5" s="15">
        <s:f>AVERAGE('3'!D183:D242)</s:f>
        <s:v>1788.75</s:v>
      </s:c>
      <s:c r="F5" s="15">
        <s:f>AVERAGE('4'!D183:D242)</s:f>
        <s:v>499.2</s:v>
      </s:c>
      <s:c r="G5" s="15">
        <s:f>AVERAGE('5'!D183:D242)</s:f>
        <s:v>1125.9333333333334</s:v>
      </s:c>
      <s:c r="H5" s="15">
        <s:f>AVERAGE('6'!D183:D242)</s:f>
        <s:v>3765.2833333333333</s:v>
      </s:c>
      <s:c r="I5" s="15">
        <s:f>AVERAGE('7'!D183:D242)</s:f>
        <s:v>4246.566666666667</s:v>
      </s:c>
      <s:c r="J5" s="15">
        <s:f>AVERAGE('8'!D183:D242)</s:f>
        <s:v>4026.1666666666665</s:v>
      </s:c>
      <s:c r="K5" s="15">
        <s:f>AVERAGE('9'!D183:D242)</s:f>
        <s:v>2237.8333333333335</s:v>
      </s:c>
      <s:c r="L5" s="15">
        <s:f>AVERAGE('10'!D183:D242)</s:f>
        <s:v>2301.85</s:v>
      </s:c>
    </s:row>
    <s:row r="6">
      <s:c r="A6" s="13" t="n">
        <s:v>5</s:v>
      </s:c>
      <s:c r="B6" s="13" t="n">
        <s:v>240</s:v>
      </s:c>
      <s:c r="C6" s="15">
        <s:f>AVERAGE('1'!D243:D302)</s:f>
        <s:v>1528.8166666666666</s:v>
      </s:c>
      <s:c r="D6" s="15">
        <s:f>AVERAGE('2'!D243:D302)</s:f>
        <s:v>830.7166666666667</s:v>
      </s:c>
      <s:c r="E6" s="15">
        <s:f>AVERAGE('3'!D243:D302)</s:f>
        <s:v>2075.7833333333333</s:v>
      </s:c>
      <s:c r="F6" s="15">
        <s:f>AVERAGE('4'!D243:D302)</s:f>
        <s:v>265.6666666666667</s:v>
      </s:c>
      <s:c r="G6" s="15">
        <s:f>AVERAGE('5'!D243:D302)</s:f>
        <s:v>1091.3</s:v>
      </s:c>
      <s:c r="H6" s="15">
        <s:f>AVERAGE('6'!D243:D302)</s:f>
        <s:v>4603.95</s:v>
      </s:c>
      <s:c r="I6" s="15">
        <s:f>AVERAGE('7'!D243:D302)</s:f>
        <s:v>3040.5833333333335</s:v>
      </s:c>
      <s:c r="J6" s="15">
        <s:f>AVERAGE('8'!D243:D302)</s:f>
        <s:v>5592.066666666667</s:v>
      </s:c>
      <s:c r="K6" s="15">
        <s:f>AVERAGE('9'!D243:D302)</s:f>
        <s:v>1868.9833333333333</s:v>
      </s:c>
      <s:c r="L6" s="15">
        <s:f>AVERAGE('10'!D243:D302)</s:f>
        <s:v>1998.4406779661017</s:v>
      </s:c>
    </s:row>
    <s:row r="7">
      <s:c r="A7" s="13" t="n">
        <s:v>6</s:v>
      </s:c>
      <s:c r="B7" s="13" t="n">
        <s:v>300</s:v>
      </s:c>
      <s:c r="C7" s="15">
        <s:f>AVERAGE('1'!D303:D362)</s:f>
        <s:v>1840.2333333333333</s:v>
      </s:c>
      <s:c r="D7" s="15">
        <s:f>AVERAGE('2'!D303:D362)</s:f>
        <s:v>1649.9333333333334</s:v>
      </s:c>
      <s:c r="E7" s="15">
        <s:f>AVERAGE('3'!D303:D362)</s:f>
        <s:v>2217.9333333333334</s:v>
      </s:c>
      <s:c r="F7" s="15">
        <s:f>AVERAGE('4'!D303:D362)</s:f>
        <s:v>533.2</s:v>
      </s:c>
      <s:c r="G7" s="15">
        <s:f>AVERAGE('5'!D303:D362)</s:f>
        <s:v>1269.4666666666667</s:v>
      </s:c>
      <s:c r="H7" s="15">
        <s:f>AVERAGE('6'!D303:D362)</s:f>
        <s:v>3976.516666666667</s:v>
      </s:c>
      <s:c r="I7" s="15">
        <s:f>AVERAGE('7'!D303:D362)</s:f>
        <s:v>3207.25</s:v>
      </s:c>
      <s:c r="J7" s="15">
        <s:f>AVERAGE('8'!D303:D362)</s:f>
        <s:v>6358.433333333333</s:v>
      </s:c>
      <s:c r="K7" s="15">
        <s:f>AVERAGE('9'!D303:D362)</s:f>
        <s:v>1281.5</s:v>
      </s:c>
      <s:c r="L7" s="15">
        <s:f>AVERAGE('10'!D303:D362)</s:f>
        <s:v>1577.1166666666666</s:v>
      </s:c>
    </s:row>
    <s:row r="8">
      <s:c r="A8" s="13" t="n">
        <s:v>7</s:v>
      </s:c>
      <s:c r="B8" s="13" t="n">
        <s:v>360</s:v>
      </s:c>
      <s:c r="C8" s="15">
        <s:f>AVERAGE('1'!D363:D422)</s:f>
        <s:v>1821.7666666666667</s:v>
      </s:c>
      <s:c r="D8" s="15">
        <s:f>AVERAGE('2'!D363:D422)</s:f>
        <s:v>1256.05</s:v>
      </s:c>
      <s:c r="E8" s="15">
        <s:f>AVERAGE('3'!D363:D422)</s:f>
        <s:v>1922.25</s:v>
      </s:c>
      <s:c r="F8" s="15">
        <s:f>AVERAGE('4'!D363:D422)</s:f>
        <s:v>622.9166666666666</s:v>
      </s:c>
      <s:c r="G8" s="15">
        <s:f>AVERAGE('5'!D363:D422)</s:f>
        <s:v>1530.6833333333334</s:v>
      </s:c>
      <s:c r="H8" s="15">
        <s:f>AVERAGE('6'!D363:D422)</s:f>
        <s:v>3141.35</s:v>
      </s:c>
      <s:c r="I8" s="15">
        <s:f>AVERAGE('7'!D363:D422)</s:f>
        <s:v>4305.966666666666</s:v>
      </s:c>
      <s:c r="J8" s="15">
        <s:f>AVERAGE('8'!D363:D422)</s:f>
        <s:v>5995.616666666667</s:v>
      </s:c>
      <s:c r="K8" s="15">
        <s:f>AVERAGE('9'!D363:D422)</s:f>
        <s:v>1510.3666666666666</s:v>
      </s:c>
      <s:c r="L8" s="15">
        <s:f>AVERAGE('10'!D363:D422)</s:f>
        <s:v>1703.2166666666667</s:v>
      </s:c>
    </s:row>
    <s:row r="9">
      <s:c r="A9" s="13" t="n">
        <s:v>8</s:v>
      </s:c>
      <s:c r="B9" s="13" t="n">
        <s:v>420</s:v>
      </s:c>
      <s:c r="C9" s="15">
        <s:f>AVERAGE('1'!D423:D482)</s:f>
        <s:v>1732.5333333333333</s:v>
      </s:c>
      <s:c r="D9" s="15">
        <s:f>AVERAGE('2'!D423:D482)</s:f>
        <s:v>1376.0166666666667</s:v>
      </s:c>
      <s:c r="E9" s="15">
        <s:f>AVERAGE('3'!D423:D482)</s:f>
        <s:v>3761.8333333333335</s:v>
      </s:c>
      <s:c r="F9" s="15">
        <s:f>AVERAGE('4'!D423:D482)</s:f>
        <s:v>416.15</s:v>
      </s:c>
      <s:c r="G9" s="15">
        <s:f>AVERAGE('5'!D423:D482)</s:f>
        <s:v>1496.75</s:v>
      </s:c>
      <s:c r="H9" s="15">
        <s:f>AVERAGE('6'!D423:D482)</s:f>
        <s:v>3489.65</s:v>
      </s:c>
      <s:c r="I9" s="15">
        <s:f>AVERAGE('7'!D423:D482)</s:f>
        <s:v>3390.3333333333335</s:v>
      </s:c>
      <s:c r="J9" s="15">
        <s:f>AVERAGE('8'!D423:D482)</s:f>
        <s:v>6043.633333333333</s:v>
      </s:c>
      <s:c r="K9" s="15">
        <s:f>AVERAGE('9'!D423:D482)</s:f>
        <s:v>1895.4</s:v>
      </s:c>
      <s:c r="L9" s="15">
        <s:f>AVERAGE('10'!D423:D482)</s:f>
        <s:v>1504.9333333333334</s:v>
      </s:c>
    </s:row>
    <s:row r="10">
      <s:c r="A10" s="13" t="n">
        <s:v>9</s:v>
      </s:c>
      <s:c r="B10" s="13" t="n">
        <s:v>480</s:v>
      </s:c>
      <s:c r="C10" s="15">
        <s:f>AVERAGE('1'!D483:D542)</s:f>
        <s:v>1770.0333333333333</s:v>
      </s:c>
      <s:c r="D10" s="15">
        <s:f>AVERAGE('2'!D483:D542)</s:f>
        <s:v>1577.7</s:v>
      </s:c>
      <s:c r="E10" s="15">
        <s:f>AVERAGE('3'!D483:D542)</s:f>
        <s:v>4598.116666666667</s:v>
      </s:c>
      <s:c r="F10" s="15">
        <s:f>AVERAGE('4'!D483:D542)</s:f>
        <s:v>507.1666666666667</s:v>
      </s:c>
      <s:c r="G10" s="15">
        <s:f>AVERAGE('5'!D483:D542)</s:f>
        <s:v>1423.5333333333333</s:v>
      </s:c>
      <s:c r="H10" s="15">
        <s:f>AVERAGE('6'!D483:D542)</s:f>
        <s:v>4068.1666666666665</s:v>
      </s:c>
      <s:c r="I10" s="15">
        <s:f>AVERAGE('7'!D483:D542)</s:f>
        <s:v>2052.0666666666666</s:v>
      </s:c>
      <s:c r="J10" s="15">
        <s:f>AVERAGE('8'!D483:D542)</s:f>
        <s:v>5102.616666666667</s:v>
      </s:c>
      <s:c r="K10" s="15">
        <s:f>AVERAGE('9'!D483:D542)</s:f>
        <s:v>2232.766666666667</s:v>
      </s:c>
      <s:c r="L10" s="15">
        <s:f>AVERAGE('10'!D483:D542)</s:f>
        <s:v>1597.2833333333333</s:v>
      </s:c>
    </s:row>
    <s:row r="11">
      <s:c r="A11" s="13" t="n">
        <s:v>10</s:v>
      </s:c>
      <s:c r="B11" s="13" t="n">
        <s:v>540</s:v>
      </s:c>
      <s:c r="C11" s="15">
        <s:f>AVERAGE('1'!D543:D602)</s:f>
        <s:v>1626.8</s:v>
      </s:c>
      <s:c r="D11" s="15">
        <s:f>AVERAGE('2'!D543:D602)</s:f>
        <s:v>1198.3333333333333</s:v>
      </s:c>
      <s:c r="E11" s="15">
        <s:f>AVERAGE('3'!D543:D602)</s:f>
        <s:v>3582.883333333333</s:v>
      </s:c>
      <s:c r="F11" s="15">
        <s:f>AVERAGE('4'!D543:D602)</s:f>
        <s:v>256.8666666666667</s:v>
      </s:c>
      <s:c r="G11" s="15">
        <s:f>AVERAGE('5'!D543:D602)</s:f>
        <s:v>1246.0333333333333</s:v>
      </s:c>
      <s:c r="H11" s="15">
        <s:f>AVERAGE('6'!D543:D602)</s:f>
        <s:v>2839.983333333333</s:v>
      </s:c>
      <s:c r="I11" s="15">
        <s:f>AVERAGE('7'!D543:D602)</s:f>
        <s:v>2309.35</s:v>
      </s:c>
      <s:c r="J11" s="15">
        <s:f>AVERAGE('8'!D543:D602)</s:f>
        <s:v>4774.7</s:v>
      </s:c>
      <s:c r="K11" s="15">
        <s:f>AVERAGE('9'!D543:D602)</s:f>
        <s:v>2013.4833333333333</s:v>
      </s:c>
      <s:c r="L11" s="15">
        <s:f>AVERAGE('10'!D543:D602)</s:f>
        <s:v>1842.35</s:v>
      </s:c>
    </s:row>
    <s:row r="12">
      <s:c r="A12" s="13" t="n">
        <s:v>11</s:v>
      </s:c>
      <s:c r="B12" s="13" t="n">
        <s:v>600</s:v>
      </s:c>
      <s:c r="C12" s="15">
        <s:f>AVERAGE('1'!D603:D662)</s:f>
        <s:v>1892.0</s:v>
      </s:c>
      <s:c r="D12" s="15">
        <s:f>AVERAGE('2'!D603:D662)</s:f>
        <s:v>986.85</s:v>
      </s:c>
      <s:c r="E12" s="15">
        <s:f>AVERAGE('3'!D603:D662)</s:f>
        <s:v>2947.7</s:v>
      </s:c>
      <s:c r="F12" s="15">
        <s:f>AVERAGE('4'!D603:D662)</s:f>
        <s:v>658.0666666666667</s:v>
      </s:c>
      <s:c r="G12" s="15">
        <s:f>AVERAGE('5'!D603:D662)</s:f>
        <s:v>1170.9333333333334</s:v>
      </s:c>
      <s:c r="H12" s="15">
        <s:f>AVERAGE('6'!D603:D662)</s:f>
        <s:v>3161.25</s:v>
      </s:c>
      <s:c r="I12" s="15">
        <s:f>AVERAGE('7'!D603:D662)</s:f>
        <s:v>2478.6271186440677</s:v>
      </s:c>
      <s:c r="J12" s="15">
        <s:f>AVERAGE('8'!D603:D662)</s:f>
        <s:v>4341.416666666667</s:v>
      </s:c>
      <s:c r="K12" s="15">
        <s:f>AVERAGE('9'!D603:D662)</s:f>
        <s:v>2472.0333333333333</s:v>
      </s:c>
      <s:c r="L12" s="15">
        <s:f>AVERAGE('10'!D603:D662)</s:f>
        <s:v>1686.9333333333334</s:v>
      </s:c>
    </s:row>
    <s:row r="13">
      <s:c r="A13" s="13" t="n">
        <s:v>12</s:v>
      </s:c>
      <s:c r="B13" s="13" t="n">
        <s:v>660</s:v>
      </s:c>
      <s:c r="C13" s="15">
        <s:f>AVERAGE('1'!D663:D722)</s:f>
        <s:v>1470.75</s:v>
      </s:c>
      <s:c r="D13" s="15">
        <s:f>AVERAGE('2'!D663:D722)</s:f>
        <s:v>1225.0833333333333</s:v>
      </s:c>
      <s:c r="E13" s="15">
        <s:f>AVERAGE('3'!D663:D722)</s:f>
        <s:v>2886.491525423729</s:v>
      </s:c>
      <s:c r="F13" s="15">
        <s:f>AVERAGE('4'!D663:D722)</s:f>
        <s:v>526.5833333333334</s:v>
      </s:c>
      <s:c r="G13" s="15">
        <s:f>AVERAGE('5'!D663:D722)</s:f>
        <s:v>1343.9</s:v>
      </s:c>
      <s:c r="H13" s="15">
        <s:f>AVERAGE('6'!D663:D722)</s:f>
        <s:v>3641.483333333333</s:v>
      </s:c>
      <s:c r="I13" s="15">
        <s:f>AVERAGE('7'!D663:D722)</s:f>
        <s:v>1990.65</s:v>
      </s:c>
      <s:c r="J13" s="15">
        <s:f>AVERAGE('8'!D663:D722)</s:f>
        <s:v>4513.866666666667</s:v>
      </s:c>
      <s:c r="K13" s="15">
        <s:f>AVERAGE('9'!D663:D722)</s:f>
        <s:v>2625.1666666666665</s:v>
      </s:c>
      <s:c r="L13" s="15">
        <s:f>AVERAGE('10'!D663:D722)</s:f>
        <s:v>1959.3</s:v>
      </s:c>
    </s:row>
    <s:row r="14">
      <s:c r="A14" s="13" t="n">
        <s:v>13</s:v>
      </s:c>
      <s:c r="B14" s="13" t="n">
        <s:v>720</s:v>
      </s:c>
      <s:c r="C14" s="15">
        <s:f>AVERAGE('1'!D723:D782)</s:f>
        <s:v>2044.5</s:v>
      </s:c>
      <s:c r="D14" s="15">
        <s:f>AVERAGE('2'!D723:D782)</s:f>
        <s:v>992.9833333333333</s:v>
      </s:c>
      <s:c r="E14" s="15">
        <s:f>AVERAGE('3'!D723:D782)</s:f>
        <s:v>2058.75</s:v>
      </s:c>
      <s:c r="F14" s="15">
        <s:f>AVERAGE('4'!D723:D782)</s:f>
        <s:v>456.6333333333333</s:v>
      </s:c>
      <s:c r="G14" s="15">
        <s:f>AVERAGE('5'!D723:D782)</s:f>
        <s:v>1441.7</s:v>
      </s:c>
      <s:c r="H14" s="15">
        <s:f>AVERAGE('6'!D723:D782)</s:f>
        <s:v>3565.6</s:v>
      </s:c>
      <s:c r="I14" s="15">
        <s:f>AVERAGE('7'!D723:D782)</s:f>
        <s:v>2246.8333333333335</s:v>
      </s:c>
      <s:c r="J14" s="15">
        <s:f>AVERAGE('8'!D723:D782)</s:f>
        <s:v>5986.0</s:v>
      </s:c>
      <s:c r="K14" s="15">
        <s:f>AVERAGE('9'!D723:D782)</s:f>
        <s:v>2490.65</s:v>
      </s:c>
      <s:c r="L14" s="15">
        <s:f>AVERAGE('10'!D723:D782)</s:f>
        <s:v>1937.1666666666667</s:v>
      </s:c>
    </s:row>
    <s:row r="15">
      <s:c r="A15" s="13" t="n">
        <s:v>14</s:v>
      </s:c>
      <s:c r="B15" s="13" t="n">
        <s:v>780</s:v>
      </s:c>
      <s:c r="C15" s="15">
        <s:f>AVERAGE('1'!D783:D842)</s:f>
        <s:v>1734.9666666666667</s:v>
      </s:c>
      <s:c r="D15" s="15">
        <s:f>AVERAGE('2'!D783:D842)</s:f>
        <s:v>1320.8</s:v>
      </s:c>
      <s:c r="E15" s="15">
        <s:f>AVERAGE('3'!D783:D842)</s:f>
        <s:v>1896.6333333333334</s:v>
      </s:c>
      <s:c r="F15" s="15">
        <s:f>AVERAGE('4'!D783:D842)</s:f>
        <s:v>164.08333333333334</s:v>
      </s:c>
      <s:c r="G15" s="15">
        <s:f>AVERAGE('5'!D783:D842)</s:f>
        <s:v>1473.8166666666666</s:v>
      </s:c>
      <s:c r="H15" s="15">
        <s:f>AVERAGE('6'!D783:D842)</s:f>
        <s:v>2859.733333333333</s:v>
      </s:c>
      <s:c r="I15" s="15">
        <s:f>AVERAGE('7'!D783:D842)</s:f>
        <s:v>2779.2203389830506</s:v>
      </s:c>
      <s:c r="J15" s="15">
        <s:f>AVERAGE('8'!D783:D842)</s:f>
        <s:v>3667.616666666667</s:v>
      </s:c>
      <s:c r="K15" s="15">
        <s:f>AVERAGE('9'!D783:D842)</s:f>
        <s:v>1655.0</s:v>
      </s:c>
      <s:c r="L15" s="15">
        <s:f>AVERAGE('10'!D783:D842)</s:f>
        <s:v>1995.2333333333333</s:v>
      </s:c>
    </s:row>
    <s:row r="16">
      <s:c r="A16" s="13" t="n">
        <s:v>15</s:v>
      </s:c>
      <s:c r="B16" s="13" t="n">
        <s:v>840</s:v>
      </s:c>
      <s:c r="C16" s="15">
        <s:f>AVERAGE('1'!D843:D902)</s:f>
        <s:v>1962.5666666666666</s:v>
      </s:c>
      <s:c r="D16" s="15">
        <s:f>AVERAGE('2'!D843:D902)</s:f>
        <s:v>1382.2166666666667</s:v>
      </s:c>
      <s:c r="E16" s="15">
        <s:f>AVERAGE('3'!D843:D902)</s:f>
        <s:v>1535.1166666666666</s:v>
      </s:c>
      <s:c r="F16" s="15">
        <s:f>AVERAGE('4'!D843:D902)</s:f>
        <s:v>296.53333333333336</s:v>
      </s:c>
      <s:c r="G16" s="15">
        <s:f>AVERAGE('5'!D843:D902)</s:f>
        <s:v>1541.8</s:v>
      </s:c>
      <s:c r="H16" s="15">
        <s:f>AVERAGE('6'!D843:D902)</s:f>
        <s:v>2676.35</s:v>
      </s:c>
      <s:c r="I16" s="15">
        <s:f>AVERAGE('7'!D843:D902)</s:f>
        <s:v>3776.6833333333334</s:v>
      </s:c>
      <s:c r="J16" s="15">
        <s:f>AVERAGE('8'!D843:D902)</s:f>
        <s:v>3618.3166666666666</s:v>
      </s:c>
      <s:c r="K16" s="15">
        <s:f>AVERAGE('9'!D843:D902)</s:f>
        <s:v>1582.5666666666666</s:v>
      </s:c>
      <s:c r="L16" s="15">
        <s:f>AVERAGE('10'!D843:D902)</s:f>
        <s:v>1400.3166666666666</s:v>
      </s:c>
    </s:row>
  </s:sheetData>
  <s:autoFilter ref="A1:L16"/>
  <s:pageMargins left="0.75" right="0.75" top="1" bottom="1" header="0.5" footer="0.5"/>
</s:worksheet>
</file>

<file path=xl/worksheets/sheet15.xml><?xml version="1.0" encoding="utf-8"?>
<s:worksheet xmlns:s="http://schemas.openxmlformats.org/spreadsheetml/2006/main">
  <s:sheetPr>
    <s:outlinePr summaryBelow="1" summaryRight="1"/>
    <s:pageSetUpPr/>
  </s:sheetPr>
  <s:dimension ref="A1:B14"/>
  <s:sheetViews>
    <s:sheetView workbookViewId="0">
      <s:pane ySplit="1" topLeftCell="A2" activePane="bottomLeft" state="frozen"/>
      <s:selection pane="bottomLeft" activeCell="A1" sqref="A1"/>
      <s:selection pane="bottomLeft" activeCell="A1" sqref="A1"/>
      <s:selection pane="bottomRight" activeCell="A1" sqref="A1"/>
    </s:sheetView>
  </s:sheetViews>
  <s:sheetFormatPr baseColWidth="8" defaultRowHeight="15"/>
  <s:cols>
    <s:col width="25" customWidth="1" style="7" min="1" max="1"/>
    <s:col width="115" customWidth="1" style="7" min="2" max="2"/>
  </s:cols>
  <s:sheetData>
    <s:row r="1" ht="34" customHeight="1" s="7">
      <s:c r="A1" s="12" t="inlineStr">
        <s:is>
          <s:t>항목</s:t>
        </s:is>
      </s:c>
      <s:c r="B1" s="12" t="inlineStr">
        <s:is>
          <s:t>설명</s:t>
        </s:is>
      </s:c>
    </s:row>
    <s:row r="2" ht="48" customHeight="1" s="7">
      <s:c r="A2" s="13" t="inlineStr">
        <s:is>
          <s:t>자료</s:t>
        </s:is>
      </s:c>
      <s:c r="B2" s="19" t="inlineStr">
        <s:is>
          <s:t>2026-08-13, 10개 지점 각 900행, 1초 간격. 총 9000행 중 숫자 8996개. 단위는 원본에 명시되어 있지 않음.</s:t>
        </s:is>
      </s:c>
    </s:row>
    <s:row r="3" ht="48" customHeight="1" s="7">
      <s:c r="A3" s="13" t="inlineStr">
        <s:is>
          <s:t>비수치 처리</s:t>
        </s:is>
      </s:c>
      <s:c r="B3" s="19" t="inlineStr">
        <s:is>
          <s:t>**** 4개: 지점3 D709, 지점7 D640·D785, 지점10 D247. 오류/결측 코드의 의미는 미확인. 원문과 시간은 보존하고 통계에서만 제외. 0 대입이나 보간하지 않음.</s:t>
        </s:is>
      </s:c>
    </s:row>
    <s:row r="4" ht="48" customHeight="1" s="7">
      <s:c r="A4" s="13" t="inlineStr">
        <s:is>
          <s:t>측정일시</s:t>
        </s:is>
      </s:c>
      <s:c r="B4" s="19" t="inlineStr">
        <s:is>
          <s:t>2026-08-13 날짜 + 시작시각 + 0~899초. 종합 K~T열은 날짜·시간, U열은 조사일자. A~J열은 원본 발생량. 같은 행은 동시 측정이 아님.</s:t>
        </s:is>
      </s:c>
    </s:row>
    <s:row r="5" ht="48" customHeight="1" s="7">
      <s:c r="A5" s="13" t="inlineStr">
        <s:is>
          <s:t>기술통계</s:t>
        </s:is>
      </s:c>
      <s:c r="B5" s="19" t="inlineStr">
        <s:is>
          <s:t>평균, 중앙값, 표본 표준편차(STDEV), 변동계수=표준편차/평균, 사분위수는 QUARTILE 포함형.</s:t>
        </s:is>
      </s:c>
    </s:row>
    <s:row r="6" ht="48" customHeight="1" s="7">
      <s:c r="A6" s="13" t="inlineStr">
        <s:is>
          <s:t>1분평균</s:t>
        </s:is>
      </s:c>
      <s:c r="B6" s="19" t="inlineStr">
        <s:is>
          <s:t>0~59초, 60~119초, ..., 840~899초의 서로 겹치지 않는 15개 구간 평균. 독립 반복실험으로 해석하지 않음.</s:t>
        </s:is>
      </s:c>
    </s:row>
    <s:row r="7" ht="48" customHeight="1" s="7">
      <s:c r="A7" s="13" t="inlineStr">
        <s:is>
          <s:t>시간 추세</s:t>
        </s:is>
      </s:c>
      <s:c r="B7" s="19" t="inlineStr">
        <s:is>
          <s:t>최초/최종 60초 평균과 선형기울기(발생량/분)를 기술함. 선형기울기는 비선형 변화 전체를 설명하지 않음.</s:t>
        </s:is>
      </s:c>
    </s:row>
    <s:row r="8" ht="48" customHeight="1" s="7">
      <s:c r="A8" s="13" t="inlineStr">
        <s:is>
          <s:t>자기상관</s:t>
        </s:is>
      </s:c>
      <s:c r="B8" s="19" t="inlineStr">
        <s:is>
          <s:t>1초 지연 상관은 연속한 899쌍의 Pearson 상관(CORREL). 추세도 이 상관에 영향을 줄 수 있음.</s:t>
        </s:is>
      </s:c>
    </s:row>
    <s:row r="9" ht="48" customHeight="1" s="7">
      <s:c r="A9" s="13" t="inlineStr">
        <s:is>
          <s:t>시간대 보정 한계</s:t>
        </s:is>
      </s:c>
      <s:c r="B9" s="19" t="inlineStr">
        <s:is>
          <s:t>10개 지점의 관측 시간 구간이 서로 겹치지 않음. 공통 시간 추세를 가정하면 모델 적합은 가능하지만, 지점 차이와 시간대 차이의 분리는 그 가정에 의존함. 보정값은 생성하지 않음.</s:t>
        </s:is>
      </s:c>
    </s:row>
    <s:row r="10" ht="48" customHeight="1" s="7">
      <s:c r="A10" s="13" t="inlineStr">
        <s:is>
          <s:t>추론 범위</s:t>
        </s:is>
      </s:c>
      <s:c r="B10" s="19" t="inlineStr">
        <s:is>
          <s:t>관측된 각 지점·해당 시간 구간의 기술적 비교임. 독립성 가정이 맞지 않는 900개 초별 자료로 ANOVA/Tukey p값을 계산하지 않음. 임상/생태학적 효과나 수종 전체 차이로 일반화하지 않음.</s:t>
        </s:is>
      </s:c>
    </s:row>
    <s:row r="11" ht="48" customHeight="1" s="7">
      <s:c r="A11" s="13" t="inlineStr">
        <s:is>
          <s:t>대조구</s:t>
        </s:is>
      </s:c>
      <s:c r="B11" s="19" t="inlineStr">
        <s:is>
          <s:t>밭과 주차장도 서로 다른 시각에 측정. 대조구 대비 비율은 동시 대조 또는 시간 보정 효과가 아님.</s:t>
        </s:is>
      </s:c>
    </s:row>
    <s:row r="12" ht="48" customHeight="1" s="7">
      <s:c r="A12" s="13" t="inlineStr">
        <s:is>
          <s:t>보정에 필요한 추가 자료</s:t>
        </s:is>
      </s:c>
      <s:c r="B12" s="19" t="inlineStr">
        <s:is>
          <s:t>여러 시간대에 각 지점을 반복 측정한 자료 또는 동일 기간의 고정 기준지점 연속측정, 필요시 기상·장비 기록. 측정 순서를 교차하면 지점과 시간대 효과 분리에 도움.</s:t>
        </s:is>
      </s:c>
    </s:row>
    <s:row r="13" ht="48" customHeight="1" s="7">
      <s:c r="A13" s="13" t="inlineStr">
        <s:is>
          <s:t>품질검사</s:t>
        </s:is>
      </s:c>
      <s:c r="B13" s="19" t="inlineStr">
        <s:is>
          <s:t>9000개 발생량, 지점별 1초 간격, 종합 시각 링크, 원본 보존 확인. 비고는 지점8만 값이 있으며 의미 미확인으로 분석에서 제외.</s:t>
        </s:is>
      </s:c>
    </s:row>
    <s:row r="14" ht="48" customHeight="1" s="7">
      <s:c r="A14" s="13" t="inlineStr">
        <s:is>
          <s:t>통계 참고</s:t>
        </s:is>
      </s:c>
      <s:c r="B14" s="19" t="inlineStr">
        <s:is>
          <s:t>https://www.nist.gov/programs-projects/uncertainty-analysis-autocorrelated-measurement-data</s:t>
        </s:is>
      </s:c>
    </s:row>
  </s:sheetData>
  <s:pageMargins left="0.75" right="0.75" top="1" bottom="1" header="0.5" footer="0.5"/>
</s:worksheet>
</file>

<file path=xl/worksheets/sheet16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/>
  </s:sheetPr>
  <s:dimension ref="A1:A1"/>
  <s:sheetViews>
    <s:sheetView workbookViewId="0">
      <s:selection activeCell="A1" sqref="A1"/>
    </s:sheetView>
  </s:sheetViews>
  <s:sheetFormatPr baseColWidth="8" defaultRowHeight="15"/>
  <s:sheetData>
    <s:row r="1">
      <s:c r="A1" s="20" t="inlineStr">
        <s:is>
          <s:t>관측 시간 구간별 비교 — 시간대 보정 전</s:t>
        </s:is>
      </s:c>
    </s:row>
  </s:sheetData>
  <s:pageMargins left="0.75" right="0.75" top="1" bottom="1" header="0.5" footer="0.5"/>
  <s:drawing r:id="rId1"/>
</s:worksheet>
</file>

<file path=xl/worksheets/sheet17.xml><?xml version="1.0" encoding="utf-8"?>
<s:worksheet xmlns:s="http://schemas.openxmlformats.org/spreadsheetml/2006/main">
  <s:sheetPr>
    <s:outlinePr summaryBelow="1" summaryRight="1"/>
    <s:pageSetUpPr/>
  </s:sheetPr>
  <s:dimension ref="A1:I19"/>
  <s:sheetViews>
    <s:sheetView workbookViewId="0">
      <s:selection activeCell="A1" sqref="A1"/>
    </s:sheetView>
  </s:sheetViews>
  <s:sheetFormatPr baseColWidth="8" defaultRowHeight="15"/>
  <s:cols>
    <s:col width="22" customWidth="1" style="7" min="1" max="1"/>
    <s:col width="28" customWidth="1" style="7" min="2" max="2"/>
    <s:col width="19" customWidth="1" style="7" min="3" max="3"/>
    <s:col width="19" customWidth="1" style="7" min="4" max="4"/>
    <s:col width="14" customWidth="1" style="7" min="5" max="5"/>
    <s:col width="14" customWidth="1" style="7" min="6" max="6"/>
    <s:col width="14" customWidth="1" style="7" min="7" max="7"/>
    <s:col width="25" customWidth="1" style="7" min="8" max="8"/>
    <s:col width="25" customWidth="1" style="7" min="9" max="9"/>
  </s:cols>
  <s:sheetData>
    <s:row r="1" ht="30" customHeight="1" s="7">
      <s:c r="A1" s="26" t="inlineStr">
        <s:is>
          <s:t>항목</s:t>
        </s:is>
      </s:c>
      <s:c r="B1" s="26" t="inlineStr">
        <s:is>
          <s:t>내용</s:t>
        </s:is>
      </s:c>
      <s:c r="C1" s="26" t="n"/>
      <s:c r="D1" s="26" t="n"/>
      <s:c r="E1" s="26" t="n"/>
      <s:c r="F1" s="26" t="n"/>
      <s:c r="G1" s="26" t="n"/>
      <s:c r="H1" s="26" t="n"/>
      <s:c r="I1" s="26" t="n"/>
    </s:row>
    <s:row r="2">
      <s:c r="A2" t="inlineStr">
        <s:is>
          <s:t>적용 조사일자</s:t>
        </s:is>
      </s:c>
      <s:c r="B2" s="23" t="n">
        <s:v>46247</s:v>
      </s:c>
    </s:row>
    <s:row r="3" ht="32" customHeight="1" s="7">
      <s:c r="A3" t="inlineStr">
        <s:is>
          <s:t>원본 파일</s:t>
        </s:is>
      </s:c>
      <s:c r="B3" s="21" t="inlineStr">
        <s:is>
          <s:t>음이온_260813.xlsx</s:t>
        </s:is>
      </s:c>
    </s:row>
    <s:row r="4" ht="32" customHeight="1" s="7">
      <s:c r="A4" t="inlineStr">
        <s:is>
          <s:t>종합 구조</s:t>
        </s:is>
      </s:c>
      <s:c r="B4" s="21" t="inlineStr">
        <s:is>
          <s:t>A~J열: 지점 1~10 발생량, K~T열: 대응 지점 측정일시, U열: 조사일자. 같은 행은 동시 측정이 아닌 측정 순서.</s:t>
        </s:is>
      </s:c>
    </s:row>
    <s:row r="5" ht="32" customHeight="1" s="7">
      <s:c r="A5" t="inlineStr">
        <s:is>
          <s:t>일시 복원</s:t>
        </s:is>
      </s:c>
      <s:c r="B5" s="21" t="inlineStr">
        <s:is>
          <s:t>적용 조사일자 + 원본 조사시작시간 + 경과초(0~899). 1초당 1개 측정. 원본 A~E열은 보존.</s:t>
        </s:is>
      </s:c>
    </s:row>
    <s:row r="6" ht="32" customHeight="1" s="7">
      <s:c r="A6" t="inlineStr">
        <s:is>
          <s:t>지점명 기준</s:t>
        </s:is>
      </s:c>
      <s:c r="B6" s="21" t="inlineStr">
        <s:is>
          <s:t>원본 지점 제목과 8월 13일 종합 명칭의 일치 확인.</s:t>
        </s:is>
      </s:c>
    </s:row>
    <s:row r="7" ht="32" customHeight="1" s="7">
      <s:c r="A7" t="inlineStr">
        <s:is>
          <s:t>기록 보존</s:t>
        </s:is>
      </s:c>
      <s:c r="B7" s="21" t="inlineStr">
        <s:is>
          <s:t>숫자가 아닌 표기도 삭제·보간하지 않고 그대로 옮김. 날짜별 비교나 시간대 보정은 이번 작업에 포함하지 않음.</s:t>
        </s:is>
      </s:c>
    </s:row>
    <s:row r="8"/>
    <s:row r="9" ht="30" customHeight="1" s="7">
      <s:c r="A9" s="26" t="inlineStr">
        <s:is>
          <s:t>지점</s:t>
        </s:is>
      </s:c>
      <s:c r="B9" s="26" t="inlineStr">
        <s:is>
          <s:t>조사지점</s:t>
        </s:is>
      </s:c>
      <s:c r="C9" s="26" t="inlineStr">
        <s:is>
          <s:t>원본 조사일자</s:t>
        </s:is>
      </s:c>
      <s:c r="D9" s="26" t="inlineStr">
        <s:is>
          <s:t>원본 시작시간</s:t>
        </s:is>
      </s:c>
      <s:c r="E9" s="26" t="inlineStr">
        <s:is>
          <s:t>자료 행 수</s:t>
        </s:is>
      </s:c>
      <s:c r="F9" s="26" t="inlineStr">
        <s:is>
          <s:t>숫자 개수</s:t>
        </s:is>
      </s:c>
      <s:c r="G9" s="26" t="inlineStr">
        <s:is>
          <s:t>비수치 개수</s:t>
        </s:is>
      </s:c>
      <s:c r="H9" s="26" t="inlineStr">
        <s:is>
          <s:t>첫 측정일시</s:t>
        </s:is>
      </s:c>
      <s:c r="I9" s="26" t="inlineStr">
        <s:is>
          <s:t>마지막 측정일시</s:t>
        </s:is>
      </s:c>
    </s:row>
    <s:row r="10">
      <s:c r="A10" t="n">
        <s:v>1</s:v>
      </s:c>
      <s:c r="B10" t="inlineStr">
        <s:is>
          <s:t>리기다소나무림</s:t>
        </s:is>
      </s:c>
      <s:c r="C10" t="n">
        <s:v>260813</s:v>
      </s:c>
      <s:c r="D10" t="n">
        <s:v>132639</s:v>
      </s:c>
      <s:c r="E10" t="n">
        <s:v>900</s:v>
      </s:c>
      <s:c r="F10" t="n">
        <s:v>900</s:v>
      </s:c>
      <s:c r="G10" t="n">
        <s:v>0</s:v>
      </s:c>
      <s:c r="H10" s="22">
        <s:f>'1'!F3</s:f>
        <s:v>46247.56017361111</s:v>
      </s:c>
      <s:c r="I10" s="22">
        <s:f>'1'!F902</s:f>
        <s:v>46247.5705787037</s:v>
      </s:c>
    </s:row>
    <s:row r="11">
      <s:c r="A11" t="n">
        <s:v>2</s:v>
      </s:c>
      <s:c r="B11" t="inlineStr">
        <s:is>
          <s:t>잣나무림 a</s:t>
        </s:is>
      </s:c>
      <s:c r="C11" t="n">
        <s:v>260813</s:v>
      </s:c>
      <s:c r="D11" t="n">
        <s:v>130021</s:v>
      </s:c>
      <s:c r="E11" t="n">
        <s:v>900</s:v>
      </s:c>
      <s:c r="F11" t="n">
        <s:v>900</s:v>
      </s:c>
      <s:c r="G11" t="n">
        <s:v>0</s:v>
      </s:c>
      <s:c r="H11" s="22">
        <s:f>'2'!F3</s:f>
        <s:v>46247.541909722226</s:v>
      </s:c>
      <s:c r="I11" s="22">
        <s:f>'2'!F902</s:f>
        <s:v>46247.55231481481</s:v>
      </s:c>
    </s:row>
    <s:row r="12">
      <s:c r="A12" t="n">
        <s:v>3</s:v>
      </s:c>
      <s:c r="B12" t="inlineStr">
        <s:is>
          <s:t>버드나무림 a</s:t>
        </s:is>
      </s:c>
      <s:c r="C12" t="n">
        <s:v>260813</s:v>
      </s:c>
      <s:c r="D12" t="n">
        <s:v>123517</s:v>
      </s:c>
      <s:c r="E12" t="n">
        <s:v>900</s:v>
      </s:c>
      <s:c r="F12" t="n">
        <s:v>899</s:v>
      </s:c>
      <s:c r="G12" t="n">
        <s:v>1</s:v>
      </s:c>
      <s:c r="H12" s="22">
        <s:f>'3'!F3</s:f>
        <s:v>46247.524502314816</s:v>
      </s:c>
      <s:c r="I12" s="22">
        <s:f>'3'!F902</s:f>
        <s:v>46247.534907407404</s:v>
      </s:c>
    </s:row>
    <s:row r="13">
      <s:c r="A13" t="n">
        <s:v>4</s:v>
      </s:c>
      <s:c r="B13" t="inlineStr">
        <s:is>
          <s:t>밭(대조구)</s:t>
        </s:is>
      </s:c>
      <s:c r="C13" t="n">
        <s:v>260813</s:v>
      </s:c>
      <s:c r="D13" t="n">
        <s:v>112912</s:v>
      </s:c>
      <s:c r="E13" t="n">
        <s:v>900</s:v>
      </s:c>
      <s:c r="F13" t="n">
        <s:v>900</s:v>
      </s:c>
      <s:c r="G13" t="n">
        <s:v>0</s:v>
      </s:c>
      <s:c r="H13" s="22">
        <s:f>'4'!F3</s:f>
        <s:v>46247.47861111111</s:v>
      </s:c>
      <s:c r="I13" s="22">
        <s:f>'4'!F902</s:f>
        <s:v>46247.489016203705</s:v>
      </s:c>
    </s:row>
    <s:row r="14">
      <s:c r="A14" t="n">
        <s:v>5</s:v>
      </s:c>
      <s:c r="B14" t="inlineStr">
        <s:is>
          <s:t>주차장(대조구)</s:t>
        </s:is>
      </s:c>
      <s:c r="C14" t="n">
        <s:v>260813</s:v>
      </s:c>
      <s:c r="D14" t="n">
        <s:v>104823</s:v>
      </s:c>
      <s:c r="E14" t="n">
        <s:v>900</s:v>
      </s:c>
      <s:c r="F14" t="n">
        <s:v>900</s:v>
      </s:c>
      <s:c r="G14" t="n">
        <s:v>0</s:v>
      </s:c>
      <s:c r="H14" s="22">
        <s:f>'5'!F3</s:f>
        <s:v>46247.450266203705</s:v>
      </s:c>
      <s:c r="I14" s="22">
        <s:f>'5'!F902</s:f>
        <s:v>46247.4606712963</s:v>
      </s:c>
    </s:row>
    <s:row r="15">
      <s:c r="A15" t="n">
        <s:v>6</s:v>
      </s:c>
      <s:c r="B15" t="inlineStr">
        <s:is>
          <s:t>소나무림</s:t>
        </s:is>
      </s:c>
      <s:c r="C15" t="n">
        <s:v>260813</s:v>
      </s:c>
      <s:c r="D15" t="n">
        <s:v>102022</s:v>
      </s:c>
      <s:c r="E15" t="n">
        <s:v>900</s:v>
      </s:c>
      <s:c r="F15" t="n">
        <s:v>900</s:v>
      </s:c>
      <s:c r="G15" t="n">
        <s:v>0</s:v>
      </s:c>
      <s:c r="H15" s="22">
        <s:f>'6'!F3</s:f>
        <s:v>46247.430810185186</s:v>
      </s:c>
      <s:c r="I15" s="22">
        <s:f>'6'!F902</s:f>
        <s:v>46247.44121527778</s:v>
      </s:c>
    </s:row>
    <s:row r="16">
      <s:c r="A16" t="n">
        <s:v>7</s:v>
      </s:c>
      <s:c r="B16" t="inlineStr">
        <s:is>
          <s:t>일본잎갈나무림 a</s:t>
        </s:is>
      </s:c>
      <s:c r="C16" t="n">
        <s:v>260813</s:v>
      </s:c>
      <s:c r="D16" t="n">
        <s:v>94745</s:v>
      </s:c>
      <s:c r="E16" t="n">
        <s:v>900</s:v>
      </s:c>
      <s:c r="F16" t="n">
        <s:v>898</s:v>
      </s:c>
      <s:c r="G16" t="n">
        <s:v>2</s:v>
      </s:c>
      <s:c r="H16" s="22">
        <s:f>'7'!F3</s:f>
        <s:v>46247.408159722225</s:v>
      </s:c>
      <s:c r="I16" s="22">
        <s:f>'7'!F902</s:f>
        <s:v>46247.41856481481</s:v>
      </s:c>
    </s:row>
    <s:row r="17">
      <s:c r="A17" t="n">
        <s:v>8</s:v>
      </s:c>
      <s:c r="B17" t="inlineStr">
        <s:is>
          <s:t>버드나무림 b</s:t>
        </s:is>
      </s:c>
      <s:c r="C17" t="n">
        <s:v>260813</s:v>
      </s:c>
      <s:c r="D17" t="n">
        <s:v>91255</s:v>
      </s:c>
      <s:c r="E17" t="n">
        <s:v>900</s:v>
      </s:c>
      <s:c r="F17" t="n">
        <s:v>900</s:v>
      </s:c>
      <s:c r="G17" t="n">
        <s:v>0</s:v>
      </s:c>
      <s:c r="H17" s="22">
        <s:f>'8'!F3</s:f>
        <s:v>46247.38396990741</s:v>
      </s:c>
      <s:c r="I17" s="22">
        <s:f>'8'!F902</s:f>
        <s:v>46247.394375</s:v>
      </s:c>
    </s:row>
    <s:row r="18">
      <s:c r="A18" t="n">
        <s:v>9</s:v>
      </s:c>
      <s:c r="B18" t="inlineStr">
        <s:is>
          <s:t>일본잎갈나무림 b</s:t>
        </s:is>
      </s:c>
      <s:c r="C18" t="n">
        <s:v>260813</s:v>
      </s:c>
      <s:c r="D18" t="n">
        <s:v>84716</s:v>
      </s:c>
      <s:c r="E18" t="n">
        <s:v>900</s:v>
      </s:c>
      <s:c r="F18" t="n">
        <s:v>900</s:v>
      </s:c>
      <s:c r="G18" t="n">
        <s:v>0</s:v>
      </s:c>
      <s:c r="H18" s="22">
        <s:f>'9'!F3</s:f>
        <s:v>46247.36615740741</s:v>
      </s:c>
      <s:c r="I18" s="22">
        <s:f>'9'!F902</s:f>
        <s:v>46247.3765625</s:v>
      </s:c>
    </s:row>
    <s:row r="19">
      <s:c r="A19" t="n">
        <s:v>10</s:v>
      </s:c>
      <s:c r="B19" t="inlineStr">
        <s:is>
          <s:t>잣나무림 b</s:t>
        </s:is>
      </s:c>
      <s:c r="C19" t="n">
        <s:v>260813</s:v>
      </s:c>
      <s:c r="D19" t="n">
        <s:v>80511</s:v>
      </s:c>
      <s:c r="E19" t="n">
        <s:v>900</s:v>
      </s:c>
      <s:c r="F19" t="n">
        <s:v>899</s:v>
      </s:c>
      <s:c r="G19" t="n">
        <s:v>1</s:v>
      </s:c>
      <s:c r="H19" s="22">
        <s:f>'10'!F3</s:f>
        <s:v>46247.33693287037</s:v>
      </s:c>
      <s:c r="I19" s="22">
        <s:f>'10'!F902</s:f>
        <s:v>46247.347337962965</s:v>
      </s:c>
    </s:row>
  </s:sheetData>
  <s:mergeCells count="5">
    <s:mergeCell ref="B7:I7"/>
    <s:mergeCell ref="B6:I6"/>
    <s:mergeCell ref="B3:I3"/>
    <s:mergeCell ref="B5:I5"/>
    <s:mergeCell ref="B4:I4"/>
  </s:mergeCells>
  <s:pageMargins left="0.75" right="0.75" top="1" bottom="1" header="0.5" footer="0.5"/>
</s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이종훈</dc:creator>
  <dcterms:created xsi:type="dcterms:W3CDTF">2026-04-17T23:49:54Z</dcterms:created>
  <dcterms:modified xsi:type="dcterms:W3CDTF">2026-09-11T14:46:26Z</dcterms:modified>
  <cp:lastModifiedBy>이은수</cp:lastModifiedBy>
</cp:coreProperties>
</file>